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PL\แผนสัปดาห์ทุกผลิต\แผนส่งให้ DI MK\"/>
    </mc:Choice>
  </mc:AlternateContent>
  <xr:revisionPtr revIDLastSave="0" documentId="13_ncr:1_{87C82869-FAB2-490F-B964-BECE43284F16}" xr6:coauthVersionLast="47" xr6:coauthVersionMax="47" xr10:uidLastSave="{00000000-0000-0000-0000-000000000000}"/>
  <bookViews>
    <workbookView xWindow="-120" yWindow="-120" windowWidth="29040" windowHeight="15720" tabRatio="762" firstSheet="4" activeTab="11" xr2:uid="{00000000-000D-0000-FFFF-FFFF00000000}"/>
  </bookViews>
  <sheets>
    <sheet name="Linkสูตรออร์เดอร์  (2)" sheetId="4462" r:id="rId1"/>
    <sheet name="9(Order+FC)" sheetId="4196" r:id="rId2"/>
    <sheet name="9(Order)" sheetId="4189" r:id="rId3"/>
    <sheet name="9(Order) แยกลูกค้า" sheetId="4314" r:id="rId4"/>
    <sheet name="9(Fc) แยกลูกค้า" sheetId="4042" r:id="rId5"/>
    <sheet name="8(Order+Fc) แยกลูกค้า" sheetId="4213" r:id="rId6"/>
    <sheet name="รายละเอียด1" sheetId="4535" r:id="rId7"/>
    <sheet name="8(Order)" sheetId="4223" r:id="rId8"/>
    <sheet name="8(Order) แยกลูกค้า" sheetId="4123" r:id="rId9"/>
    <sheet name="8(Fc) แยกลูกค้" sheetId="4224" r:id="rId10"/>
    <sheet name="ค้างทอ2-9-68" sheetId="4544" r:id="rId11"/>
    <sheet name="5-9-68" sheetId="4548" r:id="rId12"/>
    <sheet name="4-9-68" sheetId="4546" r:id="rId13"/>
    <sheet name="3-9-68" sheetId="4545" r:id="rId14"/>
    <sheet name="2-9-68" sheetId="4540" r:id="rId15"/>
    <sheet name="1-9-68" sheetId="4539" r:id="rId16"/>
    <sheet name="30-8-68" sheetId="4538" r:id="rId17"/>
  </sheets>
  <externalReferences>
    <externalReference r:id="rId18"/>
    <externalReference r:id="rId19"/>
    <externalReference r:id="rId20"/>
  </externalReferences>
  <definedNames>
    <definedName name="_xlnm._FilterDatabase" localSheetId="15" hidden="1">'1-9-68'!$A$5:$BD$153</definedName>
    <definedName name="_xlnm._FilterDatabase" localSheetId="14" hidden="1">'2-9-68'!$A$5:$BD$148</definedName>
    <definedName name="_xlnm._FilterDatabase" localSheetId="16" hidden="1">'30-8-68'!$A$5:$BD$153</definedName>
    <definedName name="_xlnm._FilterDatabase" localSheetId="13" hidden="1">'3-9-68'!$A$5:$BD$156</definedName>
    <definedName name="_xlnm._FilterDatabase" localSheetId="12" hidden="1">'4-9-68'!$A$5:$BD$146</definedName>
    <definedName name="_xlnm._FilterDatabase" localSheetId="11" hidden="1">'5-9-68'!$A$5:$BD$162</definedName>
    <definedName name="_xlnm._FilterDatabase" localSheetId="0" hidden="1">'Linkสูตรออร์เดอร์  (2)'!$A$5:$BD$5</definedName>
    <definedName name="_xlnm.Print_Area" localSheetId="9">'8(Fc) แยกลูกค้'!$A$1:$H$39</definedName>
    <definedName name="_xlnm.Print_Area" localSheetId="7">'8(Order)'!$A$6:$G$25</definedName>
    <definedName name="_xlnm.Print_Area" localSheetId="8">'8(Order) แยกลูกค้า'!$A$4:$G$60</definedName>
    <definedName name="_xlnm.Print_Area" localSheetId="5">'8(Order+Fc) แยกลูกค้า'!$A$4:$H$56</definedName>
    <definedName name="_xlnm.Print_Area" localSheetId="4">'9(Fc) แยกลูกค้า'!$A$1:$H$39</definedName>
    <definedName name="_xlnm.Print_Area" localSheetId="2">'9(Order)'!$A$6:$G$43</definedName>
    <definedName name="_xlnm.Print_Area" localSheetId="3">'9(Order) แยกลูกค้า'!$A$4:$G$60</definedName>
    <definedName name="Z_A35135A6_BB02_445F_B09B_908EF37AECE2_.wvu.Cols" localSheetId="15" hidden="1">'1-9-68'!$A:$A,'1-9-68'!$AG:$AG</definedName>
    <definedName name="Z_A35135A6_BB02_445F_B09B_908EF37AECE2_.wvu.Cols" localSheetId="14" hidden="1">'2-9-68'!$A:$A,'2-9-68'!$AG:$AG</definedName>
    <definedName name="Z_A35135A6_BB02_445F_B09B_908EF37AECE2_.wvu.Cols" localSheetId="16" hidden="1">'30-8-68'!$A:$A,'30-8-68'!$AG:$AG</definedName>
    <definedName name="Z_A35135A6_BB02_445F_B09B_908EF37AECE2_.wvu.Cols" localSheetId="13" hidden="1">'3-9-68'!$A:$A,'3-9-68'!$AG:$AG</definedName>
    <definedName name="Z_A35135A6_BB02_445F_B09B_908EF37AECE2_.wvu.Cols" localSheetId="12" hidden="1">'4-9-68'!$A:$A,'4-9-68'!$AG:$AG</definedName>
    <definedName name="Z_A35135A6_BB02_445F_B09B_908EF37AECE2_.wvu.Cols" localSheetId="11" hidden="1">'5-9-68'!$A:$A,'5-9-68'!$AG:$AG</definedName>
    <definedName name="Z_A35135A6_BB02_445F_B09B_908EF37AECE2_.wvu.Cols" localSheetId="0" hidden="1">'Linkสูตรออร์เดอร์  (2)'!$A:$A,'Linkสูตรออร์เดอร์  (2)'!$AG:$AG</definedName>
    <definedName name="Z_A35135A6_BB02_445F_B09B_908EF37AECE2_.wvu.FilterData" localSheetId="15" hidden="1">'1-9-68'!$B$5:$AC$153</definedName>
    <definedName name="Z_A35135A6_BB02_445F_B09B_908EF37AECE2_.wvu.FilterData" localSheetId="14" hidden="1">'2-9-68'!$B$5:$AC$148</definedName>
    <definedName name="Z_A35135A6_BB02_445F_B09B_908EF37AECE2_.wvu.FilterData" localSheetId="16" hidden="1">'30-8-68'!$B$5:$AC$153</definedName>
    <definedName name="Z_A35135A6_BB02_445F_B09B_908EF37AECE2_.wvu.FilterData" localSheetId="13" hidden="1">'3-9-68'!$B$5:$AC$156</definedName>
    <definedName name="Z_A35135A6_BB02_445F_B09B_908EF37AECE2_.wvu.FilterData" localSheetId="12" hidden="1">'4-9-68'!$B$5:$AC$146</definedName>
    <definedName name="Z_A35135A6_BB02_445F_B09B_908EF37AECE2_.wvu.FilterData" localSheetId="11" hidden="1">'5-9-68'!$B$5:$AC$162</definedName>
    <definedName name="Z_A35135A6_BB02_445F_B09B_908EF37AECE2_.wvu.FilterData" localSheetId="0" hidden="1">'Linkสูตรออร์เดอร์  (2)'!$B$5:$AC$327</definedName>
    <definedName name="Z_A35135A6_BB02_445F_B09B_908EF37AECE2_.wvu.Rows" localSheetId="15" hidden="1">'1-9-68'!$2:$2</definedName>
    <definedName name="Z_A35135A6_BB02_445F_B09B_908EF37AECE2_.wvu.Rows" localSheetId="14" hidden="1">'2-9-68'!$2:$2</definedName>
    <definedName name="Z_A35135A6_BB02_445F_B09B_908EF37AECE2_.wvu.Rows" localSheetId="16" hidden="1">'30-8-68'!$2:$2</definedName>
    <definedName name="Z_A35135A6_BB02_445F_B09B_908EF37AECE2_.wvu.Rows" localSheetId="13" hidden="1">'3-9-68'!$2:$2</definedName>
    <definedName name="Z_A35135A6_BB02_445F_B09B_908EF37AECE2_.wvu.Rows" localSheetId="12" hidden="1">'4-9-68'!$2:$2</definedName>
    <definedName name="Z_A35135A6_BB02_445F_B09B_908EF37AECE2_.wvu.Rows" localSheetId="11" hidden="1">'5-9-68'!$2:$2</definedName>
    <definedName name="Z_A35135A6_BB02_445F_B09B_908EF37AECE2_.wvu.Rows" localSheetId="0" hidden="1">'Linkสูตรออร์เดอร์  (2)'!$2:$2</definedName>
  </definedNames>
  <calcPr calcId="191029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pivotCaches>
    <pivotCache cacheId="127" r:id="rId21"/>
    <pivotCache cacheId="128" r:id="rId22"/>
    <pivotCache cacheId="129" r:id="rId2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4462" l="1"/>
  <c r="B7" i="4462"/>
  <c r="C7" i="4462"/>
  <c r="D7" i="4462"/>
  <c r="E7" i="4462"/>
  <c r="F7" i="4462"/>
  <c r="G7" i="4462"/>
  <c r="H7" i="4462"/>
  <c r="I7" i="4462"/>
  <c r="J7" i="4462"/>
  <c r="K7" i="4462"/>
  <c r="L7" i="4462"/>
  <c r="M7" i="4462"/>
  <c r="N7" i="4462"/>
  <c r="O7" i="4462"/>
  <c r="P7" i="4462"/>
  <c r="Q7" i="4462"/>
  <c r="R7" i="4462"/>
  <c r="S7" i="4462"/>
  <c r="T7" i="4462"/>
  <c r="U7" i="4462"/>
  <c r="V7" i="4462"/>
  <c r="W7" i="4462"/>
  <c r="X7" i="4462"/>
  <c r="Y7" i="4462"/>
  <c r="Z7" i="4462"/>
  <c r="AA7" i="4462"/>
  <c r="AB7" i="4462"/>
  <c r="AC7" i="4462"/>
  <c r="AD7" i="4462"/>
  <c r="AE7" i="4462"/>
  <c r="AF7" i="4462"/>
  <c r="AG7" i="4462"/>
  <c r="AH7" i="4462"/>
  <c r="AI7" i="4462"/>
  <c r="AJ7" i="4462"/>
  <c r="AK7" i="4462"/>
  <c r="AL7" i="4462"/>
  <c r="AM7" i="4462"/>
  <c r="AN7" i="4462"/>
  <c r="AO7" i="4462"/>
  <c r="AP7" i="4462"/>
  <c r="AQ7" i="4462"/>
  <c r="AR7" i="4462"/>
  <c r="AS7" i="4462"/>
  <c r="AT7" i="4462"/>
  <c r="AU7" i="4462"/>
  <c r="AV7" i="4462"/>
  <c r="AW7" i="4462"/>
  <c r="AX7" i="4462"/>
  <c r="AY7" i="4462"/>
  <c r="AZ7" i="4462"/>
  <c r="BA7" i="4462"/>
  <c r="BB7" i="4462"/>
  <c r="BC7" i="4462"/>
  <c r="BD7" i="4462"/>
  <c r="A8" i="4462"/>
  <c r="B8" i="4462"/>
  <c r="C8" i="4462"/>
  <c r="D8" i="4462"/>
  <c r="E8" i="4462"/>
  <c r="F8" i="4462"/>
  <c r="G8" i="4462"/>
  <c r="H8" i="4462"/>
  <c r="I8" i="4462"/>
  <c r="J8" i="4462"/>
  <c r="K8" i="4462"/>
  <c r="L8" i="4462"/>
  <c r="M8" i="4462"/>
  <c r="N8" i="4462"/>
  <c r="O8" i="4462"/>
  <c r="P8" i="4462"/>
  <c r="Q8" i="4462"/>
  <c r="R8" i="4462"/>
  <c r="S8" i="4462"/>
  <c r="T8" i="4462"/>
  <c r="U8" i="4462"/>
  <c r="V8" i="4462"/>
  <c r="W8" i="4462"/>
  <c r="X8" i="4462"/>
  <c r="Y8" i="4462"/>
  <c r="Z8" i="4462"/>
  <c r="AA8" i="4462"/>
  <c r="AB8" i="4462"/>
  <c r="AC8" i="4462"/>
  <c r="AD8" i="4462"/>
  <c r="AE8" i="4462"/>
  <c r="AF8" i="4462"/>
  <c r="AG8" i="4462"/>
  <c r="AH8" i="4462"/>
  <c r="AI8" i="4462"/>
  <c r="AJ8" i="4462"/>
  <c r="AK8" i="4462"/>
  <c r="AL8" i="4462"/>
  <c r="AM8" i="4462"/>
  <c r="AN8" i="4462"/>
  <c r="AO8" i="4462"/>
  <c r="AP8" i="4462"/>
  <c r="AQ8" i="4462"/>
  <c r="AR8" i="4462"/>
  <c r="AS8" i="4462"/>
  <c r="AT8" i="4462"/>
  <c r="AU8" i="4462"/>
  <c r="AV8" i="4462"/>
  <c r="AW8" i="4462"/>
  <c r="AX8" i="4462"/>
  <c r="AY8" i="4462"/>
  <c r="AZ8" i="4462"/>
  <c r="BA8" i="4462"/>
  <c r="BB8" i="4462"/>
  <c r="BC8" i="4462"/>
  <c r="BD8" i="4462"/>
  <c r="A9" i="4462"/>
  <c r="B9" i="4462"/>
  <c r="C9" i="4462"/>
  <c r="D9" i="4462"/>
  <c r="E9" i="4462"/>
  <c r="F9" i="4462"/>
  <c r="G9" i="4462"/>
  <c r="H9" i="4462"/>
  <c r="I9" i="4462"/>
  <c r="J9" i="4462"/>
  <c r="K9" i="4462"/>
  <c r="L9" i="4462"/>
  <c r="M9" i="4462"/>
  <c r="N9" i="4462"/>
  <c r="O9" i="4462"/>
  <c r="P9" i="4462"/>
  <c r="Q9" i="4462"/>
  <c r="R9" i="4462"/>
  <c r="S9" i="4462"/>
  <c r="T9" i="4462"/>
  <c r="U9" i="4462"/>
  <c r="V9" i="4462"/>
  <c r="W9" i="4462"/>
  <c r="X9" i="4462"/>
  <c r="Y9" i="4462"/>
  <c r="Z9" i="4462"/>
  <c r="AA9" i="4462"/>
  <c r="AB9" i="4462"/>
  <c r="AC9" i="4462"/>
  <c r="AD9" i="4462"/>
  <c r="AE9" i="4462"/>
  <c r="AF9" i="4462"/>
  <c r="AG9" i="4462"/>
  <c r="AH9" i="4462"/>
  <c r="AI9" i="4462"/>
  <c r="AJ9" i="4462"/>
  <c r="AK9" i="4462"/>
  <c r="AL9" i="4462"/>
  <c r="AM9" i="4462"/>
  <c r="AN9" i="4462"/>
  <c r="AO9" i="4462"/>
  <c r="AP9" i="4462"/>
  <c r="AQ9" i="4462"/>
  <c r="AR9" i="4462"/>
  <c r="AS9" i="4462"/>
  <c r="AT9" i="4462"/>
  <c r="AU9" i="4462"/>
  <c r="AV9" i="4462"/>
  <c r="AW9" i="4462"/>
  <c r="AX9" i="4462"/>
  <c r="AY9" i="4462"/>
  <c r="AZ9" i="4462"/>
  <c r="BA9" i="4462"/>
  <c r="BB9" i="4462"/>
  <c r="BC9" i="4462"/>
  <c r="BD9" i="4462"/>
  <c r="A10" i="4462"/>
  <c r="B10" i="4462"/>
  <c r="C10" i="4462"/>
  <c r="D10" i="4462"/>
  <c r="E10" i="4462"/>
  <c r="F10" i="4462"/>
  <c r="G10" i="4462"/>
  <c r="H10" i="4462"/>
  <c r="I10" i="4462"/>
  <c r="J10" i="4462"/>
  <c r="K10" i="4462"/>
  <c r="L10" i="4462"/>
  <c r="M10" i="4462"/>
  <c r="N10" i="4462"/>
  <c r="O10" i="4462"/>
  <c r="P10" i="4462"/>
  <c r="Q10" i="4462"/>
  <c r="R10" i="4462"/>
  <c r="S10" i="4462"/>
  <c r="T10" i="4462"/>
  <c r="U10" i="4462"/>
  <c r="V10" i="4462"/>
  <c r="W10" i="4462"/>
  <c r="X10" i="4462"/>
  <c r="Y10" i="4462"/>
  <c r="Z10" i="4462"/>
  <c r="AA10" i="4462"/>
  <c r="AB10" i="4462"/>
  <c r="AC10" i="4462"/>
  <c r="AD10" i="4462"/>
  <c r="AE10" i="4462"/>
  <c r="AF10" i="4462"/>
  <c r="AG10" i="4462"/>
  <c r="AH10" i="4462"/>
  <c r="AI10" i="4462"/>
  <c r="AJ10" i="4462"/>
  <c r="AK10" i="4462"/>
  <c r="AL10" i="4462"/>
  <c r="AM10" i="4462"/>
  <c r="AN10" i="4462"/>
  <c r="AO10" i="4462"/>
  <c r="AP10" i="4462"/>
  <c r="AQ10" i="4462"/>
  <c r="AR10" i="4462"/>
  <c r="AS10" i="4462"/>
  <c r="AT10" i="4462"/>
  <c r="AU10" i="4462"/>
  <c r="AV10" i="4462"/>
  <c r="AW10" i="4462"/>
  <c r="AX10" i="4462"/>
  <c r="AY10" i="4462"/>
  <c r="AZ10" i="4462"/>
  <c r="BA10" i="4462"/>
  <c r="BB10" i="4462"/>
  <c r="BC10" i="4462"/>
  <c r="BD10" i="4462"/>
  <c r="A11" i="4462"/>
  <c r="B11" i="4462"/>
  <c r="C11" i="4462"/>
  <c r="D11" i="4462"/>
  <c r="E11" i="4462"/>
  <c r="F11" i="4462"/>
  <c r="G11" i="4462"/>
  <c r="H11" i="4462"/>
  <c r="I11" i="4462"/>
  <c r="J11" i="4462"/>
  <c r="K11" i="4462"/>
  <c r="L11" i="4462"/>
  <c r="M11" i="4462"/>
  <c r="N11" i="4462"/>
  <c r="O11" i="4462"/>
  <c r="P11" i="4462"/>
  <c r="Q11" i="4462"/>
  <c r="R11" i="4462"/>
  <c r="S11" i="4462"/>
  <c r="T11" i="4462"/>
  <c r="U11" i="4462"/>
  <c r="V11" i="4462"/>
  <c r="W11" i="4462"/>
  <c r="X11" i="4462"/>
  <c r="Y11" i="4462"/>
  <c r="Z11" i="4462"/>
  <c r="AA11" i="4462"/>
  <c r="AB11" i="4462"/>
  <c r="AC11" i="4462"/>
  <c r="AD11" i="4462"/>
  <c r="AE11" i="4462"/>
  <c r="AF11" i="4462"/>
  <c r="AG11" i="4462"/>
  <c r="AH11" i="4462"/>
  <c r="AI11" i="4462"/>
  <c r="AJ11" i="4462"/>
  <c r="AK11" i="4462"/>
  <c r="AL11" i="4462"/>
  <c r="AM11" i="4462"/>
  <c r="AN11" i="4462"/>
  <c r="AO11" i="4462"/>
  <c r="AP11" i="4462"/>
  <c r="AQ11" i="4462"/>
  <c r="AR11" i="4462"/>
  <c r="AS11" i="4462"/>
  <c r="AT11" i="4462"/>
  <c r="AU11" i="4462"/>
  <c r="AV11" i="4462"/>
  <c r="AW11" i="4462"/>
  <c r="AX11" i="4462"/>
  <c r="AY11" i="4462"/>
  <c r="AZ11" i="4462"/>
  <c r="BA11" i="4462"/>
  <c r="BB11" i="4462"/>
  <c r="BC11" i="4462"/>
  <c r="BD11" i="4462"/>
  <c r="A12" i="4462"/>
  <c r="B12" i="4462"/>
  <c r="C12" i="4462"/>
  <c r="D12" i="4462"/>
  <c r="E12" i="4462"/>
  <c r="F12" i="4462"/>
  <c r="G12" i="4462"/>
  <c r="H12" i="4462"/>
  <c r="I12" i="4462"/>
  <c r="J12" i="4462"/>
  <c r="K12" i="4462"/>
  <c r="L12" i="4462"/>
  <c r="M12" i="4462"/>
  <c r="N12" i="4462"/>
  <c r="O12" i="4462"/>
  <c r="P12" i="4462"/>
  <c r="Q12" i="4462"/>
  <c r="R12" i="4462"/>
  <c r="S12" i="4462"/>
  <c r="T12" i="4462"/>
  <c r="U12" i="4462"/>
  <c r="V12" i="4462"/>
  <c r="W12" i="4462"/>
  <c r="X12" i="4462"/>
  <c r="Y12" i="4462"/>
  <c r="Z12" i="4462"/>
  <c r="AA12" i="4462"/>
  <c r="AB12" i="4462"/>
  <c r="AC12" i="4462"/>
  <c r="AD12" i="4462"/>
  <c r="AE12" i="4462"/>
  <c r="AF12" i="4462"/>
  <c r="AG12" i="4462"/>
  <c r="AH12" i="4462"/>
  <c r="AI12" i="4462"/>
  <c r="AJ12" i="4462"/>
  <c r="AK12" i="4462"/>
  <c r="AL12" i="4462"/>
  <c r="AM12" i="4462"/>
  <c r="AN12" i="4462"/>
  <c r="AO12" i="4462"/>
  <c r="AP12" i="4462"/>
  <c r="AQ12" i="4462"/>
  <c r="AR12" i="4462"/>
  <c r="AS12" i="4462"/>
  <c r="AT12" i="4462"/>
  <c r="AU12" i="4462"/>
  <c r="AV12" i="4462"/>
  <c r="AW12" i="4462"/>
  <c r="AX12" i="4462"/>
  <c r="AY12" i="4462"/>
  <c r="AZ12" i="4462"/>
  <c r="BA12" i="4462"/>
  <c r="BB12" i="4462"/>
  <c r="BC12" i="4462"/>
  <c r="BD12" i="4462"/>
  <c r="A13" i="4462"/>
  <c r="B13" i="4462"/>
  <c r="C13" i="4462"/>
  <c r="D13" i="4462"/>
  <c r="E13" i="4462"/>
  <c r="F13" i="4462"/>
  <c r="G13" i="4462"/>
  <c r="H13" i="4462"/>
  <c r="I13" i="4462"/>
  <c r="J13" i="4462"/>
  <c r="K13" i="4462"/>
  <c r="L13" i="4462"/>
  <c r="M13" i="4462"/>
  <c r="N13" i="4462"/>
  <c r="O13" i="4462"/>
  <c r="P13" i="4462"/>
  <c r="Q13" i="4462"/>
  <c r="R13" i="4462"/>
  <c r="S13" i="4462"/>
  <c r="T13" i="4462"/>
  <c r="U13" i="4462"/>
  <c r="V13" i="4462"/>
  <c r="W13" i="4462"/>
  <c r="X13" i="4462"/>
  <c r="Y13" i="4462"/>
  <c r="Z13" i="4462"/>
  <c r="AA13" i="4462"/>
  <c r="AB13" i="4462"/>
  <c r="AC13" i="4462"/>
  <c r="AD13" i="4462"/>
  <c r="AE13" i="4462"/>
  <c r="AF13" i="4462"/>
  <c r="AG13" i="4462"/>
  <c r="AH13" i="4462"/>
  <c r="AI13" i="4462"/>
  <c r="AJ13" i="4462"/>
  <c r="AK13" i="4462"/>
  <c r="AL13" i="4462"/>
  <c r="AM13" i="4462"/>
  <c r="AN13" i="4462"/>
  <c r="AO13" i="4462"/>
  <c r="AP13" i="4462"/>
  <c r="AQ13" i="4462"/>
  <c r="AR13" i="4462"/>
  <c r="AS13" i="4462"/>
  <c r="AT13" i="4462"/>
  <c r="AU13" i="4462"/>
  <c r="AV13" i="4462"/>
  <c r="AW13" i="4462"/>
  <c r="AX13" i="4462"/>
  <c r="AY13" i="4462"/>
  <c r="AZ13" i="4462"/>
  <c r="BA13" i="4462"/>
  <c r="BB13" i="4462"/>
  <c r="BC13" i="4462"/>
  <c r="BD13" i="4462"/>
  <c r="A14" i="4462"/>
  <c r="B14" i="4462"/>
  <c r="C14" i="4462"/>
  <c r="D14" i="4462"/>
  <c r="E14" i="4462"/>
  <c r="F14" i="4462"/>
  <c r="G14" i="4462"/>
  <c r="H14" i="4462"/>
  <c r="I14" i="4462"/>
  <c r="J14" i="4462"/>
  <c r="K14" i="4462"/>
  <c r="L14" i="4462"/>
  <c r="M14" i="4462"/>
  <c r="N14" i="4462"/>
  <c r="O14" i="4462"/>
  <c r="P14" i="4462"/>
  <c r="Q14" i="4462"/>
  <c r="R14" i="4462"/>
  <c r="S14" i="4462"/>
  <c r="T14" i="4462"/>
  <c r="U14" i="4462"/>
  <c r="V14" i="4462"/>
  <c r="W14" i="4462"/>
  <c r="X14" i="4462"/>
  <c r="Y14" i="4462"/>
  <c r="Z14" i="4462"/>
  <c r="AA14" i="4462"/>
  <c r="AB14" i="4462"/>
  <c r="AC14" i="4462"/>
  <c r="AD14" i="4462"/>
  <c r="AE14" i="4462"/>
  <c r="AF14" i="4462"/>
  <c r="AG14" i="4462"/>
  <c r="AH14" i="4462"/>
  <c r="AI14" i="4462"/>
  <c r="AJ14" i="4462"/>
  <c r="AK14" i="4462"/>
  <c r="AL14" i="4462"/>
  <c r="AM14" i="4462"/>
  <c r="AN14" i="4462"/>
  <c r="AO14" i="4462"/>
  <c r="AP14" i="4462"/>
  <c r="AQ14" i="4462"/>
  <c r="AR14" i="4462"/>
  <c r="AS14" i="4462"/>
  <c r="AT14" i="4462"/>
  <c r="AU14" i="4462"/>
  <c r="AV14" i="4462"/>
  <c r="AW14" i="4462"/>
  <c r="AX14" i="4462"/>
  <c r="AY14" i="4462"/>
  <c r="AZ14" i="4462"/>
  <c r="BA14" i="4462"/>
  <c r="BB14" i="4462"/>
  <c r="BC14" i="4462"/>
  <c r="BD14" i="4462"/>
  <c r="A15" i="4462"/>
  <c r="B15" i="4462"/>
  <c r="C15" i="4462"/>
  <c r="D15" i="4462"/>
  <c r="E15" i="4462"/>
  <c r="F15" i="4462"/>
  <c r="G15" i="4462"/>
  <c r="H15" i="4462"/>
  <c r="I15" i="4462"/>
  <c r="J15" i="4462"/>
  <c r="K15" i="4462"/>
  <c r="L15" i="4462"/>
  <c r="M15" i="4462"/>
  <c r="N15" i="4462"/>
  <c r="O15" i="4462"/>
  <c r="P15" i="4462"/>
  <c r="Q15" i="4462"/>
  <c r="R15" i="4462"/>
  <c r="S15" i="4462"/>
  <c r="T15" i="4462"/>
  <c r="U15" i="4462"/>
  <c r="V15" i="4462"/>
  <c r="W15" i="4462"/>
  <c r="X15" i="4462"/>
  <c r="Y15" i="4462"/>
  <c r="Z15" i="4462"/>
  <c r="AA15" i="4462"/>
  <c r="AB15" i="4462"/>
  <c r="AC15" i="4462"/>
  <c r="AD15" i="4462"/>
  <c r="AE15" i="4462"/>
  <c r="AF15" i="4462"/>
  <c r="AG15" i="4462"/>
  <c r="AH15" i="4462"/>
  <c r="AI15" i="4462"/>
  <c r="AJ15" i="4462"/>
  <c r="AK15" i="4462"/>
  <c r="AL15" i="4462"/>
  <c r="AM15" i="4462"/>
  <c r="AN15" i="4462"/>
  <c r="AO15" i="4462"/>
  <c r="AP15" i="4462"/>
  <c r="AQ15" i="4462"/>
  <c r="AR15" i="4462"/>
  <c r="AS15" i="4462"/>
  <c r="AT15" i="4462"/>
  <c r="AU15" i="4462"/>
  <c r="AV15" i="4462"/>
  <c r="AW15" i="4462"/>
  <c r="AX15" i="4462"/>
  <c r="AY15" i="4462"/>
  <c r="AZ15" i="4462"/>
  <c r="BA15" i="4462"/>
  <c r="BB15" i="4462"/>
  <c r="BC15" i="4462"/>
  <c r="BD15" i="4462"/>
  <c r="A16" i="4462"/>
  <c r="B16" i="4462"/>
  <c r="C16" i="4462"/>
  <c r="D16" i="4462"/>
  <c r="E16" i="4462"/>
  <c r="F16" i="4462"/>
  <c r="G16" i="4462"/>
  <c r="H16" i="4462"/>
  <c r="I16" i="4462"/>
  <c r="J16" i="4462"/>
  <c r="K16" i="4462"/>
  <c r="L16" i="4462"/>
  <c r="M16" i="4462"/>
  <c r="N16" i="4462"/>
  <c r="O16" i="4462"/>
  <c r="P16" i="4462"/>
  <c r="Q16" i="4462"/>
  <c r="R16" i="4462"/>
  <c r="S16" i="4462"/>
  <c r="T16" i="4462"/>
  <c r="U16" i="4462"/>
  <c r="V16" i="4462"/>
  <c r="W16" i="4462"/>
  <c r="X16" i="4462"/>
  <c r="Y16" i="4462"/>
  <c r="Z16" i="4462"/>
  <c r="AA16" i="4462"/>
  <c r="AB16" i="4462"/>
  <c r="AC16" i="4462"/>
  <c r="AD16" i="4462"/>
  <c r="AE16" i="4462"/>
  <c r="AF16" i="4462"/>
  <c r="AG16" i="4462"/>
  <c r="AH16" i="4462"/>
  <c r="AI16" i="4462"/>
  <c r="AJ16" i="4462"/>
  <c r="AK16" i="4462"/>
  <c r="AL16" i="4462"/>
  <c r="AM16" i="4462"/>
  <c r="AN16" i="4462"/>
  <c r="AO16" i="4462"/>
  <c r="AP16" i="4462"/>
  <c r="AQ16" i="4462"/>
  <c r="AR16" i="4462"/>
  <c r="AS16" i="4462"/>
  <c r="AT16" i="4462"/>
  <c r="AU16" i="4462"/>
  <c r="AV16" i="4462"/>
  <c r="AW16" i="4462"/>
  <c r="AX16" i="4462"/>
  <c r="AY16" i="4462"/>
  <c r="AZ16" i="4462"/>
  <c r="BA16" i="4462"/>
  <c r="BB16" i="4462"/>
  <c r="BC16" i="4462"/>
  <c r="BD16" i="4462"/>
  <c r="A17" i="4462"/>
  <c r="B17" i="4462"/>
  <c r="C17" i="4462"/>
  <c r="D17" i="4462"/>
  <c r="E17" i="4462"/>
  <c r="F17" i="4462"/>
  <c r="G17" i="4462"/>
  <c r="H17" i="4462"/>
  <c r="I17" i="4462"/>
  <c r="J17" i="4462"/>
  <c r="K17" i="4462"/>
  <c r="L17" i="4462"/>
  <c r="M17" i="4462"/>
  <c r="N17" i="4462"/>
  <c r="O17" i="4462"/>
  <c r="P17" i="4462"/>
  <c r="Q17" i="4462"/>
  <c r="R17" i="4462"/>
  <c r="S17" i="4462"/>
  <c r="T17" i="4462"/>
  <c r="U17" i="4462"/>
  <c r="V17" i="4462"/>
  <c r="W17" i="4462"/>
  <c r="X17" i="4462"/>
  <c r="Y17" i="4462"/>
  <c r="Z17" i="4462"/>
  <c r="AA17" i="4462"/>
  <c r="AB17" i="4462"/>
  <c r="AC17" i="4462"/>
  <c r="AD17" i="4462"/>
  <c r="AE17" i="4462"/>
  <c r="AF17" i="4462"/>
  <c r="AG17" i="4462"/>
  <c r="AH17" i="4462"/>
  <c r="AI17" i="4462"/>
  <c r="AJ17" i="4462"/>
  <c r="AK17" i="4462"/>
  <c r="AL17" i="4462"/>
  <c r="AM17" i="4462"/>
  <c r="AN17" i="4462"/>
  <c r="AO17" i="4462"/>
  <c r="AP17" i="4462"/>
  <c r="AQ17" i="4462"/>
  <c r="AR17" i="4462"/>
  <c r="AS17" i="4462"/>
  <c r="AT17" i="4462"/>
  <c r="AU17" i="4462"/>
  <c r="AV17" i="4462"/>
  <c r="AW17" i="4462"/>
  <c r="AX17" i="4462"/>
  <c r="AY17" i="4462"/>
  <c r="AZ17" i="4462"/>
  <c r="BA17" i="4462"/>
  <c r="BB17" i="4462"/>
  <c r="BC17" i="4462"/>
  <c r="BD17" i="4462"/>
  <c r="A18" i="4462"/>
  <c r="B18" i="4462"/>
  <c r="C18" i="4462"/>
  <c r="D18" i="4462"/>
  <c r="E18" i="4462"/>
  <c r="F18" i="4462"/>
  <c r="G18" i="4462"/>
  <c r="H18" i="4462"/>
  <c r="I18" i="4462"/>
  <c r="J18" i="4462"/>
  <c r="K18" i="4462"/>
  <c r="L18" i="4462"/>
  <c r="M18" i="4462"/>
  <c r="N18" i="4462"/>
  <c r="O18" i="4462"/>
  <c r="P18" i="4462"/>
  <c r="Q18" i="4462"/>
  <c r="R18" i="4462"/>
  <c r="S18" i="4462"/>
  <c r="T18" i="4462"/>
  <c r="U18" i="4462"/>
  <c r="V18" i="4462"/>
  <c r="W18" i="4462"/>
  <c r="X18" i="4462"/>
  <c r="Y18" i="4462"/>
  <c r="Z18" i="4462"/>
  <c r="AA18" i="4462"/>
  <c r="AB18" i="4462"/>
  <c r="AC18" i="4462"/>
  <c r="AD18" i="4462"/>
  <c r="AE18" i="4462"/>
  <c r="AF18" i="4462"/>
  <c r="AG18" i="4462"/>
  <c r="AH18" i="4462"/>
  <c r="AI18" i="4462"/>
  <c r="AJ18" i="4462"/>
  <c r="AK18" i="4462"/>
  <c r="AL18" i="4462"/>
  <c r="AM18" i="4462"/>
  <c r="AN18" i="4462"/>
  <c r="AO18" i="4462"/>
  <c r="AP18" i="4462"/>
  <c r="AQ18" i="4462"/>
  <c r="AR18" i="4462"/>
  <c r="AS18" i="4462"/>
  <c r="AT18" i="4462"/>
  <c r="AU18" i="4462"/>
  <c r="AV18" i="4462"/>
  <c r="AW18" i="4462"/>
  <c r="AX18" i="4462"/>
  <c r="AY18" i="4462"/>
  <c r="AZ18" i="4462"/>
  <c r="BA18" i="4462"/>
  <c r="BB18" i="4462"/>
  <c r="BC18" i="4462"/>
  <c r="BD18" i="4462"/>
  <c r="A19" i="4462"/>
  <c r="B19" i="4462"/>
  <c r="C19" i="4462"/>
  <c r="D19" i="4462"/>
  <c r="E19" i="4462"/>
  <c r="F19" i="4462"/>
  <c r="G19" i="4462"/>
  <c r="H19" i="4462"/>
  <c r="I19" i="4462"/>
  <c r="J19" i="4462"/>
  <c r="K19" i="4462"/>
  <c r="L19" i="4462"/>
  <c r="M19" i="4462"/>
  <c r="N19" i="4462"/>
  <c r="O19" i="4462"/>
  <c r="P19" i="4462"/>
  <c r="Q19" i="4462"/>
  <c r="R19" i="4462"/>
  <c r="S19" i="4462"/>
  <c r="T19" i="4462"/>
  <c r="U19" i="4462"/>
  <c r="V19" i="4462"/>
  <c r="W19" i="4462"/>
  <c r="X19" i="4462"/>
  <c r="Y19" i="4462"/>
  <c r="Z19" i="4462"/>
  <c r="AA19" i="4462"/>
  <c r="AB19" i="4462"/>
  <c r="AC19" i="4462"/>
  <c r="AD19" i="4462"/>
  <c r="AE19" i="4462"/>
  <c r="AF19" i="4462"/>
  <c r="AG19" i="4462"/>
  <c r="AH19" i="4462"/>
  <c r="AI19" i="4462"/>
  <c r="AJ19" i="4462"/>
  <c r="AK19" i="4462"/>
  <c r="AL19" i="4462"/>
  <c r="AM19" i="4462"/>
  <c r="AN19" i="4462"/>
  <c r="AO19" i="4462"/>
  <c r="AP19" i="4462"/>
  <c r="AQ19" i="4462"/>
  <c r="AR19" i="4462"/>
  <c r="AS19" i="4462"/>
  <c r="AT19" i="4462"/>
  <c r="AU19" i="4462"/>
  <c r="AV19" i="4462"/>
  <c r="AW19" i="4462"/>
  <c r="AX19" i="4462"/>
  <c r="AY19" i="4462"/>
  <c r="AZ19" i="4462"/>
  <c r="BA19" i="4462"/>
  <c r="BB19" i="4462"/>
  <c r="BC19" i="4462"/>
  <c r="BD19" i="4462"/>
  <c r="A20" i="4462"/>
  <c r="B20" i="4462"/>
  <c r="C20" i="4462"/>
  <c r="D20" i="4462"/>
  <c r="E20" i="4462"/>
  <c r="F20" i="4462"/>
  <c r="G20" i="4462"/>
  <c r="H20" i="4462"/>
  <c r="I20" i="4462"/>
  <c r="J20" i="4462"/>
  <c r="K20" i="4462"/>
  <c r="L20" i="4462"/>
  <c r="M20" i="4462"/>
  <c r="N20" i="4462"/>
  <c r="O20" i="4462"/>
  <c r="P20" i="4462"/>
  <c r="Q20" i="4462"/>
  <c r="R20" i="4462"/>
  <c r="S20" i="4462"/>
  <c r="T20" i="4462"/>
  <c r="U20" i="4462"/>
  <c r="V20" i="4462"/>
  <c r="W20" i="4462"/>
  <c r="X20" i="4462"/>
  <c r="Y20" i="4462"/>
  <c r="Z20" i="4462"/>
  <c r="AA20" i="4462"/>
  <c r="AB20" i="4462"/>
  <c r="AC20" i="4462"/>
  <c r="AD20" i="4462"/>
  <c r="AE20" i="4462"/>
  <c r="AF20" i="4462"/>
  <c r="AG20" i="4462"/>
  <c r="AH20" i="4462"/>
  <c r="AI20" i="4462"/>
  <c r="AJ20" i="4462"/>
  <c r="AK20" i="4462"/>
  <c r="AL20" i="4462"/>
  <c r="AM20" i="4462"/>
  <c r="AN20" i="4462"/>
  <c r="AO20" i="4462"/>
  <c r="AP20" i="4462"/>
  <c r="AQ20" i="4462"/>
  <c r="AR20" i="4462"/>
  <c r="AS20" i="4462"/>
  <c r="AT20" i="4462"/>
  <c r="AU20" i="4462"/>
  <c r="AV20" i="4462"/>
  <c r="AW20" i="4462"/>
  <c r="AX20" i="4462"/>
  <c r="AY20" i="4462"/>
  <c r="AZ20" i="4462"/>
  <c r="BA20" i="4462"/>
  <c r="BB20" i="4462"/>
  <c r="BC20" i="4462"/>
  <c r="BD20" i="4462"/>
  <c r="A21" i="4462"/>
  <c r="B21" i="4462"/>
  <c r="C21" i="4462"/>
  <c r="D21" i="4462"/>
  <c r="E21" i="4462"/>
  <c r="F21" i="4462"/>
  <c r="G21" i="4462"/>
  <c r="H21" i="4462"/>
  <c r="I21" i="4462"/>
  <c r="J21" i="4462"/>
  <c r="K21" i="4462"/>
  <c r="L21" i="4462"/>
  <c r="M21" i="4462"/>
  <c r="N21" i="4462"/>
  <c r="O21" i="4462"/>
  <c r="P21" i="4462"/>
  <c r="Q21" i="4462"/>
  <c r="R21" i="4462"/>
  <c r="S21" i="4462"/>
  <c r="T21" i="4462"/>
  <c r="U21" i="4462"/>
  <c r="V21" i="4462"/>
  <c r="W21" i="4462"/>
  <c r="X21" i="4462"/>
  <c r="Y21" i="4462"/>
  <c r="Z21" i="4462"/>
  <c r="AA21" i="4462"/>
  <c r="AB21" i="4462"/>
  <c r="AC21" i="4462"/>
  <c r="AD21" i="4462"/>
  <c r="AE21" i="4462"/>
  <c r="AF21" i="4462"/>
  <c r="AG21" i="4462"/>
  <c r="AH21" i="4462"/>
  <c r="AI21" i="4462"/>
  <c r="AJ21" i="4462"/>
  <c r="AK21" i="4462"/>
  <c r="AL21" i="4462"/>
  <c r="AM21" i="4462"/>
  <c r="AN21" i="4462"/>
  <c r="AO21" i="4462"/>
  <c r="AP21" i="4462"/>
  <c r="AQ21" i="4462"/>
  <c r="AR21" i="4462"/>
  <c r="AS21" i="4462"/>
  <c r="AT21" i="4462"/>
  <c r="AU21" i="4462"/>
  <c r="AV21" i="4462"/>
  <c r="AW21" i="4462"/>
  <c r="AX21" i="4462"/>
  <c r="AY21" i="4462"/>
  <c r="AZ21" i="4462"/>
  <c r="BA21" i="4462"/>
  <c r="BB21" i="4462"/>
  <c r="BC21" i="4462"/>
  <c r="BD21" i="4462"/>
  <c r="A22" i="4462"/>
  <c r="B22" i="4462"/>
  <c r="C22" i="4462"/>
  <c r="D22" i="4462"/>
  <c r="E22" i="4462"/>
  <c r="F22" i="4462"/>
  <c r="G22" i="4462"/>
  <c r="H22" i="4462"/>
  <c r="I22" i="4462"/>
  <c r="J22" i="4462"/>
  <c r="K22" i="4462"/>
  <c r="L22" i="4462"/>
  <c r="M22" i="4462"/>
  <c r="N22" i="4462"/>
  <c r="O22" i="4462"/>
  <c r="P22" i="4462"/>
  <c r="Q22" i="4462"/>
  <c r="R22" i="4462"/>
  <c r="S22" i="4462"/>
  <c r="T22" i="4462"/>
  <c r="U22" i="4462"/>
  <c r="V22" i="4462"/>
  <c r="W22" i="4462"/>
  <c r="X22" i="4462"/>
  <c r="Y22" i="4462"/>
  <c r="Z22" i="4462"/>
  <c r="AA22" i="4462"/>
  <c r="AB22" i="4462"/>
  <c r="AC22" i="4462"/>
  <c r="AD22" i="4462"/>
  <c r="AE22" i="4462"/>
  <c r="AF22" i="4462"/>
  <c r="AG22" i="4462"/>
  <c r="AH22" i="4462"/>
  <c r="AI22" i="4462"/>
  <c r="AJ22" i="4462"/>
  <c r="AK22" i="4462"/>
  <c r="AL22" i="4462"/>
  <c r="AM22" i="4462"/>
  <c r="AN22" i="4462"/>
  <c r="AO22" i="4462"/>
  <c r="AP22" i="4462"/>
  <c r="AQ22" i="4462"/>
  <c r="AR22" i="4462"/>
  <c r="AS22" i="4462"/>
  <c r="AT22" i="4462"/>
  <c r="AU22" i="4462"/>
  <c r="AV22" i="4462"/>
  <c r="AW22" i="4462"/>
  <c r="AX22" i="4462"/>
  <c r="AY22" i="4462"/>
  <c r="AZ22" i="4462"/>
  <c r="BA22" i="4462"/>
  <c r="BB22" i="4462"/>
  <c r="BC22" i="4462"/>
  <c r="BD22" i="4462"/>
  <c r="A23" i="4462"/>
  <c r="B23" i="4462"/>
  <c r="C23" i="4462"/>
  <c r="D23" i="4462"/>
  <c r="E23" i="4462"/>
  <c r="F23" i="4462"/>
  <c r="G23" i="4462"/>
  <c r="H23" i="4462"/>
  <c r="I23" i="4462"/>
  <c r="J23" i="4462"/>
  <c r="K23" i="4462"/>
  <c r="L23" i="4462"/>
  <c r="M23" i="4462"/>
  <c r="N23" i="4462"/>
  <c r="O23" i="4462"/>
  <c r="P23" i="4462"/>
  <c r="Q23" i="4462"/>
  <c r="R23" i="4462"/>
  <c r="S23" i="4462"/>
  <c r="T23" i="4462"/>
  <c r="U23" i="4462"/>
  <c r="V23" i="4462"/>
  <c r="W23" i="4462"/>
  <c r="X23" i="4462"/>
  <c r="Y23" i="4462"/>
  <c r="Z23" i="4462"/>
  <c r="AA23" i="4462"/>
  <c r="AB23" i="4462"/>
  <c r="AC23" i="4462"/>
  <c r="AD23" i="4462"/>
  <c r="AE23" i="4462"/>
  <c r="AF23" i="4462"/>
  <c r="AG23" i="4462"/>
  <c r="AH23" i="4462"/>
  <c r="AI23" i="4462"/>
  <c r="AJ23" i="4462"/>
  <c r="AK23" i="4462"/>
  <c r="AL23" i="4462"/>
  <c r="AM23" i="4462"/>
  <c r="AN23" i="4462"/>
  <c r="AO23" i="4462"/>
  <c r="AP23" i="4462"/>
  <c r="AQ23" i="4462"/>
  <c r="AR23" i="4462"/>
  <c r="AS23" i="4462"/>
  <c r="AT23" i="4462"/>
  <c r="AU23" i="4462"/>
  <c r="AV23" i="4462"/>
  <c r="AW23" i="4462"/>
  <c r="AX23" i="4462"/>
  <c r="AY23" i="4462"/>
  <c r="AZ23" i="4462"/>
  <c r="BA23" i="4462"/>
  <c r="BB23" i="4462"/>
  <c r="BC23" i="4462"/>
  <c r="BD23" i="4462"/>
  <c r="A24" i="4462"/>
  <c r="B24" i="4462"/>
  <c r="C24" i="4462"/>
  <c r="D24" i="4462"/>
  <c r="E24" i="4462"/>
  <c r="F24" i="4462"/>
  <c r="G24" i="4462"/>
  <c r="H24" i="4462"/>
  <c r="I24" i="4462"/>
  <c r="J24" i="4462"/>
  <c r="K24" i="4462"/>
  <c r="L24" i="4462"/>
  <c r="M24" i="4462"/>
  <c r="N24" i="4462"/>
  <c r="O24" i="4462"/>
  <c r="P24" i="4462"/>
  <c r="Q24" i="4462"/>
  <c r="R24" i="4462"/>
  <c r="S24" i="4462"/>
  <c r="T24" i="4462"/>
  <c r="U24" i="4462"/>
  <c r="V24" i="4462"/>
  <c r="W24" i="4462"/>
  <c r="X24" i="4462"/>
  <c r="Y24" i="4462"/>
  <c r="Z24" i="4462"/>
  <c r="AA24" i="4462"/>
  <c r="AB24" i="4462"/>
  <c r="AC24" i="4462"/>
  <c r="AD24" i="4462"/>
  <c r="AE24" i="4462"/>
  <c r="AF24" i="4462"/>
  <c r="AG24" i="4462"/>
  <c r="AH24" i="4462"/>
  <c r="AI24" i="4462"/>
  <c r="AJ24" i="4462"/>
  <c r="AK24" i="4462"/>
  <c r="AL24" i="4462"/>
  <c r="AM24" i="4462"/>
  <c r="AN24" i="4462"/>
  <c r="AO24" i="4462"/>
  <c r="AP24" i="4462"/>
  <c r="AQ24" i="4462"/>
  <c r="AR24" i="4462"/>
  <c r="AS24" i="4462"/>
  <c r="AT24" i="4462"/>
  <c r="AU24" i="4462"/>
  <c r="AV24" i="4462"/>
  <c r="AW24" i="4462"/>
  <c r="AX24" i="4462"/>
  <c r="AY24" i="4462"/>
  <c r="AZ24" i="4462"/>
  <c r="BA24" i="4462"/>
  <c r="BB24" i="4462"/>
  <c r="BC24" i="4462"/>
  <c r="BD24" i="4462"/>
  <c r="A25" i="4462"/>
  <c r="B25" i="4462"/>
  <c r="C25" i="4462"/>
  <c r="D25" i="4462"/>
  <c r="E25" i="4462"/>
  <c r="F25" i="4462"/>
  <c r="G25" i="4462"/>
  <c r="H25" i="4462"/>
  <c r="I25" i="4462"/>
  <c r="J25" i="4462"/>
  <c r="K25" i="4462"/>
  <c r="L25" i="4462"/>
  <c r="M25" i="4462"/>
  <c r="N25" i="4462"/>
  <c r="O25" i="4462"/>
  <c r="P25" i="4462"/>
  <c r="Q25" i="4462"/>
  <c r="R25" i="4462"/>
  <c r="S25" i="4462"/>
  <c r="T25" i="4462"/>
  <c r="U25" i="4462"/>
  <c r="V25" i="4462"/>
  <c r="W25" i="4462"/>
  <c r="X25" i="4462"/>
  <c r="Y25" i="4462"/>
  <c r="Z25" i="4462"/>
  <c r="AA25" i="4462"/>
  <c r="AB25" i="4462"/>
  <c r="AC25" i="4462"/>
  <c r="AD25" i="4462"/>
  <c r="AE25" i="4462"/>
  <c r="AF25" i="4462"/>
  <c r="AG25" i="4462"/>
  <c r="AH25" i="4462"/>
  <c r="AI25" i="4462"/>
  <c r="AJ25" i="4462"/>
  <c r="AK25" i="4462"/>
  <c r="AL25" i="4462"/>
  <c r="AM25" i="4462"/>
  <c r="AN25" i="4462"/>
  <c r="AO25" i="4462"/>
  <c r="AP25" i="4462"/>
  <c r="AQ25" i="4462"/>
  <c r="AR25" i="4462"/>
  <c r="AS25" i="4462"/>
  <c r="AT25" i="4462"/>
  <c r="AU25" i="4462"/>
  <c r="AV25" i="4462"/>
  <c r="AW25" i="4462"/>
  <c r="AX25" i="4462"/>
  <c r="AY25" i="4462"/>
  <c r="AZ25" i="4462"/>
  <c r="BA25" i="4462"/>
  <c r="BB25" i="4462"/>
  <c r="BC25" i="4462"/>
  <c r="BD25" i="4462"/>
  <c r="A26" i="4462"/>
  <c r="B26" i="4462"/>
  <c r="C26" i="4462"/>
  <c r="D26" i="4462"/>
  <c r="E26" i="4462"/>
  <c r="F26" i="4462"/>
  <c r="G26" i="4462"/>
  <c r="H26" i="4462"/>
  <c r="I26" i="4462"/>
  <c r="J26" i="4462"/>
  <c r="K26" i="4462"/>
  <c r="L26" i="4462"/>
  <c r="M26" i="4462"/>
  <c r="N26" i="4462"/>
  <c r="O26" i="4462"/>
  <c r="P26" i="4462"/>
  <c r="Q26" i="4462"/>
  <c r="R26" i="4462"/>
  <c r="S26" i="4462"/>
  <c r="T26" i="4462"/>
  <c r="U26" i="4462"/>
  <c r="V26" i="4462"/>
  <c r="W26" i="4462"/>
  <c r="X26" i="4462"/>
  <c r="Y26" i="4462"/>
  <c r="Z26" i="4462"/>
  <c r="AA26" i="4462"/>
  <c r="AB26" i="4462"/>
  <c r="AC26" i="4462"/>
  <c r="AD26" i="4462"/>
  <c r="AE26" i="4462"/>
  <c r="AF26" i="4462"/>
  <c r="AG26" i="4462"/>
  <c r="AH26" i="4462"/>
  <c r="AI26" i="4462"/>
  <c r="AJ26" i="4462"/>
  <c r="AK26" i="4462"/>
  <c r="AL26" i="4462"/>
  <c r="AM26" i="4462"/>
  <c r="AN26" i="4462"/>
  <c r="AO26" i="4462"/>
  <c r="AP26" i="4462"/>
  <c r="AQ26" i="4462"/>
  <c r="AR26" i="4462"/>
  <c r="AS26" i="4462"/>
  <c r="AT26" i="4462"/>
  <c r="AU26" i="4462"/>
  <c r="AV26" i="4462"/>
  <c r="AW26" i="4462"/>
  <c r="AX26" i="4462"/>
  <c r="AY26" i="4462"/>
  <c r="AZ26" i="4462"/>
  <c r="BA26" i="4462"/>
  <c r="BB26" i="4462"/>
  <c r="BC26" i="4462"/>
  <c r="BD26" i="4462"/>
  <c r="A27" i="4462"/>
  <c r="B27" i="4462"/>
  <c r="C27" i="4462"/>
  <c r="D27" i="4462"/>
  <c r="E27" i="4462"/>
  <c r="F27" i="4462"/>
  <c r="G27" i="4462"/>
  <c r="H27" i="4462"/>
  <c r="I27" i="4462"/>
  <c r="J27" i="4462"/>
  <c r="K27" i="4462"/>
  <c r="L27" i="4462"/>
  <c r="M27" i="4462"/>
  <c r="N27" i="4462"/>
  <c r="O27" i="4462"/>
  <c r="P27" i="4462"/>
  <c r="Q27" i="4462"/>
  <c r="R27" i="4462"/>
  <c r="S27" i="4462"/>
  <c r="T27" i="4462"/>
  <c r="U27" i="4462"/>
  <c r="V27" i="4462"/>
  <c r="W27" i="4462"/>
  <c r="X27" i="4462"/>
  <c r="Y27" i="4462"/>
  <c r="Z27" i="4462"/>
  <c r="AA27" i="4462"/>
  <c r="AB27" i="4462"/>
  <c r="AC27" i="4462"/>
  <c r="AD27" i="4462"/>
  <c r="AE27" i="4462"/>
  <c r="AF27" i="4462"/>
  <c r="AG27" i="4462"/>
  <c r="AH27" i="4462"/>
  <c r="AI27" i="4462"/>
  <c r="AJ27" i="4462"/>
  <c r="AK27" i="4462"/>
  <c r="AL27" i="4462"/>
  <c r="AM27" i="4462"/>
  <c r="AN27" i="4462"/>
  <c r="AO27" i="4462"/>
  <c r="AP27" i="4462"/>
  <c r="AQ27" i="4462"/>
  <c r="AR27" i="4462"/>
  <c r="AS27" i="4462"/>
  <c r="AT27" i="4462"/>
  <c r="AU27" i="4462"/>
  <c r="AV27" i="4462"/>
  <c r="AW27" i="4462"/>
  <c r="AX27" i="4462"/>
  <c r="AY27" i="4462"/>
  <c r="AZ27" i="4462"/>
  <c r="BA27" i="4462"/>
  <c r="BB27" i="4462"/>
  <c r="BC27" i="4462"/>
  <c r="BD27" i="4462"/>
  <c r="A28" i="4462"/>
  <c r="B28" i="4462"/>
  <c r="C28" i="4462"/>
  <c r="D28" i="4462"/>
  <c r="E28" i="4462"/>
  <c r="F28" i="4462"/>
  <c r="G28" i="4462"/>
  <c r="H28" i="4462"/>
  <c r="I28" i="4462"/>
  <c r="J28" i="4462"/>
  <c r="K28" i="4462"/>
  <c r="L28" i="4462"/>
  <c r="M28" i="4462"/>
  <c r="N28" i="4462"/>
  <c r="O28" i="4462"/>
  <c r="P28" i="4462"/>
  <c r="Q28" i="4462"/>
  <c r="R28" i="4462"/>
  <c r="S28" i="4462"/>
  <c r="T28" i="4462"/>
  <c r="U28" i="4462"/>
  <c r="V28" i="4462"/>
  <c r="W28" i="4462"/>
  <c r="X28" i="4462"/>
  <c r="Y28" i="4462"/>
  <c r="Z28" i="4462"/>
  <c r="AA28" i="4462"/>
  <c r="AB28" i="4462"/>
  <c r="AC28" i="4462"/>
  <c r="AD28" i="4462"/>
  <c r="AE28" i="4462"/>
  <c r="AF28" i="4462"/>
  <c r="AG28" i="4462"/>
  <c r="AH28" i="4462"/>
  <c r="AI28" i="4462"/>
  <c r="AJ28" i="4462"/>
  <c r="AK28" i="4462"/>
  <c r="AL28" i="4462"/>
  <c r="AM28" i="4462"/>
  <c r="AN28" i="4462"/>
  <c r="AO28" i="4462"/>
  <c r="AP28" i="4462"/>
  <c r="AQ28" i="4462"/>
  <c r="AR28" i="4462"/>
  <c r="AS28" i="4462"/>
  <c r="AT28" i="4462"/>
  <c r="AU28" i="4462"/>
  <c r="AV28" i="4462"/>
  <c r="AW28" i="4462"/>
  <c r="AX28" i="4462"/>
  <c r="AY28" i="4462"/>
  <c r="AZ28" i="4462"/>
  <c r="BA28" i="4462"/>
  <c r="BB28" i="4462"/>
  <c r="BC28" i="4462"/>
  <c r="BD28" i="4462"/>
  <c r="A29" i="4462"/>
  <c r="B29" i="4462"/>
  <c r="C29" i="4462"/>
  <c r="D29" i="4462"/>
  <c r="E29" i="4462"/>
  <c r="F29" i="4462"/>
  <c r="G29" i="4462"/>
  <c r="H29" i="4462"/>
  <c r="I29" i="4462"/>
  <c r="J29" i="4462"/>
  <c r="K29" i="4462"/>
  <c r="L29" i="4462"/>
  <c r="M29" i="4462"/>
  <c r="N29" i="4462"/>
  <c r="O29" i="4462"/>
  <c r="P29" i="4462"/>
  <c r="Q29" i="4462"/>
  <c r="R29" i="4462"/>
  <c r="S29" i="4462"/>
  <c r="T29" i="4462"/>
  <c r="U29" i="4462"/>
  <c r="V29" i="4462"/>
  <c r="W29" i="4462"/>
  <c r="X29" i="4462"/>
  <c r="Y29" i="4462"/>
  <c r="Z29" i="4462"/>
  <c r="AA29" i="4462"/>
  <c r="AB29" i="4462"/>
  <c r="AC29" i="4462"/>
  <c r="AD29" i="4462"/>
  <c r="AE29" i="4462"/>
  <c r="AF29" i="4462"/>
  <c r="AG29" i="4462"/>
  <c r="AH29" i="4462"/>
  <c r="AI29" i="4462"/>
  <c r="AJ29" i="4462"/>
  <c r="AK29" i="4462"/>
  <c r="AL29" i="4462"/>
  <c r="AM29" i="4462"/>
  <c r="AN29" i="4462"/>
  <c r="AO29" i="4462"/>
  <c r="AP29" i="4462"/>
  <c r="AQ29" i="4462"/>
  <c r="AR29" i="4462"/>
  <c r="AS29" i="4462"/>
  <c r="AT29" i="4462"/>
  <c r="AU29" i="4462"/>
  <c r="AV29" i="4462"/>
  <c r="AW29" i="4462"/>
  <c r="AX29" i="4462"/>
  <c r="AY29" i="4462"/>
  <c r="AZ29" i="4462"/>
  <c r="BA29" i="4462"/>
  <c r="BB29" i="4462"/>
  <c r="BC29" i="4462"/>
  <c r="BD29" i="4462"/>
  <c r="A30" i="4462"/>
  <c r="B30" i="4462"/>
  <c r="C30" i="4462"/>
  <c r="D30" i="4462"/>
  <c r="E30" i="4462"/>
  <c r="F30" i="4462"/>
  <c r="G30" i="4462"/>
  <c r="H30" i="4462"/>
  <c r="I30" i="4462"/>
  <c r="J30" i="4462"/>
  <c r="K30" i="4462"/>
  <c r="L30" i="4462"/>
  <c r="M30" i="4462"/>
  <c r="N30" i="4462"/>
  <c r="O30" i="4462"/>
  <c r="P30" i="4462"/>
  <c r="Q30" i="4462"/>
  <c r="R30" i="4462"/>
  <c r="S30" i="4462"/>
  <c r="T30" i="4462"/>
  <c r="U30" i="4462"/>
  <c r="V30" i="4462"/>
  <c r="W30" i="4462"/>
  <c r="X30" i="4462"/>
  <c r="Y30" i="4462"/>
  <c r="Z30" i="4462"/>
  <c r="AA30" i="4462"/>
  <c r="AB30" i="4462"/>
  <c r="AC30" i="4462"/>
  <c r="AD30" i="4462"/>
  <c r="AE30" i="4462"/>
  <c r="AF30" i="4462"/>
  <c r="AG30" i="4462"/>
  <c r="AH30" i="4462"/>
  <c r="AI30" i="4462"/>
  <c r="AJ30" i="4462"/>
  <c r="AK30" i="4462"/>
  <c r="AL30" i="4462"/>
  <c r="AM30" i="4462"/>
  <c r="AN30" i="4462"/>
  <c r="AO30" i="4462"/>
  <c r="AP30" i="4462"/>
  <c r="AQ30" i="4462"/>
  <c r="AR30" i="4462"/>
  <c r="AS30" i="4462"/>
  <c r="AT30" i="4462"/>
  <c r="AU30" i="4462"/>
  <c r="AV30" i="4462"/>
  <c r="AW30" i="4462"/>
  <c r="AX30" i="4462"/>
  <c r="AY30" i="4462"/>
  <c r="AZ30" i="4462"/>
  <c r="BA30" i="4462"/>
  <c r="BB30" i="4462"/>
  <c r="BC30" i="4462"/>
  <c r="BD30" i="4462"/>
  <c r="A31" i="4462"/>
  <c r="B31" i="4462"/>
  <c r="C31" i="4462"/>
  <c r="D31" i="4462"/>
  <c r="E31" i="4462"/>
  <c r="F31" i="4462"/>
  <c r="G31" i="4462"/>
  <c r="H31" i="4462"/>
  <c r="I31" i="4462"/>
  <c r="J31" i="4462"/>
  <c r="K31" i="4462"/>
  <c r="L31" i="4462"/>
  <c r="M31" i="4462"/>
  <c r="N31" i="4462"/>
  <c r="O31" i="4462"/>
  <c r="P31" i="4462"/>
  <c r="Q31" i="4462"/>
  <c r="R31" i="4462"/>
  <c r="S31" i="4462"/>
  <c r="T31" i="4462"/>
  <c r="U31" i="4462"/>
  <c r="V31" i="4462"/>
  <c r="W31" i="4462"/>
  <c r="X31" i="4462"/>
  <c r="Y31" i="4462"/>
  <c r="Z31" i="4462"/>
  <c r="AA31" i="4462"/>
  <c r="AB31" i="4462"/>
  <c r="AC31" i="4462"/>
  <c r="AD31" i="4462"/>
  <c r="AE31" i="4462"/>
  <c r="AF31" i="4462"/>
  <c r="AG31" i="4462"/>
  <c r="AH31" i="4462"/>
  <c r="AI31" i="4462"/>
  <c r="AJ31" i="4462"/>
  <c r="AK31" i="4462"/>
  <c r="AL31" i="4462"/>
  <c r="AM31" i="4462"/>
  <c r="AN31" i="4462"/>
  <c r="AO31" i="4462"/>
  <c r="AP31" i="4462"/>
  <c r="AQ31" i="4462"/>
  <c r="AR31" i="4462"/>
  <c r="AS31" i="4462"/>
  <c r="AT31" i="4462"/>
  <c r="AU31" i="4462"/>
  <c r="AV31" i="4462"/>
  <c r="AW31" i="4462"/>
  <c r="AX31" i="4462"/>
  <c r="AY31" i="4462"/>
  <c r="AZ31" i="4462"/>
  <c r="BA31" i="4462"/>
  <c r="BB31" i="4462"/>
  <c r="BC31" i="4462"/>
  <c r="BD31" i="4462"/>
  <c r="A32" i="4462"/>
  <c r="B32" i="4462"/>
  <c r="C32" i="4462"/>
  <c r="D32" i="4462"/>
  <c r="E32" i="4462"/>
  <c r="F32" i="4462"/>
  <c r="G32" i="4462"/>
  <c r="H32" i="4462"/>
  <c r="I32" i="4462"/>
  <c r="J32" i="4462"/>
  <c r="K32" i="4462"/>
  <c r="L32" i="4462"/>
  <c r="M32" i="4462"/>
  <c r="N32" i="4462"/>
  <c r="O32" i="4462"/>
  <c r="P32" i="4462"/>
  <c r="Q32" i="4462"/>
  <c r="R32" i="4462"/>
  <c r="S32" i="4462"/>
  <c r="T32" i="4462"/>
  <c r="U32" i="4462"/>
  <c r="V32" i="4462"/>
  <c r="W32" i="4462"/>
  <c r="X32" i="4462"/>
  <c r="Y32" i="4462"/>
  <c r="Z32" i="4462"/>
  <c r="AA32" i="4462"/>
  <c r="AB32" i="4462"/>
  <c r="AC32" i="4462"/>
  <c r="AD32" i="4462"/>
  <c r="AE32" i="4462"/>
  <c r="AF32" i="4462"/>
  <c r="AG32" i="4462"/>
  <c r="AH32" i="4462"/>
  <c r="AI32" i="4462"/>
  <c r="AJ32" i="4462"/>
  <c r="AK32" i="4462"/>
  <c r="AL32" i="4462"/>
  <c r="AM32" i="4462"/>
  <c r="AN32" i="4462"/>
  <c r="AO32" i="4462"/>
  <c r="AP32" i="4462"/>
  <c r="AQ32" i="4462"/>
  <c r="AR32" i="4462"/>
  <c r="AS32" i="4462"/>
  <c r="AT32" i="4462"/>
  <c r="AU32" i="4462"/>
  <c r="AV32" i="4462"/>
  <c r="AW32" i="4462"/>
  <c r="AX32" i="4462"/>
  <c r="AY32" i="4462"/>
  <c r="AZ32" i="4462"/>
  <c r="BA32" i="4462"/>
  <c r="BB32" i="4462"/>
  <c r="BC32" i="4462"/>
  <c r="BD32" i="4462"/>
  <c r="A33" i="4462"/>
  <c r="B33" i="4462"/>
  <c r="C33" i="4462"/>
  <c r="D33" i="4462"/>
  <c r="E33" i="4462"/>
  <c r="F33" i="4462"/>
  <c r="G33" i="4462"/>
  <c r="H33" i="4462"/>
  <c r="I33" i="4462"/>
  <c r="J33" i="4462"/>
  <c r="K33" i="4462"/>
  <c r="L33" i="4462"/>
  <c r="M33" i="4462"/>
  <c r="N33" i="4462"/>
  <c r="O33" i="4462"/>
  <c r="P33" i="4462"/>
  <c r="Q33" i="4462"/>
  <c r="R33" i="4462"/>
  <c r="S33" i="4462"/>
  <c r="T33" i="4462"/>
  <c r="U33" i="4462"/>
  <c r="V33" i="4462"/>
  <c r="W33" i="4462"/>
  <c r="X33" i="4462"/>
  <c r="Y33" i="4462"/>
  <c r="Z33" i="4462"/>
  <c r="AA33" i="4462"/>
  <c r="AB33" i="4462"/>
  <c r="AC33" i="4462"/>
  <c r="AD33" i="4462"/>
  <c r="AE33" i="4462"/>
  <c r="AF33" i="4462"/>
  <c r="AG33" i="4462"/>
  <c r="AH33" i="4462"/>
  <c r="AI33" i="4462"/>
  <c r="AJ33" i="4462"/>
  <c r="AK33" i="4462"/>
  <c r="AL33" i="4462"/>
  <c r="AM33" i="4462"/>
  <c r="AN33" i="4462"/>
  <c r="AO33" i="4462"/>
  <c r="AP33" i="4462"/>
  <c r="AQ33" i="4462"/>
  <c r="AR33" i="4462"/>
  <c r="AS33" i="4462"/>
  <c r="AT33" i="4462"/>
  <c r="AU33" i="4462"/>
  <c r="AV33" i="4462"/>
  <c r="AW33" i="4462"/>
  <c r="AX33" i="4462"/>
  <c r="AY33" i="4462"/>
  <c r="AZ33" i="4462"/>
  <c r="BA33" i="4462"/>
  <c r="BB33" i="4462"/>
  <c r="BC33" i="4462"/>
  <c r="BD33" i="4462"/>
  <c r="A34" i="4462"/>
  <c r="B34" i="4462"/>
  <c r="C34" i="4462"/>
  <c r="D34" i="4462"/>
  <c r="E34" i="4462"/>
  <c r="F34" i="4462"/>
  <c r="G34" i="4462"/>
  <c r="H34" i="4462"/>
  <c r="I34" i="4462"/>
  <c r="J34" i="4462"/>
  <c r="K34" i="4462"/>
  <c r="L34" i="4462"/>
  <c r="M34" i="4462"/>
  <c r="N34" i="4462"/>
  <c r="O34" i="4462"/>
  <c r="P34" i="4462"/>
  <c r="Q34" i="4462"/>
  <c r="R34" i="4462"/>
  <c r="S34" i="4462"/>
  <c r="T34" i="4462"/>
  <c r="U34" i="4462"/>
  <c r="V34" i="4462"/>
  <c r="W34" i="4462"/>
  <c r="X34" i="4462"/>
  <c r="Y34" i="4462"/>
  <c r="Z34" i="4462"/>
  <c r="AA34" i="4462"/>
  <c r="AB34" i="4462"/>
  <c r="AC34" i="4462"/>
  <c r="AD34" i="4462"/>
  <c r="AE34" i="4462"/>
  <c r="AF34" i="4462"/>
  <c r="AG34" i="4462"/>
  <c r="AH34" i="4462"/>
  <c r="AI34" i="4462"/>
  <c r="AJ34" i="4462"/>
  <c r="AK34" i="4462"/>
  <c r="AL34" i="4462"/>
  <c r="AM34" i="4462"/>
  <c r="AN34" i="4462"/>
  <c r="AO34" i="4462"/>
  <c r="AP34" i="4462"/>
  <c r="AQ34" i="4462"/>
  <c r="AR34" i="4462"/>
  <c r="AS34" i="4462"/>
  <c r="AT34" i="4462"/>
  <c r="AU34" i="4462"/>
  <c r="AV34" i="4462"/>
  <c r="AW34" i="4462"/>
  <c r="AX34" i="4462"/>
  <c r="AY34" i="4462"/>
  <c r="AZ34" i="4462"/>
  <c r="BA34" i="4462"/>
  <c r="BB34" i="4462"/>
  <c r="BC34" i="4462"/>
  <c r="BD34" i="4462"/>
  <c r="A35" i="4462"/>
  <c r="B35" i="4462"/>
  <c r="C35" i="4462"/>
  <c r="D35" i="4462"/>
  <c r="E35" i="4462"/>
  <c r="F35" i="4462"/>
  <c r="G35" i="4462"/>
  <c r="H35" i="4462"/>
  <c r="I35" i="4462"/>
  <c r="J35" i="4462"/>
  <c r="K35" i="4462"/>
  <c r="L35" i="4462"/>
  <c r="M35" i="4462"/>
  <c r="N35" i="4462"/>
  <c r="O35" i="4462"/>
  <c r="P35" i="4462"/>
  <c r="Q35" i="4462"/>
  <c r="R35" i="4462"/>
  <c r="S35" i="4462"/>
  <c r="T35" i="4462"/>
  <c r="U35" i="4462"/>
  <c r="V35" i="4462"/>
  <c r="W35" i="4462"/>
  <c r="X35" i="4462"/>
  <c r="Y35" i="4462"/>
  <c r="Z35" i="4462"/>
  <c r="AA35" i="4462"/>
  <c r="AB35" i="4462"/>
  <c r="AC35" i="4462"/>
  <c r="AD35" i="4462"/>
  <c r="AE35" i="4462"/>
  <c r="AF35" i="4462"/>
  <c r="AG35" i="4462"/>
  <c r="AH35" i="4462"/>
  <c r="AI35" i="4462"/>
  <c r="AJ35" i="4462"/>
  <c r="AK35" i="4462"/>
  <c r="AL35" i="4462"/>
  <c r="AM35" i="4462"/>
  <c r="AN35" i="4462"/>
  <c r="AO35" i="4462"/>
  <c r="AP35" i="4462"/>
  <c r="AQ35" i="4462"/>
  <c r="AR35" i="4462"/>
  <c r="AS35" i="4462"/>
  <c r="AT35" i="4462"/>
  <c r="AU35" i="4462"/>
  <c r="AV35" i="4462"/>
  <c r="AW35" i="4462"/>
  <c r="AX35" i="4462"/>
  <c r="AY35" i="4462"/>
  <c r="AZ35" i="4462"/>
  <c r="BA35" i="4462"/>
  <c r="BB35" i="4462"/>
  <c r="BC35" i="4462"/>
  <c r="BD35" i="4462"/>
  <c r="A36" i="4462"/>
  <c r="B36" i="4462"/>
  <c r="C36" i="4462"/>
  <c r="D36" i="4462"/>
  <c r="E36" i="4462"/>
  <c r="F36" i="4462"/>
  <c r="G36" i="4462"/>
  <c r="H36" i="4462"/>
  <c r="I36" i="4462"/>
  <c r="J36" i="4462"/>
  <c r="K36" i="4462"/>
  <c r="L36" i="4462"/>
  <c r="M36" i="4462"/>
  <c r="N36" i="4462"/>
  <c r="O36" i="4462"/>
  <c r="P36" i="4462"/>
  <c r="Q36" i="4462"/>
  <c r="R36" i="4462"/>
  <c r="S36" i="4462"/>
  <c r="T36" i="4462"/>
  <c r="U36" i="4462"/>
  <c r="V36" i="4462"/>
  <c r="W36" i="4462"/>
  <c r="X36" i="4462"/>
  <c r="Y36" i="4462"/>
  <c r="Z36" i="4462"/>
  <c r="AA36" i="4462"/>
  <c r="AB36" i="4462"/>
  <c r="AC36" i="4462"/>
  <c r="AD36" i="4462"/>
  <c r="AE36" i="4462"/>
  <c r="AF36" i="4462"/>
  <c r="AG36" i="4462"/>
  <c r="AH36" i="4462"/>
  <c r="AI36" i="4462"/>
  <c r="AJ36" i="4462"/>
  <c r="AK36" i="4462"/>
  <c r="AL36" i="4462"/>
  <c r="AM36" i="4462"/>
  <c r="AN36" i="4462"/>
  <c r="AO36" i="4462"/>
  <c r="AP36" i="4462"/>
  <c r="AQ36" i="4462"/>
  <c r="AR36" i="4462"/>
  <c r="AS36" i="4462"/>
  <c r="AT36" i="4462"/>
  <c r="AU36" i="4462"/>
  <c r="AV36" i="4462"/>
  <c r="AW36" i="4462"/>
  <c r="AX36" i="4462"/>
  <c r="AY36" i="4462"/>
  <c r="AZ36" i="4462"/>
  <c r="BA36" i="4462"/>
  <c r="BB36" i="4462"/>
  <c r="BC36" i="4462"/>
  <c r="BD36" i="4462"/>
  <c r="A37" i="4462"/>
  <c r="B37" i="4462"/>
  <c r="C37" i="4462"/>
  <c r="D37" i="4462"/>
  <c r="E37" i="4462"/>
  <c r="F37" i="4462"/>
  <c r="G37" i="4462"/>
  <c r="H37" i="4462"/>
  <c r="I37" i="4462"/>
  <c r="J37" i="4462"/>
  <c r="K37" i="4462"/>
  <c r="L37" i="4462"/>
  <c r="M37" i="4462"/>
  <c r="N37" i="4462"/>
  <c r="O37" i="4462"/>
  <c r="P37" i="4462"/>
  <c r="Q37" i="4462"/>
  <c r="R37" i="4462"/>
  <c r="S37" i="4462"/>
  <c r="T37" i="4462"/>
  <c r="U37" i="4462"/>
  <c r="V37" i="4462"/>
  <c r="W37" i="4462"/>
  <c r="X37" i="4462"/>
  <c r="Y37" i="4462"/>
  <c r="Z37" i="4462"/>
  <c r="AA37" i="4462"/>
  <c r="AB37" i="4462"/>
  <c r="AC37" i="4462"/>
  <c r="AD37" i="4462"/>
  <c r="AE37" i="4462"/>
  <c r="AF37" i="4462"/>
  <c r="AG37" i="4462"/>
  <c r="AH37" i="4462"/>
  <c r="AI37" i="4462"/>
  <c r="AJ37" i="4462"/>
  <c r="AK37" i="4462"/>
  <c r="AL37" i="4462"/>
  <c r="AM37" i="4462"/>
  <c r="AN37" i="4462"/>
  <c r="AO37" i="4462"/>
  <c r="AP37" i="4462"/>
  <c r="AQ37" i="4462"/>
  <c r="AR37" i="4462"/>
  <c r="AS37" i="4462"/>
  <c r="AT37" i="4462"/>
  <c r="AU37" i="4462"/>
  <c r="AV37" i="4462"/>
  <c r="AW37" i="4462"/>
  <c r="AX37" i="4462"/>
  <c r="AY37" i="4462"/>
  <c r="AZ37" i="4462"/>
  <c r="BA37" i="4462"/>
  <c r="BB37" i="4462"/>
  <c r="BC37" i="4462"/>
  <c r="BD37" i="4462"/>
  <c r="A38" i="4462"/>
  <c r="B38" i="4462"/>
  <c r="C38" i="4462"/>
  <c r="D38" i="4462"/>
  <c r="E38" i="4462"/>
  <c r="F38" i="4462"/>
  <c r="G38" i="4462"/>
  <c r="H38" i="4462"/>
  <c r="I38" i="4462"/>
  <c r="J38" i="4462"/>
  <c r="K38" i="4462"/>
  <c r="L38" i="4462"/>
  <c r="M38" i="4462"/>
  <c r="N38" i="4462"/>
  <c r="O38" i="4462"/>
  <c r="P38" i="4462"/>
  <c r="Q38" i="4462"/>
  <c r="R38" i="4462"/>
  <c r="S38" i="4462"/>
  <c r="T38" i="4462"/>
  <c r="U38" i="4462"/>
  <c r="V38" i="4462"/>
  <c r="W38" i="4462"/>
  <c r="X38" i="4462"/>
  <c r="Y38" i="4462"/>
  <c r="Z38" i="4462"/>
  <c r="AA38" i="4462"/>
  <c r="AB38" i="4462"/>
  <c r="AC38" i="4462"/>
  <c r="AD38" i="4462"/>
  <c r="AE38" i="4462"/>
  <c r="AF38" i="4462"/>
  <c r="AG38" i="4462"/>
  <c r="AH38" i="4462"/>
  <c r="AI38" i="4462"/>
  <c r="AJ38" i="4462"/>
  <c r="AK38" i="4462"/>
  <c r="AL38" i="4462"/>
  <c r="AM38" i="4462"/>
  <c r="AN38" i="4462"/>
  <c r="AO38" i="4462"/>
  <c r="AP38" i="4462"/>
  <c r="AQ38" i="4462"/>
  <c r="AR38" i="4462"/>
  <c r="AS38" i="4462"/>
  <c r="AT38" i="4462"/>
  <c r="AU38" i="4462"/>
  <c r="AV38" i="4462"/>
  <c r="AW38" i="4462"/>
  <c r="AX38" i="4462"/>
  <c r="AY38" i="4462"/>
  <c r="AZ38" i="4462"/>
  <c r="BA38" i="4462"/>
  <c r="BB38" i="4462"/>
  <c r="BC38" i="4462"/>
  <c r="BD38" i="4462"/>
  <c r="A39" i="4462"/>
  <c r="B39" i="4462"/>
  <c r="C39" i="4462"/>
  <c r="D39" i="4462"/>
  <c r="E39" i="4462"/>
  <c r="F39" i="4462"/>
  <c r="G39" i="4462"/>
  <c r="H39" i="4462"/>
  <c r="I39" i="4462"/>
  <c r="J39" i="4462"/>
  <c r="K39" i="4462"/>
  <c r="L39" i="4462"/>
  <c r="M39" i="4462"/>
  <c r="N39" i="4462"/>
  <c r="O39" i="4462"/>
  <c r="P39" i="4462"/>
  <c r="Q39" i="4462"/>
  <c r="R39" i="4462"/>
  <c r="S39" i="4462"/>
  <c r="T39" i="4462"/>
  <c r="U39" i="4462"/>
  <c r="V39" i="4462"/>
  <c r="W39" i="4462"/>
  <c r="X39" i="4462"/>
  <c r="Y39" i="4462"/>
  <c r="Z39" i="4462"/>
  <c r="AA39" i="4462"/>
  <c r="AB39" i="4462"/>
  <c r="AC39" i="4462"/>
  <c r="AD39" i="4462"/>
  <c r="AE39" i="4462"/>
  <c r="AF39" i="4462"/>
  <c r="AG39" i="4462"/>
  <c r="AH39" i="4462"/>
  <c r="AI39" i="4462"/>
  <c r="AJ39" i="4462"/>
  <c r="AK39" i="4462"/>
  <c r="AL39" i="4462"/>
  <c r="AM39" i="4462"/>
  <c r="AN39" i="4462"/>
  <c r="AO39" i="4462"/>
  <c r="AP39" i="4462"/>
  <c r="AQ39" i="4462"/>
  <c r="AR39" i="4462"/>
  <c r="AS39" i="4462"/>
  <c r="AT39" i="4462"/>
  <c r="AU39" i="4462"/>
  <c r="AV39" i="4462"/>
  <c r="AW39" i="4462"/>
  <c r="AX39" i="4462"/>
  <c r="AY39" i="4462"/>
  <c r="AZ39" i="4462"/>
  <c r="BA39" i="4462"/>
  <c r="BB39" i="4462"/>
  <c r="BC39" i="4462"/>
  <c r="BD39" i="4462"/>
  <c r="A40" i="4462"/>
  <c r="B40" i="4462"/>
  <c r="C40" i="4462"/>
  <c r="D40" i="4462"/>
  <c r="E40" i="4462"/>
  <c r="F40" i="4462"/>
  <c r="G40" i="4462"/>
  <c r="H40" i="4462"/>
  <c r="I40" i="4462"/>
  <c r="J40" i="4462"/>
  <c r="K40" i="4462"/>
  <c r="L40" i="4462"/>
  <c r="M40" i="4462"/>
  <c r="N40" i="4462"/>
  <c r="O40" i="4462"/>
  <c r="P40" i="4462"/>
  <c r="Q40" i="4462"/>
  <c r="R40" i="4462"/>
  <c r="S40" i="4462"/>
  <c r="T40" i="4462"/>
  <c r="U40" i="4462"/>
  <c r="V40" i="4462"/>
  <c r="W40" i="4462"/>
  <c r="X40" i="4462"/>
  <c r="Y40" i="4462"/>
  <c r="Z40" i="4462"/>
  <c r="AA40" i="4462"/>
  <c r="AB40" i="4462"/>
  <c r="AC40" i="4462"/>
  <c r="AD40" i="4462"/>
  <c r="AE40" i="4462"/>
  <c r="AF40" i="4462"/>
  <c r="AG40" i="4462"/>
  <c r="AH40" i="4462"/>
  <c r="AI40" i="4462"/>
  <c r="AJ40" i="4462"/>
  <c r="AK40" i="4462"/>
  <c r="AL40" i="4462"/>
  <c r="AM40" i="4462"/>
  <c r="AN40" i="4462"/>
  <c r="AO40" i="4462"/>
  <c r="AP40" i="4462"/>
  <c r="AQ40" i="4462"/>
  <c r="AR40" i="4462"/>
  <c r="AS40" i="4462"/>
  <c r="AT40" i="4462"/>
  <c r="AU40" i="4462"/>
  <c r="AV40" i="4462"/>
  <c r="AW40" i="4462"/>
  <c r="AX40" i="4462"/>
  <c r="AY40" i="4462"/>
  <c r="AZ40" i="4462"/>
  <c r="BA40" i="4462"/>
  <c r="BB40" i="4462"/>
  <c r="BC40" i="4462"/>
  <c r="BD40" i="4462"/>
  <c r="A41" i="4462"/>
  <c r="B41" i="4462"/>
  <c r="C41" i="4462"/>
  <c r="D41" i="4462"/>
  <c r="E41" i="4462"/>
  <c r="F41" i="4462"/>
  <c r="G41" i="4462"/>
  <c r="H41" i="4462"/>
  <c r="I41" i="4462"/>
  <c r="J41" i="4462"/>
  <c r="K41" i="4462"/>
  <c r="L41" i="4462"/>
  <c r="M41" i="4462"/>
  <c r="N41" i="4462"/>
  <c r="O41" i="4462"/>
  <c r="P41" i="4462"/>
  <c r="Q41" i="4462"/>
  <c r="R41" i="4462"/>
  <c r="S41" i="4462"/>
  <c r="T41" i="4462"/>
  <c r="U41" i="4462"/>
  <c r="V41" i="4462"/>
  <c r="W41" i="4462"/>
  <c r="X41" i="4462"/>
  <c r="Y41" i="4462"/>
  <c r="Z41" i="4462"/>
  <c r="AA41" i="4462"/>
  <c r="AB41" i="4462"/>
  <c r="AC41" i="4462"/>
  <c r="AD41" i="4462"/>
  <c r="AE41" i="4462"/>
  <c r="AF41" i="4462"/>
  <c r="AG41" i="4462"/>
  <c r="AH41" i="4462"/>
  <c r="AI41" i="4462"/>
  <c r="AJ41" i="4462"/>
  <c r="AK41" i="4462"/>
  <c r="AL41" i="4462"/>
  <c r="AM41" i="4462"/>
  <c r="AN41" i="4462"/>
  <c r="AO41" i="4462"/>
  <c r="AP41" i="4462"/>
  <c r="AQ41" i="4462"/>
  <c r="AR41" i="4462"/>
  <c r="AS41" i="4462"/>
  <c r="AT41" i="4462"/>
  <c r="AU41" i="4462"/>
  <c r="AV41" i="4462"/>
  <c r="AW41" i="4462"/>
  <c r="AX41" i="4462"/>
  <c r="AY41" i="4462"/>
  <c r="AZ41" i="4462"/>
  <c r="BA41" i="4462"/>
  <c r="BB41" i="4462"/>
  <c r="BC41" i="4462"/>
  <c r="BD41" i="4462"/>
  <c r="A42" i="4462"/>
  <c r="B42" i="4462"/>
  <c r="C42" i="4462"/>
  <c r="D42" i="4462"/>
  <c r="E42" i="4462"/>
  <c r="F42" i="4462"/>
  <c r="G42" i="4462"/>
  <c r="H42" i="4462"/>
  <c r="I42" i="4462"/>
  <c r="J42" i="4462"/>
  <c r="K42" i="4462"/>
  <c r="L42" i="4462"/>
  <c r="M42" i="4462"/>
  <c r="N42" i="4462"/>
  <c r="O42" i="4462"/>
  <c r="P42" i="4462"/>
  <c r="Q42" i="4462"/>
  <c r="R42" i="4462"/>
  <c r="S42" i="4462"/>
  <c r="T42" i="4462"/>
  <c r="U42" i="4462"/>
  <c r="V42" i="4462"/>
  <c r="W42" i="4462"/>
  <c r="X42" i="4462"/>
  <c r="Y42" i="4462"/>
  <c r="Z42" i="4462"/>
  <c r="AA42" i="4462"/>
  <c r="AB42" i="4462"/>
  <c r="AC42" i="4462"/>
  <c r="AD42" i="4462"/>
  <c r="AE42" i="4462"/>
  <c r="AF42" i="4462"/>
  <c r="AG42" i="4462"/>
  <c r="AH42" i="4462"/>
  <c r="AI42" i="4462"/>
  <c r="AJ42" i="4462"/>
  <c r="AK42" i="4462"/>
  <c r="AL42" i="4462"/>
  <c r="AM42" i="4462"/>
  <c r="AN42" i="4462"/>
  <c r="AO42" i="4462"/>
  <c r="AP42" i="4462"/>
  <c r="AQ42" i="4462"/>
  <c r="AR42" i="4462"/>
  <c r="AS42" i="4462"/>
  <c r="AT42" i="4462"/>
  <c r="AU42" i="4462"/>
  <c r="AV42" i="4462"/>
  <c r="AW42" i="4462"/>
  <c r="AX42" i="4462"/>
  <c r="AY42" i="4462"/>
  <c r="AZ42" i="4462"/>
  <c r="BA42" i="4462"/>
  <c r="BB42" i="4462"/>
  <c r="BC42" i="4462"/>
  <c r="BD42" i="4462"/>
  <c r="A43" i="4462"/>
  <c r="B43" i="4462"/>
  <c r="C43" i="4462"/>
  <c r="D43" i="4462"/>
  <c r="E43" i="4462"/>
  <c r="F43" i="4462"/>
  <c r="G43" i="4462"/>
  <c r="H43" i="4462"/>
  <c r="I43" i="4462"/>
  <c r="J43" i="4462"/>
  <c r="K43" i="4462"/>
  <c r="L43" i="4462"/>
  <c r="M43" i="4462"/>
  <c r="N43" i="4462"/>
  <c r="O43" i="4462"/>
  <c r="P43" i="4462"/>
  <c r="Q43" i="4462"/>
  <c r="R43" i="4462"/>
  <c r="S43" i="4462"/>
  <c r="T43" i="4462"/>
  <c r="U43" i="4462"/>
  <c r="V43" i="4462"/>
  <c r="W43" i="4462"/>
  <c r="X43" i="4462"/>
  <c r="Y43" i="4462"/>
  <c r="Z43" i="4462"/>
  <c r="AA43" i="4462"/>
  <c r="AB43" i="4462"/>
  <c r="AC43" i="4462"/>
  <c r="AD43" i="4462"/>
  <c r="AE43" i="4462"/>
  <c r="AF43" i="4462"/>
  <c r="AG43" i="4462"/>
  <c r="AH43" i="4462"/>
  <c r="AI43" i="4462"/>
  <c r="AJ43" i="4462"/>
  <c r="AK43" i="4462"/>
  <c r="AL43" i="4462"/>
  <c r="AM43" i="4462"/>
  <c r="AN43" i="4462"/>
  <c r="AO43" i="4462"/>
  <c r="AP43" i="4462"/>
  <c r="AQ43" i="4462"/>
  <c r="AR43" i="4462"/>
  <c r="AS43" i="4462"/>
  <c r="AT43" i="4462"/>
  <c r="AU43" i="4462"/>
  <c r="AV43" i="4462"/>
  <c r="AW43" i="4462"/>
  <c r="AX43" i="4462"/>
  <c r="AY43" i="4462"/>
  <c r="AZ43" i="4462"/>
  <c r="BA43" i="4462"/>
  <c r="BB43" i="4462"/>
  <c r="BC43" i="4462"/>
  <c r="BD43" i="4462"/>
  <c r="A44" i="4462"/>
  <c r="B44" i="4462"/>
  <c r="C44" i="4462"/>
  <c r="D44" i="4462"/>
  <c r="E44" i="4462"/>
  <c r="F44" i="4462"/>
  <c r="G44" i="4462"/>
  <c r="H44" i="4462"/>
  <c r="I44" i="4462"/>
  <c r="J44" i="4462"/>
  <c r="K44" i="4462"/>
  <c r="L44" i="4462"/>
  <c r="M44" i="4462"/>
  <c r="N44" i="4462"/>
  <c r="O44" i="4462"/>
  <c r="P44" i="4462"/>
  <c r="Q44" i="4462"/>
  <c r="R44" i="4462"/>
  <c r="S44" i="4462"/>
  <c r="T44" i="4462"/>
  <c r="U44" i="4462"/>
  <c r="V44" i="4462"/>
  <c r="W44" i="4462"/>
  <c r="X44" i="4462"/>
  <c r="Y44" i="4462"/>
  <c r="Z44" i="4462"/>
  <c r="AA44" i="4462"/>
  <c r="AB44" i="4462"/>
  <c r="AC44" i="4462"/>
  <c r="AD44" i="4462"/>
  <c r="AE44" i="4462"/>
  <c r="AF44" i="4462"/>
  <c r="AG44" i="4462"/>
  <c r="AH44" i="4462"/>
  <c r="AI44" i="4462"/>
  <c r="AJ44" i="4462"/>
  <c r="AK44" i="4462"/>
  <c r="AL44" i="4462"/>
  <c r="AM44" i="4462"/>
  <c r="AN44" i="4462"/>
  <c r="AO44" i="4462"/>
  <c r="AP44" i="4462"/>
  <c r="AQ44" i="4462"/>
  <c r="AR44" i="4462"/>
  <c r="AS44" i="4462"/>
  <c r="AT44" i="4462"/>
  <c r="AU44" i="4462"/>
  <c r="AV44" i="4462"/>
  <c r="AW44" i="4462"/>
  <c r="AX44" i="4462"/>
  <c r="AY44" i="4462"/>
  <c r="AZ44" i="4462"/>
  <c r="BA44" i="4462"/>
  <c r="BB44" i="4462"/>
  <c r="BC44" i="4462"/>
  <c r="BD44" i="4462"/>
  <c r="A45" i="4462"/>
  <c r="B45" i="4462"/>
  <c r="C45" i="4462"/>
  <c r="D45" i="4462"/>
  <c r="E45" i="4462"/>
  <c r="F45" i="4462"/>
  <c r="G45" i="4462"/>
  <c r="H45" i="4462"/>
  <c r="I45" i="4462"/>
  <c r="J45" i="4462"/>
  <c r="K45" i="4462"/>
  <c r="L45" i="4462"/>
  <c r="M45" i="4462"/>
  <c r="N45" i="4462"/>
  <c r="O45" i="4462"/>
  <c r="P45" i="4462"/>
  <c r="Q45" i="4462"/>
  <c r="R45" i="4462"/>
  <c r="S45" i="4462"/>
  <c r="T45" i="4462"/>
  <c r="U45" i="4462"/>
  <c r="V45" i="4462"/>
  <c r="W45" i="4462"/>
  <c r="X45" i="4462"/>
  <c r="Y45" i="4462"/>
  <c r="Z45" i="4462"/>
  <c r="AA45" i="4462"/>
  <c r="AB45" i="4462"/>
  <c r="AC45" i="4462"/>
  <c r="AD45" i="4462"/>
  <c r="AE45" i="4462"/>
  <c r="AF45" i="4462"/>
  <c r="AG45" i="4462"/>
  <c r="AH45" i="4462"/>
  <c r="AI45" i="4462"/>
  <c r="AJ45" i="4462"/>
  <c r="AK45" i="4462"/>
  <c r="AL45" i="4462"/>
  <c r="AM45" i="4462"/>
  <c r="AN45" i="4462"/>
  <c r="AO45" i="4462"/>
  <c r="AP45" i="4462"/>
  <c r="AQ45" i="4462"/>
  <c r="AR45" i="4462"/>
  <c r="AS45" i="4462"/>
  <c r="AT45" i="4462"/>
  <c r="AU45" i="4462"/>
  <c r="AV45" i="4462"/>
  <c r="AW45" i="4462"/>
  <c r="AX45" i="4462"/>
  <c r="AY45" i="4462"/>
  <c r="AZ45" i="4462"/>
  <c r="BA45" i="4462"/>
  <c r="BB45" i="4462"/>
  <c r="BC45" i="4462"/>
  <c r="BD45" i="4462"/>
  <c r="A46" i="4462"/>
  <c r="B46" i="4462"/>
  <c r="C46" i="4462"/>
  <c r="D46" i="4462"/>
  <c r="E46" i="4462"/>
  <c r="F46" i="4462"/>
  <c r="G46" i="4462"/>
  <c r="H46" i="4462"/>
  <c r="I46" i="4462"/>
  <c r="J46" i="4462"/>
  <c r="K46" i="4462"/>
  <c r="L46" i="4462"/>
  <c r="M46" i="4462"/>
  <c r="N46" i="4462"/>
  <c r="O46" i="4462"/>
  <c r="P46" i="4462"/>
  <c r="Q46" i="4462"/>
  <c r="R46" i="4462"/>
  <c r="S46" i="4462"/>
  <c r="T46" i="4462"/>
  <c r="U46" i="4462"/>
  <c r="V46" i="4462"/>
  <c r="W46" i="4462"/>
  <c r="X46" i="4462"/>
  <c r="Y46" i="4462"/>
  <c r="Z46" i="4462"/>
  <c r="AA46" i="4462"/>
  <c r="AB46" i="4462"/>
  <c r="AC46" i="4462"/>
  <c r="AD46" i="4462"/>
  <c r="AE46" i="4462"/>
  <c r="AF46" i="4462"/>
  <c r="AG46" i="4462"/>
  <c r="AH46" i="4462"/>
  <c r="AI46" i="4462"/>
  <c r="AJ46" i="4462"/>
  <c r="AK46" i="4462"/>
  <c r="AL46" i="4462"/>
  <c r="AM46" i="4462"/>
  <c r="AN46" i="4462"/>
  <c r="AO46" i="4462"/>
  <c r="AP46" i="4462"/>
  <c r="AQ46" i="4462"/>
  <c r="AR46" i="4462"/>
  <c r="AS46" i="4462"/>
  <c r="AT46" i="4462"/>
  <c r="AU46" i="4462"/>
  <c r="AV46" i="4462"/>
  <c r="AW46" i="4462"/>
  <c r="AX46" i="4462"/>
  <c r="AY46" i="4462"/>
  <c r="AZ46" i="4462"/>
  <c r="BA46" i="4462"/>
  <c r="BB46" i="4462"/>
  <c r="BC46" i="4462"/>
  <c r="BD46" i="4462"/>
  <c r="A47" i="4462"/>
  <c r="B47" i="4462"/>
  <c r="C47" i="4462"/>
  <c r="D47" i="4462"/>
  <c r="E47" i="4462"/>
  <c r="F47" i="4462"/>
  <c r="G47" i="4462"/>
  <c r="H47" i="4462"/>
  <c r="I47" i="4462"/>
  <c r="J47" i="4462"/>
  <c r="K47" i="4462"/>
  <c r="L47" i="4462"/>
  <c r="M47" i="4462"/>
  <c r="N47" i="4462"/>
  <c r="O47" i="4462"/>
  <c r="P47" i="4462"/>
  <c r="Q47" i="4462"/>
  <c r="R47" i="4462"/>
  <c r="S47" i="4462"/>
  <c r="T47" i="4462"/>
  <c r="U47" i="4462"/>
  <c r="V47" i="4462"/>
  <c r="W47" i="4462"/>
  <c r="X47" i="4462"/>
  <c r="Y47" i="4462"/>
  <c r="Z47" i="4462"/>
  <c r="AA47" i="4462"/>
  <c r="AB47" i="4462"/>
  <c r="AC47" i="4462"/>
  <c r="AD47" i="4462"/>
  <c r="AE47" i="4462"/>
  <c r="AF47" i="4462"/>
  <c r="AG47" i="4462"/>
  <c r="AH47" i="4462"/>
  <c r="AI47" i="4462"/>
  <c r="AJ47" i="4462"/>
  <c r="AK47" i="4462"/>
  <c r="AL47" i="4462"/>
  <c r="AM47" i="4462"/>
  <c r="AN47" i="4462"/>
  <c r="AO47" i="4462"/>
  <c r="AP47" i="4462"/>
  <c r="AQ47" i="4462"/>
  <c r="AR47" i="4462"/>
  <c r="AS47" i="4462"/>
  <c r="AT47" i="4462"/>
  <c r="AU47" i="4462"/>
  <c r="AV47" i="4462"/>
  <c r="AW47" i="4462"/>
  <c r="AX47" i="4462"/>
  <c r="AY47" i="4462"/>
  <c r="AZ47" i="4462"/>
  <c r="BA47" i="4462"/>
  <c r="BB47" i="4462"/>
  <c r="BC47" i="4462"/>
  <c r="BD47" i="4462"/>
  <c r="A48" i="4462"/>
  <c r="B48" i="4462"/>
  <c r="C48" i="4462"/>
  <c r="D48" i="4462"/>
  <c r="E48" i="4462"/>
  <c r="F48" i="4462"/>
  <c r="G48" i="4462"/>
  <c r="H48" i="4462"/>
  <c r="I48" i="4462"/>
  <c r="J48" i="4462"/>
  <c r="K48" i="4462"/>
  <c r="L48" i="4462"/>
  <c r="M48" i="4462"/>
  <c r="N48" i="4462"/>
  <c r="O48" i="4462"/>
  <c r="P48" i="4462"/>
  <c r="Q48" i="4462"/>
  <c r="R48" i="4462"/>
  <c r="S48" i="4462"/>
  <c r="T48" i="4462"/>
  <c r="U48" i="4462"/>
  <c r="V48" i="4462"/>
  <c r="W48" i="4462"/>
  <c r="X48" i="4462"/>
  <c r="Y48" i="4462"/>
  <c r="Z48" i="4462"/>
  <c r="AA48" i="4462"/>
  <c r="AB48" i="4462"/>
  <c r="AC48" i="4462"/>
  <c r="AD48" i="4462"/>
  <c r="AE48" i="4462"/>
  <c r="AF48" i="4462"/>
  <c r="AG48" i="4462"/>
  <c r="AH48" i="4462"/>
  <c r="AI48" i="4462"/>
  <c r="AJ48" i="4462"/>
  <c r="AK48" i="4462"/>
  <c r="AL48" i="4462"/>
  <c r="AM48" i="4462"/>
  <c r="AN48" i="4462"/>
  <c r="AO48" i="4462"/>
  <c r="AP48" i="4462"/>
  <c r="AQ48" i="4462"/>
  <c r="AR48" i="4462"/>
  <c r="AS48" i="4462"/>
  <c r="AT48" i="4462"/>
  <c r="AU48" i="4462"/>
  <c r="AV48" i="4462"/>
  <c r="AW48" i="4462"/>
  <c r="AX48" i="4462"/>
  <c r="AY48" i="4462"/>
  <c r="AZ48" i="4462"/>
  <c r="BA48" i="4462"/>
  <c r="BB48" i="4462"/>
  <c r="BC48" i="4462"/>
  <c r="BD48" i="4462"/>
  <c r="A49" i="4462"/>
  <c r="B49" i="4462"/>
  <c r="C49" i="4462"/>
  <c r="D49" i="4462"/>
  <c r="E49" i="4462"/>
  <c r="F49" i="4462"/>
  <c r="G49" i="4462"/>
  <c r="H49" i="4462"/>
  <c r="I49" i="4462"/>
  <c r="J49" i="4462"/>
  <c r="K49" i="4462"/>
  <c r="L49" i="4462"/>
  <c r="M49" i="4462"/>
  <c r="N49" i="4462"/>
  <c r="O49" i="4462"/>
  <c r="P49" i="4462"/>
  <c r="Q49" i="4462"/>
  <c r="R49" i="4462"/>
  <c r="S49" i="4462"/>
  <c r="T49" i="4462"/>
  <c r="U49" i="4462"/>
  <c r="V49" i="4462"/>
  <c r="W49" i="4462"/>
  <c r="X49" i="4462"/>
  <c r="Y49" i="4462"/>
  <c r="Z49" i="4462"/>
  <c r="AA49" i="4462"/>
  <c r="AB49" i="4462"/>
  <c r="AC49" i="4462"/>
  <c r="AD49" i="4462"/>
  <c r="AE49" i="4462"/>
  <c r="AF49" i="4462"/>
  <c r="AG49" i="4462"/>
  <c r="AH49" i="4462"/>
  <c r="AI49" i="4462"/>
  <c r="AJ49" i="4462"/>
  <c r="AK49" i="4462"/>
  <c r="AL49" i="4462"/>
  <c r="AM49" i="4462"/>
  <c r="AN49" i="4462"/>
  <c r="AO49" i="4462"/>
  <c r="AP49" i="4462"/>
  <c r="AQ49" i="4462"/>
  <c r="AR49" i="4462"/>
  <c r="AS49" i="4462"/>
  <c r="AT49" i="4462"/>
  <c r="AU49" i="4462"/>
  <c r="AV49" i="4462"/>
  <c r="AW49" i="4462"/>
  <c r="AX49" i="4462"/>
  <c r="AY49" i="4462"/>
  <c r="AZ49" i="4462"/>
  <c r="BA49" i="4462"/>
  <c r="BB49" i="4462"/>
  <c r="BC49" i="4462"/>
  <c r="BD49" i="4462"/>
  <c r="A50" i="4462"/>
  <c r="B50" i="4462"/>
  <c r="C50" i="4462"/>
  <c r="D50" i="4462"/>
  <c r="E50" i="4462"/>
  <c r="F50" i="4462"/>
  <c r="G50" i="4462"/>
  <c r="H50" i="4462"/>
  <c r="I50" i="4462"/>
  <c r="J50" i="4462"/>
  <c r="K50" i="4462"/>
  <c r="L50" i="4462"/>
  <c r="M50" i="4462"/>
  <c r="N50" i="4462"/>
  <c r="O50" i="4462"/>
  <c r="P50" i="4462"/>
  <c r="Q50" i="4462"/>
  <c r="R50" i="4462"/>
  <c r="S50" i="4462"/>
  <c r="T50" i="4462"/>
  <c r="U50" i="4462"/>
  <c r="V50" i="4462"/>
  <c r="W50" i="4462"/>
  <c r="X50" i="4462"/>
  <c r="Y50" i="4462"/>
  <c r="Z50" i="4462"/>
  <c r="AA50" i="4462"/>
  <c r="AB50" i="4462"/>
  <c r="AC50" i="4462"/>
  <c r="AD50" i="4462"/>
  <c r="AE50" i="4462"/>
  <c r="AF50" i="4462"/>
  <c r="AG50" i="4462"/>
  <c r="AH50" i="4462"/>
  <c r="AI50" i="4462"/>
  <c r="AJ50" i="4462"/>
  <c r="AK50" i="4462"/>
  <c r="AL50" i="4462"/>
  <c r="AM50" i="4462"/>
  <c r="AN50" i="4462"/>
  <c r="AO50" i="4462"/>
  <c r="AP50" i="4462"/>
  <c r="AQ50" i="4462"/>
  <c r="AR50" i="4462"/>
  <c r="AS50" i="4462"/>
  <c r="AT50" i="4462"/>
  <c r="AU50" i="4462"/>
  <c r="AV50" i="4462"/>
  <c r="AW50" i="4462"/>
  <c r="AX50" i="4462"/>
  <c r="AY50" i="4462"/>
  <c r="AZ50" i="4462"/>
  <c r="BA50" i="4462"/>
  <c r="BB50" i="4462"/>
  <c r="BC50" i="4462"/>
  <c r="BD50" i="4462"/>
  <c r="A51" i="4462"/>
  <c r="B51" i="4462"/>
  <c r="C51" i="4462"/>
  <c r="D51" i="4462"/>
  <c r="E51" i="4462"/>
  <c r="F51" i="4462"/>
  <c r="G51" i="4462"/>
  <c r="H51" i="4462"/>
  <c r="I51" i="4462"/>
  <c r="J51" i="4462"/>
  <c r="K51" i="4462"/>
  <c r="L51" i="4462"/>
  <c r="M51" i="4462"/>
  <c r="N51" i="4462"/>
  <c r="O51" i="4462"/>
  <c r="P51" i="4462"/>
  <c r="Q51" i="4462"/>
  <c r="R51" i="4462"/>
  <c r="S51" i="4462"/>
  <c r="T51" i="4462"/>
  <c r="U51" i="4462"/>
  <c r="V51" i="4462"/>
  <c r="W51" i="4462"/>
  <c r="X51" i="4462"/>
  <c r="Y51" i="4462"/>
  <c r="Z51" i="4462"/>
  <c r="AA51" i="4462"/>
  <c r="AB51" i="4462"/>
  <c r="AC51" i="4462"/>
  <c r="AD51" i="4462"/>
  <c r="AE51" i="4462"/>
  <c r="AF51" i="4462"/>
  <c r="AG51" i="4462"/>
  <c r="AH51" i="4462"/>
  <c r="AI51" i="4462"/>
  <c r="AJ51" i="4462"/>
  <c r="AK51" i="4462"/>
  <c r="AL51" i="4462"/>
  <c r="AM51" i="4462"/>
  <c r="AN51" i="4462"/>
  <c r="AO51" i="4462"/>
  <c r="AP51" i="4462"/>
  <c r="AQ51" i="4462"/>
  <c r="AR51" i="4462"/>
  <c r="AS51" i="4462"/>
  <c r="AT51" i="4462"/>
  <c r="AU51" i="4462"/>
  <c r="AV51" i="4462"/>
  <c r="AW51" i="4462"/>
  <c r="AX51" i="4462"/>
  <c r="AY51" i="4462"/>
  <c r="AZ51" i="4462"/>
  <c r="BA51" i="4462"/>
  <c r="BB51" i="4462"/>
  <c r="BC51" i="4462"/>
  <c r="BD51" i="4462"/>
  <c r="A52" i="4462"/>
  <c r="B52" i="4462"/>
  <c r="C52" i="4462"/>
  <c r="D52" i="4462"/>
  <c r="E52" i="4462"/>
  <c r="F52" i="4462"/>
  <c r="G52" i="4462"/>
  <c r="H52" i="4462"/>
  <c r="I52" i="4462"/>
  <c r="J52" i="4462"/>
  <c r="K52" i="4462"/>
  <c r="L52" i="4462"/>
  <c r="M52" i="4462"/>
  <c r="N52" i="4462"/>
  <c r="O52" i="4462"/>
  <c r="P52" i="4462"/>
  <c r="Q52" i="4462"/>
  <c r="R52" i="4462"/>
  <c r="S52" i="4462"/>
  <c r="T52" i="4462"/>
  <c r="U52" i="4462"/>
  <c r="V52" i="4462"/>
  <c r="W52" i="4462"/>
  <c r="X52" i="4462"/>
  <c r="Y52" i="4462"/>
  <c r="Z52" i="4462"/>
  <c r="AA52" i="4462"/>
  <c r="AB52" i="4462"/>
  <c r="AC52" i="4462"/>
  <c r="AD52" i="4462"/>
  <c r="AE52" i="4462"/>
  <c r="AF52" i="4462"/>
  <c r="AG52" i="4462"/>
  <c r="AH52" i="4462"/>
  <c r="AI52" i="4462"/>
  <c r="AJ52" i="4462"/>
  <c r="AK52" i="4462"/>
  <c r="AL52" i="4462"/>
  <c r="AM52" i="4462"/>
  <c r="AN52" i="4462"/>
  <c r="AO52" i="4462"/>
  <c r="AP52" i="4462"/>
  <c r="AQ52" i="4462"/>
  <c r="AR52" i="4462"/>
  <c r="AS52" i="4462"/>
  <c r="AT52" i="4462"/>
  <c r="AU52" i="4462"/>
  <c r="AV52" i="4462"/>
  <c r="AW52" i="4462"/>
  <c r="AX52" i="4462"/>
  <c r="AY52" i="4462"/>
  <c r="AZ52" i="4462"/>
  <c r="BA52" i="4462"/>
  <c r="BB52" i="4462"/>
  <c r="BC52" i="4462"/>
  <c r="BD52" i="4462"/>
  <c r="A53" i="4462"/>
  <c r="B53" i="4462"/>
  <c r="C53" i="4462"/>
  <c r="D53" i="4462"/>
  <c r="E53" i="4462"/>
  <c r="F53" i="4462"/>
  <c r="G53" i="4462"/>
  <c r="H53" i="4462"/>
  <c r="I53" i="4462"/>
  <c r="J53" i="4462"/>
  <c r="K53" i="4462"/>
  <c r="L53" i="4462"/>
  <c r="M53" i="4462"/>
  <c r="N53" i="4462"/>
  <c r="O53" i="4462"/>
  <c r="P53" i="4462"/>
  <c r="Q53" i="4462"/>
  <c r="R53" i="4462"/>
  <c r="S53" i="4462"/>
  <c r="T53" i="4462"/>
  <c r="U53" i="4462"/>
  <c r="V53" i="4462"/>
  <c r="W53" i="4462"/>
  <c r="X53" i="4462"/>
  <c r="Y53" i="4462"/>
  <c r="Z53" i="4462"/>
  <c r="AA53" i="4462"/>
  <c r="AB53" i="4462"/>
  <c r="AC53" i="4462"/>
  <c r="AD53" i="4462"/>
  <c r="AE53" i="4462"/>
  <c r="AF53" i="4462"/>
  <c r="AG53" i="4462"/>
  <c r="AH53" i="4462"/>
  <c r="AI53" i="4462"/>
  <c r="AJ53" i="4462"/>
  <c r="AK53" i="4462"/>
  <c r="AL53" i="4462"/>
  <c r="AM53" i="4462"/>
  <c r="AN53" i="4462"/>
  <c r="AO53" i="4462"/>
  <c r="AP53" i="4462"/>
  <c r="AQ53" i="4462"/>
  <c r="AR53" i="4462"/>
  <c r="AS53" i="4462"/>
  <c r="AT53" i="4462"/>
  <c r="AU53" i="4462"/>
  <c r="AV53" i="4462"/>
  <c r="AW53" i="4462"/>
  <c r="AX53" i="4462"/>
  <c r="AY53" i="4462"/>
  <c r="AZ53" i="4462"/>
  <c r="BA53" i="4462"/>
  <c r="BB53" i="4462"/>
  <c r="BC53" i="4462"/>
  <c r="BD53" i="4462"/>
  <c r="A54" i="4462"/>
  <c r="B54" i="4462"/>
  <c r="C54" i="4462"/>
  <c r="D54" i="4462"/>
  <c r="E54" i="4462"/>
  <c r="F54" i="4462"/>
  <c r="G54" i="4462"/>
  <c r="H54" i="4462"/>
  <c r="I54" i="4462"/>
  <c r="J54" i="4462"/>
  <c r="K54" i="4462"/>
  <c r="L54" i="4462"/>
  <c r="M54" i="4462"/>
  <c r="N54" i="4462"/>
  <c r="O54" i="4462"/>
  <c r="P54" i="4462"/>
  <c r="Q54" i="4462"/>
  <c r="R54" i="4462"/>
  <c r="S54" i="4462"/>
  <c r="T54" i="4462"/>
  <c r="U54" i="4462"/>
  <c r="V54" i="4462"/>
  <c r="W54" i="4462"/>
  <c r="X54" i="4462"/>
  <c r="Y54" i="4462"/>
  <c r="Z54" i="4462"/>
  <c r="AA54" i="4462"/>
  <c r="AB54" i="4462"/>
  <c r="AC54" i="4462"/>
  <c r="AD54" i="4462"/>
  <c r="AE54" i="4462"/>
  <c r="AF54" i="4462"/>
  <c r="AG54" i="4462"/>
  <c r="AH54" i="4462"/>
  <c r="AI54" i="4462"/>
  <c r="AJ54" i="4462"/>
  <c r="AK54" i="4462"/>
  <c r="AL54" i="4462"/>
  <c r="AM54" i="4462"/>
  <c r="AN54" i="4462"/>
  <c r="AO54" i="4462"/>
  <c r="AP54" i="4462"/>
  <c r="AQ54" i="4462"/>
  <c r="AR54" i="4462"/>
  <c r="AS54" i="4462"/>
  <c r="AT54" i="4462"/>
  <c r="AU54" i="4462"/>
  <c r="AV54" i="4462"/>
  <c r="AW54" i="4462"/>
  <c r="AX54" i="4462"/>
  <c r="AY54" i="4462"/>
  <c r="AZ54" i="4462"/>
  <c r="BA54" i="4462"/>
  <c r="BB54" i="4462"/>
  <c r="BC54" i="4462"/>
  <c r="BD54" i="4462"/>
  <c r="A55" i="4462"/>
  <c r="B55" i="4462"/>
  <c r="C55" i="4462"/>
  <c r="D55" i="4462"/>
  <c r="E55" i="4462"/>
  <c r="F55" i="4462"/>
  <c r="G55" i="4462"/>
  <c r="H55" i="4462"/>
  <c r="I55" i="4462"/>
  <c r="J55" i="4462"/>
  <c r="K55" i="4462"/>
  <c r="L55" i="4462"/>
  <c r="M55" i="4462"/>
  <c r="N55" i="4462"/>
  <c r="O55" i="4462"/>
  <c r="P55" i="4462"/>
  <c r="Q55" i="4462"/>
  <c r="R55" i="4462"/>
  <c r="S55" i="4462"/>
  <c r="T55" i="4462"/>
  <c r="U55" i="4462"/>
  <c r="V55" i="4462"/>
  <c r="W55" i="4462"/>
  <c r="X55" i="4462"/>
  <c r="Y55" i="4462"/>
  <c r="Z55" i="4462"/>
  <c r="AA55" i="4462"/>
  <c r="AB55" i="4462"/>
  <c r="AC55" i="4462"/>
  <c r="AD55" i="4462"/>
  <c r="AE55" i="4462"/>
  <c r="AF55" i="4462"/>
  <c r="AG55" i="4462"/>
  <c r="AH55" i="4462"/>
  <c r="AI55" i="4462"/>
  <c r="AJ55" i="4462"/>
  <c r="AK55" i="4462"/>
  <c r="AL55" i="4462"/>
  <c r="AM55" i="4462"/>
  <c r="AN55" i="4462"/>
  <c r="AO55" i="4462"/>
  <c r="AP55" i="4462"/>
  <c r="AQ55" i="4462"/>
  <c r="AR55" i="4462"/>
  <c r="AS55" i="4462"/>
  <c r="AT55" i="4462"/>
  <c r="AU55" i="4462"/>
  <c r="AV55" i="4462"/>
  <c r="AW55" i="4462"/>
  <c r="AX55" i="4462"/>
  <c r="AY55" i="4462"/>
  <c r="AZ55" i="4462"/>
  <c r="BA55" i="4462"/>
  <c r="BB55" i="4462"/>
  <c r="BC55" i="4462"/>
  <c r="BD55" i="4462"/>
  <c r="A56" i="4462"/>
  <c r="B56" i="4462"/>
  <c r="C56" i="4462"/>
  <c r="D56" i="4462"/>
  <c r="E56" i="4462"/>
  <c r="F56" i="4462"/>
  <c r="G56" i="4462"/>
  <c r="H56" i="4462"/>
  <c r="I56" i="4462"/>
  <c r="J56" i="4462"/>
  <c r="K56" i="4462"/>
  <c r="L56" i="4462"/>
  <c r="M56" i="4462"/>
  <c r="N56" i="4462"/>
  <c r="O56" i="4462"/>
  <c r="P56" i="4462"/>
  <c r="Q56" i="4462"/>
  <c r="R56" i="4462"/>
  <c r="S56" i="4462"/>
  <c r="T56" i="4462"/>
  <c r="U56" i="4462"/>
  <c r="V56" i="4462"/>
  <c r="W56" i="4462"/>
  <c r="X56" i="4462"/>
  <c r="Y56" i="4462"/>
  <c r="Z56" i="4462"/>
  <c r="AA56" i="4462"/>
  <c r="AB56" i="4462"/>
  <c r="AC56" i="4462"/>
  <c r="AD56" i="4462"/>
  <c r="AE56" i="4462"/>
  <c r="AF56" i="4462"/>
  <c r="AG56" i="4462"/>
  <c r="AH56" i="4462"/>
  <c r="AI56" i="4462"/>
  <c r="AJ56" i="4462"/>
  <c r="AK56" i="4462"/>
  <c r="AL56" i="4462"/>
  <c r="AM56" i="4462"/>
  <c r="AN56" i="4462"/>
  <c r="AO56" i="4462"/>
  <c r="AP56" i="4462"/>
  <c r="AQ56" i="4462"/>
  <c r="AR56" i="4462"/>
  <c r="AS56" i="4462"/>
  <c r="AT56" i="4462"/>
  <c r="AU56" i="4462"/>
  <c r="AV56" i="4462"/>
  <c r="AW56" i="4462"/>
  <c r="AX56" i="4462"/>
  <c r="AY56" i="4462"/>
  <c r="AZ56" i="4462"/>
  <c r="BA56" i="4462"/>
  <c r="BB56" i="4462"/>
  <c r="BC56" i="4462"/>
  <c r="BD56" i="4462"/>
  <c r="A57" i="4462"/>
  <c r="B57" i="4462"/>
  <c r="C57" i="4462"/>
  <c r="D57" i="4462"/>
  <c r="E57" i="4462"/>
  <c r="F57" i="4462"/>
  <c r="G57" i="4462"/>
  <c r="H57" i="4462"/>
  <c r="I57" i="4462"/>
  <c r="J57" i="4462"/>
  <c r="K57" i="4462"/>
  <c r="L57" i="4462"/>
  <c r="M57" i="4462"/>
  <c r="N57" i="4462"/>
  <c r="O57" i="4462"/>
  <c r="P57" i="4462"/>
  <c r="Q57" i="4462"/>
  <c r="R57" i="4462"/>
  <c r="S57" i="4462"/>
  <c r="T57" i="4462"/>
  <c r="U57" i="4462"/>
  <c r="V57" i="4462"/>
  <c r="W57" i="4462"/>
  <c r="X57" i="4462"/>
  <c r="Y57" i="4462"/>
  <c r="Z57" i="4462"/>
  <c r="AA57" i="4462"/>
  <c r="AB57" i="4462"/>
  <c r="AC57" i="4462"/>
  <c r="AD57" i="4462"/>
  <c r="AE57" i="4462"/>
  <c r="AF57" i="4462"/>
  <c r="AG57" i="4462"/>
  <c r="AH57" i="4462"/>
  <c r="AI57" i="4462"/>
  <c r="AJ57" i="4462"/>
  <c r="AK57" i="4462"/>
  <c r="AL57" i="4462"/>
  <c r="AM57" i="4462"/>
  <c r="AN57" i="4462"/>
  <c r="AO57" i="4462"/>
  <c r="AP57" i="4462"/>
  <c r="AQ57" i="4462"/>
  <c r="AR57" i="4462"/>
  <c r="AS57" i="4462"/>
  <c r="AT57" i="4462"/>
  <c r="AU57" i="4462"/>
  <c r="AV57" i="4462"/>
  <c r="AW57" i="4462"/>
  <c r="AX57" i="4462"/>
  <c r="AY57" i="4462"/>
  <c r="AZ57" i="4462"/>
  <c r="BA57" i="4462"/>
  <c r="BB57" i="4462"/>
  <c r="BC57" i="4462"/>
  <c r="BD57" i="4462"/>
  <c r="A58" i="4462"/>
  <c r="B58" i="4462"/>
  <c r="C58" i="4462"/>
  <c r="D58" i="4462"/>
  <c r="E58" i="4462"/>
  <c r="F58" i="4462"/>
  <c r="G58" i="4462"/>
  <c r="H58" i="4462"/>
  <c r="I58" i="4462"/>
  <c r="J58" i="4462"/>
  <c r="K58" i="4462"/>
  <c r="L58" i="4462"/>
  <c r="M58" i="4462"/>
  <c r="N58" i="4462"/>
  <c r="O58" i="4462"/>
  <c r="P58" i="4462"/>
  <c r="Q58" i="4462"/>
  <c r="R58" i="4462"/>
  <c r="S58" i="4462"/>
  <c r="T58" i="4462"/>
  <c r="U58" i="4462"/>
  <c r="V58" i="4462"/>
  <c r="W58" i="4462"/>
  <c r="X58" i="4462"/>
  <c r="Y58" i="4462"/>
  <c r="Z58" i="4462"/>
  <c r="AA58" i="4462"/>
  <c r="AB58" i="4462"/>
  <c r="AC58" i="4462"/>
  <c r="AD58" i="4462"/>
  <c r="AE58" i="4462"/>
  <c r="AF58" i="4462"/>
  <c r="AG58" i="4462"/>
  <c r="AH58" i="4462"/>
  <c r="AI58" i="4462"/>
  <c r="AJ58" i="4462"/>
  <c r="AK58" i="4462"/>
  <c r="AL58" i="4462"/>
  <c r="AM58" i="4462"/>
  <c r="AN58" i="4462"/>
  <c r="AO58" i="4462"/>
  <c r="AP58" i="4462"/>
  <c r="AQ58" i="4462"/>
  <c r="AR58" i="4462"/>
  <c r="AS58" i="4462"/>
  <c r="AT58" i="4462"/>
  <c r="AU58" i="4462"/>
  <c r="AV58" i="4462"/>
  <c r="AW58" i="4462"/>
  <c r="AX58" i="4462"/>
  <c r="AY58" i="4462"/>
  <c r="AZ58" i="4462"/>
  <c r="BA58" i="4462"/>
  <c r="BB58" i="4462"/>
  <c r="BC58" i="4462"/>
  <c r="BD58" i="4462"/>
  <c r="A59" i="4462"/>
  <c r="B59" i="4462"/>
  <c r="C59" i="4462"/>
  <c r="D59" i="4462"/>
  <c r="E59" i="4462"/>
  <c r="F59" i="4462"/>
  <c r="G59" i="4462"/>
  <c r="H59" i="4462"/>
  <c r="I59" i="4462"/>
  <c r="J59" i="4462"/>
  <c r="K59" i="4462"/>
  <c r="L59" i="4462"/>
  <c r="M59" i="4462"/>
  <c r="N59" i="4462"/>
  <c r="O59" i="4462"/>
  <c r="P59" i="4462"/>
  <c r="Q59" i="4462"/>
  <c r="R59" i="4462"/>
  <c r="S59" i="4462"/>
  <c r="T59" i="4462"/>
  <c r="U59" i="4462"/>
  <c r="V59" i="4462"/>
  <c r="W59" i="4462"/>
  <c r="X59" i="4462"/>
  <c r="Y59" i="4462"/>
  <c r="Z59" i="4462"/>
  <c r="AA59" i="4462"/>
  <c r="AB59" i="4462"/>
  <c r="AC59" i="4462"/>
  <c r="AD59" i="4462"/>
  <c r="AE59" i="4462"/>
  <c r="AF59" i="4462"/>
  <c r="AG59" i="4462"/>
  <c r="AH59" i="4462"/>
  <c r="AI59" i="4462"/>
  <c r="AJ59" i="4462"/>
  <c r="AK59" i="4462"/>
  <c r="AL59" i="4462"/>
  <c r="AM59" i="4462"/>
  <c r="AN59" i="4462"/>
  <c r="AO59" i="4462"/>
  <c r="AP59" i="4462"/>
  <c r="AQ59" i="4462"/>
  <c r="AR59" i="4462"/>
  <c r="AS59" i="4462"/>
  <c r="AT59" i="4462"/>
  <c r="AU59" i="4462"/>
  <c r="AV59" i="4462"/>
  <c r="AW59" i="4462"/>
  <c r="AX59" i="4462"/>
  <c r="AY59" i="4462"/>
  <c r="AZ59" i="4462"/>
  <c r="BA59" i="4462"/>
  <c r="BB59" i="4462"/>
  <c r="BC59" i="4462"/>
  <c r="BD59" i="4462"/>
  <c r="A60" i="4462"/>
  <c r="B60" i="4462"/>
  <c r="C60" i="4462"/>
  <c r="D60" i="4462"/>
  <c r="E60" i="4462"/>
  <c r="F60" i="4462"/>
  <c r="G60" i="4462"/>
  <c r="H60" i="4462"/>
  <c r="I60" i="4462"/>
  <c r="J60" i="4462"/>
  <c r="K60" i="4462"/>
  <c r="L60" i="4462"/>
  <c r="M60" i="4462"/>
  <c r="N60" i="4462"/>
  <c r="O60" i="4462"/>
  <c r="P60" i="4462"/>
  <c r="Q60" i="4462"/>
  <c r="R60" i="4462"/>
  <c r="S60" i="4462"/>
  <c r="T60" i="4462"/>
  <c r="U60" i="4462"/>
  <c r="V60" i="4462"/>
  <c r="W60" i="4462"/>
  <c r="X60" i="4462"/>
  <c r="Y60" i="4462"/>
  <c r="Z60" i="4462"/>
  <c r="AA60" i="4462"/>
  <c r="AB60" i="4462"/>
  <c r="AC60" i="4462"/>
  <c r="AD60" i="4462"/>
  <c r="AE60" i="4462"/>
  <c r="AF60" i="4462"/>
  <c r="AG60" i="4462"/>
  <c r="AH60" i="4462"/>
  <c r="AI60" i="4462"/>
  <c r="AJ60" i="4462"/>
  <c r="AK60" i="4462"/>
  <c r="AL60" i="4462"/>
  <c r="AM60" i="4462"/>
  <c r="AN60" i="4462"/>
  <c r="AO60" i="4462"/>
  <c r="AP60" i="4462"/>
  <c r="AQ60" i="4462"/>
  <c r="AR60" i="4462"/>
  <c r="AS60" i="4462"/>
  <c r="AT60" i="4462"/>
  <c r="AU60" i="4462"/>
  <c r="AV60" i="4462"/>
  <c r="AW60" i="4462"/>
  <c r="AX60" i="4462"/>
  <c r="AY60" i="4462"/>
  <c r="AZ60" i="4462"/>
  <c r="BA60" i="4462"/>
  <c r="BB60" i="4462"/>
  <c r="BC60" i="4462"/>
  <c r="BD60" i="4462"/>
  <c r="A61" i="4462"/>
  <c r="B61" i="4462"/>
  <c r="C61" i="4462"/>
  <c r="D61" i="4462"/>
  <c r="E61" i="4462"/>
  <c r="F61" i="4462"/>
  <c r="G61" i="4462"/>
  <c r="H61" i="4462"/>
  <c r="I61" i="4462"/>
  <c r="J61" i="4462"/>
  <c r="K61" i="4462"/>
  <c r="L61" i="4462"/>
  <c r="M61" i="4462"/>
  <c r="N61" i="4462"/>
  <c r="O61" i="4462"/>
  <c r="P61" i="4462"/>
  <c r="Q61" i="4462"/>
  <c r="R61" i="4462"/>
  <c r="S61" i="4462"/>
  <c r="T61" i="4462"/>
  <c r="U61" i="4462"/>
  <c r="V61" i="4462"/>
  <c r="W61" i="4462"/>
  <c r="X61" i="4462"/>
  <c r="Y61" i="4462"/>
  <c r="Z61" i="4462"/>
  <c r="AA61" i="4462"/>
  <c r="AB61" i="4462"/>
  <c r="AC61" i="4462"/>
  <c r="AD61" i="4462"/>
  <c r="AE61" i="4462"/>
  <c r="AF61" i="4462"/>
  <c r="AG61" i="4462"/>
  <c r="AH61" i="4462"/>
  <c r="AI61" i="4462"/>
  <c r="AJ61" i="4462"/>
  <c r="AK61" i="4462"/>
  <c r="AL61" i="4462"/>
  <c r="AM61" i="4462"/>
  <c r="AN61" i="4462"/>
  <c r="AO61" i="4462"/>
  <c r="AP61" i="4462"/>
  <c r="AQ61" i="4462"/>
  <c r="AR61" i="4462"/>
  <c r="AS61" i="4462"/>
  <c r="AT61" i="4462"/>
  <c r="AU61" i="4462"/>
  <c r="AV61" i="4462"/>
  <c r="AW61" i="4462"/>
  <c r="AX61" i="4462"/>
  <c r="AY61" i="4462"/>
  <c r="AZ61" i="4462"/>
  <c r="BA61" i="4462"/>
  <c r="BB61" i="4462"/>
  <c r="BC61" i="4462"/>
  <c r="BD61" i="4462"/>
  <c r="A62" i="4462"/>
  <c r="B62" i="4462"/>
  <c r="C62" i="4462"/>
  <c r="D62" i="4462"/>
  <c r="E62" i="4462"/>
  <c r="F62" i="4462"/>
  <c r="G62" i="4462"/>
  <c r="H62" i="4462"/>
  <c r="I62" i="4462"/>
  <c r="J62" i="4462"/>
  <c r="K62" i="4462"/>
  <c r="L62" i="4462"/>
  <c r="M62" i="4462"/>
  <c r="N62" i="4462"/>
  <c r="O62" i="4462"/>
  <c r="P62" i="4462"/>
  <c r="Q62" i="4462"/>
  <c r="R62" i="4462"/>
  <c r="S62" i="4462"/>
  <c r="T62" i="4462"/>
  <c r="U62" i="4462"/>
  <c r="V62" i="4462"/>
  <c r="W62" i="4462"/>
  <c r="X62" i="4462"/>
  <c r="Y62" i="4462"/>
  <c r="Z62" i="4462"/>
  <c r="AA62" i="4462"/>
  <c r="AB62" i="4462"/>
  <c r="AC62" i="4462"/>
  <c r="AD62" i="4462"/>
  <c r="AE62" i="4462"/>
  <c r="AF62" i="4462"/>
  <c r="AG62" i="4462"/>
  <c r="AH62" i="4462"/>
  <c r="AI62" i="4462"/>
  <c r="AJ62" i="4462"/>
  <c r="AK62" i="4462"/>
  <c r="AL62" i="4462"/>
  <c r="AM62" i="4462"/>
  <c r="AN62" i="4462"/>
  <c r="AO62" i="4462"/>
  <c r="AP62" i="4462"/>
  <c r="AQ62" i="4462"/>
  <c r="AR62" i="4462"/>
  <c r="AS62" i="4462"/>
  <c r="AT62" i="4462"/>
  <c r="AU62" i="4462"/>
  <c r="AV62" i="4462"/>
  <c r="AW62" i="4462"/>
  <c r="AX62" i="4462"/>
  <c r="AY62" i="4462"/>
  <c r="AZ62" i="4462"/>
  <c r="BA62" i="4462"/>
  <c r="BB62" i="4462"/>
  <c r="BC62" i="4462"/>
  <c r="BD62" i="4462"/>
  <c r="A63" i="4462"/>
  <c r="B63" i="4462"/>
  <c r="C63" i="4462"/>
  <c r="D63" i="4462"/>
  <c r="E63" i="4462"/>
  <c r="F63" i="4462"/>
  <c r="G63" i="4462"/>
  <c r="H63" i="4462"/>
  <c r="I63" i="4462"/>
  <c r="J63" i="4462"/>
  <c r="K63" i="4462"/>
  <c r="L63" i="4462"/>
  <c r="M63" i="4462"/>
  <c r="N63" i="4462"/>
  <c r="O63" i="4462"/>
  <c r="P63" i="4462"/>
  <c r="Q63" i="4462"/>
  <c r="R63" i="4462"/>
  <c r="S63" i="4462"/>
  <c r="T63" i="4462"/>
  <c r="U63" i="4462"/>
  <c r="V63" i="4462"/>
  <c r="W63" i="4462"/>
  <c r="X63" i="4462"/>
  <c r="Y63" i="4462"/>
  <c r="Z63" i="4462"/>
  <c r="AA63" i="4462"/>
  <c r="AB63" i="4462"/>
  <c r="AC63" i="4462"/>
  <c r="AD63" i="4462"/>
  <c r="AE63" i="4462"/>
  <c r="AF63" i="4462"/>
  <c r="AG63" i="4462"/>
  <c r="AH63" i="4462"/>
  <c r="AI63" i="4462"/>
  <c r="AJ63" i="4462"/>
  <c r="AK63" i="4462"/>
  <c r="AL63" i="4462"/>
  <c r="AM63" i="4462"/>
  <c r="AN63" i="4462"/>
  <c r="AO63" i="4462"/>
  <c r="AP63" i="4462"/>
  <c r="AQ63" i="4462"/>
  <c r="AR63" i="4462"/>
  <c r="AS63" i="4462"/>
  <c r="AT63" i="4462"/>
  <c r="AU63" i="4462"/>
  <c r="AV63" i="4462"/>
  <c r="AW63" i="4462"/>
  <c r="AX63" i="4462"/>
  <c r="AY63" i="4462"/>
  <c r="AZ63" i="4462"/>
  <c r="BA63" i="4462"/>
  <c r="BB63" i="4462"/>
  <c r="BC63" i="4462"/>
  <c r="BD63" i="4462"/>
  <c r="A64" i="4462"/>
  <c r="B64" i="4462"/>
  <c r="C64" i="4462"/>
  <c r="D64" i="4462"/>
  <c r="E64" i="4462"/>
  <c r="F64" i="4462"/>
  <c r="G64" i="4462"/>
  <c r="H64" i="4462"/>
  <c r="I64" i="4462"/>
  <c r="J64" i="4462"/>
  <c r="K64" i="4462"/>
  <c r="L64" i="4462"/>
  <c r="M64" i="4462"/>
  <c r="N64" i="4462"/>
  <c r="O64" i="4462"/>
  <c r="P64" i="4462"/>
  <c r="Q64" i="4462"/>
  <c r="R64" i="4462"/>
  <c r="S64" i="4462"/>
  <c r="T64" i="4462"/>
  <c r="U64" i="4462"/>
  <c r="V64" i="4462"/>
  <c r="W64" i="4462"/>
  <c r="X64" i="4462"/>
  <c r="Y64" i="4462"/>
  <c r="Z64" i="4462"/>
  <c r="AA64" i="4462"/>
  <c r="AB64" i="4462"/>
  <c r="AC64" i="4462"/>
  <c r="AD64" i="4462"/>
  <c r="AE64" i="4462"/>
  <c r="AF64" i="4462"/>
  <c r="AG64" i="4462"/>
  <c r="AH64" i="4462"/>
  <c r="AI64" i="4462"/>
  <c r="AJ64" i="4462"/>
  <c r="AK64" i="4462"/>
  <c r="AL64" i="4462"/>
  <c r="AM64" i="4462"/>
  <c r="AN64" i="4462"/>
  <c r="AO64" i="4462"/>
  <c r="AP64" i="4462"/>
  <c r="AQ64" i="4462"/>
  <c r="AR64" i="4462"/>
  <c r="AS64" i="4462"/>
  <c r="AT64" i="4462"/>
  <c r="AU64" i="4462"/>
  <c r="AV64" i="4462"/>
  <c r="AW64" i="4462"/>
  <c r="AX64" i="4462"/>
  <c r="AY64" i="4462"/>
  <c r="AZ64" i="4462"/>
  <c r="BA64" i="4462"/>
  <c r="BB64" i="4462"/>
  <c r="BC64" i="4462"/>
  <c r="BD64" i="4462"/>
  <c r="A65" i="4462"/>
  <c r="B65" i="4462"/>
  <c r="C65" i="4462"/>
  <c r="D65" i="4462"/>
  <c r="E65" i="4462"/>
  <c r="F65" i="4462"/>
  <c r="G65" i="4462"/>
  <c r="H65" i="4462"/>
  <c r="I65" i="4462"/>
  <c r="J65" i="4462"/>
  <c r="K65" i="4462"/>
  <c r="L65" i="4462"/>
  <c r="M65" i="4462"/>
  <c r="N65" i="4462"/>
  <c r="O65" i="4462"/>
  <c r="P65" i="4462"/>
  <c r="Q65" i="4462"/>
  <c r="R65" i="4462"/>
  <c r="S65" i="4462"/>
  <c r="T65" i="4462"/>
  <c r="U65" i="4462"/>
  <c r="V65" i="4462"/>
  <c r="W65" i="4462"/>
  <c r="X65" i="4462"/>
  <c r="Y65" i="4462"/>
  <c r="Z65" i="4462"/>
  <c r="AA65" i="4462"/>
  <c r="AB65" i="4462"/>
  <c r="AC65" i="4462"/>
  <c r="AD65" i="4462"/>
  <c r="AE65" i="4462"/>
  <c r="AF65" i="4462"/>
  <c r="AG65" i="4462"/>
  <c r="AH65" i="4462"/>
  <c r="AI65" i="4462"/>
  <c r="AJ65" i="4462"/>
  <c r="AK65" i="4462"/>
  <c r="AL65" i="4462"/>
  <c r="AM65" i="4462"/>
  <c r="AN65" i="4462"/>
  <c r="AO65" i="4462"/>
  <c r="AP65" i="4462"/>
  <c r="AQ65" i="4462"/>
  <c r="AR65" i="4462"/>
  <c r="AS65" i="4462"/>
  <c r="AT65" i="4462"/>
  <c r="AU65" i="4462"/>
  <c r="AV65" i="4462"/>
  <c r="AW65" i="4462"/>
  <c r="AX65" i="4462"/>
  <c r="AY65" i="4462"/>
  <c r="AZ65" i="4462"/>
  <c r="BA65" i="4462"/>
  <c r="BB65" i="4462"/>
  <c r="BC65" i="4462"/>
  <c r="BD65" i="4462"/>
  <c r="A66" i="4462"/>
  <c r="B66" i="4462"/>
  <c r="C66" i="4462"/>
  <c r="D66" i="4462"/>
  <c r="E66" i="4462"/>
  <c r="F66" i="4462"/>
  <c r="G66" i="4462"/>
  <c r="H66" i="4462"/>
  <c r="I66" i="4462"/>
  <c r="J66" i="4462"/>
  <c r="K66" i="4462"/>
  <c r="L66" i="4462"/>
  <c r="M66" i="4462"/>
  <c r="N66" i="4462"/>
  <c r="O66" i="4462"/>
  <c r="P66" i="4462"/>
  <c r="Q66" i="4462"/>
  <c r="R66" i="4462"/>
  <c r="S66" i="4462"/>
  <c r="T66" i="4462"/>
  <c r="U66" i="4462"/>
  <c r="V66" i="4462"/>
  <c r="W66" i="4462"/>
  <c r="X66" i="4462"/>
  <c r="Y66" i="4462"/>
  <c r="Z66" i="4462"/>
  <c r="AA66" i="4462"/>
  <c r="AB66" i="4462"/>
  <c r="AC66" i="4462"/>
  <c r="AD66" i="4462"/>
  <c r="AE66" i="4462"/>
  <c r="AF66" i="4462"/>
  <c r="AG66" i="4462"/>
  <c r="AH66" i="4462"/>
  <c r="AI66" i="4462"/>
  <c r="AJ66" i="4462"/>
  <c r="AK66" i="4462"/>
  <c r="AL66" i="4462"/>
  <c r="AM66" i="4462"/>
  <c r="AN66" i="4462"/>
  <c r="AO66" i="4462"/>
  <c r="AP66" i="4462"/>
  <c r="AQ66" i="4462"/>
  <c r="AR66" i="4462"/>
  <c r="AS66" i="4462"/>
  <c r="AT66" i="4462"/>
  <c r="AU66" i="4462"/>
  <c r="AV66" i="4462"/>
  <c r="AW66" i="4462"/>
  <c r="AX66" i="4462"/>
  <c r="AY66" i="4462"/>
  <c r="AZ66" i="4462"/>
  <c r="BA66" i="4462"/>
  <c r="BB66" i="4462"/>
  <c r="BC66" i="4462"/>
  <c r="BD66" i="4462"/>
  <c r="A67" i="4462"/>
  <c r="B67" i="4462"/>
  <c r="C67" i="4462"/>
  <c r="D67" i="4462"/>
  <c r="E67" i="4462"/>
  <c r="F67" i="4462"/>
  <c r="G67" i="4462"/>
  <c r="H67" i="4462"/>
  <c r="I67" i="4462"/>
  <c r="J67" i="4462"/>
  <c r="K67" i="4462"/>
  <c r="L67" i="4462"/>
  <c r="M67" i="4462"/>
  <c r="N67" i="4462"/>
  <c r="O67" i="4462"/>
  <c r="P67" i="4462"/>
  <c r="Q67" i="4462"/>
  <c r="R67" i="4462"/>
  <c r="S67" i="4462"/>
  <c r="T67" i="4462"/>
  <c r="U67" i="4462"/>
  <c r="V67" i="4462"/>
  <c r="W67" i="4462"/>
  <c r="X67" i="4462"/>
  <c r="Y67" i="4462"/>
  <c r="Z67" i="4462"/>
  <c r="AA67" i="4462"/>
  <c r="AB67" i="4462"/>
  <c r="AC67" i="4462"/>
  <c r="AD67" i="4462"/>
  <c r="AE67" i="4462"/>
  <c r="AF67" i="4462"/>
  <c r="AG67" i="4462"/>
  <c r="AH67" i="4462"/>
  <c r="AI67" i="4462"/>
  <c r="AJ67" i="4462"/>
  <c r="AK67" i="4462"/>
  <c r="AL67" i="4462"/>
  <c r="AM67" i="4462"/>
  <c r="AN67" i="4462"/>
  <c r="AO67" i="4462"/>
  <c r="AP67" i="4462"/>
  <c r="AQ67" i="4462"/>
  <c r="AR67" i="4462"/>
  <c r="AS67" i="4462"/>
  <c r="AT67" i="4462"/>
  <c r="AU67" i="4462"/>
  <c r="AV67" i="4462"/>
  <c r="AW67" i="4462"/>
  <c r="AX67" i="4462"/>
  <c r="AY67" i="4462"/>
  <c r="AZ67" i="4462"/>
  <c r="BA67" i="4462"/>
  <c r="BB67" i="4462"/>
  <c r="BC67" i="4462"/>
  <c r="BD67" i="4462"/>
  <c r="A68" i="4462"/>
  <c r="B68" i="4462"/>
  <c r="C68" i="4462"/>
  <c r="D68" i="4462"/>
  <c r="E68" i="4462"/>
  <c r="F68" i="4462"/>
  <c r="G68" i="4462"/>
  <c r="H68" i="4462"/>
  <c r="I68" i="4462"/>
  <c r="J68" i="4462"/>
  <c r="K68" i="4462"/>
  <c r="L68" i="4462"/>
  <c r="M68" i="4462"/>
  <c r="N68" i="4462"/>
  <c r="O68" i="4462"/>
  <c r="P68" i="4462"/>
  <c r="Q68" i="4462"/>
  <c r="R68" i="4462"/>
  <c r="S68" i="4462"/>
  <c r="T68" i="4462"/>
  <c r="U68" i="4462"/>
  <c r="V68" i="4462"/>
  <c r="W68" i="4462"/>
  <c r="X68" i="4462"/>
  <c r="Y68" i="4462"/>
  <c r="Z68" i="4462"/>
  <c r="AA68" i="4462"/>
  <c r="AB68" i="4462"/>
  <c r="AC68" i="4462"/>
  <c r="AD68" i="4462"/>
  <c r="AE68" i="4462"/>
  <c r="AF68" i="4462"/>
  <c r="AG68" i="4462"/>
  <c r="AH68" i="4462"/>
  <c r="AI68" i="4462"/>
  <c r="AJ68" i="4462"/>
  <c r="AK68" i="4462"/>
  <c r="AL68" i="4462"/>
  <c r="AM68" i="4462"/>
  <c r="AN68" i="4462"/>
  <c r="AO68" i="4462"/>
  <c r="AP68" i="4462"/>
  <c r="AQ68" i="4462"/>
  <c r="AR68" i="4462"/>
  <c r="AS68" i="4462"/>
  <c r="AT68" i="4462"/>
  <c r="AU68" i="4462"/>
  <c r="AV68" i="4462"/>
  <c r="AW68" i="4462"/>
  <c r="AX68" i="4462"/>
  <c r="AY68" i="4462"/>
  <c r="AZ68" i="4462"/>
  <c r="BA68" i="4462"/>
  <c r="BB68" i="4462"/>
  <c r="BC68" i="4462"/>
  <c r="BD68" i="4462"/>
  <c r="A69" i="4462"/>
  <c r="B69" i="4462"/>
  <c r="C69" i="4462"/>
  <c r="D69" i="4462"/>
  <c r="E69" i="4462"/>
  <c r="F69" i="4462"/>
  <c r="G69" i="4462"/>
  <c r="H69" i="4462"/>
  <c r="I69" i="4462"/>
  <c r="J69" i="4462"/>
  <c r="K69" i="4462"/>
  <c r="L69" i="4462"/>
  <c r="M69" i="4462"/>
  <c r="N69" i="4462"/>
  <c r="O69" i="4462"/>
  <c r="P69" i="4462"/>
  <c r="Q69" i="4462"/>
  <c r="R69" i="4462"/>
  <c r="S69" i="4462"/>
  <c r="T69" i="4462"/>
  <c r="U69" i="4462"/>
  <c r="V69" i="4462"/>
  <c r="W69" i="4462"/>
  <c r="X69" i="4462"/>
  <c r="Y69" i="4462"/>
  <c r="Z69" i="4462"/>
  <c r="AA69" i="4462"/>
  <c r="AB69" i="4462"/>
  <c r="AC69" i="4462"/>
  <c r="AD69" i="4462"/>
  <c r="AE69" i="4462"/>
  <c r="AF69" i="4462"/>
  <c r="AG69" i="4462"/>
  <c r="AH69" i="4462"/>
  <c r="AI69" i="4462"/>
  <c r="AJ69" i="4462"/>
  <c r="AK69" i="4462"/>
  <c r="AL69" i="4462"/>
  <c r="AM69" i="4462"/>
  <c r="AN69" i="4462"/>
  <c r="AO69" i="4462"/>
  <c r="AP69" i="4462"/>
  <c r="AQ69" i="4462"/>
  <c r="AR69" i="4462"/>
  <c r="AS69" i="4462"/>
  <c r="AT69" i="4462"/>
  <c r="AU69" i="4462"/>
  <c r="AV69" i="4462"/>
  <c r="AW69" i="4462"/>
  <c r="AX69" i="4462"/>
  <c r="AY69" i="4462"/>
  <c r="AZ69" i="4462"/>
  <c r="BA69" i="4462"/>
  <c r="BB69" i="4462"/>
  <c r="BC69" i="4462"/>
  <c r="BD69" i="4462"/>
  <c r="A70" i="4462"/>
  <c r="B70" i="4462"/>
  <c r="C70" i="4462"/>
  <c r="D70" i="4462"/>
  <c r="E70" i="4462"/>
  <c r="F70" i="4462"/>
  <c r="G70" i="4462"/>
  <c r="H70" i="4462"/>
  <c r="I70" i="4462"/>
  <c r="J70" i="4462"/>
  <c r="K70" i="4462"/>
  <c r="L70" i="4462"/>
  <c r="M70" i="4462"/>
  <c r="N70" i="4462"/>
  <c r="O70" i="4462"/>
  <c r="P70" i="4462"/>
  <c r="Q70" i="4462"/>
  <c r="R70" i="4462"/>
  <c r="S70" i="4462"/>
  <c r="T70" i="4462"/>
  <c r="U70" i="4462"/>
  <c r="V70" i="4462"/>
  <c r="W70" i="4462"/>
  <c r="X70" i="4462"/>
  <c r="Y70" i="4462"/>
  <c r="Z70" i="4462"/>
  <c r="AA70" i="4462"/>
  <c r="AB70" i="4462"/>
  <c r="AC70" i="4462"/>
  <c r="AD70" i="4462"/>
  <c r="AE70" i="4462"/>
  <c r="AF70" i="4462"/>
  <c r="AG70" i="4462"/>
  <c r="AH70" i="4462"/>
  <c r="AI70" i="4462"/>
  <c r="AJ70" i="4462"/>
  <c r="AK70" i="4462"/>
  <c r="AL70" i="4462"/>
  <c r="AM70" i="4462"/>
  <c r="AN70" i="4462"/>
  <c r="AO70" i="4462"/>
  <c r="AP70" i="4462"/>
  <c r="AQ70" i="4462"/>
  <c r="AR70" i="4462"/>
  <c r="AS70" i="4462"/>
  <c r="AT70" i="4462"/>
  <c r="AU70" i="4462"/>
  <c r="AV70" i="4462"/>
  <c r="AW70" i="4462"/>
  <c r="AX70" i="4462"/>
  <c r="AY70" i="4462"/>
  <c r="AZ70" i="4462"/>
  <c r="BA70" i="4462"/>
  <c r="BB70" i="4462"/>
  <c r="BC70" i="4462"/>
  <c r="BD70" i="4462"/>
  <c r="A71" i="4462"/>
  <c r="B71" i="4462"/>
  <c r="C71" i="4462"/>
  <c r="D71" i="4462"/>
  <c r="E71" i="4462"/>
  <c r="F71" i="4462"/>
  <c r="G71" i="4462"/>
  <c r="H71" i="4462"/>
  <c r="I71" i="4462"/>
  <c r="J71" i="4462"/>
  <c r="K71" i="4462"/>
  <c r="L71" i="4462"/>
  <c r="M71" i="4462"/>
  <c r="N71" i="4462"/>
  <c r="O71" i="4462"/>
  <c r="P71" i="4462"/>
  <c r="Q71" i="4462"/>
  <c r="R71" i="4462"/>
  <c r="S71" i="4462"/>
  <c r="T71" i="4462"/>
  <c r="U71" i="4462"/>
  <c r="V71" i="4462"/>
  <c r="W71" i="4462"/>
  <c r="X71" i="4462"/>
  <c r="Y71" i="4462"/>
  <c r="Z71" i="4462"/>
  <c r="AA71" i="4462"/>
  <c r="AB71" i="4462"/>
  <c r="AC71" i="4462"/>
  <c r="AD71" i="4462"/>
  <c r="AE71" i="4462"/>
  <c r="AF71" i="4462"/>
  <c r="AG71" i="4462"/>
  <c r="AH71" i="4462"/>
  <c r="AI71" i="4462"/>
  <c r="AJ71" i="4462"/>
  <c r="AK71" i="4462"/>
  <c r="AL71" i="4462"/>
  <c r="AM71" i="4462"/>
  <c r="AN71" i="4462"/>
  <c r="AO71" i="4462"/>
  <c r="AP71" i="4462"/>
  <c r="AQ71" i="4462"/>
  <c r="AR71" i="4462"/>
  <c r="AS71" i="4462"/>
  <c r="AT71" i="4462"/>
  <c r="AU71" i="4462"/>
  <c r="AV71" i="4462"/>
  <c r="AW71" i="4462"/>
  <c r="AX71" i="4462"/>
  <c r="AY71" i="4462"/>
  <c r="AZ71" i="4462"/>
  <c r="BA71" i="4462"/>
  <c r="BB71" i="4462"/>
  <c r="BC71" i="4462"/>
  <c r="BD71" i="4462"/>
  <c r="A72" i="4462"/>
  <c r="B72" i="4462"/>
  <c r="C72" i="4462"/>
  <c r="D72" i="4462"/>
  <c r="E72" i="4462"/>
  <c r="F72" i="4462"/>
  <c r="G72" i="4462"/>
  <c r="H72" i="4462"/>
  <c r="I72" i="4462"/>
  <c r="J72" i="4462"/>
  <c r="K72" i="4462"/>
  <c r="L72" i="4462"/>
  <c r="M72" i="4462"/>
  <c r="N72" i="4462"/>
  <c r="O72" i="4462"/>
  <c r="P72" i="4462"/>
  <c r="Q72" i="4462"/>
  <c r="R72" i="4462"/>
  <c r="S72" i="4462"/>
  <c r="T72" i="4462"/>
  <c r="U72" i="4462"/>
  <c r="V72" i="4462"/>
  <c r="W72" i="4462"/>
  <c r="X72" i="4462"/>
  <c r="Y72" i="4462"/>
  <c r="Z72" i="4462"/>
  <c r="AA72" i="4462"/>
  <c r="AB72" i="4462"/>
  <c r="AC72" i="4462"/>
  <c r="AD72" i="4462"/>
  <c r="AE72" i="4462"/>
  <c r="AF72" i="4462"/>
  <c r="AG72" i="4462"/>
  <c r="AH72" i="4462"/>
  <c r="AI72" i="4462"/>
  <c r="AJ72" i="4462"/>
  <c r="AK72" i="4462"/>
  <c r="AL72" i="4462"/>
  <c r="AM72" i="4462"/>
  <c r="AN72" i="4462"/>
  <c r="AO72" i="4462"/>
  <c r="AP72" i="4462"/>
  <c r="AQ72" i="4462"/>
  <c r="AR72" i="4462"/>
  <c r="AS72" i="4462"/>
  <c r="AT72" i="4462"/>
  <c r="AU72" i="4462"/>
  <c r="AV72" i="4462"/>
  <c r="AW72" i="4462"/>
  <c r="AX72" i="4462"/>
  <c r="AY72" i="4462"/>
  <c r="AZ72" i="4462"/>
  <c r="BA72" i="4462"/>
  <c r="BB72" i="4462"/>
  <c r="BC72" i="4462"/>
  <c r="BD72" i="4462"/>
  <c r="A73" i="4462"/>
  <c r="B73" i="4462"/>
  <c r="C73" i="4462"/>
  <c r="D73" i="4462"/>
  <c r="E73" i="4462"/>
  <c r="F73" i="4462"/>
  <c r="G73" i="4462"/>
  <c r="H73" i="4462"/>
  <c r="I73" i="4462"/>
  <c r="J73" i="4462"/>
  <c r="K73" i="4462"/>
  <c r="L73" i="4462"/>
  <c r="M73" i="4462"/>
  <c r="N73" i="4462"/>
  <c r="O73" i="4462"/>
  <c r="P73" i="4462"/>
  <c r="Q73" i="4462"/>
  <c r="R73" i="4462"/>
  <c r="S73" i="4462"/>
  <c r="T73" i="4462"/>
  <c r="U73" i="4462"/>
  <c r="V73" i="4462"/>
  <c r="W73" i="4462"/>
  <c r="X73" i="4462"/>
  <c r="Y73" i="4462"/>
  <c r="Z73" i="4462"/>
  <c r="AA73" i="4462"/>
  <c r="AB73" i="4462"/>
  <c r="AC73" i="4462"/>
  <c r="AD73" i="4462"/>
  <c r="AE73" i="4462"/>
  <c r="AF73" i="4462"/>
  <c r="AG73" i="4462"/>
  <c r="AH73" i="4462"/>
  <c r="AI73" i="4462"/>
  <c r="AJ73" i="4462"/>
  <c r="AK73" i="4462"/>
  <c r="AL73" i="4462"/>
  <c r="AM73" i="4462"/>
  <c r="AN73" i="4462"/>
  <c r="AO73" i="4462"/>
  <c r="AP73" i="4462"/>
  <c r="AQ73" i="4462"/>
  <c r="AR73" i="4462"/>
  <c r="AS73" i="4462"/>
  <c r="AT73" i="4462"/>
  <c r="AU73" i="4462"/>
  <c r="AV73" i="4462"/>
  <c r="AW73" i="4462"/>
  <c r="AX73" i="4462"/>
  <c r="AY73" i="4462"/>
  <c r="AZ73" i="4462"/>
  <c r="BA73" i="4462"/>
  <c r="BB73" i="4462"/>
  <c r="BC73" i="4462"/>
  <c r="BD73" i="4462"/>
  <c r="A74" i="4462"/>
  <c r="B74" i="4462"/>
  <c r="C74" i="4462"/>
  <c r="D74" i="4462"/>
  <c r="E74" i="4462"/>
  <c r="F74" i="4462"/>
  <c r="G74" i="4462"/>
  <c r="H74" i="4462"/>
  <c r="I74" i="4462"/>
  <c r="J74" i="4462"/>
  <c r="K74" i="4462"/>
  <c r="L74" i="4462"/>
  <c r="M74" i="4462"/>
  <c r="N74" i="4462"/>
  <c r="O74" i="4462"/>
  <c r="P74" i="4462"/>
  <c r="Q74" i="4462"/>
  <c r="R74" i="4462"/>
  <c r="S74" i="4462"/>
  <c r="T74" i="4462"/>
  <c r="U74" i="4462"/>
  <c r="V74" i="4462"/>
  <c r="W74" i="4462"/>
  <c r="X74" i="4462"/>
  <c r="Y74" i="4462"/>
  <c r="Z74" i="4462"/>
  <c r="AA74" i="4462"/>
  <c r="AB74" i="4462"/>
  <c r="AC74" i="4462"/>
  <c r="AD74" i="4462"/>
  <c r="AE74" i="4462"/>
  <c r="AF74" i="4462"/>
  <c r="AG74" i="4462"/>
  <c r="AH74" i="4462"/>
  <c r="AI74" i="4462"/>
  <c r="AJ74" i="4462"/>
  <c r="AK74" i="4462"/>
  <c r="AL74" i="4462"/>
  <c r="AM74" i="4462"/>
  <c r="AN74" i="4462"/>
  <c r="AO74" i="4462"/>
  <c r="AP74" i="4462"/>
  <c r="AQ74" i="4462"/>
  <c r="AR74" i="4462"/>
  <c r="AS74" i="4462"/>
  <c r="AT74" i="4462"/>
  <c r="AU74" i="4462"/>
  <c r="AV74" i="4462"/>
  <c r="AW74" i="4462"/>
  <c r="AX74" i="4462"/>
  <c r="AY74" i="4462"/>
  <c r="AZ74" i="4462"/>
  <c r="BA74" i="4462"/>
  <c r="BB74" i="4462"/>
  <c r="BC74" i="4462"/>
  <c r="BD74" i="4462"/>
  <c r="A75" i="4462"/>
  <c r="B75" i="4462"/>
  <c r="C75" i="4462"/>
  <c r="D75" i="4462"/>
  <c r="E75" i="4462"/>
  <c r="F75" i="4462"/>
  <c r="G75" i="4462"/>
  <c r="H75" i="4462"/>
  <c r="I75" i="4462"/>
  <c r="J75" i="4462"/>
  <c r="K75" i="4462"/>
  <c r="L75" i="4462"/>
  <c r="M75" i="4462"/>
  <c r="N75" i="4462"/>
  <c r="O75" i="4462"/>
  <c r="P75" i="4462"/>
  <c r="Q75" i="4462"/>
  <c r="R75" i="4462"/>
  <c r="S75" i="4462"/>
  <c r="T75" i="4462"/>
  <c r="U75" i="4462"/>
  <c r="V75" i="4462"/>
  <c r="W75" i="4462"/>
  <c r="X75" i="4462"/>
  <c r="Y75" i="4462"/>
  <c r="Z75" i="4462"/>
  <c r="AA75" i="4462"/>
  <c r="AB75" i="4462"/>
  <c r="AC75" i="4462"/>
  <c r="AD75" i="4462"/>
  <c r="AE75" i="4462"/>
  <c r="AF75" i="4462"/>
  <c r="AG75" i="4462"/>
  <c r="AH75" i="4462"/>
  <c r="AI75" i="4462"/>
  <c r="AJ75" i="4462"/>
  <c r="AK75" i="4462"/>
  <c r="AL75" i="4462"/>
  <c r="AM75" i="4462"/>
  <c r="AN75" i="4462"/>
  <c r="AO75" i="4462"/>
  <c r="AP75" i="4462"/>
  <c r="AQ75" i="4462"/>
  <c r="AR75" i="4462"/>
  <c r="AS75" i="4462"/>
  <c r="AT75" i="4462"/>
  <c r="AU75" i="4462"/>
  <c r="AV75" i="4462"/>
  <c r="AW75" i="4462"/>
  <c r="AX75" i="4462"/>
  <c r="AY75" i="4462"/>
  <c r="AZ75" i="4462"/>
  <c r="BA75" i="4462"/>
  <c r="BB75" i="4462"/>
  <c r="BC75" i="4462"/>
  <c r="BD75" i="4462"/>
  <c r="A76" i="4462"/>
  <c r="B76" i="4462"/>
  <c r="C76" i="4462"/>
  <c r="D76" i="4462"/>
  <c r="E76" i="4462"/>
  <c r="F76" i="4462"/>
  <c r="G76" i="4462"/>
  <c r="H76" i="4462"/>
  <c r="I76" i="4462"/>
  <c r="J76" i="4462"/>
  <c r="K76" i="4462"/>
  <c r="L76" i="4462"/>
  <c r="M76" i="4462"/>
  <c r="N76" i="4462"/>
  <c r="O76" i="4462"/>
  <c r="P76" i="4462"/>
  <c r="Q76" i="4462"/>
  <c r="R76" i="4462"/>
  <c r="S76" i="4462"/>
  <c r="T76" i="4462"/>
  <c r="U76" i="4462"/>
  <c r="V76" i="4462"/>
  <c r="W76" i="4462"/>
  <c r="X76" i="4462"/>
  <c r="Y76" i="4462"/>
  <c r="Z76" i="4462"/>
  <c r="AA76" i="4462"/>
  <c r="AB76" i="4462"/>
  <c r="AC76" i="4462"/>
  <c r="AD76" i="4462"/>
  <c r="AE76" i="4462"/>
  <c r="AF76" i="4462"/>
  <c r="AG76" i="4462"/>
  <c r="AH76" i="4462"/>
  <c r="AI76" i="4462"/>
  <c r="AJ76" i="4462"/>
  <c r="AK76" i="4462"/>
  <c r="AL76" i="4462"/>
  <c r="AM76" i="4462"/>
  <c r="AN76" i="4462"/>
  <c r="AO76" i="4462"/>
  <c r="AP76" i="4462"/>
  <c r="AQ76" i="4462"/>
  <c r="AR76" i="4462"/>
  <c r="AS76" i="4462"/>
  <c r="AT76" i="4462"/>
  <c r="AU76" i="4462"/>
  <c r="AV76" i="4462"/>
  <c r="AW76" i="4462"/>
  <c r="AX76" i="4462"/>
  <c r="AY76" i="4462"/>
  <c r="AZ76" i="4462"/>
  <c r="BA76" i="4462"/>
  <c r="BB76" i="4462"/>
  <c r="BC76" i="4462"/>
  <c r="BD76" i="4462"/>
  <c r="A77" i="4462"/>
  <c r="B77" i="4462"/>
  <c r="C77" i="4462"/>
  <c r="D77" i="4462"/>
  <c r="E77" i="4462"/>
  <c r="F77" i="4462"/>
  <c r="G77" i="4462"/>
  <c r="H77" i="4462"/>
  <c r="I77" i="4462"/>
  <c r="J77" i="4462"/>
  <c r="K77" i="4462"/>
  <c r="L77" i="4462"/>
  <c r="M77" i="4462"/>
  <c r="N77" i="4462"/>
  <c r="O77" i="4462"/>
  <c r="P77" i="4462"/>
  <c r="Q77" i="4462"/>
  <c r="R77" i="4462"/>
  <c r="S77" i="4462"/>
  <c r="T77" i="4462"/>
  <c r="U77" i="4462"/>
  <c r="V77" i="4462"/>
  <c r="W77" i="4462"/>
  <c r="X77" i="4462"/>
  <c r="Y77" i="4462"/>
  <c r="Z77" i="4462"/>
  <c r="AA77" i="4462"/>
  <c r="AB77" i="4462"/>
  <c r="AC77" i="4462"/>
  <c r="AD77" i="4462"/>
  <c r="AE77" i="4462"/>
  <c r="AF77" i="4462"/>
  <c r="AG77" i="4462"/>
  <c r="AH77" i="4462"/>
  <c r="AI77" i="4462"/>
  <c r="AJ77" i="4462"/>
  <c r="AK77" i="4462"/>
  <c r="AL77" i="4462"/>
  <c r="AM77" i="4462"/>
  <c r="AN77" i="4462"/>
  <c r="AO77" i="4462"/>
  <c r="AP77" i="4462"/>
  <c r="AQ77" i="4462"/>
  <c r="AR77" i="4462"/>
  <c r="AS77" i="4462"/>
  <c r="AT77" i="4462"/>
  <c r="AU77" i="4462"/>
  <c r="AV77" i="4462"/>
  <c r="AW77" i="4462"/>
  <c r="AX77" i="4462"/>
  <c r="AY77" i="4462"/>
  <c r="AZ77" i="4462"/>
  <c r="BA77" i="4462"/>
  <c r="BB77" i="4462"/>
  <c r="BC77" i="4462"/>
  <c r="BD77" i="4462"/>
  <c r="A78" i="4462"/>
  <c r="B78" i="4462"/>
  <c r="C78" i="4462"/>
  <c r="D78" i="4462"/>
  <c r="E78" i="4462"/>
  <c r="F78" i="4462"/>
  <c r="G78" i="4462"/>
  <c r="H78" i="4462"/>
  <c r="I78" i="4462"/>
  <c r="J78" i="4462"/>
  <c r="K78" i="4462"/>
  <c r="L78" i="4462"/>
  <c r="M78" i="4462"/>
  <c r="N78" i="4462"/>
  <c r="O78" i="4462"/>
  <c r="P78" i="4462"/>
  <c r="Q78" i="4462"/>
  <c r="R78" i="4462"/>
  <c r="S78" i="4462"/>
  <c r="T78" i="4462"/>
  <c r="U78" i="4462"/>
  <c r="V78" i="4462"/>
  <c r="W78" i="4462"/>
  <c r="X78" i="4462"/>
  <c r="Y78" i="4462"/>
  <c r="Z78" i="4462"/>
  <c r="AA78" i="4462"/>
  <c r="AB78" i="4462"/>
  <c r="AC78" i="4462"/>
  <c r="AD78" i="4462"/>
  <c r="AE78" i="4462"/>
  <c r="AF78" i="4462"/>
  <c r="AG78" i="4462"/>
  <c r="AH78" i="4462"/>
  <c r="AI78" i="4462"/>
  <c r="AJ78" i="4462"/>
  <c r="AK78" i="4462"/>
  <c r="AL78" i="4462"/>
  <c r="AM78" i="4462"/>
  <c r="AN78" i="4462"/>
  <c r="AO78" i="4462"/>
  <c r="AP78" i="4462"/>
  <c r="AQ78" i="4462"/>
  <c r="AR78" i="4462"/>
  <c r="AS78" i="4462"/>
  <c r="AT78" i="4462"/>
  <c r="AU78" i="4462"/>
  <c r="AV78" i="4462"/>
  <c r="AW78" i="4462"/>
  <c r="AX78" i="4462"/>
  <c r="AY78" i="4462"/>
  <c r="AZ78" i="4462"/>
  <c r="BA78" i="4462"/>
  <c r="BB78" i="4462"/>
  <c r="BC78" i="4462"/>
  <c r="BD78" i="4462"/>
  <c r="A79" i="4462"/>
  <c r="B79" i="4462"/>
  <c r="C79" i="4462"/>
  <c r="D79" i="4462"/>
  <c r="E79" i="4462"/>
  <c r="F79" i="4462"/>
  <c r="G79" i="4462"/>
  <c r="H79" i="4462"/>
  <c r="I79" i="4462"/>
  <c r="J79" i="4462"/>
  <c r="K79" i="4462"/>
  <c r="L79" i="4462"/>
  <c r="M79" i="4462"/>
  <c r="N79" i="4462"/>
  <c r="O79" i="4462"/>
  <c r="P79" i="4462"/>
  <c r="Q79" i="4462"/>
  <c r="R79" i="4462"/>
  <c r="S79" i="4462"/>
  <c r="T79" i="4462"/>
  <c r="U79" i="4462"/>
  <c r="V79" i="4462"/>
  <c r="W79" i="4462"/>
  <c r="X79" i="4462"/>
  <c r="Y79" i="4462"/>
  <c r="Z79" i="4462"/>
  <c r="AA79" i="4462"/>
  <c r="AB79" i="4462"/>
  <c r="AC79" i="4462"/>
  <c r="AD79" i="4462"/>
  <c r="AE79" i="4462"/>
  <c r="AF79" i="4462"/>
  <c r="AG79" i="4462"/>
  <c r="AH79" i="4462"/>
  <c r="AI79" i="4462"/>
  <c r="AJ79" i="4462"/>
  <c r="AK79" i="4462"/>
  <c r="AL79" i="4462"/>
  <c r="AM79" i="4462"/>
  <c r="AN79" i="4462"/>
  <c r="AO79" i="4462"/>
  <c r="AP79" i="4462"/>
  <c r="AQ79" i="4462"/>
  <c r="AR79" i="4462"/>
  <c r="AS79" i="4462"/>
  <c r="AT79" i="4462"/>
  <c r="AU79" i="4462"/>
  <c r="AV79" i="4462"/>
  <c r="AW79" i="4462"/>
  <c r="AX79" i="4462"/>
  <c r="AY79" i="4462"/>
  <c r="AZ79" i="4462"/>
  <c r="BA79" i="4462"/>
  <c r="BB79" i="4462"/>
  <c r="BC79" i="4462"/>
  <c r="BD79" i="4462"/>
  <c r="A80" i="4462"/>
  <c r="B80" i="4462"/>
  <c r="C80" i="4462"/>
  <c r="D80" i="4462"/>
  <c r="E80" i="4462"/>
  <c r="F80" i="4462"/>
  <c r="G80" i="4462"/>
  <c r="H80" i="4462"/>
  <c r="I80" i="4462"/>
  <c r="J80" i="4462"/>
  <c r="K80" i="4462"/>
  <c r="L80" i="4462"/>
  <c r="M80" i="4462"/>
  <c r="N80" i="4462"/>
  <c r="O80" i="4462"/>
  <c r="P80" i="4462"/>
  <c r="Q80" i="4462"/>
  <c r="R80" i="4462"/>
  <c r="S80" i="4462"/>
  <c r="T80" i="4462"/>
  <c r="U80" i="4462"/>
  <c r="V80" i="4462"/>
  <c r="W80" i="4462"/>
  <c r="X80" i="4462"/>
  <c r="Y80" i="4462"/>
  <c r="Z80" i="4462"/>
  <c r="AA80" i="4462"/>
  <c r="AB80" i="4462"/>
  <c r="AC80" i="4462"/>
  <c r="AD80" i="4462"/>
  <c r="AE80" i="4462"/>
  <c r="AF80" i="4462"/>
  <c r="AG80" i="4462"/>
  <c r="AH80" i="4462"/>
  <c r="AI80" i="4462"/>
  <c r="AJ80" i="4462"/>
  <c r="AK80" i="4462"/>
  <c r="AL80" i="4462"/>
  <c r="AM80" i="4462"/>
  <c r="AN80" i="4462"/>
  <c r="AO80" i="4462"/>
  <c r="AP80" i="4462"/>
  <c r="AQ80" i="4462"/>
  <c r="AR80" i="4462"/>
  <c r="AS80" i="4462"/>
  <c r="AT80" i="4462"/>
  <c r="AU80" i="4462"/>
  <c r="AV80" i="4462"/>
  <c r="AW80" i="4462"/>
  <c r="AX80" i="4462"/>
  <c r="AY80" i="4462"/>
  <c r="AZ80" i="4462"/>
  <c r="BA80" i="4462"/>
  <c r="BB80" i="4462"/>
  <c r="BC80" i="4462"/>
  <c r="BD80" i="4462"/>
  <c r="A81" i="4462"/>
  <c r="B81" i="4462"/>
  <c r="C81" i="4462"/>
  <c r="D81" i="4462"/>
  <c r="E81" i="4462"/>
  <c r="F81" i="4462"/>
  <c r="G81" i="4462"/>
  <c r="H81" i="4462"/>
  <c r="I81" i="4462"/>
  <c r="J81" i="4462"/>
  <c r="K81" i="4462"/>
  <c r="L81" i="4462"/>
  <c r="M81" i="4462"/>
  <c r="N81" i="4462"/>
  <c r="O81" i="4462"/>
  <c r="P81" i="4462"/>
  <c r="Q81" i="4462"/>
  <c r="R81" i="4462"/>
  <c r="S81" i="4462"/>
  <c r="T81" i="4462"/>
  <c r="U81" i="4462"/>
  <c r="V81" i="4462"/>
  <c r="W81" i="4462"/>
  <c r="X81" i="4462"/>
  <c r="Y81" i="4462"/>
  <c r="Z81" i="4462"/>
  <c r="AA81" i="4462"/>
  <c r="AB81" i="4462"/>
  <c r="AC81" i="4462"/>
  <c r="AD81" i="4462"/>
  <c r="AE81" i="4462"/>
  <c r="AF81" i="4462"/>
  <c r="AG81" i="4462"/>
  <c r="AH81" i="4462"/>
  <c r="AI81" i="4462"/>
  <c r="AJ81" i="4462"/>
  <c r="AK81" i="4462"/>
  <c r="AL81" i="4462"/>
  <c r="AM81" i="4462"/>
  <c r="AN81" i="4462"/>
  <c r="AO81" i="4462"/>
  <c r="AP81" i="4462"/>
  <c r="AQ81" i="4462"/>
  <c r="AR81" i="4462"/>
  <c r="AS81" i="4462"/>
  <c r="AT81" i="4462"/>
  <c r="AU81" i="4462"/>
  <c r="AV81" i="4462"/>
  <c r="AW81" i="4462"/>
  <c r="AX81" i="4462"/>
  <c r="AY81" i="4462"/>
  <c r="AZ81" i="4462"/>
  <c r="BA81" i="4462"/>
  <c r="BB81" i="4462"/>
  <c r="BC81" i="4462"/>
  <c r="BD81" i="4462"/>
  <c r="A82" i="4462"/>
  <c r="B82" i="4462"/>
  <c r="C82" i="4462"/>
  <c r="D82" i="4462"/>
  <c r="E82" i="4462"/>
  <c r="F82" i="4462"/>
  <c r="G82" i="4462"/>
  <c r="H82" i="4462"/>
  <c r="I82" i="4462"/>
  <c r="J82" i="4462"/>
  <c r="K82" i="4462"/>
  <c r="L82" i="4462"/>
  <c r="M82" i="4462"/>
  <c r="N82" i="4462"/>
  <c r="O82" i="4462"/>
  <c r="P82" i="4462"/>
  <c r="Q82" i="4462"/>
  <c r="R82" i="4462"/>
  <c r="S82" i="4462"/>
  <c r="T82" i="4462"/>
  <c r="U82" i="4462"/>
  <c r="V82" i="4462"/>
  <c r="W82" i="4462"/>
  <c r="X82" i="4462"/>
  <c r="Y82" i="4462"/>
  <c r="Z82" i="4462"/>
  <c r="AA82" i="4462"/>
  <c r="AB82" i="4462"/>
  <c r="AC82" i="4462"/>
  <c r="AD82" i="4462"/>
  <c r="AE82" i="4462"/>
  <c r="AF82" i="4462"/>
  <c r="AG82" i="4462"/>
  <c r="AH82" i="4462"/>
  <c r="AI82" i="4462"/>
  <c r="AJ82" i="4462"/>
  <c r="AK82" i="4462"/>
  <c r="AL82" i="4462"/>
  <c r="AM82" i="4462"/>
  <c r="AN82" i="4462"/>
  <c r="AO82" i="4462"/>
  <c r="AP82" i="4462"/>
  <c r="AQ82" i="4462"/>
  <c r="AR82" i="4462"/>
  <c r="AS82" i="4462"/>
  <c r="AT82" i="4462"/>
  <c r="AU82" i="4462"/>
  <c r="AV82" i="4462"/>
  <c r="AW82" i="4462"/>
  <c r="AX82" i="4462"/>
  <c r="AY82" i="4462"/>
  <c r="AZ82" i="4462"/>
  <c r="BA82" i="4462"/>
  <c r="BB82" i="4462"/>
  <c r="BC82" i="4462"/>
  <c r="BD82" i="4462"/>
  <c r="A83" i="4462"/>
  <c r="B83" i="4462"/>
  <c r="C83" i="4462"/>
  <c r="D83" i="4462"/>
  <c r="E83" i="4462"/>
  <c r="F83" i="4462"/>
  <c r="G83" i="4462"/>
  <c r="H83" i="4462"/>
  <c r="I83" i="4462"/>
  <c r="J83" i="4462"/>
  <c r="K83" i="4462"/>
  <c r="L83" i="4462"/>
  <c r="M83" i="4462"/>
  <c r="N83" i="4462"/>
  <c r="O83" i="4462"/>
  <c r="P83" i="4462"/>
  <c r="Q83" i="4462"/>
  <c r="R83" i="4462"/>
  <c r="S83" i="4462"/>
  <c r="T83" i="4462"/>
  <c r="U83" i="4462"/>
  <c r="V83" i="4462"/>
  <c r="W83" i="4462"/>
  <c r="X83" i="4462"/>
  <c r="Y83" i="4462"/>
  <c r="Z83" i="4462"/>
  <c r="AA83" i="4462"/>
  <c r="AB83" i="4462"/>
  <c r="AC83" i="4462"/>
  <c r="AD83" i="4462"/>
  <c r="AE83" i="4462"/>
  <c r="AF83" i="4462"/>
  <c r="AG83" i="4462"/>
  <c r="AH83" i="4462"/>
  <c r="AI83" i="4462"/>
  <c r="AJ83" i="4462"/>
  <c r="AK83" i="4462"/>
  <c r="AL83" i="4462"/>
  <c r="AM83" i="4462"/>
  <c r="AN83" i="4462"/>
  <c r="AO83" i="4462"/>
  <c r="AP83" i="4462"/>
  <c r="AQ83" i="4462"/>
  <c r="AR83" i="4462"/>
  <c r="AS83" i="4462"/>
  <c r="AT83" i="4462"/>
  <c r="AU83" i="4462"/>
  <c r="AV83" i="4462"/>
  <c r="AW83" i="4462"/>
  <c r="AX83" i="4462"/>
  <c r="AY83" i="4462"/>
  <c r="AZ83" i="4462"/>
  <c r="BA83" i="4462"/>
  <c r="BB83" i="4462"/>
  <c r="BC83" i="4462"/>
  <c r="BD83" i="4462"/>
  <c r="A84" i="4462"/>
  <c r="B84" i="4462"/>
  <c r="C84" i="4462"/>
  <c r="D84" i="4462"/>
  <c r="E84" i="4462"/>
  <c r="F84" i="4462"/>
  <c r="G84" i="4462"/>
  <c r="H84" i="4462"/>
  <c r="I84" i="4462"/>
  <c r="J84" i="4462"/>
  <c r="K84" i="4462"/>
  <c r="L84" i="4462"/>
  <c r="M84" i="4462"/>
  <c r="N84" i="4462"/>
  <c r="O84" i="4462"/>
  <c r="P84" i="4462"/>
  <c r="Q84" i="4462"/>
  <c r="R84" i="4462"/>
  <c r="S84" i="4462"/>
  <c r="T84" i="4462"/>
  <c r="U84" i="4462"/>
  <c r="V84" i="4462"/>
  <c r="W84" i="4462"/>
  <c r="X84" i="4462"/>
  <c r="Y84" i="4462"/>
  <c r="Z84" i="4462"/>
  <c r="AA84" i="4462"/>
  <c r="AB84" i="4462"/>
  <c r="AC84" i="4462"/>
  <c r="AD84" i="4462"/>
  <c r="AE84" i="4462"/>
  <c r="AF84" i="4462"/>
  <c r="AG84" i="4462"/>
  <c r="AH84" i="4462"/>
  <c r="AI84" i="4462"/>
  <c r="AJ84" i="4462"/>
  <c r="AK84" i="4462"/>
  <c r="AL84" i="4462"/>
  <c r="AM84" i="4462"/>
  <c r="AN84" i="4462"/>
  <c r="AO84" i="4462"/>
  <c r="AP84" i="4462"/>
  <c r="AQ84" i="4462"/>
  <c r="AR84" i="4462"/>
  <c r="AS84" i="4462"/>
  <c r="AT84" i="4462"/>
  <c r="AU84" i="4462"/>
  <c r="AV84" i="4462"/>
  <c r="AW84" i="4462"/>
  <c r="AX84" i="4462"/>
  <c r="AY84" i="4462"/>
  <c r="AZ84" i="4462"/>
  <c r="BA84" i="4462"/>
  <c r="BB84" i="4462"/>
  <c r="BC84" i="4462"/>
  <c r="BD84" i="4462"/>
  <c r="A85" i="4462"/>
  <c r="B85" i="4462"/>
  <c r="C85" i="4462"/>
  <c r="D85" i="4462"/>
  <c r="E85" i="4462"/>
  <c r="F85" i="4462"/>
  <c r="G85" i="4462"/>
  <c r="H85" i="4462"/>
  <c r="I85" i="4462"/>
  <c r="J85" i="4462"/>
  <c r="K85" i="4462"/>
  <c r="L85" i="4462"/>
  <c r="M85" i="4462"/>
  <c r="N85" i="4462"/>
  <c r="O85" i="4462"/>
  <c r="P85" i="4462"/>
  <c r="Q85" i="4462"/>
  <c r="R85" i="4462"/>
  <c r="S85" i="4462"/>
  <c r="T85" i="4462"/>
  <c r="U85" i="4462"/>
  <c r="V85" i="4462"/>
  <c r="W85" i="4462"/>
  <c r="X85" i="4462"/>
  <c r="Y85" i="4462"/>
  <c r="Z85" i="4462"/>
  <c r="AA85" i="4462"/>
  <c r="AB85" i="4462"/>
  <c r="AC85" i="4462"/>
  <c r="AD85" i="4462"/>
  <c r="AE85" i="4462"/>
  <c r="AF85" i="4462"/>
  <c r="AG85" i="4462"/>
  <c r="AH85" i="4462"/>
  <c r="AI85" i="4462"/>
  <c r="AJ85" i="4462"/>
  <c r="AK85" i="4462"/>
  <c r="AL85" i="4462"/>
  <c r="AM85" i="4462"/>
  <c r="AN85" i="4462"/>
  <c r="AO85" i="4462"/>
  <c r="AP85" i="4462"/>
  <c r="AQ85" i="4462"/>
  <c r="AR85" i="4462"/>
  <c r="AS85" i="4462"/>
  <c r="AT85" i="4462"/>
  <c r="AU85" i="4462"/>
  <c r="AV85" i="4462"/>
  <c r="AW85" i="4462"/>
  <c r="AX85" i="4462"/>
  <c r="AY85" i="4462"/>
  <c r="AZ85" i="4462"/>
  <c r="BA85" i="4462"/>
  <c r="BB85" i="4462"/>
  <c r="BC85" i="4462"/>
  <c r="BD85" i="4462"/>
  <c r="A86" i="4462"/>
  <c r="B86" i="4462"/>
  <c r="C86" i="4462"/>
  <c r="D86" i="4462"/>
  <c r="E86" i="4462"/>
  <c r="F86" i="4462"/>
  <c r="G86" i="4462"/>
  <c r="H86" i="4462"/>
  <c r="I86" i="4462"/>
  <c r="J86" i="4462"/>
  <c r="K86" i="4462"/>
  <c r="L86" i="4462"/>
  <c r="M86" i="4462"/>
  <c r="N86" i="4462"/>
  <c r="O86" i="4462"/>
  <c r="P86" i="4462"/>
  <c r="Q86" i="4462"/>
  <c r="R86" i="4462"/>
  <c r="S86" i="4462"/>
  <c r="T86" i="4462"/>
  <c r="U86" i="4462"/>
  <c r="V86" i="4462"/>
  <c r="W86" i="4462"/>
  <c r="X86" i="4462"/>
  <c r="Y86" i="4462"/>
  <c r="Z86" i="4462"/>
  <c r="AA86" i="4462"/>
  <c r="AB86" i="4462"/>
  <c r="AC86" i="4462"/>
  <c r="AD86" i="4462"/>
  <c r="AE86" i="4462"/>
  <c r="AF86" i="4462"/>
  <c r="AG86" i="4462"/>
  <c r="AH86" i="4462"/>
  <c r="AI86" i="4462"/>
  <c r="AJ86" i="4462"/>
  <c r="AK86" i="4462"/>
  <c r="AL86" i="4462"/>
  <c r="AM86" i="4462"/>
  <c r="AN86" i="4462"/>
  <c r="AO86" i="4462"/>
  <c r="AP86" i="4462"/>
  <c r="AQ86" i="4462"/>
  <c r="AR86" i="4462"/>
  <c r="AS86" i="4462"/>
  <c r="AT86" i="4462"/>
  <c r="AU86" i="4462"/>
  <c r="AV86" i="4462"/>
  <c r="AW86" i="4462"/>
  <c r="AX86" i="4462"/>
  <c r="AY86" i="4462"/>
  <c r="AZ86" i="4462"/>
  <c r="BA86" i="4462"/>
  <c r="BB86" i="4462"/>
  <c r="BC86" i="4462"/>
  <c r="BD86" i="4462"/>
  <c r="A87" i="4462"/>
  <c r="B87" i="4462"/>
  <c r="C87" i="4462"/>
  <c r="D87" i="4462"/>
  <c r="E87" i="4462"/>
  <c r="F87" i="4462"/>
  <c r="G87" i="4462"/>
  <c r="H87" i="4462"/>
  <c r="I87" i="4462"/>
  <c r="J87" i="4462"/>
  <c r="K87" i="4462"/>
  <c r="L87" i="4462"/>
  <c r="M87" i="4462"/>
  <c r="N87" i="4462"/>
  <c r="O87" i="4462"/>
  <c r="P87" i="4462"/>
  <c r="Q87" i="4462"/>
  <c r="R87" i="4462"/>
  <c r="S87" i="4462"/>
  <c r="T87" i="4462"/>
  <c r="U87" i="4462"/>
  <c r="V87" i="4462"/>
  <c r="W87" i="4462"/>
  <c r="X87" i="4462"/>
  <c r="Y87" i="4462"/>
  <c r="Z87" i="4462"/>
  <c r="AA87" i="4462"/>
  <c r="AB87" i="4462"/>
  <c r="AC87" i="4462"/>
  <c r="AD87" i="4462"/>
  <c r="AE87" i="4462"/>
  <c r="AF87" i="4462"/>
  <c r="AG87" i="4462"/>
  <c r="AH87" i="4462"/>
  <c r="AI87" i="4462"/>
  <c r="AJ87" i="4462"/>
  <c r="AK87" i="4462"/>
  <c r="AL87" i="4462"/>
  <c r="AM87" i="4462"/>
  <c r="AN87" i="4462"/>
  <c r="AO87" i="4462"/>
  <c r="AP87" i="4462"/>
  <c r="AQ87" i="4462"/>
  <c r="AR87" i="4462"/>
  <c r="AS87" i="4462"/>
  <c r="AT87" i="4462"/>
  <c r="AU87" i="4462"/>
  <c r="AV87" i="4462"/>
  <c r="AW87" i="4462"/>
  <c r="AX87" i="4462"/>
  <c r="AY87" i="4462"/>
  <c r="AZ87" i="4462"/>
  <c r="BA87" i="4462"/>
  <c r="BB87" i="4462"/>
  <c r="BC87" i="4462"/>
  <c r="BD87" i="4462"/>
  <c r="A88" i="4462"/>
  <c r="B88" i="4462"/>
  <c r="C88" i="4462"/>
  <c r="D88" i="4462"/>
  <c r="E88" i="4462"/>
  <c r="F88" i="4462"/>
  <c r="G88" i="4462"/>
  <c r="H88" i="4462"/>
  <c r="I88" i="4462"/>
  <c r="J88" i="4462"/>
  <c r="K88" i="4462"/>
  <c r="L88" i="4462"/>
  <c r="M88" i="4462"/>
  <c r="N88" i="4462"/>
  <c r="O88" i="4462"/>
  <c r="P88" i="4462"/>
  <c r="Q88" i="4462"/>
  <c r="R88" i="4462"/>
  <c r="S88" i="4462"/>
  <c r="T88" i="4462"/>
  <c r="U88" i="4462"/>
  <c r="V88" i="4462"/>
  <c r="W88" i="4462"/>
  <c r="X88" i="4462"/>
  <c r="Y88" i="4462"/>
  <c r="Z88" i="4462"/>
  <c r="AA88" i="4462"/>
  <c r="AB88" i="4462"/>
  <c r="AC88" i="4462"/>
  <c r="AD88" i="4462"/>
  <c r="AE88" i="4462"/>
  <c r="AF88" i="4462"/>
  <c r="AG88" i="4462"/>
  <c r="AH88" i="4462"/>
  <c r="AI88" i="4462"/>
  <c r="AJ88" i="4462"/>
  <c r="AK88" i="4462"/>
  <c r="AL88" i="4462"/>
  <c r="AM88" i="4462"/>
  <c r="AN88" i="4462"/>
  <c r="AO88" i="4462"/>
  <c r="AP88" i="4462"/>
  <c r="AQ88" i="4462"/>
  <c r="AR88" i="4462"/>
  <c r="AS88" i="4462"/>
  <c r="AT88" i="4462"/>
  <c r="AU88" i="4462"/>
  <c r="AV88" i="4462"/>
  <c r="AW88" i="4462"/>
  <c r="AX88" i="4462"/>
  <c r="AY88" i="4462"/>
  <c r="AZ88" i="4462"/>
  <c r="BA88" i="4462"/>
  <c r="BB88" i="4462"/>
  <c r="BC88" i="4462"/>
  <c r="BD88" i="4462"/>
  <c r="A89" i="4462"/>
  <c r="B89" i="4462"/>
  <c r="C89" i="4462"/>
  <c r="D89" i="4462"/>
  <c r="E89" i="4462"/>
  <c r="F89" i="4462"/>
  <c r="G89" i="4462"/>
  <c r="H89" i="4462"/>
  <c r="I89" i="4462"/>
  <c r="J89" i="4462"/>
  <c r="K89" i="4462"/>
  <c r="L89" i="4462"/>
  <c r="M89" i="4462"/>
  <c r="N89" i="4462"/>
  <c r="O89" i="4462"/>
  <c r="P89" i="4462"/>
  <c r="Q89" i="4462"/>
  <c r="R89" i="4462"/>
  <c r="S89" i="4462"/>
  <c r="T89" i="4462"/>
  <c r="U89" i="4462"/>
  <c r="V89" i="4462"/>
  <c r="W89" i="4462"/>
  <c r="X89" i="4462"/>
  <c r="Y89" i="4462"/>
  <c r="Z89" i="4462"/>
  <c r="AA89" i="4462"/>
  <c r="AB89" i="4462"/>
  <c r="AC89" i="4462"/>
  <c r="AD89" i="4462"/>
  <c r="AE89" i="4462"/>
  <c r="AF89" i="4462"/>
  <c r="AG89" i="4462"/>
  <c r="AH89" i="4462"/>
  <c r="AI89" i="4462"/>
  <c r="AJ89" i="4462"/>
  <c r="AK89" i="4462"/>
  <c r="AL89" i="4462"/>
  <c r="AM89" i="4462"/>
  <c r="AN89" i="4462"/>
  <c r="AO89" i="4462"/>
  <c r="AP89" i="4462"/>
  <c r="AQ89" i="4462"/>
  <c r="AR89" i="4462"/>
  <c r="AS89" i="4462"/>
  <c r="AT89" i="4462"/>
  <c r="AU89" i="4462"/>
  <c r="AV89" i="4462"/>
  <c r="AW89" i="4462"/>
  <c r="AX89" i="4462"/>
  <c r="AY89" i="4462"/>
  <c r="AZ89" i="4462"/>
  <c r="BA89" i="4462"/>
  <c r="BB89" i="4462"/>
  <c r="BC89" i="4462"/>
  <c r="BD89" i="4462"/>
  <c r="A90" i="4462"/>
  <c r="B90" i="4462"/>
  <c r="C90" i="4462"/>
  <c r="D90" i="4462"/>
  <c r="E90" i="4462"/>
  <c r="F90" i="4462"/>
  <c r="G90" i="4462"/>
  <c r="H90" i="4462"/>
  <c r="I90" i="4462"/>
  <c r="J90" i="4462"/>
  <c r="K90" i="4462"/>
  <c r="L90" i="4462"/>
  <c r="M90" i="4462"/>
  <c r="N90" i="4462"/>
  <c r="O90" i="4462"/>
  <c r="P90" i="4462"/>
  <c r="Q90" i="4462"/>
  <c r="R90" i="4462"/>
  <c r="S90" i="4462"/>
  <c r="T90" i="4462"/>
  <c r="U90" i="4462"/>
  <c r="V90" i="4462"/>
  <c r="W90" i="4462"/>
  <c r="X90" i="4462"/>
  <c r="Y90" i="4462"/>
  <c r="Z90" i="4462"/>
  <c r="AA90" i="4462"/>
  <c r="AB90" i="4462"/>
  <c r="AC90" i="4462"/>
  <c r="AD90" i="4462"/>
  <c r="AE90" i="4462"/>
  <c r="AF90" i="4462"/>
  <c r="AG90" i="4462"/>
  <c r="AH90" i="4462"/>
  <c r="AI90" i="4462"/>
  <c r="AJ90" i="4462"/>
  <c r="AK90" i="4462"/>
  <c r="AL90" i="4462"/>
  <c r="AM90" i="4462"/>
  <c r="AN90" i="4462"/>
  <c r="AO90" i="4462"/>
  <c r="AP90" i="4462"/>
  <c r="AQ90" i="4462"/>
  <c r="AR90" i="4462"/>
  <c r="AS90" i="4462"/>
  <c r="AT90" i="4462"/>
  <c r="AU90" i="4462"/>
  <c r="AV90" i="4462"/>
  <c r="AW90" i="4462"/>
  <c r="AX90" i="4462"/>
  <c r="AY90" i="4462"/>
  <c r="AZ90" i="4462"/>
  <c r="BA90" i="4462"/>
  <c r="BB90" i="4462"/>
  <c r="BC90" i="4462"/>
  <c r="BD90" i="4462"/>
  <c r="A91" i="4462"/>
  <c r="B91" i="4462"/>
  <c r="C91" i="4462"/>
  <c r="D91" i="4462"/>
  <c r="E91" i="4462"/>
  <c r="F91" i="4462"/>
  <c r="G91" i="4462"/>
  <c r="H91" i="4462"/>
  <c r="I91" i="4462"/>
  <c r="J91" i="4462"/>
  <c r="K91" i="4462"/>
  <c r="L91" i="4462"/>
  <c r="M91" i="4462"/>
  <c r="N91" i="4462"/>
  <c r="O91" i="4462"/>
  <c r="P91" i="4462"/>
  <c r="Q91" i="4462"/>
  <c r="R91" i="4462"/>
  <c r="S91" i="4462"/>
  <c r="T91" i="4462"/>
  <c r="U91" i="4462"/>
  <c r="V91" i="4462"/>
  <c r="W91" i="4462"/>
  <c r="X91" i="4462"/>
  <c r="Y91" i="4462"/>
  <c r="Z91" i="4462"/>
  <c r="AA91" i="4462"/>
  <c r="AB91" i="4462"/>
  <c r="AC91" i="4462"/>
  <c r="AD91" i="4462"/>
  <c r="AE91" i="4462"/>
  <c r="AF91" i="4462"/>
  <c r="AG91" i="4462"/>
  <c r="AH91" i="4462"/>
  <c r="AI91" i="4462"/>
  <c r="AJ91" i="4462"/>
  <c r="AK91" i="4462"/>
  <c r="AL91" i="4462"/>
  <c r="AM91" i="4462"/>
  <c r="AN91" i="4462"/>
  <c r="AO91" i="4462"/>
  <c r="AP91" i="4462"/>
  <c r="AQ91" i="4462"/>
  <c r="AR91" i="4462"/>
  <c r="AS91" i="4462"/>
  <c r="AT91" i="4462"/>
  <c r="AU91" i="4462"/>
  <c r="AV91" i="4462"/>
  <c r="AW91" i="4462"/>
  <c r="AX91" i="4462"/>
  <c r="AY91" i="4462"/>
  <c r="AZ91" i="4462"/>
  <c r="BA91" i="4462"/>
  <c r="BB91" i="4462"/>
  <c r="BC91" i="4462"/>
  <c r="BD91" i="4462"/>
  <c r="A92" i="4462"/>
  <c r="B92" i="4462"/>
  <c r="C92" i="4462"/>
  <c r="D92" i="4462"/>
  <c r="E92" i="4462"/>
  <c r="F92" i="4462"/>
  <c r="G92" i="4462"/>
  <c r="H92" i="4462"/>
  <c r="I92" i="4462"/>
  <c r="J92" i="4462"/>
  <c r="K92" i="4462"/>
  <c r="L92" i="4462"/>
  <c r="M92" i="4462"/>
  <c r="N92" i="4462"/>
  <c r="O92" i="4462"/>
  <c r="P92" i="4462"/>
  <c r="Q92" i="4462"/>
  <c r="R92" i="4462"/>
  <c r="S92" i="4462"/>
  <c r="T92" i="4462"/>
  <c r="U92" i="4462"/>
  <c r="V92" i="4462"/>
  <c r="W92" i="4462"/>
  <c r="X92" i="4462"/>
  <c r="Y92" i="4462"/>
  <c r="Z92" i="4462"/>
  <c r="AA92" i="4462"/>
  <c r="AB92" i="4462"/>
  <c r="AC92" i="4462"/>
  <c r="AD92" i="4462"/>
  <c r="AE92" i="4462"/>
  <c r="AF92" i="4462"/>
  <c r="AG92" i="4462"/>
  <c r="AH92" i="4462"/>
  <c r="AI92" i="4462"/>
  <c r="AJ92" i="4462"/>
  <c r="AK92" i="4462"/>
  <c r="AL92" i="4462"/>
  <c r="AM92" i="4462"/>
  <c r="AN92" i="4462"/>
  <c r="AO92" i="4462"/>
  <c r="AP92" i="4462"/>
  <c r="AQ92" i="4462"/>
  <c r="AR92" i="4462"/>
  <c r="AS92" i="4462"/>
  <c r="AT92" i="4462"/>
  <c r="AU92" i="4462"/>
  <c r="AV92" i="4462"/>
  <c r="AW92" i="4462"/>
  <c r="AX92" i="4462"/>
  <c r="AY92" i="4462"/>
  <c r="AZ92" i="4462"/>
  <c r="BA92" i="4462"/>
  <c r="BB92" i="4462"/>
  <c r="BC92" i="4462"/>
  <c r="BD92" i="4462"/>
  <c r="A93" i="4462"/>
  <c r="B93" i="4462"/>
  <c r="C93" i="4462"/>
  <c r="D93" i="4462"/>
  <c r="E93" i="4462"/>
  <c r="F93" i="4462"/>
  <c r="G93" i="4462"/>
  <c r="H93" i="4462"/>
  <c r="I93" i="4462"/>
  <c r="J93" i="4462"/>
  <c r="K93" i="4462"/>
  <c r="L93" i="4462"/>
  <c r="M93" i="4462"/>
  <c r="N93" i="4462"/>
  <c r="O93" i="4462"/>
  <c r="P93" i="4462"/>
  <c r="Q93" i="4462"/>
  <c r="R93" i="4462"/>
  <c r="S93" i="4462"/>
  <c r="T93" i="4462"/>
  <c r="U93" i="4462"/>
  <c r="V93" i="4462"/>
  <c r="W93" i="4462"/>
  <c r="X93" i="4462"/>
  <c r="Y93" i="4462"/>
  <c r="Z93" i="4462"/>
  <c r="AA93" i="4462"/>
  <c r="AB93" i="4462"/>
  <c r="AC93" i="4462"/>
  <c r="AD93" i="4462"/>
  <c r="AE93" i="4462"/>
  <c r="AF93" i="4462"/>
  <c r="AG93" i="4462"/>
  <c r="AH93" i="4462"/>
  <c r="AI93" i="4462"/>
  <c r="AJ93" i="4462"/>
  <c r="AK93" i="4462"/>
  <c r="AL93" i="4462"/>
  <c r="AM93" i="4462"/>
  <c r="AN93" i="4462"/>
  <c r="AO93" i="4462"/>
  <c r="AP93" i="4462"/>
  <c r="AQ93" i="4462"/>
  <c r="AR93" i="4462"/>
  <c r="AS93" i="4462"/>
  <c r="AT93" i="4462"/>
  <c r="AU93" i="4462"/>
  <c r="AV93" i="4462"/>
  <c r="AW93" i="4462"/>
  <c r="AX93" i="4462"/>
  <c r="AY93" i="4462"/>
  <c r="AZ93" i="4462"/>
  <c r="BA93" i="4462"/>
  <c r="BB93" i="4462"/>
  <c r="BC93" i="4462"/>
  <c r="BD93" i="4462"/>
  <c r="A94" i="4462"/>
  <c r="B94" i="4462"/>
  <c r="C94" i="4462"/>
  <c r="D94" i="4462"/>
  <c r="E94" i="4462"/>
  <c r="F94" i="4462"/>
  <c r="G94" i="4462"/>
  <c r="H94" i="4462"/>
  <c r="I94" i="4462"/>
  <c r="J94" i="4462"/>
  <c r="K94" i="4462"/>
  <c r="L94" i="4462"/>
  <c r="M94" i="4462"/>
  <c r="N94" i="4462"/>
  <c r="O94" i="4462"/>
  <c r="P94" i="4462"/>
  <c r="Q94" i="4462"/>
  <c r="R94" i="4462"/>
  <c r="S94" i="4462"/>
  <c r="T94" i="4462"/>
  <c r="U94" i="4462"/>
  <c r="V94" i="4462"/>
  <c r="W94" i="4462"/>
  <c r="X94" i="4462"/>
  <c r="Y94" i="4462"/>
  <c r="Z94" i="4462"/>
  <c r="AA94" i="4462"/>
  <c r="AB94" i="4462"/>
  <c r="AC94" i="4462"/>
  <c r="AD94" i="4462"/>
  <c r="AE94" i="4462"/>
  <c r="AF94" i="4462"/>
  <c r="AG94" i="4462"/>
  <c r="AH94" i="4462"/>
  <c r="AI94" i="4462"/>
  <c r="AJ94" i="4462"/>
  <c r="AK94" i="4462"/>
  <c r="AL94" i="4462"/>
  <c r="AM94" i="4462"/>
  <c r="AN94" i="4462"/>
  <c r="AO94" i="4462"/>
  <c r="AP94" i="4462"/>
  <c r="AQ94" i="4462"/>
  <c r="AR94" i="4462"/>
  <c r="AS94" i="4462"/>
  <c r="AT94" i="4462"/>
  <c r="AU94" i="4462"/>
  <c r="AV94" i="4462"/>
  <c r="AW94" i="4462"/>
  <c r="AX94" i="4462"/>
  <c r="AY94" i="4462"/>
  <c r="AZ94" i="4462"/>
  <c r="BA94" i="4462"/>
  <c r="BB94" i="4462"/>
  <c r="BC94" i="4462"/>
  <c r="BD94" i="4462"/>
  <c r="A95" i="4462"/>
  <c r="B95" i="4462"/>
  <c r="C95" i="4462"/>
  <c r="D95" i="4462"/>
  <c r="E95" i="4462"/>
  <c r="F95" i="4462"/>
  <c r="G95" i="4462"/>
  <c r="H95" i="4462"/>
  <c r="I95" i="4462"/>
  <c r="J95" i="4462"/>
  <c r="K95" i="4462"/>
  <c r="L95" i="4462"/>
  <c r="M95" i="4462"/>
  <c r="N95" i="4462"/>
  <c r="O95" i="4462"/>
  <c r="P95" i="4462"/>
  <c r="Q95" i="4462"/>
  <c r="R95" i="4462"/>
  <c r="S95" i="4462"/>
  <c r="T95" i="4462"/>
  <c r="U95" i="4462"/>
  <c r="V95" i="4462"/>
  <c r="W95" i="4462"/>
  <c r="X95" i="4462"/>
  <c r="Y95" i="4462"/>
  <c r="Z95" i="4462"/>
  <c r="AA95" i="4462"/>
  <c r="AB95" i="4462"/>
  <c r="AC95" i="4462"/>
  <c r="AD95" i="4462"/>
  <c r="AE95" i="4462"/>
  <c r="AF95" i="4462"/>
  <c r="AG95" i="4462"/>
  <c r="AH95" i="4462"/>
  <c r="AI95" i="4462"/>
  <c r="AJ95" i="4462"/>
  <c r="AK95" i="4462"/>
  <c r="AL95" i="4462"/>
  <c r="AM95" i="4462"/>
  <c r="AN95" i="4462"/>
  <c r="AO95" i="4462"/>
  <c r="AP95" i="4462"/>
  <c r="AQ95" i="4462"/>
  <c r="AR95" i="4462"/>
  <c r="AS95" i="4462"/>
  <c r="AT95" i="4462"/>
  <c r="AU95" i="4462"/>
  <c r="AV95" i="4462"/>
  <c r="AW95" i="4462"/>
  <c r="AX95" i="4462"/>
  <c r="AY95" i="4462"/>
  <c r="AZ95" i="4462"/>
  <c r="BA95" i="4462"/>
  <c r="BB95" i="4462"/>
  <c r="BC95" i="4462"/>
  <c r="BD95" i="4462"/>
  <c r="A96" i="4462"/>
  <c r="B96" i="4462"/>
  <c r="C96" i="4462"/>
  <c r="D96" i="4462"/>
  <c r="E96" i="4462"/>
  <c r="F96" i="4462"/>
  <c r="G96" i="4462"/>
  <c r="H96" i="4462"/>
  <c r="I96" i="4462"/>
  <c r="J96" i="4462"/>
  <c r="K96" i="4462"/>
  <c r="L96" i="4462"/>
  <c r="M96" i="4462"/>
  <c r="N96" i="4462"/>
  <c r="O96" i="4462"/>
  <c r="P96" i="4462"/>
  <c r="Q96" i="4462"/>
  <c r="R96" i="4462"/>
  <c r="S96" i="4462"/>
  <c r="T96" i="4462"/>
  <c r="U96" i="4462"/>
  <c r="V96" i="4462"/>
  <c r="W96" i="4462"/>
  <c r="X96" i="4462"/>
  <c r="Y96" i="4462"/>
  <c r="Z96" i="4462"/>
  <c r="AA96" i="4462"/>
  <c r="AB96" i="4462"/>
  <c r="AC96" i="4462"/>
  <c r="AD96" i="4462"/>
  <c r="AE96" i="4462"/>
  <c r="AF96" i="4462"/>
  <c r="AG96" i="4462"/>
  <c r="AH96" i="4462"/>
  <c r="AI96" i="4462"/>
  <c r="AJ96" i="4462"/>
  <c r="AK96" i="4462"/>
  <c r="AL96" i="4462"/>
  <c r="AM96" i="4462"/>
  <c r="AN96" i="4462"/>
  <c r="AO96" i="4462"/>
  <c r="AP96" i="4462"/>
  <c r="AQ96" i="4462"/>
  <c r="AR96" i="4462"/>
  <c r="AS96" i="4462"/>
  <c r="AT96" i="4462"/>
  <c r="AU96" i="4462"/>
  <c r="AV96" i="4462"/>
  <c r="AW96" i="4462"/>
  <c r="AX96" i="4462"/>
  <c r="AY96" i="4462"/>
  <c r="AZ96" i="4462"/>
  <c r="BA96" i="4462"/>
  <c r="BB96" i="4462"/>
  <c r="BC96" i="4462"/>
  <c r="BD96" i="4462"/>
  <c r="A97" i="4462"/>
  <c r="B97" i="4462"/>
  <c r="C97" i="4462"/>
  <c r="D97" i="4462"/>
  <c r="E97" i="4462"/>
  <c r="F97" i="4462"/>
  <c r="G97" i="4462"/>
  <c r="H97" i="4462"/>
  <c r="I97" i="4462"/>
  <c r="J97" i="4462"/>
  <c r="K97" i="4462"/>
  <c r="L97" i="4462"/>
  <c r="M97" i="4462"/>
  <c r="N97" i="4462"/>
  <c r="O97" i="4462"/>
  <c r="P97" i="4462"/>
  <c r="Q97" i="4462"/>
  <c r="R97" i="4462"/>
  <c r="S97" i="4462"/>
  <c r="T97" i="4462"/>
  <c r="U97" i="4462"/>
  <c r="V97" i="4462"/>
  <c r="W97" i="4462"/>
  <c r="X97" i="4462"/>
  <c r="Y97" i="4462"/>
  <c r="Z97" i="4462"/>
  <c r="AA97" i="4462"/>
  <c r="AB97" i="4462"/>
  <c r="AC97" i="4462"/>
  <c r="AD97" i="4462"/>
  <c r="AE97" i="4462"/>
  <c r="AF97" i="4462"/>
  <c r="AG97" i="4462"/>
  <c r="AH97" i="4462"/>
  <c r="AI97" i="4462"/>
  <c r="AJ97" i="4462"/>
  <c r="AK97" i="4462"/>
  <c r="AL97" i="4462"/>
  <c r="AM97" i="4462"/>
  <c r="AN97" i="4462"/>
  <c r="AO97" i="4462"/>
  <c r="AP97" i="4462"/>
  <c r="AQ97" i="4462"/>
  <c r="AR97" i="4462"/>
  <c r="AS97" i="4462"/>
  <c r="AT97" i="4462"/>
  <c r="AU97" i="4462"/>
  <c r="AV97" i="4462"/>
  <c r="AW97" i="4462"/>
  <c r="AX97" i="4462"/>
  <c r="AY97" i="4462"/>
  <c r="AZ97" i="4462"/>
  <c r="BA97" i="4462"/>
  <c r="BB97" i="4462"/>
  <c r="BC97" i="4462"/>
  <c r="BD97" i="4462"/>
  <c r="A98" i="4462"/>
  <c r="B98" i="4462"/>
  <c r="C98" i="4462"/>
  <c r="D98" i="4462"/>
  <c r="E98" i="4462"/>
  <c r="F98" i="4462"/>
  <c r="G98" i="4462"/>
  <c r="H98" i="4462"/>
  <c r="I98" i="4462"/>
  <c r="J98" i="4462"/>
  <c r="K98" i="4462"/>
  <c r="L98" i="4462"/>
  <c r="M98" i="4462"/>
  <c r="N98" i="4462"/>
  <c r="O98" i="4462"/>
  <c r="P98" i="4462"/>
  <c r="Q98" i="4462"/>
  <c r="R98" i="4462"/>
  <c r="S98" i="4462"/>
  <c r="T98" i="4462"/>
  <c r="U98" i="4462"/>
  <c r="V98" i="4462"/>
  <c r="W98" i="4462"/>
  <c r="X98" i="4462"/>
  <c r="Y98" i="4462"/>
  <c r="Z98" i="4462"/>
  <c r="AA98" i="4462"/>
  <c r="AB98" i="4462"/>
  <c r="AC98" i="4462"/>
  <c r="AD98" i="4462"/>
  <c r="AE98" i="4462"/>
  <c r="AF98" i="4462"/>
  <c r="AG98" i="4462"/>
  <c r="AH98" i="4462"/>
  <c r="AI98" i="4462"/>
  <c r="AJ98" i="4462"/>
  <c r="AK98" i="4462"/>
  <c r="AL98" i="4462"/>
  <c r="AM98" i="4462"/>
  <c r="AN98" i="4462"/>
  <c r="AO98" i="4462"/>
  <c r="AP98" i="4462"/>
  <c r="AQ98" i="4462"/>
  <c r="AR98" i="4462"/>
  <c r="AS98" i="4462"/>
  <c r="AT98" i="4462"/>
  <c r="AU98" i="4462"/>
  <c r="AV98" i="4462"/>
  <c r="AW98" i="4462"/>
  <c r="AX98" i="4462"/>
  <c r="AY98" i="4462"/>
  <c r="AZ98" i="4462"/>
  <c r="BA98" i="4462"/>
  <c r="BB98" i="4462"/>
  <c r="BC98" i="4462"/>
  <c r="BD98" i="4462"/>
  <c r="A99" i="4462"/>
  <c r="B99" i="4462"/>
  <c r="C99" i="4462"/>
  <c r="D99" i="4462"/>
  <c r="E99" i="4462"/>
  <c r="F99" i="4462"/>
  <c r="G99" i="4462"/>
  <c r="H99" i="4462"/>
  <c r="I99" i="4462"/>
  <c r="J99" i="4462"/>
  <c r="K99" i="4462"/>
  <c r="L99" i="4462"/>
  <c r="M99" i="4462"/>
  <c r="N99" i="4462"/>
  <c r="O99" i="4462"/>
  <c r="P99" i="4462"/>
  <c r="Q99" i="4462"/>
  <c r="R99" i="4462"/>
  <c r="S99" i="4462"/>
  <c r="T99" i="4462"/>
  <c r="U99" i="4462"/>
  <c r="V99" i="4462"/>
  <c r="W99" i="4462"/>
  <c r="X99" i="4462"/>
  <c r="Y99" i="4462"/>
  <c r="Z99" i="4462"/>
  <c r="AA99" i="4462"/>
  <c r="AB99" i="4462"/>
  <c r="AC99" i="4462"/>
  <c r="AD99" i="4462"/>
  <c r="AE99" i="4462"/>
  <c r="AF99" i="4462"/>
  <c r="AG99" i="4462"/>
  <c r="AH99" i="4462"/>
  <c r="AI99" i="4462"/>
  <c r="AJ99" i="4462"/>
  <c r="AK99" i="4462"/>
  <c r="AL99" i="4462"/>
  <c r="AM99" i="4462"/>
  <c r="AN99" i="4462"/>
  <c r="AO99" i="4462"/>
  <c r="AP99" i="4462"/>
  <c r="AQ99" i="4462"/>
  <c r="AR99" i="4462"/>
  <c r="AS99" i="4462"/>
  <c r="AT99" i="4462"/>
  <c r="AU99" i="4462"/>
  <c r="AV99" i="4462"/>
  <c r="AW99" i="4462"/>
  <c r="AX99" i="4462"/>
  <c r="AY99" i="4462"/>
  <c r="AZ99" i="4462"/>
  <c r="BA99" i="4462"/>
  <c r="BB99" i="4462"/>
  <c r="BC99" i="4462"/>
  <c r="BD99" i="4462"/>
  <c r="A100" i="4462"/>
  <c r="B100" i="4462"/>
  <c r="C100" i="4462"/>
  <c r="D100" i="4462"/>
  <c r="E100" i="4462"/>
  <c r="F100" i="4462"/>
  <c r="G100" i="4462"/>
  <c r="H100" i="4462"/>
  <c r="I100" i="4462"/>
  <c r="J100" i="4462"/>
  <c r="K100" i="4462"/>
  <c r="L100" i="4462"/>
  <c r="M100" i="4462"/>
  <c r="N100" i="4462"/>
  <c r="O100" i="4462"/>
  <c r="P100" i="4462"/>
  <c r="Q100" i="4462"/>
  <c r="R100" i="4462"/>
  <c r="S100" i="4462"/>
  <c r="T100" i="4462"/>
  <c r="U100" i="4462"/>
  <c r="V100" i="4462"/>
  <c r="W100" i="4462"/>
  <c r="X100" i="4462"/>
  <c r="Y100" i="4462"/>
  <c r="Z100" i="4462"/>
  <c r="AA100" i="4462"/>
  <c r="AB100" i="4462"/>
  <c r="AC100" i="4462"/>
  <c r="AD100" i="4462"/>
  <c r="AE100" i="4462"/>
  <c r="AF100" i="4462"/>
  <c r="AG100" i="4462"/>
  <c r="AH100" i="4462"/>
  <c r="AI100" i="4462"/>
  <c r="AJ100" i="4462"/>
  <c r="AK100" i="4462"/>
  <c r="AL100" i="4462"/>
  <c r="AM100" i="4462"/>
  <c r="AN100" i="4462"/>
  <c r="AO100" i="4462"/>
  <c r="AP100" i="4462"/>
  <c r="AQ100" i="4462"/>
  <c r="AR100" i="4462"/>
  <c r="AS100" i="4462"/>
  <c r="AT100" i="4462"/>
  <c r="AU100" i="4462"/>
  <c r="AV100" i="4462"/>
  <c r="AW100" i="4462"/>
  <c r="AX100" i="4462"/>
  <c r="AY100" i="4462"/>
  <c r="AZ100" i="4462"/>
  <c r="BA100" i="4462"/>
  <c r="BB100" i="4462"/>
  <c r="BC100" i="4462"/>
  <c r="BD100" i="4462"/>
  <c r="A101" i="4462"/>
  <c r="B101" i="4462"/>
  <c r="C101" i="4462"/>
  <c r="D101" i="4462"/>
  <c r="E101" i="4462"/>
  <c r="F101" i="4462"/>
  <c r="G101" i="4462"/>
  <c r="H101" i="4462"/>
  <c r="I101" i="4462"/>
  <c r="J101" i="4462"/>
  <c r="K101" i="4462"/>
  <c r="L101" i="4462"/>
  <c r="M101" i="4462"/>
  <c r="N101" i="4462"/>
  <c r="O101" i="4462"/>
  <c r="P101" i="4462"/>
  <c r="Q101" i="4462"/>
  <c r="R101" i="4462"/>
  <c r="S101" i="4462"/>
  <c r="T101" i="4462"/>
  <c r="U101" i="4462"/>
  <c r="V101" i="4462"/>
  <c r="W101" i="4462"/>
  <c r="X101" i="4462"/>
  <c r="Y101" i="4462"/>
  <c r="Z101" i="4462"/>
  <c r="AA101" i="4462"/>
  <c r="AB101" i="4462"/>
  <c r="AC101" i="4462"/>
  <c r="AD101" i="4462"/>
  <c r="AE101" i="4462"/>
  <c r="AF101" i="4462"/>
  <c r="AG101" i="4462"/>
  <c r="AH101" i="4462"/>
  <c r="AI101" i="4462"/>
  <c r="AJ101" i="4462"/>
  <c r="AK101" i="4462"/>
  <c r="AL101" i="4462"/>
  <c r="AM101" i="4462"/>
  <c r="AN101" i="4462"/>
  <c r="AO101" i="4462"/>
  <c r="AP101" i="4462"/>
  <c r="AQ101" i="4462"/>
  <c r="AR101" i="4462"/>
  <c r="AS101" i="4462"/>
  <c r="AT101" i="4462"/>
  <c r="AU101" i="4462"/>
  <c r="AV101" i="4462"/>
  <c r="AW101" i="4462"/>
  <c r="AX101" i="4462"/>
  <c r="AY101" i="4462"/>
  <c r="AZ101" i="4462"/>
  <c r="BA101" i="4462"/>
  <c r="BB101" i="4462"/>
  <c r="BC101" i="4462"/>
  <c r="BD101" i="4462"/>
  <c r="A102" i="4462"/>
  <c r="B102" i="4462"/>
  <c r="C102" i="4462"/>
  <c r="D102" i="4462"/>
  <c r="E102" i="4462"/>
  <c r="F102" i="4462"/>
  <c r="G102" i="4462"/>
  <c r="H102" i="4462"/>
  <c r="I102" i="4462"/>
  <c r="J102" i="4462"/>
  <c r="K102" i="4462"/>
  <c r="L102" i="4462"/>
  <c r="M102" i="4462"/>
  <c r="N102" i="4462"/>
  <c r="O102" i="4462"/>
  <c r="P102" i="4462"/>
  <c r="Q102" i="4462"/>
  <c r="R102" i="4462"/>
  <c r="S102" i="4462"/>
  <c r="T102" i="4462"/>
  <c r="U102" i="4462"/>
  <c r="V102" i="4462"/>
  <c r="W102" i="4462"/>
  <c r="X102" i="4462"/>
  <c r="Y102" i="4462"/>
  <c r="Z102" i="4462"/>
  <c r="AA102" i="4462"/>
  <c r="AB102" i="4462"/>
  <c r="AC102" i="4462"/>
  <c r="AD102" i="4462"/>
  <c r="AE102" i="4462"/>
  <c r="AF102" i="4462"/>
  <c r="AG102" i="4462"/>
  <c r="AH102" i="4462"/>
  <c r="AI102" i="4462"/>
  <c r="AJ102" i="4462"/>
  <c r="AK102" i="4462"/>
  <c r="AL102" i="4462"/>
  <c r="AM102" i="4462"/>
  <c r="AN102" i="4462"/>
  <c r="AO102" i="4462"/>
  <c r="AP102" i="4462"/>
  <c r="AQ102" i="4462"/>
  <c r="AR102" i="4462"/>
  <c r="AS102" i="4462"/>
  <c r="AT102" i="4462"/>
  <c r="AU102" i="4462"/>
  <c r="AV102" i="4462"/>
  <c r="AW102" i="4462"/>
  <c r="AX102" i="4462"/>
  <c r="AY102" i="4462"/>
  <c r="AZ102" i="4462"/>
  <c r="BA102" i="4462"/>
  <c r="BB102" i="4462"/>
  <c r="BC102" i="4462"/>
  <c r="BD102" i="4462"/>
  <c r="A103" i="4462"/>
  <c r="B103" i="4462"/>
  <c r="C103" i="4462"/>
  <c r="D103" i="4462"/>
  <c r="E103" i="4462"/>
  <c r="F103" i="4462"/>
  <c r="G103" i="4462"/>
  <c r="H103" i="4462"/>
  <c r="I103" i="4462"/>
  <c r="J103" i="4462"/>
  <c r="K103" i="4462"/>
  <c r="L103" i="4462"/>
  <c r="M103" i="4462"/>
  <c r="N103" i="4462"/>
  <c r="O103" i="4462"/>
  <c r="P103" i="4462"/>
  <c r="Q103" i="4462"/>
  <c r="R103" i="4462"/>
  <c r="S103" i="4462"/>
  <c r="T103" i="4462"/>
  <c r="U103" i="4462"/>
  <c r="V103" i="4462"/>
  <c r="W103" i="4462"/>
  <c r="X103" i="4462"/>
  <c r="Y103" i="4462"/>
  <c r="Z103" i="4462"/>
  <c r="AA103" i="4462"/>
  <c r="AB103" i="4462"/>
  <c r="AC103" i="4462"/>
  <c r="AD103" i="4462"/>
  <c r="AE103" i="4462"/>
  <c r="AF103" i="4462"/>
  <c r="AG103" i="4462"/>
  <c r="AH103" i="4462"/>
  <c r="AI103" i="4462"/>
  <c r="AJ103" i="4462"/>
  <c r="AK103" i="4462"/>
  <c r="AL103" i="4462"/>
  <c r="AM103" i="4462"/>
  <c r="AN103" i="4462"/>
  <c r="AO103" i="4462"/>
  <c r="AP103" i="4462"/>
  <c r="AQ103" i="4462"/>
  <c r="AR103" i="4462"/>
  <c r="AS103" i="4462"/>
  <c r="AT103" i="4462"/>
  <c r="AU103" i="4462"/>
  <c r="AV103" i="4462"/>
  <c r="AW103" i="4462"/>
  <c r="AX103" i="4462"/>
  <c r="AY103" i="4462"/>
  <c r="AZ103" i="4462"/>
  <c r="BA103" i="4462"/>
  <c r="BB103" i="4462"/>
  <c r="BC103" i="4462"/>
  <c r="BD103" i="4462"/>
  <c r="A104" i="4462"/>
  <c r="B104" i="4462"/>
  <c r="C104" i="4462"/>
  <c r="D104" i="4462"/>
  <c r="E104" i="4462"/>
  <c r="F104" i="4462"/>
  <c r="G104" i="4462"/>
  <c r="H104" i="4462"/>
  <c r="I104" i="4462"/>
  <c r="J104" i="4462"/>
  <c r="K104" i="4462"/>
  <c r="L104" i="4462"/>
  <c r="M104" i="4462"/>
  <c r="N104" i="4462"/>
  <c r="O104" i="4462"/>
  <c r="P104" i="4462"/>
  <c r="Q104" i="4462"/>
  <c r="R104" i="4462"/>
  <c r="S104" i="4462"/>
  <c r="T104" i="4462"/>
  <c r="U104" i="4462"/>
  <c r="V104" i="4462"/>
  <c r="W104" i="4462"/>
  <c r="X104" i="4462"/>
  <c r="Y104" i="4462"/>
  <c r="Z104" i="4462"/>
  <c r="AA104" i="4462"/>
  <c r="AB104" i="4462"/>
  <c r="AC104" i="4462"/>
  <c r="AD104" i="4462"/>
  <c r="AE104" i="4462"/>
  <c r="AF104" i="4462"/>
  <c r="AG104" i="4462"/>
  <c r="AH104" i="4462"/>
  <c r="AI104" i="4462"/>
  <c r="AJ104" i="4462"/>
  <c r="AK104" i="4462"/>
  <c r="AL104" i="4462"/>
  <c r="AM104" i="4462"/>
  <c r="AN104" i="4462"/>
  <c r="AO104" i="4462"/>
  <c r="AP104" i="4462"/>
  <c r="AQ104" i="4462"/>
  <c r="AR104" i="4462"/>
  <c r="AS104" i="4462"/>
  <c r="AT104" i="4462"/>
  <c r="AU104" i="4462"/>
  <c r="AV104" i="4462"/>
  <c r="AW104" i="4462"/>
  <c r="AX104" i="4462"/>
  <c r="AY104" i="4462"/>
  <c r="AZ104" i="4462"/>
  <c r="BA104" i="4462"/>
  <c r="BB104" i="4462"/>
  <c r="BC104" i="4462"/>
  <c r="BD104" i="4462"/>
  <c r="A105" i="4462"/>
  <c r="B105" i="4462"/>
  <c r="C105" i="4462"/>
  <c r="D105" i="4462"/>
  <c r="E105" i="4462"/>
  <c r="F105" i="4462"/>
  <c r="G105" i="4462"/>
  <c r="H105" i="4462"/>
  <c r="I105" i="4462"/>
  <c r="J105" i="4462"/>
  <c r="K105" i="4462"/>
  <c r="L105" i="4462"/>
  <c r="M105" i="4462"/>
  <c r="N105" i="4462"/>
  <c r="O105" i="4462"/>
  <c r="P105" i="4462"/>
  <c r="Q105" i="4462"/>
  <c r="R105" i="4462"/>
  <c r="S105" i="4462"/>
  <c r="T105" i="4462"/>
  <c r="U105" i="4462"/>
  <c r="V105" i="4462"/>
  <c r="W105" i="4462"/>
  <c r="X105" i="4462"/>
  <c r="Y105" i="4462"/>
  <c r="Z105" i="4462"/>
  <c r="AA105" i="4462"/>
  <c r="AB105" i="4462"/>
  <c r="AC105" i="4462"/>
  <c r="AD105" i="4462"/>
  <c r="AE105" i="4462"/>
  <c r="AF105" i="4462"/>
  <c r="AG105" i="4462"/>
  <c r="AH105" i="4462"/>
  <c r="AI105" i="4462"/>
  <c r="AJ105" i="4462"/>
  <c r="AK105" i="4462"/>
  <c r="AL105" i="4462"/>
  <c r="AM105" i="4462"/>
  <c r="AN105" i="4462"/>
  <c r="AO105" i="4462"/>
  <c r="AP105" i="4462"/>
  <c r="AQ105" i="4462"/>
  <c r="AR105" i="4462"/>
  <c r="AS105" i="4462"/>
  <c r="AT105" i="4462"/>
  <c r="AU105" i="4462"/>
  <c r="AV105" i="4462"/>
  <c r="AW105" i="4462"/>
  <c r="AX105" i="4462"/>
  <c r="AY105" i="4462"/>
  <c r="AZ105" i="4462"/>
  <c r="BA105" i="4462"/>
  <c r="BB105" i="4462"/>
  <c r="BC105" i="4462"/>
  <c r="BD105" i="4462"/>
  <c r="A106" i="4462"/>
  <c r="B106" i="4462"/>
  <c r="C106" i="4462"/>
  <c r="D106" i="4462"/>
  <c r="E106" i="4462"/>
  <c r="F106" i="4462"/>
  <c r="G106" i="4462"/>
  <c r="H106" i="4462"/>
  <c r="I106" i="4462"/>
  <c r="J106" i="4462"/>
  <c r="K106" i="4462"/>
  <c r="L106" i="4462"/>
  <c r="M106" i="4462"/>
  <c r="N106" i="4462"/>
  <c r="O106" i="4462"/>
  <c r="P106" i="4462"/>
  <c r="Q106" i="4462"/>
  <c r="R106" i="4462"/>
  <c r="S106" i="4462"/>
  <c r="T106" i="4462"/>
  <c r="U106" i="4462"/>
  <c r="V106" i="4462"/>
  <c r="W106" i="4462"/>
  <c r="X106" i="4462"/>
  <c r="Y106" i="4462"/>
  <c r="Z106" i="4462"/>
  <c r="AA106" i="4462"/>
  <c r="AB106" i="4462"/>
  <c r="AC106" i="4462"/>
  <c r="AD106" i="4462"/>
  <c r="AE106" i="4462"/>
  <c r="AF106" i="4462"/>
  <c r="AG106" i="4462"/>
  <c r="AH106" i="4462"/>
  <c r="AI106" i="4462"/>
  <c r="AJ106" i="4462"/>
  <c r="AK106" i="4462"/>
  <c r="AL106" i="4462"/>
  <c r="AM106" i="4462"/>
  <c r="AN106" i="4462"/>
  <c r="AO106" i="4462"/>
  <c r="AP106" i="4462"/>
  <c r="AQ106" i="4462"/>
  <c r="AR106" i="4462"/>
  <c r="AS106" i="4462"/>
  <c r="AT106" i="4462"/>
  <c r="AU106" i="4462"/>
  <c r="AV106" i="4462"/>
  <c r="AW106" i="4462"/>
  <c r="AX106" i="4462"/>
  <c r="AY106" i="4462"/>
  <c r="AZ106" i="4462"/>
  <c r="BA106" i="4462"/>
  <c r="BB106" i="4462"/>
  <c r="BC106" i="4462"/>
  <c r="BD106" i="4462"/>
  <c r="A107" i="4462"/>
  <c r="B107" i="4462"/>
  <c r="C107" i="4462"/>
  <c r="D107" i="4462"/>
  <c r="E107" i="4462"/>
  <c r="F107" i="4462"/>
  <c r="G107" i="4462"/>
  <c r="H107" i="4462"/>
  <c r="I107" i="4462"/>
  <c r="J107" i="4462"/>
  <c r="K107" i="4462"/>
  <c r="L107" i="4462"/>
  <c r="M107" i="4462"/>
  <c r="N107" i="4462"/>
  <c r="O107" i="4462"/>
  <c r="P107" i="4462"/>
  <c r="Q107" i="4462"/>
  <c r="R107" i="4462"/>
  <c r="S107" i="4462"/>
  <c r="T107" i="4462"/>
  <c r="U107" i="4462"/>
  <c r="V107" i="4462"/>
  <c r="W107" i="4462"/>
  <c r="X107" i="4462"/>
  <c r="Y107" i="4462"/>
  <c r="Z107" i="4462"/>
  <c r="AA107" i="4462"/>
  <c r="AB107" i="4462"/>
  <c r="AC107" i="4462"/>
  <c r="AD107" i="4462"/>
  <c r="AE107" i="4462"/>
  <c r="AF107" i="4462"/>
  <c r="AG107" i="4462"/>
  <c r="AH107" i="4462"/>
  <c r="AI107" i="4462"/>
  <c r="AJ107" i="4462"/>
  <c r="AK107" i="4462"/>
  <c r="AL107" i="4462"/>
  <c r="AM107" i="4462"/>
  <c r="AN107" i="4462"/>
  <c r="AO107" i="4462"/>
  <c r="AP107" i="4462"/>
  <c r="AQ107" i="4462"/>
  <c r="AR107" i="4462"/>
  <c r="AS107" i="4462"/>
  <c r="AT107" i="4462"/>
  <c r="AU107" i="4462"/>
  <c r="AV107" i="4462"/>
  <c r="AW107" i="4462"/>
  <c r="AX107" i="4462"/>
  <c r="AY107" i="4462"/>
  <c r="AZ107" i="4462"/>
  <c r="BA107" i="4462"/>
  <c r="BB107" i="4462"/>
  <c r="BC107" i="4462"/>
  <c r="BD107" i="4462"/>
  <c r="A108" i="4462"/>
  <c r="B108" i="4462"/>
  <c r="C108" i="4462"/>
  <c r="D108" i="4462"/>
  <c r="E108" i="4462"/>
  <c r="F108" i="4462"/>
  <c r="G108" i="4462"/>
  <c r="H108" i="4462"/>
  <c r="I108" i="4462"/>
  <c r="J108" i="4462"/>
  <c r="K108" i="4462"/>
  <c r="L108" i="4462"/>
  <c r="M108" i="4462"/>
  <c r="N108" i="4462"/>
  <c r="O108" i="4462"/>
  <c r="P108" i="4462"/>
  <c r="Q108" i="4462"/>
  <c r="R108" i="4462"/>
  <c r="S108" i="4462"/>
  <c r="T108" i="4462"/>
  <c r="U108" i="4462"/>
  <c r="V108" i="4462"/>
  <c r="W108" i="4462"/>
  <c r="X108" i="4462"/>
  <c r="Y108" i="4462"/>
  <c r="Z108" i="4462"/>
  <c r="AA108" i="4462"/>
  <c r="AB108" i="4462"/>
  <c r="AC108" i="4462"/>
  <c r="AD108" i="4462"/>
  <c r="AE108" i="4462"/>
  <c r="AF108" i="4462"/>
  <c r="AG108" i="4462"/>
  <c r="AH108" i="4462"/>
  <c r="AI108" i="4462"/>
  <c r="AJ108" i="4462"/>
  <c r="AK108" i="4462"/>
  <c r="AL108" i="4462"/>
  <c r="AM108" i="4462"/>
  <c r="AN108" i="4462"/>
  <c r="AO108" i="4462"/>
  <c r="AP108" i="4462"/>
  <c r="AQ108" i="4462"/>
  <c r="AR108" i="4462"/>
  <c r="AS108" i="4462"/>
  <c r="AT108" i="4462"/>
  <c r="AU108" i="4462"/>
  <c r="AV108" i="4462"/>
  <c r="AW108" i="4462"/>
  <c r="AX108" i="4462"/>
  <c r="AY108" i="4462"/>
  <c r="AZ108" i="4462"/>
  <c r="BA108" i="4462"/>
  <c r="BB108" i="4462"/>
  <c r="BC108" i="4462"/>
  <c r="BD108" i="4462"/>
  <c r="A109" i="4462"/>
  <c r="B109" i="4462"/>
  <c r="C109" i="4462"/>
  <c r="D109" i="4462"/>
  <c r="E109" i="4462"/>
  <c r="F109" i="4462"/>
  <c r="G109" i="4462"/>
  <c r="H109" i="4462"/>
  <c r="I109" i="4462"/>
  <c r="J109" i="4462"/>
  <c r="K109" i="4462"/>
  <c r="L109" i="4462"/>
  <c r="M109" i="4462"/>
  <c r="N109" i="4462"/>
  <c r="O109" i="4462"/>
  <c r="P109" i="4462"/>
  <c r="Q109" i="4462"/>
  <c r="R109" i="4462"/>
  <c r="S109" i="4462"/>
  <c r="T109" i="4462"/>
  <c r="U109" i="4462"/>
  <c r="V109" i="4462"/>
  <c r="W109" i="4462"/>
  <c r="X109" i="4462"/>
  <c r="Y109" i="4462"/>
  <c r="Z109" i="4462"/>
  <c r="AA109" i="4462"/>
  <c r="AB109" i="4462"/>
  <c r="AC109" i="4462"/>
  <c r="AD109" i="4462"/>
  <c r="AE109" i="4462"/>
  <c r="AF109" i="4462"/>
  <c r="AG109" i="4462"/>
  <c r="AH109" i="4462"/>
  <c r="AI109" i="4462"/>
  <c r="AJ109" i="4462"/>
  <c r="AK109" i="4462"/>
  <c r="AL109" i="4462"/>
  <c r="AM109" i="4462"/>
  <c r="AN109" i="4462"/>
  <c r="AO109" i="4462"/>
  <c r="AP109" i="4462"/>
  <c r="AQ109" i="4462"/>
  <c r="AR109" i="4462"/>
  <c r="AS109" i="4462"/>
  <c r="AT109" i="4462"/>
  <c r="AU109" i="4462"/>
  <c r="AV109" i="4462"/>
  <c r="AW109" i="4462"/>
  <c r="AX109" i="4462"/>
  <c r="AY109" i="4462"/>
  <c r="AZ109" i="4462"/>
  <c r="BA109" i="4462"/>
  <c r="BB109" i="4462"/>
  <c r="BC109" i="4462"/>
  <c r="BD109" i="4462"/>
  <c r="A110" i="4462"/>
  <c r="B110" i="4462"/>
  <c r="C110" i="4462"/>
  <c r="D110" i="4462"/>
  <c r="E110" i="4462"/>
  <c r="F110" i="4462"/>
  <c r="G110" i="4462"/>
  <c r="H110" i="4462"/>
  <c r="I110" i="4462"/>
  <c r="J110" i="4462"/>
  <c r="K110" i="4462"/>
  <c r="L110" i="4462"/>
  <c r="M110" i="4462"/>
  <c r="N110" i="4462"/>
  <c r="O110" i="4462"/>
  <c r="P110" i="4462"/>
  <c r="Q110" i="4462"/>
  <c r="R110" i="4462"/>
  <c r="S110" i="4462"/>
  <c r="T110" i="4462"/>
  <c r="U110" i="4462"/>
  <c r="V110" i="4462"/>
  <c r="W110" i="4462"/>
  <c r="X110" i="4462"/>
  <c r="Y110" i="4462"/>
  <c r="Z110" i="4462"/>
  <c r="AA110" i="4462"/>
  <c r="AB110" i="4462"/>
  <c r="AC110" i="4462"/>
  <c r="AD110" i="4462"/>
  <c r="AE110" i="4462"/>
  <c r="AF110" i="4462"/>
  <c r="AG110" i="4462"/>
  <c r="AH110" i="4462"/>
  <c r="AI110" i="4462"/>
  <c r="AJ110" i="4462"/>
  <c r="AK110" i="4462"/>
  <c r="AL110" i="4462"/>
  <c r="AM110" i="4462"/>
  <c r="AN110" i="4462"/>
  <c r="AO110" i="4462"/>
  <c r="AP110" i="4462"/>
  <c r="AQ110" i="4462"/>
  <c r="AR110" i="4462"/>
  <c r="AS110" i="4462"/>
  <c r="AT110" i="4462"/>
  <c r="AU110" i="4462"/>
  <c r="AV110" i="4462"/>
  <c r="AW110" i="4462"/>
  <c r="AX110" i="4462"/>
  <c r="AY110" i="4462"/>
  <c r="AZ110" i="4462"/>
  <c r="BA110" i="4462"/>
  <c r="BB110" i="4462"/>
  <c r="BC110" i="4462"/>
  <c r="BD110" i="4462"/>
  <c r="A111" i="4462"/>
  <c r="B111" i="4462"/>
  <c r="C111" i="4462"/>
  <c r="D111" i="4462"/>
  <c r="E111" i="4462"/>
  <c r="F111" i="4462"/>
  <c r="G111" i="4462"/>
  <c r="H111" i="4462"/>
  <c r="I111" i="4462"/>
  <c r="J111" i="4462"/>
  <c r="K111" i="4462"/>
  <c r="L111" i="4462"/>
  <c r="M111" i="4462"/>
  <c r="N111" i="4462"/>
  <c r="O111" i="4462"/>
  <c r="P111" i="4462"/>
  <c r="Q111" i="4462"/>
  <c r="R111" i="4462"/>
  <c r="S111" i="4462"/>
  <c r="T111" i="4462"/>
  <c r="U111" i="4462"/>
  <c r="V111" i="4462"/>
  <c r="W111" i="4462"/>
  <c r="X111" i="4462"/>
  <c r="Y111" i="4462"/>
  <c r="Z111" i="4462"/>
  <c r="AA111" i="4462"/>
  <c r="AB111" i="4462"/>
  <c r="AC111" i="4462"/>
  <c r="AD111" i="4462"/>
  <c r="AE111" i="4462"/>
  <c r="AF111" i="4462"/>
  <c r="AG111" i="4462"/>
  <c r="AH111" i="4462"/>
  <c r="AI111" i="4462"/>
  <c r="AJ111" i="4462"/>
  <c r="AK111" i="4462"/>
  <c r="AL111" i="4462"/>
  <c r="AM111" i="4462"/>
  <c r="AN111" i="4462"/>
  <c r="AO111" i="4462"/>
  <c r="AP111" i="4462"/>
  <c r="AQ111" i="4462"/>
  <c r="AR111" i="4462"/>
  <c r="AS111" i="4462"/>
  <c r="AT111" i="4462"/>
  <c r="AU111" i="4462"/>
  <c r="AV111" i="4462"/>
  <c r="AW111" i="4462"/>
  <c r="AX111" i="4462"/>
  <c r="AY111" i="4462"/>
  <c r="AZ111" i="4462"/>
  <c r="BA111" i="4462"/>
  <c r="BB111" i="4462"/>
  <c r="BC111" i="4462"/>
  <c r="BD111" i="4462"/>
  <c r="A112" i="4462"/>
  <c r="B112" i="4462"/>
  <c r="C112" i="4462"/>
  <c r="D112" i="4462"/>
  <c r="E112" i="4462"/>
  <c r="F112" i="4462"/>
  <c r="G112" i="4462"/>
  <c r="H112" i="4462"/>
  <c r="I112" i="4462"/>
  <c r="J112" i="4462"/>
  <c r="K112" i="4462"/>
  <c r="L112" i="4462"/>
  <c r="M112" i="4462"/>
  <c r="N112" i="4462"/>
  <c r="O112" i="4462"/>
  <c r="P112" i="4462"/>
  <c r="Q112" i="4462"/>
  <c r="R112" i="4462"/>
  <c r="S112" i="4462"/>
  <c r="T112" i="4462"/>
  <c r="U112" i="4462"/>
  <c r="V112" i="4462"/>
  <c r="W112" i="4462"/>
  <c r="X112" i="4462"/>
  <c r="Y112" i="4462"/>
  <c r="Z112" i="4462"/>
  <c r="AA112" i="4462"/>
  <c r="AB112" i="4462"/>
  <c r="AC112" i="4462"/>
  <c r="AD112" i="4462"/>
  <c r="AE112" i="4462"/>
  <c r="AF112" i="4462"/>
  <c r="AG112" i="4462"/>
  <c r="AH112" i="4462"/>
  <c r="AI112" i="4462"/>
  <c r="AJ112" i="4462"/>
  <c r="AK112" i="4462"/>
  <c r="AL112" i="4462"/>
  <c r="AM112" i="4462"/>
  <c r="AN112" i="4462"/>
  <c r="AO112" i="4462"/>
  <c r="AP112" i="4462"/>
  <c r="AQ112" i="4462"/>
  <c r="AR112" i="4462"/>
  <c r="AS112" i="4462"/>
  <c r="AT112" i="4462"/>
  <c r="AU112" i="4462"/>
  <c r="AV112" i="4462"/>
  <c r="AW112" i="4462"/>
  <c r="AX112" i="4462"/>
  <c r="AY112" i="4462"/>
  <c r="AZ112" i="4462"/>
  <c r="BA112" i="4462"/>
  <c r="BB112" i="4462"/>
  <c r="BC112" i="4462"/>
  <c r="BD112" i="4462"/>
  <c r="A113" i="4462"/>
  <c r="B113" i="4462"/>
  <c r="C113" i="4462"/>
  <c r="D113" i="4462"/>
  <c r="E113" i="4462"/>
  <c r="F113" i="4462"/>
  <c r="G113" i="4462"/>
  <c r="H113" i="4462"/>
  <c r="I113" i="4462"/>
  <c r="J113" i="4462"/>
  <c r="K113" i="4462"/>
  <c r="L113" i="4462"/>
  <c r="M113" i="4462"/>
  <c r="N113" i="4462"/>
  <c r="O113" i="4462"/>
  <c r="P113" i="4462"/>
  <c r="Q113" i="4462"/>
  <c r="R113" i="4462"/>
  <c r="S113" i="4462"/>
  <c r="T113" i="4462"/>
  <c r="U113" i="4462"/>
  <c r="V113" i="4462"/>
  <c r="W113" i="4462"/>
  <c r="X113" i="4462"/>
  <c r="Y113" i="4462"/>
  <c r="Z113" i="4462"/>
  <c r="AA113" i="4462"/>
  <c r="AB113" i="4462"/>
  <c r="AC113" i="4462"/>
  <c r="AD113" i="4462"/>
  <c r="AE113" i="4462"/>
  <c r="AF113" i="4462"/>
  <c r="AG113" i="4462"/>
  <c r="AH113" i="4462"/>
  <c r="AI113" i="4462"/>
  <c r="AJ113" i="4462"/>
  <c r="AK113" i="4462"/>
  <c r="AL113" i="4462"/>
  <c r="AM113" i="4462"/>
  <c r="AN113" i="4462"/>
  <c r="AO113" i="4462"/>
  <c r="AP113" i="4462"/>
  <c r="AQ113" i="4462"/>
  <c r="AR113" i="4462"/>
  <c r="AS113" i="4462"/>
  <c r="AT113" i="4462"/>
  <c r="AU113" i="4462"/>
  <c r="AV113" i="4462"/>
  <c r="AW113" i="4462"/>
  <c r="AX113" i="4462"/>
  <c r="AY113" i="4462"/>
  <c r="AZ113" i="4462"/>
  <c r="BA113" i="4462"/>
  <c r="BB113" i="4462"/>
  <c r="BC113" i="4462"/>
  <c r="BD113" i="4462"/>
  <c r="A114" i="4462"/>
  <c r="B114" i="4462"/>
  <c r="C114" i="4462"/>
  <c r="D114" i="4462"/>
  <c r="E114" i="4462"/>
  <c r="F114" i="4462"/>
  <c r="G114" i="4462"/>
  <c r="H114" i="4462"/>
  <c r="I114" i="4462"/>
  <c r="J114" i="4462"/>
  <c r="K114" i="4462"/>
  <c r="L114" i="4462"/>
  <c r="M114" i="4462"/>
  <c r="N114" i="4462"/>
  <c r="O114" i="4462"/>
  <c r="P114" i="4462"/>
  <c r="Q114" i="4462"/>
  <c r="R114" i="4462"/>
  <c r="S114" i="4462"/>
  <c r="T114" i="4462"/>
  <c r="U114" i="4462"/>
  <c r="V114" i="4462"/>
  <c r="W114" i="4462"/>
  <c r="X114" i="4462"/>
  <c r="Y114" i="4462"/>
  <c r="Z114" i="4462"/>
  <c r="AA114" i="4462"/>
  <c r="AB114" i="4462"/>
  <c r="AC114" i="4462"/>
  <c r="AD114" i="4462"/>
  <c r="AE114" i="4462"/>
  <c r="AF114" i="4462"/>
  <c r="AG114" i="4462"/>
  <c r="AH114" i="4462"/>
  <c r="AI114" i="4462"/>
  <c r="AJ114" i="4462"/>
  <c r="AK114" i="4462"/>
  <c r="AL114" i="4462"/>
  <c r="AM114" i="4462"/>
  <c r="AN114" i="4462"/>
  <c r="AO114" i="4462"/>
  <c r="AP114" i="4462"/>
  <c r="AQ114" i="4462"/>
  <c r="AR114" i="4462"/>
  <c r="AS114" i="4462"/>
  <c r="AT114" i="4462"/>
  <c r="AU114" i="4462"/>
  <c r="AV114" i="4462"/>
  <c r="AW114" i="4462"/>
  <c r="AX114" i="4462"/>
  <c r="AY114" i="4462"/>
  <c r="AZ114" i="4462"/>
  <c r="BA114" i="4462"/>
  <c r="BB114" i="4462"/>
  <c r="BC114" i="4462"/>
  <c r="BD114" i="4462"/>
  <c r="A115" i="4462"/>
  <c r="B115" i="4462"/>
  <c r="C115" i="4462"/>
  <c r="D115" i="4462"/>
  <c r="E115" i="4462"/>
  <c r="F115" i="4462"/>
  <c r="G115" i="4462"/>
  <c r="H115" i="4462"/>
  <c r="I115" i="4462"/>
  <c r="J115" i="4462"/>
  <c r="K115" i="4462"/>
  <c r="L115" i="4462"/>
  <c r="M115" i="4462"/>
  <c r="N115" i="4462"/>
  <c r="O115" i="4462"/>
  <c r="P115" i="4462"/>
  <c r="Q115" i="4462"/>
  <c r="R115" i="4462"/>
  <c r="S115" i="4462"/>
  <c r="T115" i="4462"/>
  <c r="U115" i="4462"/>
  <c r="V115" i="4462"/>
  <c r="W115" i="4462"/>
  <c r="X115" i="4462"/>
  <c r="Y115" i="4462"/>
  <c r="Z115" i="4462"/>
  <c r="AA115" i="4462"/>
  <c r="AB115" i="4462"/>
  <c r="AC115" i="4462"/>
  <c r="AD115" i="4462"/>
  <c r="AE115" i="4462"/>
  <c r="AF115" i="4462"/>
  <c r="AG115" i="4462"/>
  <c r="AH115" i="4462"/>
  <c r="AI115" i="4462"/>
  <c r="AJ115" i="4462"/>
  <c r="AK115" i="4462"/>
  <c r="AL115" i="4462"/>
  <c r="AM115" i="4462"/>
  <c r="AN115" i="4462"/>
  <c r="AO115" i="4462"/>
  <c r="AP115" i="4462"/>
  <c r="AQ115" i="4462"/>
  <c r="AR115" i="4462"/>
  <c r="AS115" i="4462"/>
  <c r="AT115" i="4462"/>
  <c r="AU115" i="4462"/>
  <c r="AV115" i="4462"/>
  <c r="AW115" i="4462"/>
  <c r="AX115" i="4462"/>
  <c r="AY115" i="4462"/>
  <c r="AZ115" i="4462"/>
  <c r="BA115" i="4462"/>
  <c r="BB115" i="4462"/>
  <c r="BC115" i="4462"/>
  <c r="BD115" i="4462"/>
  <c r="A116" i="4462"/>
  <c r="B116" i="4462"/>
  <c r="C116" i="4462"/>
  <c r="D116" i="4462"/>
  <c r="E116" i="4462"/>
  <c r="F116" i="4462"/>
  <c r="G116" i="4462"/>
  <c r="H116" i="4462"/>
  <c r="I116" i="4462"/>
  <c r="J116" i="4462"/>
  <c r="K116" i="4462"/>
  <c r="L116" i="4462"/>
  <c r="M116" i="4462"/>
  <c r="N116" i="4462"/>
  <c r="O116" i="4462"/>
  <c r="P116" i="4462"/>
  <c r="Q116" i="4462"/>
  <c r="R116" i="4462"/>
  <c r="S116" i="4462"/>
  <c r="T116" i="4462"/>
  <c r="U116" i="4462"/>
  <c r="V116" i="4462"/>
  <c r="W116" i="4462"/>
  <c r="X116" i="4462"/>
  <c r="Y116" i="4462"/>
  <c r="Z116" i="4462"/>
  <c r="AA116" i="4462"/>
  <c r="AB116" i="4462"/>
  <c r="AC116" i="4462"/>
  <c r="AD116" i="4462"/>
  <c r="AE116" i="4462"/>
  <c r="AF116" i="4462"/>
  <c r="AG116" i="4462"/>
  <c r="AH116" i="4462"/>
  <c r="AI116" i="4462"/>
  <c r="AJ116" i="4462"/>
  <c r="AK116" i="4462"/>
  <c r="AL116" i="4462"/>
  <c r="AM116" i="4462"/>
  <c r="AN116" i="4462"/>
  <c r="AO116" i="4462"/>
  <c r="AP116" i="4462"/>
  <c r="AQ116" i="4462"/>
  <c r="AR116" i="4462"/>
  <c r="AS116" i="4462"/>
  <c r="AT116" i="4462"/>
  <c r="AU116" i="4462"/>
  <c r="AV116" i="4462"/>
  <c r="AW116" i="4462"/>
  <c r="AX116" i="4462"/>
  <c r="AY116" i="4462"/>
  <c r="AZ116" i="4462"/>
  <c r="BA116" i="4462"/>
  <c r="BB116" i="4462"/>
  <c r="BC116" i="4462"/>
  <c r="BD116" i="4462"/>
  <c r="A117" i="4462"/>
  <c r="B117" i="4462"/>
  <c r="C117" i="4462"/>
  <c r="D117" i="4462"/>
  <c r="E117" i="4462"/>
  <c r="F117" i="4462"/>
  <c r="G117" i="4462"/>
  <c r="H117" i="4462"/>
  <c r="I117" i="4462"/>
  <c r="J117" i="4462"/>
  <c r="K117" i="4462"/>
  <c r="L117" i="4462"/>
  <c r="M117" i="4462"/>
  <c r="N117" i="4462"/>
  <c r="O117" i="4462"/>
  <c r="P117" i="4462"/>
  <c r="Q117" i="4462"/>
  <c r="R117" i="4462"/>
  <c r="S117" i="4462"/>
  <c r="T117" i="4462"/>
  <c r="U117" i="4462"/>
  <c r="V117" i="4462"/>
  <c r="W117" i="4462"/>
  <c r="X117" i="4462"/>
  <c r="Y117" i="4462"/>
  <c r="Z117" i="4462"/>
  <c r="AA117" i="4462"/>
  <c r="AB117" i="4462"/>
  <c r="AC117" i="4462"/>
  <c r="AD117" i="4462"/>
  <c r="AE117" i="4462"/>
  <c r="AF117" i="4462"/>
  <c r="AG117" i="4462"/>
  <c r="AH117" i="4462"/>
  <c r="AI117" i="4462"/>
  <c r="AJ117" i="4462"/>
  <c r="AK117" i="4462"/>
  <c r="AL117" i="4462"/>
  <c r="AM117" i="4462"/>
  <c r="AN117" i="4462"/>
  <c r="AO117" i="4462"/>
  <c r="AP117" i="4462"/>
  <c r="AQ117" i="4462"/>
  <c r="AR117" i="4462"/>
  <c r="AS117" i="4462"/>
  <c r="AT117" i="4462"/>
  <c r="AU117" i="4462"/>
  <c r="AV117" i="4462"/>
  <c r="AW117" i="4462"/>
  <c r="AX117" i="4462"/>
  <c r="AY117" i="4462"/>
  <c r="AZ117" i="4462"/>
  <c r="BA117" i="4462"/>
  <c r="BB117" i="4462"/>
  <c r="BC117" i="4462"/>
  <c r="BD117" i="4462"/>
  <c r="A118" i="4462"/>
  <c r="B118" i="4462"/>
  <c r="C118" i="4462"/>
  <c r="D118" i="4462"/>
  <c r="E118" i="4462"/>
  <c r="F118" i="4462"/>
  <c r="G118" i="4462"/>
  <c r="H118" i="4462"/>
  <c r="I118" i="4462"/>
  <c r="J118" i="4462"/>
  <c r="K118" i="4462"/>
  <c r="L118" i="4462"/>
  <c r="M118" i="4462"/>
  <c r="N118" i="4462"/>
  <c r="O118" i="4462"/>
  <c r="P118" i="4462"/>
  <c r="Q118" i="4462"/>
  <c r="R118" i="4462"/>
  <c r="S118" i="4462"/>
  <c r="T118" i="4462"/>
  <c r="U118" i="4462"/>
  <c r="V118" i="4462"/>
  <c r="W118" i="4462"/>
  <c r="X118" i="4462"/>
  <c r="Y118" i="4462"/>
  <c r="Z118" i="4462"/>
  <c r="AA118" i="4462"/>
  <c r="AB118" i="4462"/>
  <c r="AC118" i="4462"/>
  <c r="AD118" i="4462"/>
  <c r="AE118" i="4462"/>
  <c r="AF118" i="4462"/>
  <c r="AG118" i="4462"/>
  <c r="AH118" i="4462"/>
  <c r="AI118" i="4462"/>
  <c r="AJ118" i="4462"/>
  <c r="AK118" i="4462"/>
  <c r="AL118" i="4462"/>
  <c r="AM118" i="4462"/>
  <c r="AN118" i="4462"/>
  <c r="AO118" i="4462"/>
  <c r="AP118" i="4462"/>
  <c r="AQ118" i="4462"/>
  <c r="AR118" i="4462"/>
  <c r="AS118" i="4462"/>
  <c r="AT118" i="4462"/>
  <c r="AU118" i="4462"/>
  <c r="AV118" i="4462"/>
  <c r="AW118" i="4462"/>
  <c r="AX118" i="4462"/>
  <c r="AY118" i="4462"/>
  <c r="AZ118" i="4462"/>
  <c r="BA118" i="4462"/>
  <c r="BB118" i="4462"/>
  <c r="BC118" i="4462"/>
  <c r="BD118" i="4462"/>
  <c r="A119" i="4462"/>
  <c r="B119" i="4462"/>
  <c r="C119" i="4462"/>
  <c r="D119" i="4462"/>
  <c r="E119" i="4462"/>
  <c r="F119" i="4462"/>
  <c r="G119" i="4462"/>
  <c r="H119" i="4462"/>
  <c r="I119" i="4462"/>
  <c r="J119" i="4462"/>
  <c r="K119" i="4462"/>
  <c r="L119" i="4462"/>
  <c r="M119" i="4462"/>
  <c r="N119" i="4462"/>
  <c r="O119" i="4462"/>
  <c r="P119" i="4462"/>
  <c r="Q119" i="4462"/>
  <c r="R119" i="4462"/>
  <c r="S119" i="4462"/>
  <c r="T119" i="4462"/>
  <c r="U119" i="4462"/>
  <c r="V119" i="4462"/>
  <c r="W119" i="4462"/>
  <c r="X119" i="4462"/>
  <c r="Y119" i="4462"/>
  <c r="Z119" i="4462"/>
  <c r="AA119" i="4462"/>
  <c r="AB119" i="4462"/>
  <c r="AC119" i="4462"/>
  <c r="AD119" i="4462"/>
  <c r="AE119" i="4462"/>
  <c r="AF119" i="4462"/>
  <c r="AG119" i="4462"/>
  <c r="AH119" i="4462"/>
  <c r="AI119" i="4462"/>
  <c r="AJ119" i="4462"/>
  <c r="AK119" i="4462"/>
  <c r="AL119" i="4462"/>
  <c r="AM119" i="4462"/>
  <c r="AN119" i="4462"/>
  <c r="AO119" i="4462"/>
  <c r="AP119" i="4462"/>
  <c r="AQ119" i="4462"/>
  <c r="AR119" i="4462"/>
  <c r="AS119" i="4462"/>
  <c r="AT119" i="4462"/>
  <c r="AU119" i="4462"/>
  <c r="AV119" i="4462"/>
  <c r="AW119" i="4462"/>
  <c r="AX119" i="4462"/>
  <c r="AY119" i="4462"/>
  <c r="AZ119" i="4462"/>
  <c r="BA119" i="4462"/>
  <c r="BB119" i="4462"/>
  <c r="BC119" i="4462"/>
  <c r="BD119" i="4462"/>
  <c r="A120" i="4462"/>
  <c r="B120" i="4462"/>
  <c r="C120" i="4462"/>
  <c r="D120" i="4462"/>
  <c r="E120" i="4462"/>
  <c r="F120" i="4462"/>
  <c r="G120" i="4462"/>
  <c r="H120" i="4462"/>
  <c r="I120" i="4462"/>
  <c r="J120" i="4462"/>
  <c r="K120" i="4462"/>
  <c r="L120" i="4462"/>
  <c r="M120" i="4462"/>
  <c r="N120" i="4462"/>
  <c r="O120" i="4462"/>
  <c r="P120" i="4462"/>
  <c r="Q120" i="4462"/>
  <c r="R120" i="4462"/>
  <c r="S120" i="4462"/>
  <c r="T120" i="4462"/>
  <c r="U120" i="4462"/>
  <c r="V120" i="4462"/>
  <c r="W120" i="4462"/>
  <c r="X120" i="4462"/>
  <c r="Y120" i="4462"/>
  <c r="Z120" i="4462"/>
  <c r="AA120" i="4462"/>
  <c r="AB120" i="4462"/>
  <c r="AC120" i="4462"/>
  <c r="AD120" i="4462"/>
  <c r="AE120" i="4462"/>
  <c r="AF120" i="4462"/>
  <c r="AG120" i="4462"/>
  <c r="AH120" i="4462"/>
  <c r="AI120" i="4462"/>
  <c r="AJ120" i="4462"/>
  <c r="AK120" i="4462"/>
  <c r="AL120" i="4462"/>
  <c r="AM120" i="4462"/>
  <c r="AN120" i="4462"/>
  <c r="AO120" i="4462"/>
  <c r="AP120" i="4462"/>
  <c r="AQ120" i="4462"/>
  <c r="AR120" i="4462"/>
  <c r="AS120" i="4462"/>
  <c r="AT120" i="4462"/>
  <c r="AU120" i="4462"/>
  <c r="AV120" i="4462"/>
  <c r="AW120" i="4462"/>
  <c r="AX120" i="4462"/>
  <c r="AY120" i="4462"/>
  <c r="AZ120" i="4462"/>
  <c r="BA120" i="4462"/>
  <c r="BB120" i="4462"/>
  <c r="BC120" i="4462"/>
  <c r="BD120" i="4462"/>
  <c r="A121" i="4462"/>
  <c r="B121" i="4462"/>
  <c r="C121" i="4462"/>
  <c r="D121" i="4462"/>
  <c r="E121" i="4462"/>
  <c r="F121" i="4462"/>
  <c r="G121" i="4462"/>
  <c r="H121" i="4462"/>
  <c r="I121" i="4462"/>
  <c r="J121" i="4462"/>
  <c r="K121" i="4462"/>
  <c r="L121" i="4462"/>
  <c r="M121" i="4462"/>
  <c r="N121" i="4462"/>
  <c r="O121" i="4462"/>
  <c r="P121" i="4462"/>
  <c r="Q121" i="4462"/>
  <c r="R121" i="4462"/>
  <c r="S121" i="4462"/>
  <c r="T121" i="4462"/>
  <c r="U121" i="4462"/>
  <c r="V121" i="4462"/>
  <c r="W121" i="4462"/>
  <c r="X121" i="4462"/>
  <c r="Y121" i="4462"/>
  <c r="Z121" i="4462"/>
  <c r="AA121" i="4462"/>
  <c r="AB121" i="4462"/>
  <c r="AC121" i="4462"/>
  <c r="AD121" i="4462"/>
  <c r="AE121" i="4462"/>
  <c r="AF121" i="4462"/>
  <c r="AG121" i="4462"/>
  <c r="AH121" i="4462"/>
  <c r="AI121" i="4462"/>
  <c r="AJ121" i="4462"/>
  <c r="AK121" i="4462"/>
  <c r="AL121" i="4462"/>
  <c r="AM121" i="4462"/>
  <c r="AN121" i="4462"/>
  <c r="AO121" i="4462"/>
  <c r="AP121" i="4462"/>
  <c r="AQ121" i="4462"/>
  <c r="AR121" i="4462"/>
  <c r="AS121" i="4462"/>
  <c r="AT121" i="4462"/>
  <c r="AU121" i="4462"/>
  <c r="AV121" i="4462"/>
  <c r="AW121" i="4462"/>
  <c r="AX121" i="4462"/>
  <c r="AY121" i="4462"/>
  <c r="AZ121" i="4462"/>
  <c r="BA121" i="4462"/>
  <c r="BB121" i="4462"/>
  <c r="BC121" i="4462"/>
  <c r="BD121" i="4462"/>
  <c r="A122" i="4462"/>
  <c r="B122" i="4462"/>
  <c r="C122" i="4462"/>
  <c r="D122" i="4462"/>
  <c r="E122" i="4462"/>
  <c r="F122" i="4462"/>
  <c r="G122" i="4462"/>
  <c r="H122" i="4462"/>
  <c r="I122" i="4462"/>
  <c r="J122" i="4462"/>
  <c r="K122" i="4462"/>
  <c r="L122" i="4462"/>
  <c r="M122" i="4462"/>
  <c r="N122" i="4462"/>
  <c r="O122" i="4462"/>
  <c r="P122" i="4462"/>
  <c r="Q122" i="4462"/>
  <c r="R122" i="4462"/>
  <c r="S122" i="4462"/>
  <c r="T122" i="4462"/>
  <c r="U122" i="4462"/>
  <c r="V122" i="4462"/>
  <c r="W122" i="4462"/>
  <c r="X122" i="4462"/>
  <c r="Y122" i="4462"/>
  <c r="Z122" i="4462"/>
  <c r="AA122" i="4462"/>
  <c r="AB122" i="4462"/>
  <c r="AC122" i="4462"/>
  <c r="AD122" i="4462"/>
  <c r="AE122" i="4462"/>
  <c r="AF122" i="4462"/>
  <c r="AG122" i="4462"/>
  <c r="AH122" i="4462"/>
  <c r="AI122" i="4462"/>
  <c r="AJ122" i="4462"/>
  <c r="AK122" i="4462"/>
  <c r="AL122" i="4462"/>
  <c r="AM122" i="4462"/>
  <c r="AN122" i="4462"/>
  <c r="AO122" i="4462"/>
  <c r="AP122" i="4462"/>
  <c r="AQ122" i="4462"/>
  <c r="AR122" i="4462"/>
  <c r="AS122" i="4462"/>
  <c r="AT122" i="4462"/>
  <c r="AU122" i="4462"/>
  <c r="AV122" i="4462"/>
  <c r="AW122" i="4462"/>
  <c r="AX122" i="4462"/>
  <c r="AY122" i="4462"/>
  <c r="AZ122" i="4462"/>
  <c r="BA122" i="4462"/>
  <c r="BB122" i="4462"/>
  <c r="BC122" i="4462"/>
  <c r="BD122" i="4462"/>
  <c r="A123" i="4462"/>
  <c r="B123" i="4462"/>
  <c r="C123" i="4462"/>
  <c r="D123" i="4462"/>
  <c r="E123" i="4462"/>
  <c r="F123" i="4462"/>
  <c r="G123" i="4462"/>
  <c r="H123" i="4462"/>
  <c r="I123" i="4462"/>
  <c r="J123" i="4462"/>
  <c r="K123" i="4462"/>
  <c r="L123" i="4462"/>
  <c r="M123" i="4462"/>
  <c r="N123" i="4462"/>
  <c r="O123" i="4462"/>
  <c r="P123" i="4462"/>
  <c r="Q123" i="4462"/>
  <c r="R123" i="4462"/>
  <c r="S123" i="4462"/>
  <c r="T123" i="4462"/>
  <c r="U123" i="4462"/>
  <c r="V123" i="4462"/>
  <c r="W123" i="4462"/>
  <c r="X123" i="4462"/>
  <c r="Y123" i="4462"/>
  <c r="Z123" i="4462"/>
  <c r="AA123" i="4462"/>
  <c r="AB123" i="4462"/>
  <c r="AC123" i="4462"/>
  <c r="AD123" i="4462"/>
  <c r="AE123" i="4462"/>
  <c r="AF123" i="4462"/>
  <c r="AG123" i="4462"/>
  <c r="AH123" i="4462"/>
  <c r="AI123" i="4462"/>
  <c r="AJ123" i="4462"/>
  <c r="AK123" i="4462"/>
  <c r="AL123" i="4462"/>
  <c r="AM123" i="4462"/>
  <c r="AN123" i="4462"/>
  <c r="AO123" i="4462"/>
  <c r="AP123" i="4462"/>
  <c r="AQ123" i="4462"/>
  <c r="AR123" i="4462"/>
  <c r="AS123" i="4462"/>
  <c r="AT123" i="4462"/>
  <c r="AU123" i="4462"/>
  <c r="AV123" i="4462"/>
  <c r="AW123" i="4462"/>
  <c r="AX123" i="4462"/>
  <c r="AY123" i="4462"/>
  <c r="AZ123" i="4462"/>
  <c r="BA123" i="4462"/>
  <c r="BB123" i="4462"/>
  <c r="BC123" i="4462"/>
  <c r="BD123" i="4462"/>
  <c r="A124" i="4462"/>
  <c r="B124" i="4462"/>
  <c r="C124" i="4462"/>
  <c r="D124" i="4462"/>
  <c r="E124" i="4462"/>
  <c r="F124" i="4462"/>
  <c r="G124" i="4462"/>
  <c r="H124" i="4462"/>
  <c r="I124" i="4462"/>
  <c r="J124" i="4462"/>
  <c r="K124" i="4462"/>
  <c r="L124" i="4462"/>
  <c r="M124" i="4462"/>
  <c r="N124" i="4462"/>
  <c r="O124" i="4462"/>
  <c r="P124" i="4462"/>
  <c r="Q124" i="4462"/>
  <c r="R124" i="4462"/>
  <c r="S124" i="4462"/>
  <c r="T124" i="4462"/>
  <c r="U124" i="4462"/>
  <c r="V124" i="4462"/>
  <c r="W124" i="4462"/>
  <c r="X124" i="4462"/>
  <c r="Y124" i="4462"/>
  <c r="Z124" i="4462"/>
  <c r="AA124" i="4462"/>
  <c r="AB124" i="4462"/>
  <c r="AC124" i="4462"/>
  <c r="AD124" i="4462"/>
  <c r="AE124" i="4462"/>
  <c r="AF124" i="4462"/>
  <c r="AG124" i="4462"/>
  <c r="AH124" i="4462"/>
  <c r="AI124" i="4462"/>
  <c r="AJ124" i="4462"/>
  <c r="AK124" i="4462"/>
  <c r="AL124" i="4462"/>
  <c r="AM124" i="4462"/>
  <c r="AN124" i="4462"/>
  <c r="AO124" i="4462"/>
  <c r="AP124" i="4462"/>
  <c r="AQ124" i="4462"/>
  <c r="AR124" i="4462"/>
  <c r="AS124" i="4462"/>
  <c r="AT124" i="4462"/>
  <c r="AU124" i="4462"/>
  <c r="AV124" i="4462"/>
  <c r="AW124" i="4462"/>
  <c r="AX124" i="4462"/>
  <c r="AY124" i="4462"/>
  <c r="AZ124" i="4462"/>
  <c r="BA124" i="4462"/>
  <c r="BB124" i="4462"/>
  <c r="BC124" i="4462"/>
  <c r="BD124" i="4462"/>
  <c r="A125" i="4462"/>
  <c r="B125" i="4462"/>
  <c r="C125" i="4462"/>
  <c r="D125" i="4462"/>
  <c r="E125" i="4462"/>
  <c r="F125" i="4462"/>
  <c r="G125" i="4462"/>
  <c r="H125" i="4462"/>
  <c r="I125" i="4462"/>
  <c r="J125" i="4462"/>
  <c r="K125" i="4462"/>
  <c r="L125" i="4462"/>
  <c r="M125" i="4462"/>
  <c r="N125" i="4462"/>
  <c r="O125" i="4462"/>
  <c r="P125" i="4462"/>
  <c r="Q125" i="4462"/>
  <c r="R125" i="4462"/>
  <c r="S125" i="4462"/>
  <c r="T125" i="4462"/>
  <c r="U125" i="4462"/>
  <c r="V125" i="4462"/>
  <c r="W125" i="4462"/>
  <c r="X125" i="4462"/>
  <c r="Y125" i="4462"/>
  <c r="Z125" i="4462"/>
  <c r="AA125" i="4462"/>
  <c r="AB125" i="4462"/>
  <c r="AC125" i="4462"/>
  <c r="AD125" i="4462"/>
  <c r="AE125" i="4462"/>
  <c r="AF125" i="4462"/>
  <c r="AG125" i="4462"/>
  <c r="AH125" i="4462"/>
  <c r="AI125" i="4462"/>
  <c r="AJ125" i="4462"/>
  <c r="AK125" i="4462"/>
  <c r="AL125" i="4462"/>
  <c r="AM125" i="4462"/>
  <c r="AN125" i="4462"/>
  <c r="AO125" i="4462"/>
  <c r="AP125" i="4462"/>
  <c r="AQ125" i="4462"/>
  <c r="AR125" i="4462"/>
  <c r="AS125" i="4462"/>
  <c r="AT125" i="4462"/>
  <c r="AU125" i="4462"/>
  <c r="AV125" i="4462"/>
  <c r="AW125" i="4462"/>
  <c r="AX125" i="4462"/>
  <c r="AY125" i="4462"/>
  <c r="AZ125" i="4462"/>
  <c r="BA125" i="4462"/>
  <c r="BB125" i="4462"/>
  <c r="BC125" i="4462"/>
  <c r="BD125" i="4462"/>
  <c r="A126" i="4462"/>
  <c r="B126" i="4462"/>
  <c r="C126" i="4462"/>
  <c r="D126" i="4462"/>
  <c r="E126" i="4462"/>
  <c r="F126" i="4462"/>
  <c r="G126" i="4462"/>
  <c r="H126" i="4462"/>
  <c r="I126" i="4462"/>
  <c r="J126" i="4462"/>
  <c r="K126" i="4462"/>
  <c r="L126" i="4462"/>
  <c r="M126" i="4462"/>
  <c r="N126" i="4462"/>
  <c r="O126" i="4462"/>
  <c r="P126" i="4462"/>
  <c r="Q126" i="4462"/>
  <c r="R126" i="4462"/>
  <c r="S126" i="4462"/>
  <c r="T126" i="4462"/>
  <c r="U126" i="4462"/>
  <c r="V126" i="4462"/>
  <c r="W126" i="4462"/>
  <c r="X126" i="4462"/>
  <c r="Y126" i="4462"/>
  <c r="Z126" i="4462"/>
  <c r="AA126" i="4462"/>
  <c r="AB126" i="4462"/>
  <c r="AC126" i="4462"/>
  <c r="AD126" i="4462"/>
  <c r="AE126" i="4462"/>
  <c r="AF126" i="4462"/>
  <c r="AG126" i="4462"/>
  <c r="AH126" i="4462"/>
  <c r="AI126" i="4462"/>
  <c r="AJ126" i="4462"/>
  <c r="AK126" i="4462"/>
  <c r="AL126" i="4462"/>
  <c r="AM126" i="4462"/>
  <c r="AN126" i="4462"/>
  <c r="AO126" i="4462"/>
  <c r="AP126" i="4462"/>
  <c r="AQ126" i="4462"/>
  <c r="AR126" i="4462"/>
  <c r="AS126" i="4462"/>
  <c r="AT126" i="4462"/>
  <c r="AU126" i="4462"/>
  <c r="AV126" i="4462"/>
  <c r="AW126" i="4462"/>
  <c r="AX126" i="4462"/>
  <c r="AY126" i="4462"/>
  <c r="AZ126" i="4462"/>
  <c r="BA126" i="4462"/>
  <c r="BB126" i="4462"/>
  <c r="BC126" i="4462"/>
  <c r="BD126" i="4462"/>
  <c r="A127" i="4462"/>
  <c r="B127" i="4462"/>
  <c r="C127" i="4462"/>
  <c r="D127" i="4462"/>
  <c r="E127" i="4462"/>
  <c r="F127" i="4462"/>
  <c r="G127" i="4462"/>
  <c r="H127" i="4462"/>
  <c r="I127" i="4462"/>
  <c r="J127" i="4462"/>
  <c r="K127" i="4462"/>
  <c r="L127" i="4462"/>
  <c r="M127" i="4462"/>
  <c r="N127" i="4462"/>
  <c r="O127" i="4462"/>
  <c r="P127" i="4462"/>
  <c r="Q127" i="4462"/>
  <c r="R127" i="4462"/>
  <c r="S127" i="4462"/>
  <c r="T127" i="4462"/>
  <c r="U127" i="4462"/>
  <c r="V127" i="4462"/>
  <c r="W127" i="4462"/>
  <c r="X127" i="4462"/>
  <c r="Y127" i="4462"/>
  <c r="Z127" i="4462"/>
  <c r="AA127" i="4462"/>
  <c r="AB127" i="4462"/>
  <c r="AC127" i="4462"/>
  <c r="AD127" i="4462"/>
  <c r="AE127" i="4462"/>
  <c r="AF127" i="4462"/>
  <c r="AG127" i="4462"/>
  <c r="AH127" i="4462"/>
  <c r="AI127" i="4462"/>
  <c r="AJ127" i="4462"/>
  <c r="AK127" i="4462"/>
  <c r="AL127" i="4462"/>
  <c r="AM127" i="4462"/>
  <c r="AN127" i="4462"/>
  <c r="AO127" i="4462"/>
  <c r="AP127" i="4462"/>
  <c r="AQ127" i="4462"/>
  <c r="AR127" i="4462"/>
  <c r="AS127" i="4462"/>
  <c r="AT127" i="4462"/>
  <c r="AU127" i="4462"/>
  <c r="AV127" i="4462"/>
  <c r="AW127" i="4462"/>
  <c r="AX127" i="4462"/>
  <c r="AY127" i="4462"/>
  <c r="AZ127" i="4462"/>
  <c r="BA127" i="4462"/>
  <c r="BB127" i="4462"/>
  <c r="BC127" i="4462"/>
  <c r="BD127" i="4462"/>
  <c r="A128" i="4462"/>
  <c r="B128" i="4462"/>
  <c r="C128" i="4462"/>
  <c r="D128" i="4462"/>
  <c r="E128" i="4462"/>
  <c r="F128" i="4462"/>
  <c r="G128" i="4462"/>
  <c r="H128" i="4462"/>
  <c r="I128" i="4462"/>
  <c r="J128" i="4462"/>
  <c r="K128" i="4462"/>
  <c r="L128" i="4462"/>
  <c r="M128" i="4462"/>
  <c r="N128" i="4462"/>
  <c r="O128" i="4462"/>
  <c r="P128" i="4462"/>
  <c r="Q128" i="4462"/>
  <c r="R128" i="4462"/>
  <c r="S128" i="4462"/>
  <c r="T128" i="4462"/>
  <c r="U128" i="4462"/>
  <c r="V128" i="4462"/>
  <c r="W128" i="4462"/>
  <c r="X128" i="4462"/>
  <c r="Y128" i="4462"/>
  <c r="Z128" i="4462"/>
  <c r="AA128" i="4462"/>
  <c r="AB128" i="4462"/>
  <c r="AC128" i="4462"/>
  <c r="AD128" i="4462"/>
  <c r="AE128" i="4462"/>
  <c r="AF128" i="4462"/>
  <c r="AG128" i="4462"/>
  <c r="AH128" i="4462"/>
  <c r="AI128" i="4462"/>
  <c r="AJ128" i="4462"/>
  <c r="AK128" i="4462"/>
  <c r="AL128" i="4462"/>
  <c r="AM128" i="4462"/>
  <c r="AN128" i="4462"/>
  <c r="AO128" i="4462"/>
  <c r="AP128" i="4462"/>
  <c r="AQ128" i="4462"/>
  <c r="AR128" i="4462"/>
  <c r="AS128" i="4462"/>
  <c r="AT128" i="4462"/>
  <c r="AU128" i="4462"/>
  <c r="AV128" i="4462"/>
  <c r="AW128" i="4462"/>
  <c r="AX128" i="4462"/>
  <c r="AY128" i="4462"/>
  <c r="AZ128" i="4462"/>
  <c r="BA128" i="4462"/>
  <c r="BB128" i="4462"/>
  <c r="BC128" i="4462"/>
  <c r="BD128" i="4462"/>
  <c r="A129" i="4462"/>
  <c r="B129" i="4462"/>
  <c r="C129" i="4462"/>
  <c r="D129" i="4462"/>
  <c r="E129" i="4462"/>
  <c r="F129" i="4462"/>
  <c r="G129" i="4462"/>
  <c r="H129" i="4462"/>
  <c r="I129" i="4462"/>
  <c r="J129" i="4462"/>
  <c r="K129" i="4462"/>
  <c r="L129" i="4462"/>
  <c r="M129" i="4462"/>
  <c r="N129" i="4462"/>
  <c r="O129" i="4462"/>
  <c r="P129" i="4462"/>
  <c r="Q129" i="4462"/>
  <c r="R129" i="4462"/>
  <c r="S129" i="4462"/>
  <c r="T129" i="4462"/>
  <c r="U129" i="4462"/>
  <c r="V129" i="4462"/>
  <c r="W129" i="4462"/>
  <c r="X129" i="4462"/>
  <c r="Y129" i="4462"/>
  <c r="Z129" i="4462"/>
  <c r="AA129" i="4462"/>
  <c r="AB129" i="4462"/>
  <c r="AC129" i="4462"/>
  <c r="AD129" i="4462"/>
  <c r="AE129" i="4462"/>
  <c r="AF129" i="4462"/>
  <c r="AG129" i="4462"/>
  <c r="AH129" i="4462"/>
  <c r="AI129" i="4462"/>
  <c r="AJ129" i="4462"/>
  <c r="AK129" i="4462"/>
  <c r="AL129" i="4462"/>
  <c r="AM129" i="4462"/>
  <c r="AN129" i="4462"/>
  <c r="AO129" i="4462"/>
  <c r="AP129" i="4462"/>
  <c r="AQ129" i="4462"/>
  <c r="AR129" i="4462"/>
  <c r="AS129" i="4462"/>
  <c r="AT129" i="4462"/>
  <c r="AU129" i="4462"/>
  <c r="AV129" i="4462"/>
  <c r="AW129" i="4462"/>
  <c r="AX129" i="4462"/>
  <c r="AY129" i="4462"/>
  <c r="AZ129" i="4462"/>
  <c r="BA129" i="4462"/>
  <c r="BB129" i="4462"/>
  <c r="BC129" i="4462"/>
  <c r="BD129" i="4462"/>
  <c r="A130" i="4462"/>
  <c r="B130" i="4462"/>
  <c r="C130" i="4462"/>
  <c r="D130" i="4462"/>
  <c r="E130" i="4462"/>
  <c r="F130" i="4462"/>
  <c r="G130" i="4462"/>
  <c r="H130" i="4462"/>
  <c r="I130" i="4462"/>
  <c r="J130" i="4462"/>
  <c r="K130" i="4462"/>
  <c r="L130" i="4462"/>
  <c r="M130" i="4462"/>
  <c r="N130" i="4462"/>
  <c r="O130" i="4462"/>
  <c r="P130" i="4462"/>
  <c r="Q130" i="4462"/>
  <c r="R130" i="4462"/>
  <c r="S130" i="4462"/>
  <c r="T130" i="4462"/>
  <c r="U130" i="4462"/>
  <c r="V130" i="4462"/>
  <c r="W130" i="4462"/>
  <c r="X130" i="4462"/>
  <c r="Y130" i="4462"/>
  <c r="Z130" i="4462"/>
  <c r="AA130" i="4462"/>
  <c r="AB130" i="4462"/>
  <c r="AC130" i="4462"/>
  <c r="AD130" i="4462"/>
  <c r="AE130" i="4462"/>
  <c r="AF130" i="4462"/>
  <c r="AG130" i="4462"/>
  <c r="AH130" i="4462"/>
  <c r="AI130" i="4462"/>
  <c r="AJ130" i="4462"/>
  <c r="AK130" i="4462"/>
  <c r="AL130" i="4462"/>
  <c r="AM130" i="4462"/>
  <c r="AN130" i="4462"/>
  <c r="AO130" i="4462"/>
  <c r="AP130" i="4462"/>
  <c r="AQ130" i="4462"/>
  <c r="AR130" i="4462"/>
  <c r="AS130" i="4462"/>
  <c r="AT130" i="4462"/>
  <c r="AU130" i="4462"/>
  <c r="AV130" i="4462"/>
  <c r="AW130" i="4462"/>
  <c r="AX130" i="4462"/>
  <c r="AY130" i="4462"/>
  <c r="AZ130" i="4462"/>
  <c r="BA130" i="4462"/>
  <c r="BB130" i="4462"/>
  <c r="BC130" i="4462"/>
  <c r="BD130" i="4462"/>
  <c r="A131" i="4462"/>
  <c r="B131" i="4462"/>
  <c r="C131" i="4462"/>
  <c r="D131" i="4462"/>
  <c r="E131" i="4462"/>
  <c r="F131" i="4462"/>
  <c r="G131" i="4462"/>
  <c r="H131" i="4462"/>
  <c r="I131" i="4462"/>
  <c r="J131" i="4462"/>
  <c r="K131" i="4462"/>
  <c r="L131" i="4462"/>
  <c r="M131" i="4462"/>
  <c r="N131" i="4462"/>
  <c r="O131" i="4462"/>
  <c r="P131" i="4462"/>
  <c r="Q131" i="4462"/>
  <c r="R131" i="4462"/>
  <c r="S131" i="4462"/>
  <c r="T131" i="4462"/>
  <c r="U131" i="4462"/>
  <c r="V131" i="4462"/>
  <c r="W131" i="4462"/>
  <c r="X131" i="4462"/>
  <c r="Y131" i="4462"/>
  <c r="Z131" i="4462"/>
  <c r="AA131" i="4462"/>
  <c r="AB131" i="4462"/>
  <c r="AC131" i="4462"/>
  <c r="AD131" i="4462"/>
  <c r="AE131" i="4462"/>
  <c r="AF131" i="4462"/>
  <c r="AG131" i="4462"/>
  <c r="AH131" i="4462"/>
  <c r="AI131" i="4462"/>
  <c r="AJ131" i="4462"/>
  <c r="AK131" i="4462"/>
  <c r="AL131" i="4462"/>
  <c r="AM131" i="4462"/>
  <c r="AN131" i="4462"/>
  <c r="AO131" i="4462"/>
  <c r="AP131" i="4462"/>
  <c r="AQ131" i="4462"/>
  <c r="AR131" i="4462"/>
  <c r="AS131" i="4462"/>
  <c r="AT131" i="4462"/>
  <c r="AU131" i="4462"/>
  <c r="AV131" i="4462"/>
  <c r="AW131" i="4462"/>
  <c r="AX131" i="4462"/>
  <c r="AY131" i="4462"/>
  <c r="AZ131" i="4462"/>
  <c r="BA131" i="4462"/>
  <c r="BB131" i="4462"/>
  <c r="BC131" i="4462"/>
  <c r="BD131" i="4462"/>
  <c r="A132" i="4462"/>
  <c r="B132" i="4462"/>
  <c r="C132" i="4462"/>
  <c r="D132" i="4462"/>
  <c r="E132" i="4462"/>
  <c r="F132" i="4462"/>
  <c r="G132" i="4462"/>
  <c r="H132" i="4462"/>
  <c r="I132" i="4462"/>
  <c r="J132" i="4462"/>
  <c r="K132" i="4462"/>
  <c r="L132" i="4462"/>
  <c r="M132" i="4462"/>
  <c r="N132" i="4462"/>
  <c r="O132" i="4462"/>
  <c r="P132" i="4462"/>
  <c r="Q132" i="4462"/>
  <c r="R132" i="4462"/>
  <c r="S132" i="4462"/>
  <c r="T132" i="4462"/>
  <c r="U132" i="4462"/>
  <c r="V132" i="4462"/>
  <c r="W132" i="4462"/>
  <c r="X132" i="4462"/>
  <c r="Y132" i="4462"/>
  <c r="Z132" i="4462"/>
  <c r="AA132" i="4462"/>
  <c r="AB132" i="4462"/>
  <c r="AC132" i="4462"/>
  <c r="AD132" i="4462"/>
  <c r="AE132" i="4462"/>
  <c r="AF132" i="4462"/>
  <c r="AG132" i="4462"/>
  <c r="AH132" i="4462"/>
  <c r="AI132" i="4462"/>
  <c r="AJ132" i="4462"/>
  <c r="AK132" i="4462"/>
  <c r="AL132" i="4462"/>
  <c r="AM132" i="4462"/>
  <c r="AN132" i="4462"/>
  <c r="AO132" i="4462"/>
  <c r="AP132" i="4462"/>
  <c r="AQ132" i="4462"/>
  <c r="AR132" i="4462"/>
  <c r="AS132" i="4462"/>
  <c r="AT132" i="4462"/>
  <c r="AU132" i="4462"/>
  <c r="AV132" i="4462"/>
  <c r="AW132" i="4462"/>
  <c r="AX132" i="4462"/>
  <c r="AY132" i="4462"/>
  <c r="AZ132" i="4462"/>
  <c r="BA132" i="4462"/>
  <c r="BB132" i="4462"/>
  <c r="BC132" i="4462"/>
  <c r="BD132" i="4462"/>
  <c r="A133" i="4462"/>
  <c r="B133" i="4462"/>
  <c r="C133" i="4462"/>
  <c r="D133" i="4462"/>
  <c r="E133" i="4462"/>
  <c r="F133" i="4462"/>
  <c r="G133" i="4462"/>
  <c r="H133" i="4462"/>
  <c r="I133" i="4462"/>
  <c r="J133" i="4462"/>
  <c r="K133" i="4462"/>
  <c r="L133" i="4462"/>
  <c r="M133" i="4462"/>
  <c r="N133" i="4462"/>
  <c r="O133" i="4462"/>
  <c r="P133" i="4462"/>
  <c r="Q133" i="4462"/>
  <c r="R133" i="4462"/>
  <c r="S133" i="4462"/>
  <c r="T133" i="4462"/>
  <c r="U133" i="4462"/>
  <c r="V133" i="4462"/>
  <c r="W133" i="4462"/>
  <c r="X133" i="4462"/>
  <c r="Y133" i="4462"/>
  <c r="Z133" i="4462"/>
  <c r="AA133" i="4462"/>
  <c r="AB133" i="4462"/>
  <c r="AC133" i="4462"/>
  <c r="AD133" i="4462"/>
  <c r="AE133" i="4462"/>
  <c r="AF133" i="4462"/>
  <c r="AG133" i="4462"/>
  <c r="AH133" i="4462"/>
  <c r="AI133" i="4462"/>
  <c r="AJ133" i="4462"/>
  <c r="AK133" i="4462"/>
  <c r="AL133" i="4462"/>
  <c r="AM133" i="4462"/>
  <c r="AN133" i="4462"/>
  <c r="AO133" i="4462"/>
  <c r="AP133" i="4462"/>
  <c r="AQ133" i="4462"/>
  <c r="AR133" i="4462"/>
  <c r="AS133" i="4462"/>
  <c r="AT133" i="4462"/>
  <c r="AU133" i="4462"/>
  <c r="AV133" i="4462"/>
  <c r="AW133" i="4462"/>
  <c r="AX133" i="4462"/>
  <c r="AY133" i="4462"/>
  <c r="AZ133" i="4462"/>
  <c r="BA133" i="4462"/>
  <c r="BB133" i="4462"/>
  <c r="BC133" i="4462"/>
  <c r="BD133" i="4462"/>
  <c r="A134" i="4462"/>
  <c r="B134" i="4462"/>
  <c r="C134" i="4462"/>
  <c r="D134" i="4462"/>
  <c r="E134" i="4462"/>
  <c r="F134" i="4462"/>
  <c r="G134" i="4462"/>
  <c r="H134" i="4462"/>
  <c r="I134" i="4462"/>
  <c r="J134" i="4462"/>
  <c r="K134" i="4462"/>
  <c r="L134" i="4462"/>
  <c r="M134" i="4462"/>
  <c r="N134" i="4462"/>
  <c r="O134" i="4462"/>
  <c r="P134" i="4462"/>
  <c r="Q134" i="4462"/>
  <c r="R134" i="4462"/>
  <c r="S134" i="4462"/>
  <c r="T134" i="4462"/>
  <c r="U134" i="4462"/>
  <c r="V134" i="4462"/>
  <c r="W134" i="4462"/>
  <c r="X134" i="4462"/>
  <c r="Y134" i="4462"/>
  <c r="Z134" i="4462"/>
  <c r="AA134" i="4462"/>
  <c r="AB134" i="4462"/>
  <c r="AC134" i="4462"/>
  <c r="AD134" i="4462"/>
  <c r="AE134" i="4462"/>
  <c r="AF134" i="4462"/>
  <c r="AG134" i="4462"/>
  <c r="AH134" i="4462"/>
  <c r="AI134" i="4462"/>
  <c r="AJ134" i="4462"/>
  <c r="AK134" i="4462"/>
  <c r="AL134" i="4462"/>
  <c r="AM134" i="4462"/>
  <c r="AN134" i="4462"/>
  <c r="AO134" i="4462"/>
  <c r="AP134" i="4462"/>
  <c r="AQ134" i="4462"/>
  <c r="AR134" i="4462"/>
  <c r="AS134" i="4462"/>
  <c r="AT134" i="4462"/>
  <c r="AU134" i="4462"/>
  <c r="AV134" i="4462"/>
  <c r="AW134" i="4462"/>
  <c r="AX134" i="4462"/>
  <c r="AY134" i="4462"/>
  <c r="AZ134" i="4462"/>
  <c r="BA134" i="4462"/>
  <c r="BB134" i="4462"/>
  <c r="BC134" i="4462"/>
  <c r="BD134" i="4462"/>
  <c r="A135" i="4462"/>
  <c r="B135" i="4462"/>
  <c r="C135" i="4462"/>
  <c r="D135" i="4462"/>
  <c r="E135" i="4462"/>
  <c r="F135" i="4462"/>
  <c r="G135" i="4462"/>
  <c r="H135" i="4462"/>
  <c r="I135" i="4462"/>
  <c r="J135" i="4462"/>
  <c r="K135" i="4462"/>
  <c r="L135" i="4462"/>
  <c r="M135" i="4462"/>
  <c r="N135" i="4462"/>
  <c r="O135" i="4462"/>
  <c r="P135" i="4462"/>
  <c r="Q135" i="4462"/>
  <c r="R135" i="4462"/>
  <c r="S135" i="4462"/>
  <c r="T135" i="4462"/>
  <c r="U135" i="4462"/>
  <c r="V135" i="4462"/>
  <c r="W135" i="4462"/>
  <c r="X135" i="4462"/>
  <c r="Y135" i="4462"/>
  <c r="Z135" i="4462"/>
  <c r="AA135" i="4462"/>
  <c r="AB135" i="4462"/>
  <c r="AC135" i="4462"/>
  <c r="AD135" i="4462"/>
  <c r="AE135" i="4462"/>
  <c r="AF135" i="4462"/>
  <c r="AG135" i="4462"/>
  <c r="AH135" i="4462"/>
  <c r="AI135" i="4462"/>
  <c r="AJ135" i="4462"/>
  <c r="AK135" i="4462"/>
  <c r="AL135" i="4462"/>
  <c r="AM135" i="4462"/>
  <c r="AN135" i="4462"/>
  <c r="AO135" i="4462"/>
  <c r="AP135" i="4462"/>
  <c r="AQ135" i="4462"/>
  <c r="AR135" i="4462"/>
  <c r="AS135" i="4462"/>
  <c r="AT135" i="4462"/>
  <c r="AU135" i="4462"/>
  <c r="AV135" i="4462"/>
  <c r="AW135" i="4462"/>
  <c r="AX135" i="4462"/>
  <c r="AY135" i="4462"/>
  <c r="AZ135" i="4462"/>
  <c r="BA135" i="4462"/>
  <c r="BB135" i="4462"/>
  <c r="BC135" i="4462"/>
  <c r="BD135" i="4462"/>
  <c r="A136" i="4462"/>
  <c r="B136" i="4462"/>
  <c r="C136" i="4462"/>
  <c r="D136" i="4462"/>
  <c r="E136" i="4462"/>
  <c r="F136" i="4462"/>
  <c r="G136" i="4462"/>
  <c r="H136" i="4462"/>
  <c r="I136" i="4462"/>
  <c r="J136" i="4462"/>
  <c r="K136" i="4462"/>
  <c r="L136" i="4462"/>
  <c r="M136" i="4462"/>
  <c r="N136" i="4462"/>
  <c r="O136" i="4462"/>
  <c r="P136" i="4462"/>
  <c r="Q136" i="4462"/>
  <c r="R136" i="4462"/>
  <c r="S136" i="4462"/>
  <c r="T136" i="4462"/>
  <c r="U136" i="4462"/>
  <c r="V136" i="4462"/>
  <c r="W136" i="4462"/>
  <c r="X136" i="4462"/>
  <c r="Y136" i="4462"/>
  <c r="Z136" i="4462"/>
  <c r="AA136" i="4462"/>
  <c r="AB136" i="4462"/>
  <c r="AC136" i="4462"/>
  <c r="AD136" i="4462"/>
  <c r="AE136" i="4462"/>
  <c r="AF136" i="4462"/>
  <c r="AG136" i="4462"/>
  <c r="AH136" i="4462"/>
  <c r="AI136" i="4462"/>
  <c r="AJ136" i="4462"/>
  <c r="AK136" i="4462"/>
  <c r="AL136" i="4462"/>
  <c r="AM136" i="4462"/>
  <c r="AN136" i="4462"/>
  <c r="AO136" i="4462"/>
  <c r="AP136" i="4462"/>
  <c r="AQ136" i="4462"/>
  <c r="AR136" i="4462"/>
  <c r="AS136" i="4462"/>
  <c r="AT136" i="4462"/>
  <c r="AU136" i="4462"/>
  <c r="AV136" i="4462"/>
  <c r="AW136" i="4462"/>
  <c r="AX136" i="4462"/>
  <c r="AY136" i="4462"/>
  <c r="AZ136" i="4462"/>
  <c r="BA136" i="4462"/>
  <c r="BB136" i="4462"/>
  <c r="BC136" i="4462"/>
  <c r="BD136" i="4462"/>
  <c r="A137" i="4462"/>
  <c r="B137" i="4462"/>
  <c r="C137" i="4462"/>
  <c r="D137" i="4462"/>
  <c r="E137" i="4462"/>
  <c r="F137" i="4462"/>
  <c r="G137" i="4462"/>
  <c r="H137" i="4462"/>
  <c r="I137" i="4462"/>
  <c r="J137" i="4462"/>
  <c r="K137" i="4462"/>
  <c r="L137" i="4462"/>
  <c r="M137" i="4462"/>
  <c r="N137" i="4462"/>
  <c r="O137" i="4462"/>
  <c r="P137" i="4462"/>
  <c r="Q137" i="4462"/>
  <c r="R137" i="4462"/>
  <c r="S137" i="4462"/>
  <c r="T137" i="4462"/>
  <c r="U137" i="4462"/>
  <c r="V137" i="4462"/>
  <c r="W137" i="4462"/>
  <c r="X137" i="4462"/>
  <c r="Y137" i="4462"/>
  <c r="Z137" i="4462"/>
  <c r="AA137" i="4462"/>
  <c r="AB137" i="4462"/>
  <c r="AC137" i="4462"/>
  <c r="AD137" i="4462"/>
  <c r="AE137" i="4462"/>
  <c r="AF137" i="4462"/>
  <c r="AG137" i="4462"/>
  <c r="AH137" i="4462"/>
  <c r="AI137" i="4462"/>
  <c r="AJ137" i="4462"/>
  <c r="AK137" i="4462"/>
  <c r="AL137" i="4462"/>
  <c r="AM137" i="4462"/>
  <c r="AN137" i="4462"/>
  <c r="AO137" i="4462"/>
  <c r="AP137" i="4462"/>
  <c r="AQ137" i="4462"/>
  <c r="AR137" i="4462"/>
  <c r="AS137" i="4462"/>
  <c r="AT137" i="4462"/>
  <c r="AU137" i="4462"/>
  <c r="AV137" i="4462"/>
  <c r="AW137" i="4462"/>
  <c r="AX137" i="4462"/>
  <c r="AY137" i="4462"/>
  <c r="AZ137" i="4462"/>
  <c r="BA137" i="4462"/>
  <c r="BB137" i="4462"/>
  <c r="BC137" i="4462"/>
  <c r="BD137" i="4462"/>
  <c r="A138" i="4462"/>
  <c r="B138" i="4462"/>
  <c r="C138" i="4462"/>
  <c r="D138" i="4462"/>
  <c r="E138" i="4462"/>
  <c r="F138" i="4462"/>
  <c r="G138" i="4462"/>
  <c r="H138" i="4462"/>
  <c r="I138" i="4462"/>
  <c r="J138" i="4462"/>
  <c r="K138" i="4462"/>
  <c r="L138" i="4462"/>
  <c r="M138" i="4462"/>
  <c r="N138" i="4462"/>
  <c r="O138" i="4462"/>
  <c r="P138" i="4462"/>
  <c r="Q138" i="4462"/>
  <c r="R138" i="4462"/>
  <c r="S138" i="4462"/>
  <c r="T138" i="4462"/>
  <c r="U138" i="4462"/>
  <c r="V138" i="4462"/>
  <c r="W138" i="4462"/>
  <c r="X138" i="4462"/>
  <c r="Y138" i="4462"/>
  <c r="Z138" i="4462"/>
  <c r="AA138" i="4462"/>
  <c r="AB138" i="4462"/>
  <c r="AC138" i="4462"/>
  <c r="AD138" i="4462"/>
  <c r="AE138" i="4462"/>
  <c r="AF138" i="4462"/>
  <c r="AG138" i="4462"/>
  <c r="AH138" i="4462"/>
  <c r="AI138" i="4462"/>
  <c r="AJ138" i="4462"/>
  <c r="AK138" i="4462"/>
  <c r="AL138" i="4462"/>
  <c r="AM138" i="4462"/>
  <c r="AN138" i="4462"/>
  <c r="AO138" i="4462"/>
  <c r="AP138" i="4462"/>
  <c r="AQ138" i="4462"/>
  <c r="AR138" i="4462"/>
  <c r="AS138" i="4462"/>
  <c r="AT138" i="4462"/>
  <c r="AU138" i="4462"/>
  <c r="AV138" i="4462"/>
  <c r="AW138" i="4462"/>
  <c r="AX138" i="4462"/>
  <c r="AY138" i="4462"/>
  <c r="AZ138" i="4462"/>
  <c r="BA138" i="4462"/>
  <c r="BB138" i="4462"/>
  <c r="BC138" i="4462"/>
  <c r="BD138" i="4462"/>
  <c r="A139" i="4462"/>
  <c r="B139" i="4462"/>
  <c r="C139" i="4462"/>
  <c r="D139" i="4462"/>
  <c r="E139" i="4462"/>
  <c r="F139" i="4462"/>
  <c r="G139" i="4462"/>
  <c r="H139" i="4462"/>
  <c r="I139" i="4462"/>
  <c r="J139" i="4462"/>
  <c r="K139" i="4462"/>
  <c r="L139" i="4462"/>
  <c r="M139" i="4462"/>
  <c r="N139" i="4462"/>
  <c r="O139" i="4462"/>
  <c r="P139" i="4462"/>
  <c r="Q139" i="4462"/>
  <c r="R139" i="4462"/>
  <c r="S139" i="4462"/>
  <c r="T139" i="4462"/>
  <c r="U139" i="4462"/>
  <c r="V139" i="4462"/>
  <c r="W139" i="4462"/>
  <c r="X139" i="4462"/>
  <c r="Y139" i="4462"/>
  <c r="Z139" i="4462"/>
  <c r="AA139" i="4462"/>
  <c r="AB139" i="4462"/>
  <c r="AC139" i="4462"/>
  <c r="AD139" i="4462"/>
  <c r="AE139" i="4462"/>
  <c r="AF139" i="4462"/>
  <c r="AG139" i="4462"/>
  <c r="AH139" i="4462"/>
  <c r="AI139" i="4462"/>
  <c r="AJ139" i="4462"/>
  <c r="AK139" i="4462"/>
  <c r="AL139" i="4462"/>
  <c r="AM139" i="4462"/>
  <c r="AN139" i="4462"/>
  <c r="AO139" i="4462"/>
  <c r="AP139" i="4462"/>
  <c r="AQ139" i="4462"/>
  <c r="AR139" i="4462"/>
  <c r="AS139" i="4462"/>
  <c r="AT139" i="4462"/>
  <c r="AU139" i="4462"/>
  <c r="AV139" i="4462"/>
  <c r="AW139" i="4462"/>
  <c r="AX139" i="4462"/>
  <c r="AY139" i="4462"/>
  <c r="AZ139" i="4462"/>
  <c r="BA139" i="4462"/>
  <c r="BB139" i="4462"/>
  <c r="BC139" i="4462"/>
  <c r="BD139" i="4462"/>
  <c r="A140" i="4462"/>
  <c r="B140" i="4462"/>
  <c r="C140" i="4462"/>
  <c r="D140" i="4462"/>
  <c r="E140" i="4462"/>
  <c r="F140" i="4462"/>
  <c r="G140" i="4462"/>
  <c r="H140" i="4462"/>
  <c r="I140" i="4462"/>
  <c r="J140" i="4462"/>
  <c r="K140" i="4462"/>
  <c r="L140" i="4462"/>
  <c r="M140" i="4462"/>
  <c r="N140" i="4462"/>
  <c r="O140" i="4462"/>
  <c r="P140" i="4462"/>
  <c r="Q140" i="4462"/>
  <c r="R140" i="4462"/>
  <c r="S140" i="4462"/>
  <c r="T140" i="4462"/>
  <c r="U140" i="4462"/>
  <c r="V140" i="4462"/>
  <c r="W140" i="4462"/>
  <c r="X140" i="4462"/>
  <c r="Y140" i="4462"/>
  <c r="Z140" i="4462"/>
  <c r="AA140" i="4462"/>
  <c r="AB140" i="4462"/>
  <c r="AC140" i="4462"/>
  <c r="AD140" i="4462"/>
  <c r="AE140" i="4462"/>
  <c r="AF140" i="4462"/>
  <c r="AG140" i="4462"/>
  <c r="AH140" i="4462"/>
  <c r="AI140" i="4462"/>
  <c r="AJ140" i="4462"/>
  <c r="AK140" i="4462"/>
  <c r="AL140" i="4462"/>
  <c r="AM140" i="4462"/>
  <c r="AN140" i="4462"/>
  <c r="AO140" i="4462"/>
  <c r="AP140" i="4462"/>
  <c r="AQ140" i="4462"/>
  <c r="AR140" i="4462"/>
  <c r="AS140" i="4462"/>
  <c r="AT140" i="4462"/>
  <c r="AU140" i="4462"/>
  <c r="AV140" i="4462"/>
  <c r="AW140" i="4462"/>
  <c r="AX140" i="4462"/>
  <c r="AY140" i="4462"/>
  <c r="AZ140" i="4462"/>
  <c r="BA140" i="4462"/>
  <c r="BB140" i="4462"/>
  <c r="BC140" i="4462"/>
  <c r="BD140" i="4462"/>
  <c r="A141" i="4462"/>
  <c r="B141" i="4462"/>
  <c r="C141" i="4462"/>
  <c r="D141" i="4462"/>
  <c r="E141" i="4462"/>
  <c r="F141" i="4462"/>
  <c r="G141" i="4462"/>
  <c r="H141" i="4462"/>
  <c r="I141" i="4462"/>
  <c r="J141" i="4462"/>
  <c r="K141" i="4462"/>
  <c r="L141" i="4462"/>
  <c r="M141" i="4462"/>
  <c r="N141" i="4462"/>
  <c r="O141" i="4462"/>
  <c r="P141" i="4462"/>
  <c r="Q141" i="4462"/>
  <c r="R141" i="4462"/>
  <c r="S141" i="4462"/>
  <c r="T141" i="4462"/>
  <c r="U141" i="4462"/>
  <c r="V141" i="4462"/>
  <c r="W141" i="4462"/>
  <c r="X141" i="4462"/>
  <c r="Y141" i="4462"/>
  <c r="Z141" i="4462"/>
  <c r="AA141" i="4462"/>
  <c r="AB141" i="4462"/>
  <c r="AC141" i="4462"/>
  <c r="AD141" i="4462"/>
  <c r="AE141" i="4462"/>
  <c r="AF141" i="4462"/>
  <c r="AG141" i="4462"/>
  <c r="AH141" i="4462"/>
  <c r="AI141" i="4462"/>
  <c r="AJ141" i="4462"/>
  <c r="AK141" i="4462"/>
  <c r="AL141" i="4462"/>
  <c r="AM141" i="4462"/>
  <c r="AN141" i="4462"/>
  <c r="AO141" i="4462"/>
  <c r="AP141" i="4462"/>
  <c r="AQ141" i="4462"/>
  <c r="AR141" i="4462"/>
  <c r="AS141" i="4462"/>
  <c r="AT141" i="4462"/>
  <c r="AU141" i="4462"/>
  <c r="AV141" i="4462"/>
  <c r="AW141" i="4462"/>
  <c r="AX141" i="4462"/>
  <c r="AY141" i="4462"/>
  <c r="AZ141" i="4462"/>
  <c r="BA141" i="4462"/>
  <c r="BB141" i="4462"/>
  <c r="BC141" i="4462"/>
  <c r="BD141" i="4462"/>
  <c r="A142" i="4462"/>
  <c r="B142" i="4462"/>
  <c r="C142" i="4462"/>
  <c r="D142" i="4462"/>
  <c r="E142" i="4462"/>
  <c r="F142" i="4462"/>
  <c r="G142" i="4462"/>
  <c r="H142" i="4462"/>
  <c r="I142" i="4462"/>
  <c r="J142" i="4462"/>
  <c r="K142" i="4462"/>
  <c r="L142" i="4462"/>
  <c r="M142" i="4462"/>
  <c r="N142" i="4462"/>
  <c r="O142" i="4462"/>
  <c r="P142" i="4462"/>
  <c r="Q142" i="4462"/>
  <c r="R142" i="4462"/>
  <c r="S142" i="4462"/>
  <c r="T142" i="4462"/>
  <c r="U142" i="4462"/>
  <c r="V142" i="4462"/>
  <c r="W142" i="4462"/>
  <c r="X142" i="4462"/>
  <c r="Y142" i="4462"/>
  <c r="Z142" i="4462"/>
  <c r="AA142" i="4462"/>
  <c r="AB142" i="4462"/>
  <c r="AC142" i="4462"/>
  <c r="AD142" i="4462"/>
  <c r="AE142" i="4462"/>
  <c r="AF142" i="4462"/>
  <c r="AG142" i="4462"/>
  <c r="AH142" i="4462"/>
  <c r="AI142" i="4462"/>
  <c r="AJ142" i="4462"/>
  <c r="AK142" i="4462"/>
  <c r="AL142" i="4462"/>
  <c r="AM142" i="4462"/>
  <c r="AN142" i="4462"/>
  <c r="AO142" i="4462"/>
  <c r="AP142" i="4462"/>
  <c r="AQ142" i="4462"/>
  <c r="AR142" i="4462"/>
  <c r="AS142" i="4462"/>
  <c r="AT142" i="4462"/>
  <c r="AU142" i="4462"/>
  <c r="AV142" i="4462"/>
  <c r="AW142" i="4462"/>
  <c r="AX142" i="4462"/>
  <c r="AY142" i="4462"/>
  <c r="AZ142" i="4462"/>
  <c r="BA142" i="4462"/>
  <c r="BB142" i="4462"/>
  <c r="BC142" i="4462"/>
  <c r="BD142" i="4462"/>
  <c r="A143" i="4462"/>
  <c r="B143" i="4462"/>
  <c r="C143" i="4462"/>
  <c r="D143" i="4462"/>
  <c r="E143" i="4462"/>
  <c r="F143" i="4462"/>
  <c r="G143" i="4462"/>
  <c r="H143" i="4462"/>
  <c r="I143" i="4462"/>
  <c r="J143" i="4462"/>
  <c r="K143" i="4462"/>
  <c r="L143" i="4462"/>
  <c r="M143" i="4462"/>
  <c r="N143" i="4462"/>
  <c r="O143" i="4462"/>
  <c r="P143" i="4462"/>
  <c r="Q143" i="4462"/>
  <c r="R143" i="4462"/>
  <c r="S143" i="4462"/>
  <c r="T143" i="4462"/>
  <c r="U143" i="4462"/>
  <c r="V143" i="4462"/>
  <c r="W143" i="4462"/>
  <c r="X143" i="4462"/>
  <c r="Y143" i="4462"/>
  <c r="Z143" i="4462"/>
  <c r="AA143" i="4462"/>
  <c r="AB143" i="4462"/>
  <c r="AC143" i="4462"/>
  <c r="AD143" i="4462"/>
  <c r="AE143" i="4462"/>
  <c r="AF143" i="4462"/>
  <c r="AG143" i="4462"/>
  <c r="AH143" i="4462"/>
  <c r="AI143" i="4462"/>
  <c r="AJ143" i="4462"/>
  <c r="AK143" i="4462"/>
  <c r="AL143" i="4462"/>
  <c r="AM143" i="4462"/>
  <c r="AN143" i="4462"/>
  <c r="AO143" i="4462"/>
  <c r="AP143" i="4462"/>
  <c r="AQ143" i="4462"/>
  <c r="AR143" i="4462"/>
  <c r="AS143" i="4462"/>
  <c r="AT143" i="4462"/>
  <c r="AU143" i="4462"/>
  <c r="AV143" i="4462"/>
  <c r="AW143" i="4462"/>
  <c r="AX143" i="4462"/>
  <c r="AY143" i="4462"/>
  <c r="AZ143" i="4462"/>
  <c r="BA143" i="4462"/>
  <c r="BB143" i="4462"/>
  <c r="BC143" i="4462"/>
  <c r="BD143" i="4462"/>
  <c r="A144" i="4462"/>
  <c r="B144" i="4462"/>
  <c r="C144" i="4462"/>
  <c r="D144" i="4462"/>
  <c r="E144" i="4462"/>
  <c r="F144" i="4462"/>
  <c r="G144" i="4462"/>
  <c r="H144" i="4462"/>
  <c r="I144" i="4462"/>
  <c r="J144" i="4462"/>
  <c r="K144" i="4462"/>
  <c r="L144" i="4462"/>
  <c r="M144" i="4462"/>
  <c r="N144" i="4462"/>
  <c r="O144" i="4462"/>
  <c r="P144" i="4462"/>
  <c r="Q144" i="4462"/>
  <c r="R144" i="4462"/>
  <c r="S144" i="4462"/>
  <c r="T144" i="4462"/>
  <c r="U144" i="4462"/>
  <c r="V144" i="4462"/>
  <c r="W144" i="4462"/>
  <c r="X144" i="4462"/>
  <c r="Y144" i="4462"/>
  <c r="Z144" i="4462"/>
  <c r="AA144" i="4462"/>
  <c r="AB144" i="4462"/>
  <c r="AC144" i="4462"/>
  <c r="AD144" i="4462"/>
  <c r="AE144" i="4462"/>
  <c r="AF144" i="4462"/>
  <c r="AG144" i="4462"/>
  <c r="AH144" i="4462"/>
  <c r="AI144" i="4462"/>
  <c r="AJ144" i="4462"/>
  <c r="AK144" i="4462"/>
  <c r="AL144" i="4462"/>
  <c r="AM144" i="4462"/>
  <c r="AN144" i="4462"/>
  <c r="AO144" i="4462"/>
  <c r="AP144" i="4462"/>
  <c r="AQ144" i="4462"/>
  <c r="AR144" i="4462"/>
  <c r="AS144" i="4462"/>
  <c r="AT144" i="4462"/>
  <c r="AU144" i="4462"/>
  <c r="AV144" i="4462"/>
  <c r="AW144" i="4462"/>
  <c r="AX144" i="4462"/>
  <c r="AY144" i="4462"/>
  <c r="AZ144" i="4462"/>
  <c r="BA144" i="4462"/>
  <c r="BB144" i="4462"/>
  <c r="BC144" i="4462"/>
  <c r="BD144" i="4462"/>
  <c r="A145" i="4462"/>
  <c r="B145" i="4462"/>
  <c r="C145" i="4462"/>
  <c r="D145" i="4462"/>
  <c r="E145" i="4462"/>
  <c r="F145" i="4462"/>
  <c r="G145" i="4462"/>
  <c r="H145" i="4462"/>
  <c r="I145" i="4462"/>
  <c r="J145" i="4462"/>
  <c r="K145" i="4462"/>
  <c r="L145" i="4462"/>
  <c r="M145" i="4462"/>
  <c r="N145" i="4462"/>
  <c r="O145" i="4462"/>
  <c r="P145" i="4462"/>
  <c r="Q145" i="4462"/>
  <c r="R145" i="4462"/>
  <c r="S145" i="4462"/>
  <c r="T145" i="4462"/>
  <c r="U145" i="4462"/>
  <c r="V145" i="4462"/>
  <c r="W145" i="4462"/>
  <c r="X145" i="4462"/>
  <c r="Y145" i="4462"/>
  <c r="Z145" i="4462"/>
  <c r="AA145" i="4462"/>
  <c r="AB145" i="4462"/>
  <c r="AC145" i="4462"/>
  <c r="AD145" i="4462"/>
  <c r="AE145" i="4462"/>
  <c r="AF145" i="4462"/>
  <c r="AG145" i="4462"/>
  <c r="AH145" i="4462"/>
  <c r="AI145" i="4462"/>
  <c r="AJ145" i="4462"/>
  <c r="AK145" i="4462"/>
  <c r="AL145" i="4462"/>
  <c r="AM145" i="4462"/>
  <c r="AN145" i="4462"/>
  <c r="AO145" i="4462"/>
  <c r="AP145" i="4462"/>
  <c r="AQ145" i="4462"/>
  <c r="AR145" i="4462"/>
  <c r="AS145" i="4462"/>
  <c r="AT145" i="4462"/>
  <c r="AU145" i="4462"/>
  <c r="AV145" i="4462"/>
  <c r="AW145" i="4462"/>
  <c r="AX145" i="4462"/>
  <c r="AY145" i="4462"/>
  <c r="AZ145" i="4462"/>
  <c r="BA145" i="4462"/>
  <c r="BB145" i="4462"/>
  <c r="BC145" i="4462"/>
  <c r="BD145" i="4462"/>
  <c r="A146" i="4462"/>
  <c r="B146" i="4462"/>
  <c r="C146" i="4462"/>
  <c r="D146" i="4462"/>
  <c r="E146" i="4462"/>
  <c r="F146" i="4462"/>
  <c r="G146" i="4462"/>
  <c r="H146" i="4462"/>
  <c r="I146" i="4462"/>
  <c r="J146" i="4462"/>
  <c r="K146" i="4462"/>
  <c r="L146" i="4462"/>
  <c r="M146" i="4462"/>
  <c r="N146" i="4462"/>
  <c r="O146" i="4462"/>
  <c r="P146" i="4462"/>
  <c r="Q146" i="4462"/>
  <c r="R146" i="4462"/>
  <c r="S146" i="4462"/>
  <c r="T146" i="4462"/>
  <c r="U146" i="4462"/>
  <c r="V146" i="4462"/>
  <c r="W146" i="4462"/>
  <c r="X146" i="4462"/>
  <c r="Y146" i="4462"/>
  <c r="Z146" i="4462"/>
  <c r="AA146" i="4462"/>
  <c r="AB146" i="4462"/>
  <c r="AC146" i="4462"/>
  <c r="AD146" i="4462"/>
  <c r="AE146" i="4462"/>
  <c r="AF146" i="4462"/>
  <c r="AG146" i="4462"/>
  <c r="AH146" i="4462"/>
  <c r="AI146" i="4462"/>
  <c r="AJ146" i="4462"/>
  <c r="AK146" i="4462"/>
  <c r="AL146" i="4462"/>
  <c r="AM146" i="4462"/>
  <c r="AN146" i="4462"/>
  <c r="AO146" i="4462"/>
  <c r="AP146" i="4462"/>
  <c r="AQ146" i="4462"/>
  <c r="AR146" i="4462"/>
  <c r="AS146" i="4462"/>
  <c r="AT146" i="4462"/>
  <c r="AU146" i="4462"/>
  <c r="AV146" i="4462"/>
  <c r="AW146" i="4462"/>
  <c r="AX146" i="4462"/>
  <c r="AY146" i="4462"/>
  <c r="AZ146" i="4462"/>
  <c r="BA146" i="4462"/>
  <c r="BB146" i="4462"/>
  <c r="BC146" i="4462"/>
  <c r="BD146" i="4462"/>
  <c r="A147" i="4462"/>
  <c r="B147" i="4462"/>
  <c r="C147" i="4462"/>
  <c r="D147" i="4462"/>
  <c r="E147" i="4462"/>
  <c r="F147" i="4462"/>
  <c r="G147" i="4462"/>
  <c r="H147" i="4462"/>
  <c r="I147" i="4462"/>
  <c r="J147" i="4462"/>
  <c r="K147" i="4462"/>
  <c r="L147" i="4462"/>
  <c r="M147" i="4462"/>
  <c r="N147" i="4462"/>
  <c r="O147" i="4462"/>
  <c r="P147" i="4462"/>
  <c r="Q147" i="4462"/>
  <c r="R147" i="4462"/>
  <c r="S147" i="4462"/>
  <c r="T147" i="4462"/>
  <c r="U147" i="4462"/>
  <c r="V147" i="4462"/>
  <c r="W147" i="4462"/>
  <c r="X147" i="4462"/>
  <c r="Y147" i="4462"/>
  <c r="Z147" i="4462"/>
  <c r="AA147" i="4462"/>
  <c r="AB147" i="4462"/>
  <c r="AC147" i="4462"/>
  <c r="AD147" i="4462"/>
  <c r="AE147" i="4462"/>
  <c r="AF147" i="4462"/>
  <c r="AG147" i="4462"/>
  <c r="AH147" i="4462"/>
  <c r="AI147" i="4462"/>
  <c r="AJ147" i="4462"/>
  <c r="AK147" i="4462"/>
  <c r="AL147" i="4462"/>
  <c r="AM147" i="4462"/>
  <c r="AN147" i="4462"/>
  <c r="AO147" i="4462"/>
  <c r="AP147" i="4462"/>
  <c r="AQ147" i="4462"/>
  <c r="AR147" i="4462"/>
  <c r="AS147" i="4462"/>
  <c r="AT147" i="4462"/>
  <c r="AU147" i="4462"/>
  <c r="AV147" i="4462"/>
  <c r="AW147" i="4462"/>
  <c r="AX147" i="4462"/>
  <c r="AY147" i="4462"/>
  <c r="AZ147" i="4462"/>
  <c r="BA147" i="4462"/>
  <c r="BB147" i="4462"/>
  <c r="BC147" i="4462"/>
  <c r="BD147" i="4462"/>
  <c r="A148" i="4462"/>
  <c r="B148" i="4462"/>
  <c r="C148" i="4462"/>
  <c r="D148" i="4462"/>
  <c r="E148" i="4462"/>
  <c r="F148" i="4462"/>
  <c r="G148" i="4462"/>
  <c r="H148" i="4462"/>
  <c r="I148" i="4462"/>
  <c r="J148" i="4462"/>
  <c r="K148" i="4462"/>
  <c r="L148" i="4462"/>
  <c r="M148" i="4462"/>
  <c r="N148" i="4462"/>
  <c r="O148" i="4462"/>
  <c r="P148" i="4462"/>
  <c r="Q148" i="4462"/>
  <c r="R148" i="4462"/>
  <c r="S148" i="4462"/>
  <c r="T148" i="4462"/>
  <c r="U148" i="4462"/>
  <c r="V148" i="4462"/>
  <c r="W148" i="4462"/>
  <c r="X148" i="4462"/>
  <c r="Y148" i="4462"/>
  <c r="Z148" i="4462"/>
  <c r="AA148" i="4462"/>
  <c r="AB148" i="4462"/>
  <c r="AC148" i="4462"/>
  <c r="AD148" i="4462"/>
  <c r="AE148" i="4462"/>
  <c r="AF148" i="4462"/>
  <c r="AG148" i="4462"/>
  <c r="AH148" i="4462"/>
  <c r="AI148" i="4462"/>
  <c r="AJ148" i="4462"/>
  <c r="AK148" i="4462"/>
  <c r="AL148" i="4462"/>
  <c r="AM148" i="4462"/>
  <c r="AN148" i="4462"/>
  <c r="AO148" i="4462"/>
  <c r="AP148" i="4462"/>
  <c r="AQ148" i="4462"/>
  <c r="AR148" i="4462"/>
  <c r="AS148" i="4462"/>
  <c r="AT148" i="4462"/>
  <c r="AU148" i="4462"/>
  <c r="AV148" i="4462"/>
  <c r="AW148" i="4462"/>
  <c r="AX148" i="4462"/>
  <c r="AY148" i="4462"/>
  <c r="AZ148" i="4462"/>
  <c r="BA148" i="4462"/>
  <c r="BB148" i="4462"/>
  <c r="BC148" i="4462"/>
  <c r="BD148" i="4462"/>
  <c r="A149" i="4462"/>
  <c r="B149" i="4462"/>
  <c r="C149" i="4462"/>
  <c r="D149" i="4462"/>
  <c r="E149" i="4462"/>
  <c r="F149" i="4462"/>
  <c r="G149" i="4462"/>
  <c r="H149" i="4462"/>
  <c r="I149" i="4462"/>
  <c r="J149" i="4462"/>
  <c r="K149" i="4462"/>
  <c r="L149" i="4462"/>
  <c r="M149" i="4462"/>
  <c r="N149" i="4462"/>
  <c r="O149" i="4462"/>
  <c r="P149" i="4462"/>
  <c r="Q149" i="4462"/>
  <c r="R149" i="4462"/>
  <c r="S149" i="4462"/>
  <c r="T149" i="4462"/>
  <c r="U149" i="4462"/>
  <c r="V149" i="4462"/>
  <c r="W149" i="4462"/>
  <c r="X149" i="4462"/>
  <c r="Y149" i="4462"/>
  <c r="Z149" i="4462"/>
  <c r="AA149" i="4462"/>
  <c r="AB149" i="4462"/>
  <c r="AC149" i="4462"/>
  <c r="AD149" i="4462"/>
  <c r="AE149" i="4462"/>
  <c r="AF149" i="4462"/>
  <c r="AG149" i="4462"/>
  <c r="AH149" i="4462"/>
  <c r="AI149" i="4462"/>
  <c r="AJ149" i="4462"/>
  <c r="AK149" i="4462"/>
  <c r="AL149" i="4462"/>
  <c r="AM149" i="4462"/>
  <c r="AN149" i="4462"/>
  <c r="AO149" i="4462"/>
  <c r="AP149" i="4462"/>
  <c r="AQ149" i="4462"/>
  <c r="AR149" i="4462"/>
  <c r="AS149" i="4462"/>
  <c r="AT149" i="4462"/>
  <c r="AU149" i="4462"/>
  <c r="AV149" i="4462"/>
  <c r="AW149" i="4462"/>
  <c r="AX149" i="4462"/>
  <c r="AY149" i="4462"/>
  <c r="AZ149" i="4462"/>
  <c r="BA149" i="4462"/>
  <c r="BB149" i="4462"/>
  <c r="BC149" i="4462"/>
  <c r="BD149" i="4462"/>
  <c r="A150" i="4462"/>
  <c r="B150" i="4462"/>
  <c r="C150" i="4462"/>
  <c r="D150" i="4462"/>
  <c r="E150" i="4462"/>
  <c r="F150" i="4462"/>
  <c r="G150" i="4462"/>
  <c r="H150" i="4462"/>
  <c r="I150" i="4462"/>
  <c r="J150" i="4462"/>
  <c r="K150" i="4462"/>
  <c r="L150" i="4462"/>
  <c r="M150" i="4462"/>
  <c r="N150" i="4462"/>
  <c r="O150" i="4462"/>
  <c r="P150" i="4462"/>
  <c r="Q150" i="4462"/>
  <c r="R150" i="4462"/>
  <c r="S150" i="4462"/>
  <c r="T150" i="4462"/>
  <c r="U150" i="4462"/>
  <c r="V150" i="4462"/>
  <c r="W150" i="4462"/>
  <c r="X150" i="4462"/>
  <c r="Y150" i="4462"/>
  <c r="Z150" i="4462"/>
  <c r="AA150" i="4462"/>
  <c r="AB150" i="4462"/>
  <c r="AC150" i="4462"/>
  <c r="AD150" i="4462"/>
  <c r="AE150" i="4462"/>
  <c r="AF150" i="4462"/>
  <c r="AG150" i="4462"/>
  <c r="AH150" i="4462"/>
  <c r="AI150" i="4462"/>
  <c r="AJ150" i="4462"/>
  <c r="AK150" i="4462"/>
  <c r="AL150" i="4462"/>
  <c r="AM150" i="4462"/>
  <c r="AN150" i="4462"/>
  <c r="AO150" i="4462"/>
  <c r="AP150" i="4462"/>
  <c r="AQ150" i="4462"/>
  <c r="AR150" i="4462"/>
  <c r="AS150" i="4462"/>
  <c r="AT150" i="4462"/>
  <c r="AU150" i="4462"/>
  <c r="AV150" i="4462"/>
  <c r="AW150" i="4462"/>
  <c r="AX150" i="4462"/>
  <c r="AY150" i="4462"/>
  <c r="AZ150" i="4462"/>
  <c r="BA150" i="4462"/>
  <c r="BB150" i="4462"/>
  <c r="BC150" i="4462"/>
  <c r="BD150" i="4462"/>
  <c r="A151" i="4462"/>
  <c r="B151" i="4462"/>
  <c r="C151" i="4462"/>
  <c r="D151" i="4462"/>
  <c r="E151" i="4462"/>
  <c r="F151" i="4462"/>
  <c r="G151" i="4462"/>
  <c r="H151" i="4462"/>
  <c r="I151" i="4462"/>
  <c r="J151" i="4462"/>
  <c r="K151" i="4462"/>
  <c r="L151" i="4462"/>
  <c r="M151" i="4462"/>
  <c r="N151" i="4462"/>
  <c r="O151" i="4462"/>
  <c r="P151" i="4462"/>
  <c r="Q151" i="4462"/>
  <c r="R151" i="4462"/>
  <c r="S151" i="4462"/>
  <c r="T151" i="4462"/>
  <c r="U151" i="4462"/>
  <c r="V151" i="4462"/>
  <c r="W151" i="4462"/>
  <c r="X151" i="4462"/>
  <c r="Y151" i="4462"/>
  <c r="Z151" i="4462"/>
  <c r="AA151" i="4462"/>
  <c r="AB151" i="4462"/>
  <c r="AC151" i="4462"/>
  <c r="AD151" i="4462"/>
  <c r="AE151" i="4462"/>
  <c r="AF151" i="4462"/>
  <c r="AG151" i="4462"/>
  <c r="AH151" i="4462"/>
  <c r="AI151" i="4462"/>
  <c r="AJ151" i="4462"/>
  <c r="AK151" i="4462"/>
  <c r="AL151" i="4462"/>
  <c r="AM151" i="4462"/>
  <c r="AN151" i="4462"/>
  <c r="AO151" i="4462"/>
  <c r="AP151" i="4462"/>
  <c r="AQ151" i="4462"/>
  <c r="AR151" i="4462"/>
  <c r="AS151" i="4462"/>
  <c r="AT151" i="4462"/>
  <c r="AU151" i="4462"/>
  <c r="AV151" i="4462"/>
  <c r="AW151" i="4462"/>
  <c r="AX151" i="4462"/>
  <c r="AY151" i="4462"/>
  <c r="AZ151" i="4462"/>
  <c r="BA151" i="4462"/>
  <c r="BB151" i="4462"/>
  <c r="BC151" i="4462"/>
  <c r="BD151" i="4462"/>
  <c r="A152" i="4462"/>
  <c r="B152" i="4462"/>
  <c r="C152" i="4462"/>
  <c r="D152" i="4462"/>
  <c r="E152" i="4462"/>
  <c r="F152" i="4462"/>
  <c r="G152" i="4462"/>
  <c r="H152" i="4462"/>
  <c r="I152" i="4462"/>
  <c r="J152" i="4462"/>
  <c r="K152" i="4462"/>
  <c r="L152" i="4462"/>
  <c r="M152" i="4462"/>
  <c r="N152" i="4462"/>
  <c r="O152" i="4462"/>
  <c r="P152" i="4462"/>
  <c r="Q152" i="4462"/>
  <c r="R152" i="4462"/>
  <c r="S152" i="4462"/>
  <c r="T152" i="4462"/>
  <c r="U152" i="4462"/>
  <c r="V152" i="4462"/>
  <c r="W152" i="4462"/>
  <c r="X152" i="4462"/>
  <c r="Y152" i="4462"/>
  <c r="Z152" i="4462"/>
  <c r="AA152" i="4462"/>
  <c r="AB152" i="4462"/>
  <c r="AC152" i="4462"/>
  <c r="AD152" i="4462"/>
  <c r="AE152" i="4462"/>
  <c r="AF152" i="4462"/>
  <c r="AG152" i="4462"/>
  <c r="AH152" i="4462"/>
  <c r="AI152" i="4462"/>
  <c r="AJ152" i="4462"/>
  <c r="AK152" i="4462"/>
  <c r="AL152" i="4462"/>
  <c r="AM152" i="4462"/>
  <c r="AN152" i="4462"/>
  <c r="AO152" i="4462"/>
  <c r="AP152" i="4462"/>
  <c r="AQ152" i="4462"/>
  <c r="AR152" i="4462"/>
  <c r="AS152" i="4462"/>
  <c r="AT152" i="4462"/>
  <c r="AU152" i="4462"/>
  <c r="AV152" i="4462"/>
  <c r="AW152" i="4462"/>
  <c r="AX152" i="4462"/>
  <c r="AY152" i="4462"/>
  <c r="AZ152" i="4462"/>
  <c r="BA152" i="4462"/>
  <c r="BB152" i="4462"/>
  <c r="BC152" i="4462"/>
  <c r="BD152" i="4462"/>
  <c r="A153" i="4462"/>
  <c r="B153" i="4462"/>
  <c r="C153" i="4462"/>
  <c r="D153" i="4462"/>
  <c r="E153" i="4462"/>
  <c r="F153" i="4462"/>
  <c r="G153" i="4462"/>
  <c r="H153" i="4462"/>
  <c r="I153" i="4462"/>
  <c r="J153" i="4462"/>
  <c r="K153" i="4462"/>
  <c r="L153" i="4462"/>
  <c r="M153" i="4462"/>
  <c r="N153" i="4462"/>
  <c r="O153" i="4462"/>
  <c r="P153" i="4462"/>
  <c r="Q153" i="4462"/>
  <c r="R153" i="4462"/>
  <c r="S153" i="4462"/>
  <c r="T153" i="4462"/>
  <c r="U153" i="4462"/>
  <c r="V153" i="4462"/>
  <c r="W153" i="4462"/>
  <c r="X153" i="4462"/>
  <c r="Y153" i="4462"/>
  <c r="Z153" i="4462"/>
  <c r="AA153" i="4462"/>
  <c r="AB153" i="4462"/>
  <c r="AC153" i="4462"/>
  <c r="AD153" i="4462"/>
  <c r="AE153" i="4462"/>
  <c r="AF153" i="4462"/>
  <c r="AG153" i="4462"/>
  <c r="AH153" i="4462"/>
  <c r="AI153" i="4462"/>
  <c r="AJ153" i="4462"/>
  <c r="AK153" i="4462"/>
  <c r="AL153" i="4462"/>
  <c r="AM153" i="4462"/>
  <c r="AN153" i="4462"/>
  <c r="AO153" i="4462"/>
  <c r="AP153" i="4462"/>
  <c r="AQ153" i="4462"/>
  <c r="AR153" i="4462"/>
  <c r="AS153" i="4462"/>
  <c r="AT153" i="4462"/>
  <c r="AU153" i="4462"/>
  <c r="AV153" i="4462"/>
  <c r="AW153" i="4462"/>
  <c r="AX153" i="4462"/>
  <c r="AY153" i="4462"/>
  <c r="AZ153" i="4462"/>
  <c r="BA153" i="4462"/>
  <c r="BB153" i="4462"/>
  <c r="BC153" i="4462"/>
  <c r="BD153" i="4462"/>
  <c r="A154" i="4462"/>
  <c r="B154" i="4462"/>
  <c r="C154" i="4462"/>
  <c r="D154" i="4462"/>
  <c r="E154" i="4462"/>
  <c r="F154" i="4462"/>
  <c r="G154" i="4462"/>
  <c r="H154" i="4462"/>
  <c r="I154" i="4462"/>
  <c r="J154" i="4462"/>
  <c r="K154" i="4462"/>
  <c r="L154" i="4462"/>
  <c r="M154" i="4462"/>
  <c r="N154" i="4462"/>
  <c r="O154" i="4462"/>
  <c r="P154" i="4462"/>
  <c r="Q154" i="4462"/>
  <c r="R154" i="4462"/>
  <c r="S154" i="4462"/>
  <c r="T154" i="4462"/>
  <c r="U154" i="4462"/>
  <c r="V154" i="4462"/>
  <c r="W154" i="4462"/>
  <c r="X154" i="4462"/>
  <c r="Y154" i="4462"/>
  <c r="Z154" i="4462"/>
  <c r="AA154" i="4462"/>
  <c r="AB154" i="4462"/>
  <c r="AC154" i="4462"/>
  <c r="AD154" i="4462"/>
  <c r="AE154" i="4462"/>
  <c r="AF154" i="4462"/>
  <c r="AG154" i="4462"/>
  <c r="AH154" i="4462"/>
  <c r="AI154" i="4462"/>
  <c r="AJ154" i="4462"/>
  <c r="AK154" i="4462"/>
  <c r="AL154" i="4462"/>
  <c r="AM154" i="4462"/>
  <c r="AN154" i="4462"/>
  <c r="AO154" i="4462"/>
  <c r="AP154" i="4462"/>
  <c r="AQ154" i="4462"/>
  <c r="AR154" i="4462"/>
  <c r="AS154" i="4462"/>
  <c r="AT154" i="4462"/>
  <c r="AU154" i="4462"/>
  <c r="AV154" i="4462"/>
  <c r="AW154" i="4462"/>
  <c r="AX154" i="4462"/>
  <c r="AY154" i="4462"/>
  <c r="AZ154" i="4462"/>
  <c r="BA154" i="4462"/>
  <c r="BB154" i="4462"/>
  <c r="BC154" i="4462"/>
  <c r="BD154" i="4462"/>
  <c r="A155" i="4462"/>
  <c r="B155" i="4462"/>
  <c r="C155" i="4462"/>
  <c r="D155" i="4462"/>
  <c r="E155" i="4462"/>
  <c r="F155" i="4462"/>
  <c r="G155" i="4462"/>
  <c r="H155" i="4462"/>
  <c r="I155" i="4462"/>
  <c r="J155" i="4462"/>
  <c r="K155" i="4462"/>
  <c r="L155" i="4462"/>
  <c r="M155" i="4462"/>
  <c r="N155" i="4462"/>
  <c r="O155" i="4462"/>
  <c r="P155" i="4462"/>
  <c r="Q155" i="4462"/>
  <c r="R155" i="4462"/>
  <c r="S155" i="4462"/>
  <c r="T155" i="4462"/>
  <c r="U155" i="4462"/>
  <c r="V155" i="4462"/>
  <c r="W155" i="4462"/>
  <c r="X155" i="4462"/>
  <c r="Y155" i="4462"/>
  <c r="Z155" i="4462"/>
  <c r="AA155" i="4462"/>
  <c r="AB155" i="4462"/>
  <c r="AC155" i="4462"/>
  <c r="AD155" i="4462"/>
  <c r="AE155" i="4462"/>
  <c r="AF155" i="4462"/>
  <c r="AG155" i="4462"/>
  <c r="AH155" i="4462"/>
  <c r="AI155" i="4462"/>
  <c r="AJ155" i="4462"/>
  <c r="AK155" i="4462"/>
  <c r="AL155" i="4462"/>
  <c r="AM155" i="4462"/>
  <c r="AN155" i="4462"/>
  <c r="AO155" i="4462"/>
  <c r="AP155" i="4462"/>
  <c r="AQ155" i="4462"/>
  <c r="AR155" i="4462"/>
  <c r="AS155" i="4462"/>
  <c r="AT155" i="4462"/>
  <c r="AU155" i="4462"/>
  <c r="AV155" i="4462"/>
  <c r="AW155" i="4462"/>
  <c r="AX155" i="4462"/>
  <c r="AY155" i="4462"/>
  <c r="AZ155" i="4462"/>
  <c r="BA155" i="4462"/>
  <c r="BB155" i="4462"/>
  <c r="BC155" i="4462"/>
  <c r="BD155" i="4462"/>
  <c r="A156" i="4462"/>
  <c r="B156" i="4462"/>
  <c r="C156" i="4462"/>
  <c r="D156" i="4462"/>
  <c r="E156" i="4462"/>
  <c r="F156" i="4462"/>
  <c r="G156" i="4462"/>
  <c r="H156" i="4462"/>
  <c r="I156" i="4462"/>
  <c r="J156" i="4462"/>
  <c r="K156" i="4462"/>
  <c r="L156" i="4462"/>
  <c r="M156" i="4462"/>
  <c r="N156" i="4462"/>
  <c r="O156" i="4462"/>
  <c r="P156" i="4462"/>
  <c r="Q156" i="4462"/>
  <c r="R156" i="4462"/>
  <c r="S156" i="4462"/>
  <c r="T156" i="4462"/>
  <c r="U156" i="4462"/>
  <c r="V156" i="4462"/>
  <c r="W156" i="4462"/>
  <c r="X156" i="4462"/>
  <c r="Y156" i="4462"/>
  <c r="Z156" i="4462"/>
  <c r="AA156" i="4462"/>
  <c r="AB156" i="4462"/>
  <c r="AC156" i="4462"/>
  <c r="AD156" i="4462"/>
  <c r="AE156" i="4462"/>
  <c r="AF156" i="4462"/>
  <c r="AG156" i="4462"/>
  <c r="AH156" i="4462"/>
  <c r="AI156" i="4462"/>
  <c r="AJ156" i="4462"/>
  <c r="AK156" i="4462"/>
  <c r="AL156" i="4462"/>
  <c r="AM156" i="4462"/>
  <c r="AN156" i="4462"/>
  <c r="AO156" i="4462"/>
  <c r="AP156" i="4462"/>
  <c r="AQ156" i="4462"/>
  <c r="AR156" i="4462"/>
  <c r="AS156" i="4462"/>
  <c r="AT156" i="4462"/>
  <c r="AU156" i="4462"/>
  <c r="AV156" i="4462"/>
  <c r="AW156" i="4462"/>
  <c r="AX156" i="4462"/>
  <c r="AY156" i="4462"/>
  <c r="AZ156" i="4462"/>
  <c r="BA156" i="4462"/>
  <c r="BB156" i="4462"/>
  <c r="BC156" i="4462"/>
  <c r="BD156" i="4462"/>
  <c r="A157" i="4462"/>
  <c r="B157" i="4462"/>
  <c r="C157" i="4462"/>
  <c r="D157" i="4462"/>
  <c r="E157" i="4462"/>
  <c r="F157" i="4462"/>
  <c r="G157" i="4462"/>
  <c r="H157" i="4462"/>
  <c r="I157" i="4462"/>
  <c r="J157" i="4462"/>
  <c r="K157" i="4462"/>
  <c r="L157" i="4462"/>
  <c r="M157" i="4462"/>
  <c r="N157" i="4462"/>
  <c r="O157" i="4462"/>
  <c r="P157" i="4462"/>
  <c r="Q157" i="4462"/>
  <c r="R157" i="4462"/>
  <c r="S157" i="4462"/>
  <c r="T157" i="4462"/>
  <c r="U157" i="4462"/>
  <c r="V157" i="4462"/>
  <c r="W157" i="4462"/>
  <c r="X157" i="4462"/>
  <c r="Y157" i="4462"/>
  <c r="Z157" i="4462"/>
  <c r="AA157" i="4462"/>
  <c r="AB157" i="4462"/>
  <c r="AC157" i="4462"/>
  <c r="AD157" i="4462"/>
  <c r="AE157" i="4462"/>
  <c r="AF157" i="4462"/>
  <c r="AG157" i="4462"/>
  <c r="AH157" i="4462"/>
  <c r="AI157" i="4462"/>
  <c r="AJ157" i="4462"/>
  <c r="AK157" i="4462"/>
  <c r="AL157" i="4462"/>
  <c r="AM157" i="4462"/>
  <c r="AN157" i="4462"/>
  <c r="AO157" i="4462"/>
  <c r="AP157" i="4462"/>
  <c r="AQ157" i="4462"/>
  <c r="AR157" i="4462"/>
  <c r="AS157" i="4462"/>
  <c r="AT157" i="4462"/>
  <c r="AU157" i="4462"/>
  <c r="AV157" i="4462"/>
  <c r="AW157" i="4462"/>
  <c r="AX157" i="4462"/>
  <c r="AY157" i="4462"/>
  <c r="AZ157" i="4462"/>
  <c r="BA157" i="4462"/>
  <c r="BB157" i="4462"/>
  <c r="BC157" i="4462"/>
  <c r="BD157" i="4462"/>
  <c r="A158" i="4462"/>
  <c r="B158" i="4462"/>
  <c r="C158" i="4462"/>
  <c r="D158" i="4462"/>
  <c r="E158" i="4462"/>
  <c r="F158" i="4462"/>
  <c r="G158" i="4462"/>
  <c r="H158" i="4462"/>
  <c r="I158" i="4462"/>
  <c r="J158" i="4462"/>
  <c r="K158" i="4462"/>
  <c r="L158" i="4462"/>
  <c r="M158" i="4462"/>
  <c r="N158" i="4462"/>
  <c r="O158" i="4462"/>
  <c r="P158" i="4462"/>
  <c r="Q158" i="4462"/>
  <c r="R158" i="4462"/>
  <c r="S158" i="4462"/>
  <c r="T158" i="4462"/>
  <c r="U158" i="4462"/>
  <c r="V158" i="4462"/>
  <c r="W158" i="4462"/>
  <c r="X158" i="4462"/>
  <c r="Y158" i="4462"/>
  <c r="Z158" i="4462"/>
  <c r="AA158" i="4462"/>
  <c r="AB158" i="4462"/>
  <c r="AC158" i="4462"/>
  <c r="AD158" i="4462"/>
  <c r="AE158" i="4462"/>
  <c r="AF158" i="4462"/>
  <c r="AG158" i="4462"/>
  <c r="AH158" i="4462"/>
  <c r="AI158" i="4462"/>
  <c r="AJ158" i="4462"/>
  <c r="AK158" i="4462"/>
  <c r="AL158" i="4462"/>
  <c r="AM158" i="4462"/>
  <c r="AN158" i="4462"/>
  <c r="AO158" i="4462"/>
  <c r="AP158" i="4462"/>
  <c r="AQ158" i="4462"/>
  <c r="AR158" i="4462"/>
  <c r="AS158" i="4462"/>
  <c r="AT158" i="4462"/>
  <c r="AU158" i="4462"/>
  <c r="AV158" i="4462"/>
  <c r="AW158" i="4462"/>
  <c r="AX158" i="4462"/>
  <c r="AY158" i="4462"/>
  <c r="AZ158" i="4462"/>
  <c r="BA158" i="4462"/>
  <c r="BB158" i="4462"/>
  <c r="BC158" i="4462"/>
  <c r="BD158" i="4462"/>
  <c r="A159" i="4462"/>
  <c r="B159" i="4462"/>
  <c r="C159" i="4462"/>
  <c r="D159" i="4462"/>
  <c r="E159" i="4462"/>
  <c r="F159" i="4462"/>
  <c r="G159" i="4462"/>
  <c r="H159" i="4462"/>
  <c r="I159" i="4462"/>
  <c r="J159" i="4462"/>
  <c r="K159" i="4462"/>
  <c r="L159" i="4462"/>
  <c r="M159" i="4462"/>
  <c r="N159" i="4462"/>
  <c r="O159" i="4462"/>
  <c r="P159" i="4462"/>
  <c r="Q159" i="4462"/>
  <c r="R159" i="4462"/>
  <c r="S159" i="4462"/>
  <c r="T159" i="4462"/>
  <c r="U159" i="4462"/>
  <c r="V159" i="4462"/>
  <c r="W159" i="4462"/>
  <c r="X159" i="4462"/>
  <c r="Y159" i="4462"/>
  <c r="Z159" i="4462"/>
  <c r="AA159" i="4462"/>
  <c r="AB159" i="4462"/>
  <c r="AC159" i="4462"/>
  <c r="AD159" i="4462"/>
  <c r="AE159" i="4462"/>
  <c r="AF159" i="4462"/>
  <c r="AG159" i="4462"/>
  <c r="AH159" i="4462"/>
  <c r="AI159" i="4462"/>
  <c r="AJ159" i="4462"/>
  <c r="AK159" i="4462"/>
  <c r="AL159" i="4462"/>
  <c r="AM159" i="4462"/>
  <c r="AN159" i="4462"/>
  <c r="AO159" i="4462"/>
  <c r="AP159" i="4462"/>
  <c r="AQ159" i="4462"/>
  <c r="AR159" i="4462"/>
  <c r="AS159" i="4462"/>
  <c r="AT159" i="4462"/>
  <c r="AU159" i="4462"/>
  <c r="AV159" i="4462"/>
  <c r="AW159" i="4462"/>
  <c r="AX159" i="4462"/>
  <c r="AY159" i="4462"/>
  <c r="AZ159" i="4462"/>
  <c r="BA159" i="4462"/>
  <c r="BB159" i="4462"/>
  <c r="BC159" i="4462"/>
  <c r="BD159" i="4462"/>
  <c r="A160" i="4462"/>
  <c r="B160" i="4462"/>
  <c r="C160" i="4462"/>
  <c r="D160" i="4462"/>
  <c r="E160" i="4462"/>
  <c r="F160" i="4462"/>
  <c r="G160" i="4462"/>
  <c r="H160" i="4462"/>
  <c r="I160" i="4462"/>
  <c r="J160" i="4462"/>
  <c r="K160" i="4462"/>
  <c r="L160" i="4462"/>
  <c r="M160" i="4462"/>
  <c r="N160" i="4462"/>
  <c r="O160" i="4462"/>
  <c r="P160" i="4462"/>
  <c r="Q160" i="4462"/>
  <c r="R160" i="4462"/>
  <c r="S160" i="4462"/>
  <c r="T160" i="4462"/>
  <c r="U160" i="4462"/>
  <c r="V160" i="4462"/>
  <c r="W160" i="4462"/>
  <c r="X160" i="4462"/>
  <c r="Y160" i="4462"/>
  <c r="Z160" i="4462"/>
  <c r="AA160" i="4462"/>
  <c r="AB160" i="4462"/>
  <c r="AC160" i="4462"/>
  <c r="AD160" i="4462"/>
  <c r="AE160" i="4462"/>
  <c r="AF160" i="4462"/>
  <c r="AG160" i="4462"/>
  <c r="AH160" i="4462"/>
  <c r="AI160" i="4462"/>
  <c r="AJ160" i="4462"/>
  <c r="AK160" i="4462"/>
  <c r="AL160" i="4462"/>
  <c r="AM160" i="4462"/>
  <c r="AN160" i="4462"/>
  <c r="AO160" i="4462"/>
  <c r="AP160" i="4462"/>
  <c r="AQ160" i="4462"/>
  <c r="AR160" i="4462"/>
  <c r="AS160" i="4462"/>
  <c r="AT160" i="4462"/>
  <c r="AU160" i="4462"/>
  <c r="AV160" i="4462"/>
  <c r="AW160" i="4462"/>
  <c r="AX160" i="4462"/>
  <c r="AY160" i="4462"/>
  <c r="AZ160" i="4462"/>
  <c r="BA160" i="4462"/>
  <c r="BB160" i="4462"/>
  <c r="BC160" i="4462"/>
  <c r="BD160" i="4462"/>
  <c r="A161" i="4462"/>
  <c r="B161" i="4462"/>
  <c r="C161" i="4462"/>
  <c r="D161" i="4462"/>
  <c r="E161" i="4462"/>
  <c r="F161" i="4462"/>
  <c r="G161" i="4462"/>
  <c r="H161" i="4462"/>
  <c r="I161" i="4462"/>
  <c r="J161" i="4462"/>
  <c r="K161" i="4462"/>
  <c r="L161" i="4462"/>
  <c r="M161" i="4462"/>
  <c r="N161" i="4462"/>
  <c r="O161" i="4462"/>
  <c r="P161" i="4462"/>
  <c r="Q161" i="4462"/>
  <c r="R161" i="4462"/>
  <c r="S161" i="4462"/>
  <c r="T161" i="4462"/>
  <c r="U161" i="4462"/>
  <c r="V161" i="4462"/>
  <c r="W161" i="4462"/>
  <c r="X161" i="4462"/>
  <c r="Y161" i="4462"/>
  <c r="Z161" i="4462"/>
  <c r="AA161" i="4462"/>
  <c r="AB161" i="4462"/>
  <c r="AC161" i="4462"/>
  <c r="AD161" i="4462"/>
  <c r="AE161" i="4462"/>
  <c r="AF161" i="4462"/>
  <c r="AG161" i="4462"/>
  <c r="AH161" i="4462"/>
  <c r="AI161" i="4462"/>
  <c r="AJ161" i="4462"/>
  <c r="AK161" i="4462"/>
  <c r="AL161" i="4462"/>
  <c r="AM161" i="4462"/>
  <c r="AN161" i="4462"/>
  <c r="AO161" i="4462"/>
  <c r="AP161" i="4462"/>
  <c r="AQ161" i="4462"/>
  <c r="AR161" i="4462"/>
  <c r="AS161" i="4462"/>
  <c r="AT161" i="4462"/>
  <c r="AU161" i="4462"/>
  <c r="AV161" i="4462"/>
  <c r="AW161" i="4462"/>
  <c r="AX161" i="4462"/>
  <c r="AY161" i="4462"/>
  <c r="AZ161" i="4462"/>
  <c r="BA161" i="4462"/>
  <c r="BB161" i="4462"/>
  <c r="BC161" i="4462"/>
  <c r="BD161" i="4462"/>
  <c r="A162" i="4462"/>
  <c r="B162" i="4462"/>
  <c r="C162" i="4462"/>
  <c r="D162" i="4462"/>
  <c r="E162" i="4462"/>
  <c r="F162" i="4462"/>
  <c r="G162" i="4462"/>
  <c r="H162" i="4462"/>
  <c r="I162" i="4462"/>
  <c r="J162" i="4462"/>
  <c r="K162" i="4462"/>
  <c r="L162" i="4462"/>
  <c r="M162" i="4462"/>
  <c r="N162" i="4462"/>
  <c r="O162" i="4462"/>
  <c r="P162" i="4462"/>
  <c r="Q162" i="4462"/>
  <c r="R162" i="4462"/>
  <c r="S162" i="4462"/>
  <c r="T162" i="4462"/>
  <c r="U162" i="4462"/>
  <c r="V162" i="4462"/>
  <c r="W162" i="4462"/>
  <c r="X162" i="4462"/>
  <c r="Y162" i="4462"/>
  <c r="Z162" i="4462"/>
  <c r="AA162" i="4462"/>
  <c r="AB162" i="4462"/>
  <c r="AC162" i="4462"/>
  <c r="AD162" i="4462"/>
  <c r="AE162" i="4462"/>
  <c r="AF162" i="4462"/>
  <c r="AG162" i="4462"/>
  <c r="AH162" i="4462"/>
  <c r="AI162" i="4462"/>
  <c r="AJ162" i="4462"/>
  <c r="AK162" i="4462"/>
  <c r="AL162" i="4462"/>
  <c r="AM162" i="4462"/>
  <c r="AN162" i="4462"/>
  <c r="AO162" i="4462"/>
  <c r="AP162" i="4462"/>
  <c r="AQ162" i="4462"/>
  <c r="AR162" i="4462"/>
  <c r="AS162" i="4462"/>
  <c r="AT162" i="4462"/>
  <c r="AU162" i="4462"/>
  <c r="AV162" i="4462"/>
  <c r="AW162" i="4462"/>
  <c r="AX162" i="4462"/>
  <c r="AY162" i="4462"/>
  <c r="AZ162" i="4462"/>
  <c r="BA162" i="4462"/>
  <c r="BB162" i="4462"/>
  <c r="BC162" i="4462"/>
  <c r="BD162" i="4462"/>
  <c r="A163" i="4462"/>
  <c r="B163" i="4462"/>
  <c r="C163" i="4462"/>
  <c r="D163" i="4462"/>
  <c r="E163" i="4462"/>
  <c r="F163" i="4462"/>
  <c r="G163" i="4462"/>
  <c r="H163" i="4462"/>
  <c r="I163" i="4462"/>
  <c r="J163" i="4462"/>
  <c r="K163" i="4462"/>
  <c r="L163" i="4462"/>
  <c r="M163" i="4462"/>
  <c r="N163" i="4462"/>
  <c r="O163" i="4462"/>
  <c r="P163" i="4462"/>
  <c r="Q163" i="4462"/>
  <c r="R163" i="4462"/>
  <c r="S163" i="4462"/>
  <c r="T163" i="4462"/>
  <c r="U163" i="4462"/>
  <c r="V163" i="4462"/>
  <c r="W163" i="4462"/>
  <c r="X163" i="4462"/>
  <c r="Y163" i="4462"/>
  <c r="Z163" i="4462"/>
  <c r="AA163" i="4462"/>
  <c r="AB163" i="4462"/>
  <c r="AC163" i="4462"/>
  <c r="AD163" i="4462"/>
  <c r="AE163" i="4462"/>
  <c r="AF163" i="4462"/>
  <c r="AG163" i="4462"/>
  <c r="AH163" i="4462"/>
  <c r="AI163" i="4462"/>
  <c r="AJ163" i="4462"/>
  <c r="AK163" i="4462"/>
  <c r="AL163" i="4462"/>
  <c r="AM163" i="4462"/>
  <c r="AN163" i="4462"/>
  <c r="AO163" i="4462"/>
  <c r="AP163" i="4462"/>
  <c r="AQ163" i="4462"/>
  <c r="AR163" i="4462"/>
  <c r="AS163" i="4462"/>
  <c r="AT163" i="4462"/>
  <c r="AU163" i="4462"/>
  <c r="AV163" i="4462"/>
  <c r="AW163" i="4462"/>
  <c r="AX163" i="4462"/>
  <c r="AY163" i="4462"/>
  <c r="AZ163" i="4462"/>
  <c r="BA163" i="4462"/>
  <c r="BB163" i="4462"/>
  <c r="BC163" i="4462"/>
  <c r="BD163" i="4462"/>
  <c r="A164" i="4462"/>
  <c r="B164" i="4462"/>
  <c r="C164" i="4462"/>
  <c r="D164" i="4462"/>
  <c r="E164" i="4462"/>
  <c r="F164" i="4462"/>
  <c r="G164" i="4462"/>
  <c r="H164" i="4462"/>
  <c r="I164" i="4462"/>
  <c r="J164" i="4462"/>
  <c r="K164" i="4462"/>
  <c r="L164" i="4462"/>
  <c r="M164" i="4462"/>
  <c r="N164" i="4462"/>
  <c r="O164" i="4462"/>
  <c r="P164" i="4462"/>
  <c r="Q164" i="4462"/>
  <c r="R164" i="4462"/>
  <c r="S164" i="4462"/>
  <c r="T164" i="4462"/>
  <c r="U164" i="4462"/>
  <c r="V164" i="4462"/>
  <c r="W164" i="4462"/>
  <c r="X164" i="4462"/>
  <c r="Y164" i="4462"/>
  <c r="Z164" i="4462"/>
  <c r="AA164" i="4462"/>
  <c r="AB164" i="4462"/>
  <c r="AC164" i="4462"/>
  <c r="AD164" i="4462"/>
  <c r="AE164" i="4462"/>
  <c r="AF164" i="4462"/>
  <c r="AG164" i="4462"/>
  <c r="AH164" i="4462"/>
  <c r="AI164" i="4462"/>
  <c r="AJ164" i="4462"/>
  <c r="AK164" i="4462"/>
  <c r="AL164" i="4462"/>
  <c r="AM164" i="4462"/>
  <c r="AN164" i="4462"/>
  <c r="AO164" i="4462"/>
  <c r="AP164" i="4462"/>
  <c r="AQ164" i="4462"/>
  <c r="AR164" i="4462"/>
  <c r="AS164" i="4462"/>
  <c r="AT164" i="4462"/>
  <c r="AU164" i="4462"/>
  <c r="AV164" i="4462"/>
  <c r="AW164" i="4462"/>
  <c r="AX164" i="4462"/>
  <c r="AY164" i="4462"/>
  <c r="AZ164" i="4462"/>
  <c r="BA164" i="4462"/>
  <c r="BB164" i="4462"/>
  <c r="BC164" i="4462"/>
  <c r="BD164" i="4462"/>
  <c r="A165" i="4462"/>
  <c r="B165" i="4462"/>
  <c r="C165" i="4462"/>
  <c r="D165" i="4462"/>
  <c r="E165" i="4462"/>
  <c r="F165" i="4462"/>
  <c r="G165" i="4462"/>
  <c r="H165" i="4462"/>
  <c r="I165" i="4462"/>
  <c r="J165" i="4462"/>
  <c r="K165" i="4462"/>
  <c r="L165" i="4462"/>
  <c r="M165" i="4462"/>
  <c r="N165" i="4462"/>
  <c r="O165" i="4462"/>
  <c r="P165" i="4462"/>
  <c r="Q165" i="4462"/>
  <c r="R165" i="4462"/>
  <c r="S165" i="4462"/>
  <c r="T165" i="4462"/>
  <c r="U165" i="4462"/>
  <c r="V165" i="4462"/>
  <c r="W165" i="4462"/>
  <c r="X165" i="4462"/>
  <c r="Y165" i="4462"/>
  <c r="Z165" i="4462"/>
  <c r="AA165" i="4462"/>
  <c r="AB165" i="4462"/>
  <c r="AC165" i="4462"/>
  <c r="AD165" i="4462"/>
  <c r="AE165" i="4462"/>
  <c r="AF165" i="4462"/>
  <c r="AG165" i="4462"/>
  <c r="AH165" i="4462"/>
  <c r="AI165" i="4462"/>
  <c r="AJ165" i="4462"/>
  <c r="AK165" i="4462"/>
  <c r="AL165" i="4462"/>
  <c r="AM165" i="4462"/>
  <c r="AN165" i="4462"/>
  <c r="AO165" i="4462"/>
  <c r="AP165" i="4462"/>
  <c r="AQ165" i="4462"/>
  <c r="AR165" i="4462"/>
  <c r="AS165" i="4462"/>
  <c r="AT165" i="4462"/>
  <c r="AU165" i="4462"/>
  <c r="AV165" i="4462"/>
  <c r="AW165" i="4462"/>
  <c r="AX165" i="4462"/>
  <c r="AY165" i="4462"/>
  <c r="AZ165" i="4462"/>
  <c r="BA165" i="4462"/>
  <c r="BB165" i="4462"/>
  <c r="BC165" i="4462"/>
  <c r="BD165" i="4462"/>
  <c r="A166" i="4462"/>
  <c r="B166" i="4462"/>
  <c r="C166" i="4462"/>
  <c r="D166" i="4462"/>
  <c r="E166" i="4462"/>
  <c r="F166" i="4462"/>
  <c r="G166" i="4462"/>
  <c r="H166" i="4462"/>
  <c r="I166" i="4462"/>
  <c r="J166" i="4462"/>
  <c r="K166" i="4462"/>
  <c r="L166" i="4462"/>
  <c r="M166" i="4462"/>
  <c r="N166" i="4462"/>
  <c r="O166" i="4462"/>
  <c r="P166" i="4462"/>
  <c r="Q166" i="4462"/>
  <c r="R166" i="4462"/>
  <c r="S166" i="4462"/>
  <c r="T166" i="4462"/>
  <c r="U166" i="4462"/>
  <c r="V166" i="4462"/>
  <c r="W166" i="4462"/>
  <c r="X166" i="4462"/>
  <c r="Y166" i="4462"/>
  <c r="Z166" i="4462"/>
  <c r="AA166" i="4462"/>
  <c r="AB166" i="4462"/>
  <c r="AC166" i="4462"/>
  <c r="AD166" i="4462"/>
  <c r="AE166" i="4462"/>
  <c r="AF166" i="4462"/>
  <c r="AG166" i="4462"/>
  <c r="AH166" i="4462"/>
  <c r="AI166" i="4462"/>
  <c r="AJ166" i="4462"/>
  <c r="AK166" i="4462"/>
  <c r="AL166" i="4462"/>
  <c r="AM166" i="4462"/>
  <c r="AN166" i="4462"/>
  <c r="AO166" i="4462"/>
  <c r="AP166" i="4462"/>
  <c r="AQ166" i="4462"/>
  <c r="AR166" i="4462"/>
  <c r="AS166" i="4462"/>
  <c r="AT166" i="4462"/>
  <c r="AU166" i="4462"/>
  <c r="AV166" i="4462"/>
  <c r="AW166" i="4462"/>
  <c r="AX166" i="4462"/>
  <c r="AY166" i="4462"/>
  <c r="AZ166" i="4462"/>
  <c r="BA166" i="4462"/>
  <c r="BB166" i="4462"/>
  <c r="BC166" i="4462"/>
  <c r="BD166" i="4462"/>
  <c r="A167" i="4462"/>
  <c r="B167" i="4462"/>
  <c r="C167" i="4462"/>
  <c r="D167" i="4462"/>
  <c r="E167" i="4462"/>
  <c r="F167" i="4462"/>
  <c r="G167" i="4462"/>
  <c r="H167" i="4462"/>
  <c r="I167" i="4462"/>
  <c r="J167" i="4462"/>
  <c r="K167" i="4462"/>
  <c r="L167" i="4462"/>
  <c r="M167" i="4462"/>
  <c r="N167" i="4462"/>
  <c r="O167" i="4462"/>
  <c r="P167" i="4462"/>
  <c r="Q167" i="4462"/>
  <c r="R167" i="4462"/>
  <c r="S167" i="4462"/>
  <c r="T167" i="4462"/>
  <c r="U167" i="4462"/>
  <c r="V167" i="4462"/>
  <c r="W167" i="4462"/>
  <c r="X167" i="4462"/>
  <c r="Y167" i="4462"/>
  <c r="Z167" i="4462"/>
  <c r="AA167" i="4462"/>
  <c r="AB167" i="4462"/>
  <c r="AC167" i="4462"/>
  <c r="AD167" i="4462"/>
  <c r="AE167" i="4462"/>
  <c r="AF167" i="4462"/>
  <c r="AG167" i="4462"/>
  <c r="AH167" i="4462"/>
  <c r="AI167" i="4462"/>
  <c r="AJ167" i="4462"/>
  <c r="AK167" i="4462"/>
  <c r="AL167" i="4462"/>
  <c r="AM167" i="4462"/>
  <c r="AN167" i="4462"/>
  <c r="AO167" i="4462"/>
  <c r="AP167" i="4462"/>
  <c r="AQ167" i="4462"/>
  <c r="AR167" i="4462"/>
  <c r="AS167" i="4462"/>
  <c r="AT167" i="4462"/>
  <c r="AU167" i="4462"/>
  <c r="AV167" i="4462"/>
  <c r="AW167" i="4462"/>
  <c r="AX167" i="4462"/>
  <c r="AY167" i="4462"/>
  <c r="AZ167" i="4462"/>
  <c r="BA167" i="4462"/>
  <c r="BB167" i="4462"/>
  <c r="BC167" i="4462"/>
  <c r="BD167" i="4462"/>
  <c r="A168" i="4462"/>
  <c r="B168" i="4462"/>
  <c r="C168" i="4462"/>
  <c r="D168" i="4462"/>
  <c r="E168" i="4462"/>
  <c r="F168" i="4462"/>
  <c r="G168" i="4462"/>
  <c r="H168" i="4462"/>
  <c r="I168" i="4462"/>
  <c r="J168" i="4462"/>
  <c r="K168" i="4462"/>
  <c r="L168" i="4462"/>
  <c r="M168" i="4462"/>
  <c r="N168" i="4462"/>
  <c r="O168" i="4462"/>
  <c r="P168" i="4462"/>
  <c r="Q168" i="4462"/>
  <c r="R168" i="4462"/>
  <c r="S168" i="4462"/>
  <c r="T168" i="4462"/>
  <c r="U168" i="4462"/>
  <c r="V168" i="4462"/>
  <c r="W168" i="4462"/>
  <c r="X168" i="4462"/>
  <c r="Y168" i="4462"/>
  <c r="Z168" i="4462"/>
  <c r="AA168" i="4462"/>
  <c r="AB168" i="4462"/>
  <c r="AC168" i="4462"/>
  <c r="AD168" i="4462"/>
  <c r="AE168" i="4462"/>
  <c r="AF168" i="4462"/>
  <c r="AG168" i="4462"/>
  <c r="AH168" i="4462"/>
  <c r="AI168" i="4462"/>
  <c r="AJ168" i="4462"/>
  <c r="AK168" i="4462"/>
  <c r="AL168" i="4462"/>
  <c r="AM168" i="4462"/>
  <c r="AN168" i="4462"/>
  <c r="AO168" i="4462"/>
  <c r="AP168" i="4462"/>
  <c r="AQ168" i="4462"/>
  <c r="AR168" i="4462"/>
  <c r="AS168" i="4462"/>
  <c r="AT168" i="4462"/>
  <c r="AU168" i="4462"/>
  <c r="AV168" i="4462"/>
  <c r="AW168" i="4462"/>
  <c r="AX168" i="4462"/>
  <c r="AY168" i="4462"/>
  <c r="AZ168" i="4462"/>
  <c r="BA168" i="4462"/>
  <c r="BB168" i="4462"/>
  <c r="BC168" i="4462"/>
  <c r="BD168" i="4462"/>
  <c r="A169" i="4462"/>
  <c r="B169" i="4462"/>
  <c r="C169" i="4462"/>
  <c r="D169" i="4462"/>
  <c r="E169" i="4462"/>
  <c r="F169" i="4462"/>
  <c r="G169" i="4462"/>
  <c r="H169" i="4462"/>
  <c r="I169" i="4462"/>
  <c r="J169" i="4462"/>
  <c r="K169" i="4462"/>
  <c r="L169" i="4462"/>
  <c r="M169" i="4462"/>
  <c r="N169" i="4462"/>
  <c r="O169" i="4462"/>
  <c r="P169" i="4462"/>
  <c r="Q169" i="4462"/>
  <c r="R169" i="4462"/>
  <c r="S169" i="4462"/>
  <c r="T169" i="4462"/>
  <c r="U169" i="4462"/>
  <c r="V169" i="4462"/>
  <c r="W169" i="4462"/>
  <c r="X169" i="4462"/>
  <c r="Y169" i="4462"/>
  <c r="Z169" i="4462"/>
  <c r="AA169" i="4462"/>
  <c r="AB169" i="4462"/>
  <c r="AC169" i="4462"/>
  <c r="AD169" i="4462"/>
  <c r="AE169" i="4462"/>
  <c r="AF169" i="4462"/>
  <c r="AG169" i="4462"/>
  <c r="AH169" i="4462"/>
  <c r="AI169" i="4462"/>
  <c r="AJ169" i="4462"/>
  <c r="AK169" i="4462"/>
  <c r="AL169" i="4462"/>
  <c r="AM169" i="4462"/>
  <c r="AN169" i="4462"/>
  <c r="AO169" i="4462"/>
  <c r="AP169" i="4462"/>
  <c r="AQ169" i="4462"/>
  <c r="AR169" i="4462"/>
  <c r="AS169" i="4462"/>
  <c r="AT169" i="4462"/>
  <c r="AU169" i="4462"/>
  <c r="AV169" i="4462"/>
  <c r="AW169" i="4462"/>
  <c r="AX169" i="4462"/>
  <c r="AY169" i="4462"/>
  <c r="AZ169" i="4462"/>
  <c r="BA169" i="4462"/>
  <c r="BB169" i="4462"/>
  <c r="BC169" i="4462"/>
  <c r="BD169" i="4462"/>
  <c r="A170" i="4462"/>
  <c r="B170" i="4462"/>
  <c r="C170" i="4462"/>
  <c r="D170" i="4462"/>
  <c r="E170" i="4462"/>
  <c r="F170" i="4462"/>
  <c r="G170" i="4462"/>
  <c r="H170" i="4462"/>
  <c r="I170" i="4462"/>
  <c r="J170" i="4462"/>
  <c r="K170" i="4462"/>
  <c r="L170" i="4462"/>
  <c r="M170" i="4462"/>
  <c r="N170" i="4462"/>
  <c r="O170" i="4462"/>
  <c r="P170" i="4462"/>
  <c r="Q170" i="4462"/>
  <c r="R170" i="4462"/>
  <c r="S170" i="4462"/>
  <c r="T170" i="4462"/>
  <c r="U170" i="4462"/>
  <c r="V170" i="4462"/>
  <c r="W170" i="4462"/>
  <c r="X170" i="4462"/>
  <c r="Y170" i="4462"/>
  <c r="Z170" i="4462"/>
  <c r="AA170" i="4462"/>
  <c r="AB170" i="4462"/>
  <c r="AC170" i="4462"/>
  <c r="AD170" i="4462"/>
  <c r="AE170" i="4462"/>
  <c r="AF170" i="4462"/>
  <c r="AG170" i="4462"/>
  <c r="AH170" i="4462"/>
  <c r="AI170" i="4462"/>
  <c r="AJ170" i="4462"/>
  <c r="AK170" i="4462"/>
  <c r="AL170" i="4462"/>
  <c r="AM170" i="4462"/>
  <c r="AN170" i="4462"/>
  <c r="AO170" i="4462"/>
  <c r="AP170" i="4462"/>
  <c r="AQ170" i="4462"/>
  <c r="AR170" i="4462"/>
  <c r="AS170" i="4462"/>
  <c r="AT170" i="4462"/>
  <c r="AU170" i="4462"/>
  <c r="AV170" i="4462"/>
  <c r="AW170" i="4462"/>
  <c r="AX170" i="4462"/>
  <c r="AY170" i="4462"/>
  <c r="AZ170" i="4462"/>
  <c r="BA170" i="4462"/>
  <c r="BB170" i="4462"/>
  <c r="BC170" i="4462"/>
  <c r="BD170" i="4462"/>
  <c r="A171" i="4462"/>
  <c r="B171" i="4462"/>
  <c r="C171" i="4462"/>
  <c r="D171" i="4462"/>
  <c r="E171" i="4462"/>
  <c r="F171" i="4462"/>
  <c r="G171" i="4462"/>
  <c r="H171" i="4462"/>
  <c r="I171" i="4462"/>
  <c r="J171" i="4462"/>
  <c r="K171" i="4462"/>
  <c r="L171" i="4462"/>
  <c r="M171" i="4462"/>
  <c r="N171" i="4462"/>
  <c r="O171" i="4462"/>
  <c r="P171" i="4462"/>
  <c r="Q171" i="4462"/>
  <c r="R171" i="4462"/>
  <c r="S171" i="4462"/>
  <c r="T171" i="4462"/>
  <c r="U171" i="4462"/>
  <c r="V171" i="4462"/>
  <c r="W171" i="4462"/>
  <c r="X171" i="4462"/>
  <c r="Y171" i="4462"/>
  <c r="Z171" i="4462"/>
  <c r="AA171" i="4462"/>
  <c r="AB171" i="4462"/>
  <c r="AC171" i="4462"/>
  <c r="AD171" i="4462"/>
  <c r="AE171" i="4462"/>
  <c r="AF171" i="4462"/>
  <c r="AG171" i="4462"/>
  <c r="AH171" i="4462"/>
  <c r="AI171" i="4462"/>
  <c r="AJ171" i="4462"/>
  <c r="AK171" i="4462"/>
  <c r="AL171" i="4462"/>
  <c r="AM171" i="4462"/>
  <c r="AN171" i="4462"/>
  <c r="AO171" i="4462"/>
  <c r="AP171" i="4462"/>
  <c r="AQ171" i="4462"/>
  <c r="AR171" i="4462"/>
  <c r="AS171" i="4462"/>
  <c r="AT171" i="4462"/>
  <c r="AU171" i="4462"/>
  <c r="AV171" i="4462"/>
  <c r="AW171" i="4462"/>
  <c r="AX171" i="4462"/>
  <c r="AY171" i="4462"/>
  <c r="AZ171" i="4462"/>
  <c r="BA171" i="4462"/>
  <c r="BB171" i="4462"/>
  <c r="BC171" i="4462"/>
  <c r="BD171" i="4462"/>
  <c r="A172" i="4462"/>
  <c r="B172" i="4462"/>
  <c r="C172" i="4462"/>
  <c r="D172" i="4462"/>
  <c r="E172" i="4462"/>
  <c r="F172" i="4462"/>
  <c r="G172" i="4462"/>
  <c r="H172" i="4462"/>
  <c r="I172" i="4462"/>
  <c r="J172" i="4462"/>
  <c r="K172" i="4462"/>
  <c r="L172" i="4462"/>
  <c r="M172" i="4462"/>
  <c r="N172" i="4462"/>
  <c r="O172" i="4462"/>
  <c r="P172" i="4462"/>
  <c r="Q172" i="4462"/>
  <c r="R172" i="4462"/>
  <c r="S172" i="4462"/>
  <c r="T172" i="4462"/>
  <c r="U172" i="4462"/>
  <c r="V172" i="4462"/>
  <c r="W172" i="4462"/>
  <c r="X172" i="4462"/>
  <c r="Y172" i="4462"/>
  <c r="Z172" i="4462"/>
  <c r="AA172" i="4462"/>
  <c r="AB172" i="4462"/>
  <c r="AC172" i="4462"/>
  <c r="AD172" i="4462"/>
  <c r="AE172" i="4462"/>
  <c r="AF172" i="4462"/>
  <c r="AG172" i="4462"/>
  <c r="AH172" i="4462"/>
  <c r="AI172" i="4462"/>
  <c r="AJ172" i="4462"/>
  <c r="AK172" i="4462"/>
  <c r="AL172" i="4462"/>
  <c r="AM172" i="4462"/>
  <c r="AN172" i="4462"/>
  <c r="AO172" i="4462"/>
  <c r="AP172" i="4462"/>
  <c r="AQ172" i="4462"/>
  <c r="AR172" i="4462"/>
  <c r="AS172" i="4462"/>
  <c r="AT172" i="4462"/>
  <c r="AU172" i="4462"/>
  <c r="AV172" i="4462"/>
  <c r="AW172" i="4462"/>
  <c r="AX172" i="4462"/>
  <c r="AY172" i="4462"/>
  <c r="AZ172" i="4462"/>
  <c r="BA172" i="4462"/>
  <c r="BB172" i="4462"/>
  <c r="BC172" i="4462"/>
  <c r="BD172" i="4462"/>
  <c r="A173" i="4462"/>
  <c r="B173" i="4462"/>
  <c r="C173" i="4462"/>
  <c r="D173" i="4462"/>
  <c r="E173" i="4462"/>
  <c r="F173" i="4462"/>
  <c r="G173" i="4462"/>
  <c r="H173" i="4462"/>
  <c r="I173" i="4462"/>
  <c r="J173" i="4462"/>
  <c r="K173" i="4462"/>
  <c r="L173" i="4462"/>
  <c r="M173" i="4462"/>
  <c r="N173" i="4462"/>
  <c r="O173" i="4462"/>
  <c r="P173" i="4462"/>
  <c r="Q173" i="4462"/>
  <c r="R173" i="4462"/>
  <c r="S173" i="4462"/>
  <c r="T173" i="4462"/>
  <c r="U173" i="4462"/>
  <c r="V173" i="4462"/>
  <c r="W173" i="4462"/>
  <c r="X173" i="4462"/>
  <c r="Y173" i="4462"/>
  <c r="Z173" i="4462"/>
  <c r="AA173" i="4462"/>
  <c r="AB173" i="4462"/>
  <c r="AC173" i="4462"/>
  <c r="AD173" i="4462"/>
  <c r="AE173" i="4462"/>
  <c r="AF173" i="4462"/>
  <c r="AG173" i="4462"/>
  <c r="AH173" i="4462"/>
  <c r="AI173" i="4462"/>
  <c r="AJ173" i="4462"/>
  <c r="AK173" i="4462"/>
  <c r="AL173" i="4462"/>
  <c r="AM173" i="4462"/>
  <c r="AN173" i="4462"/>
  <c r="AO173" i="4462"/>
  <c r="AP173" i="4462"/>
  <c r="AQ173" i="4462"/>
  <c r="AR173" i="4462"/>
  <c r="AS173" i="4462"/>
  <c r="AT173" i="4462"/>
  <c r="AU173" i="4462"/>
  <c r="AV173" i="4462"/>
  <c r="AW173" i="4462"/>
  <c r="AX173" i="4462"/>
  <c r="AY173" i="4462"/>
  <c r="AZ173" i="4462"/>
  <c r="BA173" i="4462"/>
  <c r="BB173" i="4462"/>
  <c r="BC173" i="4462"/>
  <c r="BD173" i="4462"/>
  <c r="A174" i="4462"/>
  <c r="B174" i="4462"/>
  <c r="C174" i="4462"/>
  <c r="D174" i="4462"/>
  <c r="E174" i="4462"/>
  <c r="F174" i="4462"/>
  <c r="G174" i="4462"/>
  <c r="H174" i="4462"/>
  <c r="I174" i="4462"/>
  <c r="J174" i="4462"/>
  <c r="K174" i="4462"/>
  <c r="L174" i="4462"/>
  <c r="M174" i="4462"/>
  <c r="N174" i="4462"/>
  <c r="O174" i="4462"/>
  <c r="P174" i="4462"/>
  <c r="Q174" i="4462"/>
  <c r="R174" i="4462"/>
  <c r="S174" i="4462"/>
  <c r="T174" i="4462"/>
  <c r="U174" i="4462"/>
  <c r="V174" i="4462"/>
  <c r="W174" i="4462"/>
  <c r="X174" i="4462"/>
  <c r="Y174" i="4462"/>
  <c r="Z174" i="4462"/>
  <c r="AA174" i="4462"/>
  <c r="AB174" i="4462"/>
  <c r="AC174" i="4462"/>
  <c r="AD174" i="4462"/>
  <c r="AE174" i="4462"/>
  <c r="AF174" i="4462"/>
  <c r="AG174" i="4462"/>
  <c r="AH174" i="4462"/>
  <c r="AI174" i="4462"/>
  <c r="AJ174" i="4462"/>
  <c r="AK174" i="4462"/>
  <c r="AL174" i="4462"/>
  <c r="AM174" i="4462"/>
  <c r="AN174" i="4462"/>
  <c r="AO174" i="4462"/>
  <c r="AP174" i="4462"/>
  <c r="AQ174" i="4462"/>
  <c r="AR174" i="4462"/>
  <c r="AS174" i="4462"/>
  <c r="AT174" i="4462"/>
  <c r="AU174" i="4462"/>
  <c r="AV174" i="4462"/>
  <c r="AW174" i="4462"/>
  <c r="AX174" i="4462"/>
  <c r="AY174" i="4462"/>
  <c r="AZ174" i="4462"/>
  <c r="BA174" i="4462"/>
  <c r="BB174" i="4462"/>
  <c r="BC174" i="4462"/>
  <c r="BD174" i="4462"/>
  <c r="A175" i="4462"/>
  <c r="B175" i="4462"/>
  <c r="C175" i="4462"/>
  <c r="D175" i="4462"/>
  <c r="E175" i="4462"/>
  <c r="F175" i="4462"/>
  <c r="G175" i="4462"/>
  <c r="H175" i="4462"/>
  <c r="I175" i="4462"/>
  <c r="J175" i="4462"/>
  <c r="K175" i="4462"/>
  <c r="L175" i="4462"/>
  <c r="M175" i="4462"/>
  <c r="N175" i="4462"/>
  <c r="O175" i="4462"/>
  <c r="P175" i="4462"/>
  <c r="Q175" i="4462"/>
  <c r="R175" i="4462"/>
  <c r="S175" i="4462"/>
  <c r="T175" i="4462"/>
  <c r="U175" i="4462"/>
  <c r="V175" i="4462"/>
  <c r="W175" i="4462"/>
  <c r="X175" i="4462"/>
  <c r="Y175" i="4462"/>
  <c r="Z175" i="4462"/>
  <c r="AA175" i="4462"/>
  <c r="AB175" i="4462"/>
  <c r="AC175" i="4462"/>
  <c r="AD175" i="4462"/>
  <c r="AE175" i="4462"/>
  <c r="AF175" i="4462"/>
  <c r="AG175" i="4462"/>
  <c r="AH175" i="4462"/>
  <c r="AI175" i="4462"/>
  <c r="AJ175" i="4462"/>
  <c r="AK175" i="4462"/>
  <c r="AL175" i="4462"/>
  <c r="AM175" i="4462"/>
  <c r="AN175" i="4462"/>
  <c r="AO175" i="4462"/>
  <c r="AP175" i="4462"/>
  <c r="AQ175" i="4462"/>
  <c r="AR175" i="4462"/>
  <c r="AS175" i="4462"/>
  <c r="AT175" i="4462"/>
  <c r="AU175" i="4462"/>
  <c r="AV175" i="4462"/>
  <c r="AW175" i="4462"/>
  <c r="AX175" i="4462"/>
  <c r="AY175" i="4462"/>
  <c r="AZ175" i="4462"/>
  <c r="BA175" i="4462"/>
  <c r="BB175" i="4462"/>
  <c r="BC175" i="4462"/>
  <c r="BD175" i="4462"/>
  <c r="A176" i="4462"/>
  <c r="B176" i="4462"/>
  <c r="C176" i="4462"/>
  <c r="D176" i="4462"/>
  <c r="E176" i="4462"/>
  <c r="F176" i="4462"/>
  <c r="G176" i="4462"/>
  <c r="H176" i="4462"/>
  <c r="I176" i="4462"/>
  <c r="J176" i="4462"/>
  <c r="K176" i="4462"/>
  <c r="L176" i="4462"/>
  <c r="M176" i="4462"/>
  <c r="N176" i="4462"/>
  <c r="O176" i="4462"/>
  <c r="P176" i="4462"/>
  <c r="Q176" i="4462"/>
  <c r="R176" i="4462"/>
  <c r="S176" i="4462"/>
  <c r="T176" i="4462"/>
  <c r="U176" i="4462"/>
  <c r="V176" i="4462"/>
  <c r="W176" i="4462"/>
  <c r="X176" i="4462"/>
  <c r="Y176" i="4462"/>
  <c r="Z176" i="4462"/>
  <c r="AA176" i="4462"/>
  <c r="AB176" i="4462"/>
  <c r="AC176" i="4462"/>
  <c r="AD176" i="4462"/>
  <c r="AE176" i="4462"/>
  <c r="AF176" i="4462"/>
  <c r="AG176" i="4462"/>
  <c r="AH176" i="4462"/>
  <c r="AI176" i="4462"/>
  <c r="AJ176" i="4462"/>
  <c r="AK176" i="4462"/>
  <c r="AL176" i="4462"/>
  <c r="AM176" i="4462"/>
  <c r="AN176" i="4462"/>
  <c r="AO176" i="4462"/>
  <c r="AP176" i="4462"/>
  <c r="AQ176" i="4462"/>
  <c r="AR176" i="4462"/>
  <c r="AS176" i="4462"/>
  <c r="AT176" i="4462"/>
  <c r="AU176" i="4462"/>
  <c r="AV176" i="4462"/>
  <c r="AW176" i="4462"/>
  <c r="AX176" i="4462"/>
  <c r="AY176" i="4462"/>
  <c r="AZ176" i="4462"/>
  <c r="BA176" i="4462"/>
  <c r="BB176" i="4462"/>
  <c r="BC176" i="4462"/>
  <c r="BD176" i="4462"/>
  <c r="A177" i="4462"/>
  <c r="B177" i="4462"/>
  <c r="C177" i="4462"/>
  <c r="D177" i="4462"/>
  <c r="E177" i="4462"/>
  <c r="F177" i="4462"/>
  <c r="G177" i="4462"/>
  <c r="H177" i="4462"/>
  <c r="I177" i="4462"/>
  <c r="J177" i="4462"/>
  <c r="K177" i="4462"/>
  <c r="L177" i="4462"/>
  <c r="M177" i="4462"/>
  <c r="N177" i="4462"/>
  <c r="O177" i="4462"/>
  <c r="P177" i="4462"/>
  <c r="Q177" i="4462"/>
  <c r="R177" i="4462"/>
  <c r="S177" i="4462"/>
  <c r="T177" i="4462"/>
  <c r="U177" i="4462"/>
  <c r="V177" i="4462"/>
  <c r="W177" i="4462"/>
  <c r="X177" i="4462"/>
  <c r="Y177" i="4462"/>
  <c r="Z177" i="4462"/>
  <c r="AA177" i="4462"/>
  <c r="AB177" i="4462"/>
  <c r="AC177" i="4462"/>
  <c r="AD177" i="4462"/>
  <c r="AE177" i="4462"/>
  <c r="AF177" i="4462"/>
  <c r="AG177" i="4462"/>
  <c r="AH177" i="4462"/>
  <c r="AI177" i="4462"/>
  <c r="AJ177" i="4462"/>
  <c r="AK177" i="4462"/>
  <c r="AL177" i="4462"/>
  <c r="AM177" i="4462"/>
  <c r="AN177" i="4462"/>
  <c r="AO177" i="4462"/>
  <c r="AP177" i="4462"/>
  <c r="AQ177" i="4462"/>
  <c r="AR177" i="4462"/>
  <c r="AS177" i="4462"/>
  <c r="AT177" i="4462"/>
  <c r="AU177" i="4462"/>
  <c r="AV177" i="4462"/>
  <c r="AW177" i="4462"/>
  <c r="AX177" i="4462"/>
  <c r="AY177" i="4462"/>
  <c r="AZ177" i="4462"/>
  <c r="BA177" i="4462"/>
  <c r="BB177" i="4462"/>
  <c r="BC177" i="4462"/>
  <c r="BD177" i="4462"/>
  <c r="A178" i="4462"/>
  <c r="B178" i="4462"/>
  <c r="C178" i="4462"/>
  <c r="D178" i="4462"/>
  <c r="E178" i="4462"/>
  <c r="F178" i="4462"/>
  <c r="G178" i="4462"/>
  <c r="H178" i="4462"/>
  <c r="I178" i="4462"/>
  <c r="J178" i="4462"/>
  <c r="K178" i="4462"/>
  <c r="L178" i="4462"/>
  <c r="M178" i="4462"/>
  <c r="N178" i="4462"/>
  <c r="O178" i="4462"/>
  <c r="P178" i="4462"/>
  <c r="Q178" i="4462"/>
  <c r="R178" i="4462"/>
  <c r="S178" i="4462"/>
  <c r="T178" i="4462"/>
  <c r="U178" i="4462"/>
  <c r="V178" i="4462"/>
  <c r="W178" i="4462"/>
  <c r="X178" i="4462"/>
  <c r="Y178" i="4462"/>
  <c r="Z178" i="4462"/>
  <c r="AA178" i="4462"/>
  <c r="AB178" i="4462"/>
  <c r="AC178" i="4462"/>
  <c r="AD178" i="4462"/>
  <c r="AE178" i="4462"/>
  <c r="AF178" i="4462"/>
  <c r="AG178" i="4462"/>
  <c r="AH178" i="4462"/>
  <c r="AI178" i="4462"/>
  <c r="AJ178" i="4462"/>
  <c r="AK178" i="4462"/>
  <c r="AL178" i="4462"/>
  <c r="AM178" i="4462"/>
  <c r="AN178" i="4462"/>
  <c r="AO178" i="4462"/>
  <c r="AP178" i="4462"/>
  <c r="AQ178" i="4462"/>
  <c r="AR178" i="4462"/>
  <c r="AS178" i="4462"/>
  <c r="AT178" i="4462"/>
  <c r="AU178" i="4462"/>
  <c r="AV178" i="4462"/>
  <c r="AW178" i="4462"/>
  <c r="AX178" i="4462"/>
  <c r="AY178" i="4462"/>
  <c r="AZ178" i="4462"/>
  <c r="BA178" i="4462"/>
  <c r="BB178" i="4462"/>
  <c r="BC178" i="4462"/>
  <c r="BD178" i="4462"/>
  <c r="A179" i="4462"/>
  <c r="B179" i="4462"/>
  <c r="C179" i="4462"/>
  <c r="D179" i="4462"/>
  <c r="E179" i="4462"/>
  <c r="F179" i="4462"/>
  <c r="G179" i="4462"/>
  <c r="H179" i="4462"/>
  <c r="I179" i="4462"/>
  <c r="J179" i="4462"/>
  <c r="K179" i="4462"/>
  <c r="L179" i="4462"/>
  <c r="M179" i="4462"/>
  <c r="N179" i="4462"/>
  <c r="O179" i="4462"/>
  <c r="P179" i="4462"/>
  <c r="Q179" i="4462"/>
  <c r="R179" i="4462"/>
  <c r="S179" i="4462"/>
  <c r="T179" i="4462"/>
  <c r="U179" i="4462"/>
  <c r="V179" i="4462"/>
  <c r="W179" i="4462"/>
  <c r="X179" i="4462"/>
  <c r="Y179" i="4462"/>
  <c r="Z179" i="4462"/>
  <c r="AA179" i="4462"/>
  <c r="AB179" i="4462"/>
  <c r="AC179" i="4462"/>
  <c r="AD179" i="4462"/>
  <c r="AE179" i="4462"/>
  <c r="AF179" i="4462"/>
  <c r="AG179" i="4462"/>
  <c r="AH179" i="4462"/>
  <c r="AI179" i="4462"/>
  <c r="AJ179" i="4462"/>
  <c r="AK179" i="4462"/>
  <c r="AL179" i="4462"/>
  <c r="AM179" i="4462"/>
  <c r="AN179" i="4462"/>
  <c r="AO179" i="4462"/>
  <c r="AP179" i="4462"/>
  <c r="AQ179" i="4462"/>
  <c r="AR179" i="4462"/>
  <c r="AS179" i="4462"/>
  <c r="AT179" i="4462"/>
  <c r="AU179" i="4462"/>
  <c r="AV179" i="4462"/>
  <c r="AW179" i="4462"/>
  <c r="AX179" i="4462"/>
  <c r="AY179" i="4462"/>
  <c r="AZ179" i="4462"/>
  <c r="BA179" i="4462"/>
  <c r="BB179" i="4462"/>
  <c r="BC179" i="4462"/>
  <c r="BD179" i="4462"/>
  <c r="A180" i="4462"/>
  <c r="B180" i="4462"/>
  <c r="C180" i="4462"/>
  <c r="D180" i="4462"/>
  <c r="E180" i="4462"/>
  <c r="F180" i="4462"/>
  <c r="G180" i="4462"/>
  <c r="H180" i="4462"/>
  <c r="I180" i="4462"/>
  <c r="J180" i="4462"/>
  <c r="K180" i="4462"/>
  <c r="L180" i="4462"/>
  <c r="M180" i="4462"/>
  <c r="N180" i="4462"/>
  <c r="O180" i="4462"/>
  <c r="P180" i="4462"/>
  <c r="Q180" i="4462"/>
  <c r="R180" i="4462"/>
  <c r="S180" i="4462"/>
  <c r="T180" i="4462"/>
  <c r="U180" i="4462"/>
  <c r="V180" i="4462"/>
  <c r="W180" i="4462"/>
  <c r="X180" i="4462"/>
  <c r="Y180" i="4462"/>
  <c r="Z180" i="4462"/>
  <c r="AA180" i="4462"/>
  <c r="AB180" i="4462"/>
  <c r="AC180" i="4462"/>
  <c r="AD180" i="4462"/>
  <c r="AE180" i="4462"/>
  <c r="AF180" i="4462"/>
  <c r="AG180" i="4462"/>
  <c r="AH180" i="4462"/>
  <c r="AI180" i="4462"/>
  <c r="AJ180" i="4462"/>
  <c r="AK180" i="4462"/>
  <c r="AL180" i="4462"/>
  <c r="AM180" i="4462"/>
  <c r="AN180" i="4462"/>
  <c r="AO180" i="4462"/>
  <c r="AP180" i="4462"/>
  <c r="AQ180" i="4462"/>
  <c r="AR180" i="4462"/>
  <c r="AS180" i="4462"/>
  <c r="AT180" i="4462"/>
  <c r="AU180" i="4462"/>
  <c r="AV180" i="4462"/>
  <c r="AW180" i="4462"/>
  <c r="AX180" i="4462"/>
  <c r="AY180" i="4462"/>
  <c r="AZ180" i="4462"/>
  <c r="BA180" i="4462"/>
  <c r="BB180" i="4462"/>
  <c r="BC180" i="4462"/>
  <c r="BD180" i="4462"/>
  <c r="A181" i="4462"/>
  <c r="B181" i="4462"/>
  <c r="C181" i="4462"/>
  <c r="D181" i="4462"/>
  <c r="E181" i="4462"/>
  <c r="F181" i="4462"/>
  <c r="G181" i="4462"/>
  <c r="H181" i="4462"/>
  <c r="I181" i="4462"/>
  <c r="J181" i="4462"/>
  <c r="K181" i="4462"/>
  <c r="L181" i="4462"/>
  <c r="M181" i="4462"/>
  <c r="N181" i="4462"/>
  <c r="O181" i="4462"/>
  <c r="P181" i="4462"/>
  <c r="Q181" i="4462"/>
  <c r="R181" i="4462"/>
  <c r="S181" i="4462"/>
  <c r="T181" i="4462"/>
  <c r="U181" i="4462"/>
  <c r="V181" i="4462"/>
  <c r="W181" i="4462"/>
  <c r="X181" i="4462"/>
  <c r="Y181" i="4462"/>
  <c r="Z181" i="4462"/>
  <c r="AA181" i="4462"/>
  <c r="AB181" i="4462"/>
  <c r="AC181" i="4462"/>
  <c r="AD181" i="4462"/>
  <c r="AE181" i="4462"/>
  <c r="AF181" i="4462"/>
  <c r="AG181" i="4462"/>
  <c r="AH181" i="4462"/>
  <c r="AI181" i="4462"/>
  <c r="AJ181" i="4462"/>
  <c r="AK181" i="4462"/>
  <c r="AL181" i="4462"/>
  <c r="AM181" i="4462"/>
  <c r="AN181" i="4462"/>
  <c r="AO181" i="4462"/>
  <c r="AP181" i="4462"/>
  <c r="AQ181" i="4462"/>
  <c r="AR181" i="4462"/>
  <c r="AS181" i="4462"/>
  <c r="AT181" i="4462"/>
  <c r="AU181" i="4462"/>
  <c r="AV181" i="4462"/>
  <c r="AW181" i="4462"/>
  <c r="AX181" i="4462"/>
  <c r="AY181" i="4462"/>
  <c r="AZ181" i="4462"/>
  <c r="BA181" i="4462"/>
  <c r="BB181" i="4462"/>
  <c r="BC181" i="4462"/>
  <c r="BD181" i="4462"/>
  <c r="A182" i="4462"/>
  <c r="B182" i="4462"/>
  <c r="C182" i="4462"/>
  <c r="D182" i="4462"/>
  <c r="E182" i="4462"/>
  <c r="F182" i="4462"/>
  <c r="G182" i="4462"/>
  <c r="H182" i="4462"/>
  <c r="I182" i="4462"/>
  <c r="J182" i="4462"/>
  <c r="K182" i="4462"/>
  <c r="L182" i="4462"/>
  <c r="M182" i="4462"/>
  <c r="N182" i="4462"/>
  <c r="O182" i="4462"/>
  <c r="P182" i="4462"/>
  <c r="Q182" i="4462"/>
  <c r="R182" i="4462"/>
  <c r="S182" i="4462"/>
  <c r="T182" i="4462"/>
  <c r="U182" i="4462"/>
  <c r="V182" i="4462"/>
  <c r="W182" i="4462"/>
  <c r="X182" i="4462"/>
  <c r="Y182" i="4462"/>
  <c r="Z182" i="4462"/>
  <c r="AA182" i="4462"/>
  <c r="AB182" i="4462"/>
  <c r="AC182" i="4462"/>
  <c r="AD182" i="4462"/>
  <c r="AE182" i="4462"/>
  <c r="AF182" i="4462"/>
  <c r="AG182" i="4462"/>
  <c r="AH182" i="4462"/>
  <c r="AI182" i="4462"/>
  <c r="AJ182" i="4462"/>
  <c r="AK182" i="4462"/>
  <c r="AL182" i="4462"/>
  <c r="AM182" i="4462"/>
  <c r="AN182" i="4462"/>
  <c r="AO182" i="4462"/>
  <c r="AP182" i="4462"/>
  <c r="AQ182" i="4462"/>
  <c r="AR182" i="4462"/>
  <c r="AS182" i="4462"/>
  <c r="AT182" i="4462"/>
  <c r="AU182" i="4462"/>
  <c r="AV182" i="4462"/>
  <c r="AW182" i="4462"/>
  <c r="AX182" i="4462"/>
  <c r="AY182" i="4462"/>
  <c r="AZ182" i="4462"/>
  <c r="BA182" i="4462"/>
  <c r="BB182" i="4462"/>
  <c r="BC182" i="4462"/>
  <c r="BD182" i="4462"/>
  <c r="A183" i="4462"/>
  <c r="B183" i="4462"/>
  <c r="C183" i="4462"/>
  <c r="D183" i="4462"/>
  <c r="E183" i="4462"/>
  <c r="F183" i="4462"/>
  <c r="G183" i="4462"/>
  <c r="H183" i="4462"/>
  <c r="I183" i="4462"/>
  <c r="J183" i="4462"/>
  <c r="K183" i="4462"/>
  <c r="L183" i="4462"/>
  <c r="M183" i="4462"/>
  <c r="N183" i="4462"/>
  <c r="O183" i="4462"/>
  <c r="P183" i="4462"/>
  <c r="Q183" i="4462"/>
  <c r="R183" i="4462"/>
  <c r="S183" i="4462"/>
  <c r="T183" i="4462"/>
  <c r="U183" i="4462"/>
  <c r="V183" i="4462"/>
  <c r="W183" i="4462"/>
  <c r="X183" i="4462"/>
  <c r="Y183" i="4462"/>
  <c r="Z183" i="4462"/>
  <c r="AA183" i="4462"/>
  <c r="AB183" i="4462"/>
  <c r="AC183" i="4462"/>
  <c r="AD183" i="4462"/>
  <c r="AE183" i="4462"/>
  <c r="AF183" i="4462"/>
  <c r="AG183" i="4462"/>
  <c r="AH183" i="4462"/>
  <c r="AI183" i="4462"/>
  <c r="AJ183" i="4462"/>
  <c r="AK183" i="4462"/>
  <c r="AL183" i="4462"/>
  <c r="AM183" i="4462"/>
  <c r="AN183" i="4462"/>
  <c r="AO183" i="4462"/>
  <c r="AP183" i="4462"/>
  <c r="AQ183" i="4462"/>
  <c r="AR183" i="4462"/>
  <c r="AS183" i="4462"/>
  <c r="AT183" i="4462"/>
  <c r="AU183" i="4462"/>
  <c r="AV183" i="4462"/>
  <c r="AW183" i="4462"/>
  <c r="AX183" i="4462"/>
  <c r="AY183" i="4462"/>
  <c r="AZ183" i="4462"/>
  <c r="BA183" i="4462"/>
  <c r="BB183" i="4462"/>
  <c r="BC183" i="4462"/>
  <c r="BD183" i="4462"/>
  <c r="A184" i="4462"/>
  <c r="B184" i="4462"/>
  <c r="C184" i="4462"/>
  <c r="D184" i="4462"/>
  <c r="E184" i="4462"/>
  <c r="F184" i="4462"/>
  <c r="G184" i="4462"/>
  <c r="H184" i="4462"/>
  <c r="I184" i="4462"/>
  <c r="J184" i="4462"/>
  <c r="K184" i="4462"/>
  <c r="L184" i="4462"/>
  <c r="M184" i="4462"/>
  <c r="N184" i="4462"/>
  <c r="O184" i="4462"/>
  <c r="P184" i="4462"/>
  <c r="Q184" i="4462"/>
  <c r="R184" i="4462"/>
  <c r="S184" i="4462"/>
  <c r="T184" i="4462"/>
  <c r="U184" i="4462"/>
  <c r="V184" i="4462"/>
  <c r="W184" i="4462"/>
  <c r="X184" i="4462"/>
  <c r="Y184" i="4462"/>
  <c r="Z184" i="4462"/>
  <c r="AA184" i="4462"/>
  <c r="AB184" i="4462"/>
  <c r="AC184" i="4462"/>
  <c r="AD184" i="4462"/>
  <c r="AE184" i="4462"/>
  <c r="AF184" i="4462"/>
  <c r="AG184" i="4462"/>
  <c r="AH184" i="4462"/>
  <c r="AI184" i="4462"/>
  <c r="AJ184" i="4462"/>
  <c r="AK184" i="4462"/>
  <c r="AL184" i="4462"/>
  <c r="AM184" i="4462"/>
  <c r="AN184" i="4462"/>
  <c r="AO184" i="4462"/>
  <c r="AP184" i="4462"/>
  <c r="AQ184" i="4462"/>
  <c r="AR184" i="4462"/>
  <c r="AS184" i="4462"/>
  <c r="AT184" i="4462"/>
  <c r="AU184" i="4462"/>
  <c r="AV184" i="4462"/>
  <c r="AW184" i="4462"/>
  <c r="AX184" i="4462"/>
  <c r="AY184" i="4462"/>
  <c r="AZ184" i="4462"/>
  <c r="BA184" i="4462"/>
  <c r="BB184" i="4462"/>
  <c r="BC184" i="4462"/>
  <c r="BD184" i="4462"/>
  <c r="A185" i="4462"/>
  <c r="B185" i="4462"/>
  <c r="C185" i="4462"/>
  <c r="D185" i="4462"/>
  <c r="E185" i="4462"/>
  <c r="F185" i="4462"/>
  <c r="G185" i="4462"/>
  <c r="H185" i="4462"/>
  <c r="I185" i="4462"/>
  <c r="J185" i="4462"/>
  <c r="K185" i="4462"/>
  <c r="L185" i="4462"/>
  <c r="M185" i="4462"/>
  <c r="N185" i="4462"/>
  <c r="O185" i="4462"/>
  <c r="P185" i="4462"/>
  <c r="Q185" i="4462"/>
  <c r="R185" i="4462"/>
  <c r="S185" i="4462"/>
  <c r="T185" i="4462"/>
  <c r="U185" i="4462"/>
  <c r="V185" i="4462"/>
  <c r="W185" i="4462"/>
  <c r="X185" i="4462"/>
  <c r="Y185" i="4462"/>
  <c r="Z185" i="4462"/>
  <c r="AA185" i="4462"/>
  <c r="AB185" i="4462"/>
  <c r="AC185" i="4462"/>
  <c r="AD185" i="4462"/>
  <c r="AE185" i="4462"/>
  <c r="AF185" i="4462"/>
  <c r="AG185" i="4462"/>
  <c r="AH185" i="4462"/>
  <c r="AI185" i="4462"/>
  <c r="AJ185" i="4462"/>
  <c r="AK185" i="4462"/>
  <c r="AL185" i="4462"/>
  <c r="AM185" i="4462"/>
  <c r="AN185" i="4462"/>
  <c r="AO185" i="4462"/>
  <c r="AP185" i="4462"/>
  <c r="AQ185" i="4462"/>
  <c r="AR185" i="4462"/>
  <c r="AS185" i="4462"/>
  <c r="AT185" i="4462"/>
  <c r="AU185" i="4462"/>
  <c r="AV185" i="4462"/>
  <c r="AW185" i="4462"/>
  <c r="AX185" i="4462"/>
  <c r="AY185" i="4462"/>
  <c r="AZ185" i="4462"/>
  <c r="BA185" i="4462"/>
  <c r="BB185" i="4462"/>
  <c r="BC185" i="4462"/>
  <c r="BD185" i="4462"/>
  <c r="A186" i="4462"/>
  <c r="B186" i="4462"/>
  <c r="C186" i="4462"/>
  <c r="D186" i="4462"/>
  <c r="E186" i="4462"/>
  <c r="F186" i="4462"/>
  <c r="G186" i="4462"/>
  <c r="H186" i="4462"/>
  <c r="I186" i="4462"/>
  <c r="J186" i="4462"/>
  <c r="K186" i="4462"/>
  <c r="L186" i="4462"/>
  <c r="M186" i="4462"/>
  <c r="N186" i="4462"/>
  <c r="O186" i="4462"/>
  <c r="P186" i="4462"/>
  <c r="Q186" i="4462"/>
  <c r="R186" i="4462"/>
  <c r="S186" i="4462"/>
  <c r="T186" i="4462"/>
  <c r="U186" i="4462"/>
  <c r="V186" i="4462"/>
  <c r="W186" i="4462"/>
  <c r="X186" i="4462"/>
  <c r="Y186" i="4462"/>
  <c r="Z186" i="4462"/>
  <c r="AA186" i="4462"/>
  <c r="AB186" i="4462"/>
  <c r="AC186" i="4462"/>
  <c r="AD186" i="4462"/>
  <c r="AE186" i="4462"/>
  <c r="AF186" i="4462"/>
  <c r="AG186" i="4462"/>
  <c r="AH186" i="4462"/>
  <c r="AI186" i="4462"/>
  <c r="AJ186" i="4462"/>
  <c r="AK186" i="4462"/>
  <c r="AL186" i="4462"/>
  <c r="AM186" i="4462"/>
  <c r="AN186" i="4462"/>
  <c r="AO186" i="4462"/>
  <c r="AP186" i="4462"/>
  <c r="AQ186" i="4462"/>
  <c r="AR186" i="4462"/>
  <c r="AS186" i="4462"/>
  <c r="AT186" i="4462"/>
  <c r="AU186" i="4462"/>
  <c r="AV186" i="4462"/>
  <c r="AW186" i="4462"/>
  <c r="AX186" i="4462"/>
  <c r="AY186" i="4462"/>
  <c r="AZ186" i="4462"/>
  <c r="BA186" i="4462"/>
  <c r="BB186" i="4462"/>
  <c r="BC186" i="4462"/>
  <c r="BD186" i="4462"/>
  <c r="A187" i="4462"/>
  <c r="B187" i="4462"/>
  <c r="C187" i="4462"/>
  <c r="D187" i="4462"/>
  <c r="E187" i="4462"/>
  <c r="F187" i="4462"/>
  <c r="G187" i="4462"/>
  <c r="H187" i="4462"/>
  <c r="I187" i="4462"/>
  <c r="J187" i="4462"/>
  <c r="K187" i="4462"/>
  <c r="L187" i="4462"/>
  <c r="M187" i="4462"/>
  <c r="N187" i="4462"/>
  <c r="O187" i="4462"/>
  <c r="P187" i="4462"/>
  <c r="Q187" i="4462"/>
  <c r="R187" i="4462"/>
  <c r="S187" i="4462"/>
  <c r="T187" i="4462"/>
  <c r="U187" i="4462"/>
  <c r="V187" i="4462"/>
  <c r="W187" i="4462"/>
  <c r="X187" i="4462"/>
  <c r="Y187" i="4462"/>
  <c r="Z187" i="4462"/>
  <c r="AA187" i="4462"/>
  <c r="AB187" i="4462"/>
  <c r="AC187" i="4462"/>
  <c r="AD187" i="4462"/>
  <c r="AE187" i="4462"/>
  <c r="AF187" i="4462"/>
  <c r="AG187" i="4462"/>
  <c r="AH187" i="4462"/>
  <c r="AI187" i="4462"/>
  <c r="AJ187" i="4462"/>
  <c r="AK187" i="4462"/>
  <c r="AL187" i="4462"/>
  <c r="AM187" i="4462"/>
  <c r="AN187" i="4462"/>
  <c r="AO187" i="4462"/>
  <c r="AP187" i="4462"/>
  <c r="AQ187" i="4462"/>
  <c r="AR187" i="4462"/>
  <c r="AS187" i="4462"/>
  <c r="AT187" i="4462"/>
  <c r="AU187" i="4462"/>
  <c r="AV187" i="4462"/>
  <c r="AW187" i="4462"/>
  <c r="AX187" i="4462"/>
  <c r="AY187" i="4462"/>
  <c r="AZ187" i="4462"/>
  <c r="BA187" i="4462"/>
  <c r="BB187" i="4462"/>
  <c r="BC187" i="4462"/>
  <c r="BD187" i="4462"/>
  <c r="A188" i="4462"/>
  <c r="B188" i="4462"/>
  <c r="C188" i="4462"/>
  <c r="D188" i="4462"/>
  <c r="E188" i="4462"/>
  <c r="F188" i="4462"/>
  <c r="G188" i="4462"/>
  <c r="H188" i="4462"/>
  <c r="I188" i="4462"/>
  <c r="J188" i="4462"/>
  <c r="K188" i="4462"/>
  <c r="L188" i="4462"/>
  <c r="M188" i="4462"/>
  <c r="N188" i="4462"/>
  <c r="O188" i="4462"/>
  <c r="P188" i="4462"/>
  <c r="Q188" i="4462"/>
  <c r="R188" i="4462"/>
  <c r="S188" i="4462"/>
  <c r="T188" i="4462"/>
  <c r="U188" i="4462"/>
  <c r="V188" i="4462"/>
  <c r="W188" i="4462"/>
  <c r="X188" i="4462"/>
  <c r="Y188" i="4462"/>
  <c r="Z188" i="4462"/>
  <c r="AA188" i="4462"/>
  <c r="AB188" i="4462"/>
  <c r="AC188" i="4462"/>
  <c r="AD188" i="4462"/>
  <c r="AE188" i="4462"/>
  <c r="AF188" i="4462"/>
  <c r="AG188" i="4462"/>
  <c r="AH188" i="4462"/>
  <c r="AI188" i="4462"/>
  <c r="AJ188" i="4462"/>
  <c r="AK188" i="4462"/>
  <c r="AL188" i="4462"/>
  <c r="AM188" i="4462"/>
  <c r="AN188" i="4462"/>
  <c r="AO188" i="4462"/>
  <c r="AP188" i="4462"/>
  <c r="AQ188" i="4462"/>
  <c r="AR188" i="4462"/>
  <c r="AS188" i="4462"/>
  <c r="AT188" i="4462"/>
  <c r="AU188" i="4462"/>
  <c r="AV188" i="4462"/>
  <c r="AW188" i="4462"/>
  <c r="AX188" i="4462"/>
  <c r="AY188" i="4462"/>
  <c r="AZ188" i="4462"/>
  <c r="BA188" i="4462"/>
  <c r="BB188" i="4462"/>
  <c r="BC188" i="4462"/>
  <c r="BD188" i="4462"/>
  <c r="A189" i="4462"/>
  <c r="B189" i="4462"/>
  <c r="C189" i="4462"/>
  <c r="D189" i="4462"/>
  <c r="E189" i="4462"/>
  <c r="F189" i="4462"/>
  <c r="G189" i="4462"/>
  <c r="H189" i="4462"/>
  <c r="I189" i="4462"/>
  <c r="J189" i="4462"/>
  <c r="K189" i="4462"/>
  <c r="L189" i="4462"/>
  <c r="M189" i="4462"/>
  <c r="N189" i="4462"/>
  <c r="O189" i="4462"/>
  <c r="P189" i="4462"/>
  <c r="Q189" i="4462"/>
  <c r="R189" i="4462"/>
  <c r="S189" i="4462"/>
  <c r="T189" i="4462"/>
  <c r="U189" i="4462"/>
  <c r="V189" i="4462"/>
  <c r="W189" i="4462"/>
  <c r="X189" i="4462"/>
  <c r="Y189" i="4462"/>
  <c r="Z189" i="4462"/>
  <c r="AA189" i="4462"/>
  <c r="AB189" i="4462"/>
  <c r="AC189" i="4462"/>
  <c r="AD189" i="4462"/>
  <c r="AE189" i="4462"/>
  <c r="AF189" i="4462"/>
  <c r="AG189" i="4462"/>
  <c r="AH189" i="4462"/>
  <c r="AI189" i="4462"/>
  <c r="AJ189" i="4462"/>
  <c r="AK189" i="4462"/>
  <c r="AL189" i="4462"/>
  <c r="AM189" i="4462"/>
  <c r="AN189" i="4462"/>
  <c r="AO189" i="4462"/>
  <c r="AP189" i="4462"/>
  <c r="AQ189" i="4462"/>
  <c r="AR189" i="4462"/>
  <c r="AS189" i="4462"/>
  <c r="AT189" i="4462"/>
  <c r="AU189" i="4462"/>
  <c r="AV189" i="4462"/>
  <c r="AW189" i="4462"/>
  <c r="AX189" i="4462"/>
  <c r="AY189" i="4462"/>
  <c r="AZ189" i="4462"/>
  <c r="BA189" i="4462"/>
  <c r="BB189" i="4462"/>
  <c r="BC189" i="4462"/>
  <c r="BD189" i="4462"/>
  <c r="A190" i="4462"/>
  <c r="B190" i="4462"/>
  <c r="C190" i="4462"/>
  <c r="D190" i="4462"/>
  <c r="E190" i="4462"/>
  <c r="F190" i="4462"/>
  <c r="G190" i="4462"/>
  <c r="H190" i="4462"/>
  <c r="I190" i="4462"/>
  <c r="J190" i="4462"/>
  <c r="K190" i="4462"/>
  <c r="L190" i="4462"/>
  <c r="M190" i="4462"/>
  <c r="N190" i="4462"/>
  <c r="O190" i="4462"/>
  <c r="P190" i="4462"/>
  <c r="Q190" i="4462"/>
  <c r="R190" i="4462"/>
  <c r="S190" i="4462"/>
  <c r="T190" i="4462"/>
  <c r="U190" i="4462"/>
  <c r="V190" i="4462"/>
  <c r="W190" i="4462"/>
  <c r="X190" i="4462"/>
  <c r="Y190" i="4462"/>
  <c r="Z190" i="4462"/>
  <c r="AA190" i="4462"/>
  <c r="AB190" i="4462"/>
  <c r="AC190" i="4462"/>
  <c r="AD190" i="4462"/>
  <c r="AE190" i="4462"/>
  <c r="AF190" i="4462"/>
  <c r="AG190" i="4462"/>
  <c r="AH190" i="4462"/>
  <c r="AI190" i="4462"/>
  <c r="AJ190" i="4462"/>
  <c r="AK190" i="4462"/>
  <c r="AL190" i="4462"/>
  <c r="AM190" i="4462"/>
  <c r="AN190" i="4462"/>
  <c r="AO190" i="4462"/>
  <c r="AP190" i="4462"/>
  <c r="AQ190" i="4462"/>
  <c r="AR190" i="4462"/>
  <c r="AS190" i="4462"/>
  <c r="AT190" i="4462"/>
  <c r="AU190" i="4462"/>
  <c r="AV190" i="4462"/>
  <c r="AW190" i="4462"/>
  <c r="AX190" i="4462"/>
  <c r="AY190" i="4462"/>
  <c r="AZ190" i="4462"/>
  <c r="BA190" i="4462"/>
  <c r="BB190" i="4462"/>
  <c r="BC190" i="4462"/>
  <c r="BD190" i="4462"/>
  <c r="A191" i="4462"/>
  <c r="B191" i="4462"/>
  <c r="C191" i="4462"/>
  <c r="D191" i="4462"/>
  <c r="E191" i="4462"/>
  <c r="F191" i="4462"/>
  <c r="G191" i="4462"/>
  <c r="H191" i="4462"/>
  <c r="I191" i="4462"/>
  <c r="J191" i="4462"/>
  <c r="K191" i="4462"/>
  <c r="L191" i="4462"/>
  <c r="M191" i="4462"/>
  <c r="N191" i="4462"/>
  <c r="O191" i="4462"/>
  <c r="P191" i="4462"/>
  <c r="Q191" i="4462"/>
  <c r="R191" i="4462"/>
  <c r="S191" i="4462"/>
  <c r="T191" i="4462"/>
  <c r="U191" i="4462"/>
  <c r="V191" i="4462"/>
  <c r="W191" i="4462"/>
  <c r="X191" i="4462"/>
  <c r="Y191" i="4462"/>
  <c r="Z191" i="4462"/>
  <c r="AA191" i="4462"/>
  <c r="AB191" i="4462"/>
  <c r="AC191" i="4462"/>
  <c r="AD191" i="4462"/>
  <c r="AE191" i="4462"/>
  <c r="AF191" i="4462"/>
  <c r="AG191" i="4462"/>
  <c r="AH191" i="4462"/>
  <c r="AI191" i="4462"/>
  <c r="AJ191" i="4462"/>
  <c r="AK191" i="4462"/>
  <c r="AL191" i="4462"/>
  <c r="AM191" i="4462"/>
  <c r="AN191" i="4462"/>
  <c r="AO191" i="4462"/>
  <c r="AP191" i="4462"/>
  <c r="AQ191" i="4462"/>
  <c r="AR191" i="4462"/>
  <c r="AS191" i="4462"/>
  <c r="AT191" i="4462"/>
  <c r="AU191" i="4462"/>
  <c r="AV191" i="4462"/>
  <c r="AW191" i="4462"/>
  <c r="AX191" i="4462"/>
  <c r="AY191" i="4462"/>
  <c r="AZ191" i="4462"/>
  <c r="BA191" i="4462"/>
  <c r="BB191" i="4462"/>
  <c r="BC191" i="4462"/>
  <c r="BD191" i="4462"/>
  <c r="A192" i="4462"/>
  <c r="B192" i="4462"/>
  <c r="C192" i="4462"/>
  <c r="D192" i="4462"/>
  <c r="E192" i="4462"/>
  <c r="F192" i="4462"/>
  <c r="G192" i="4462"/>
  <c r="H192" i="4462"/>
  <c r="I192" i="4462"/>
  <c r="J192" i="4462"/>
  <c r="K192" i="4462"/>
  <c r="L192" i="4462"/>
  <c r="M192" i="4462"/>
  <c r="N192" i="4462"/>
  <c r="O192" i="4462"/>
  <c r="P192" i="4462"/>
  <c r="Q192" i="4462"/>
  <c r="R192" i="4462"/>
  <c r="S192" i="4462"/>
  <c r="T192" i="4462"/>
  <c r="U192" i="4462"/>
  <c r="V192" i="4462"/>
  <c r="W192" i="4462"/>
  <c r="X192" i="4462"/>
  <c r="Y192" i="4462"/>
  <c r="Z192" i="4462"/>
  <c r="AA192" i="4462"/>
  <c r="AB192" i="4462"/>
  <c r="AC192" i="4462"/>
  <c r="AD192" i="4462"/>
  <c r="AE192" i="4462"/>
  <c r="AF192" i="4462"/>
  <c r="AG192" i="4462"/>
  <c r="AH192" i="4462"/>
  <c r="AI192" i="4462"/>
  <c r="AJ192" i="4462"/>
  <c r="AK192" i="4462"/>
  <c r="AL192" i="4462"/>
  <c r="AM192" i="4462"/>
  <c r="AN192" i="4462"/>
  <c r="AO192" i="4462"/>
  <c r="AP192" i="4462"/>
  <c r="AQ192" i="4462"/>
  <c r="AR192" i="4462"/>
  <c r="AS192" i="4462"/>
  <c r="AT192" i="4462"/>
  <c r="AU192" i="4462"/>
  <c r="AV192" i="4462"/>
  <c r="AW192" i="4462"/>
  <c r="AX192" i="4462"/>
  <c r="AY192" i="4462"/>
  <c r="AZ192" i="4462"/>
  <c r="BA192" i="4462"/>
  <c r="BB192" i="4462"/>
  <c r="BC192" i="4462"/>
  <c r="BD192" i="4462"/>
  <c r="A193" i="4462"/>
  <c r="B193" i="4462"/>
  <c r="C193" i="4462"/>
  <c r="D193" i="4462"/>
  <c r="E193" i="4462"/>
  <c r="F193" i="4462"/>
  <c r="G193" i="4462"/>
  <c r="H193" i="4462"/>
  <c r="I193" i="4462"/>
  <c r="J193" i="4462"/>
  <c r="K193" i="4462"/>
  <c r="L193" i="4462"/>
  <c r="M193" i="4462"/>
  <c r="N193" i="4462"/>
  <c r="O193" i="4462"/>
  <c r="P193" i="4462"/>
  <c r="Q193" i="4462"/>
  <c r="R193" i="4462"/>
  <c r="S193" i="4462"/>
  <c r="T193" i="4462"/>
  <c r="U193" i="4462"/>
  <c r="V193" i="4462"/>
  <c r="W193" i="4462"/>
  <c r="X193" i="4462"/>
  <c r="Y193" i="4462"/>
  <c r="Z193" i="4462"/>
  <c r="AA193" i="4462"/>
  <c r="AB193" i="4462"/>
  <c r="AC193" i="4462"/>
  <c r="AD193" i="4462"/>
  <c r="AE193" i="4462"/>
  <c r="AF193" i="4462"/>
  <c r="AG193" i="4462"/>
  <c r="AH193" i="4462"/>
  <c r="AI193" i="4462"/>
  <c r="AJ193" i="4462"/>
  <c r="AK193" i="4462"/>
  <c r="AL193" i="4462"/>
  <c r="AM193" i="4462"/>
  <c r="AN193" i="4462"/>
  <c r="AO193" i="4462"/>
  <c r="AP193" i="4462"/>
  <c r="AQ193" i="4462"/>
  <c r="AR193" i="4462"/>
  <c r="AS193" i="4462"/>
  <c r="AT193" i="4462"/>
  <c r="AU193" i="4462"/>
  <c r="AV193" i="4462"/>
  <c r="AW193" i="4462"/>
  <c r="AX193" i="4462"/>
  <c r="AY193" i="4462"/>
  <c r="AZ193" i="4462"/>
  <c r="BA193" i="4462"/>
  <c r="BB193" i="4462"/>
  <c r="BC193" i="4462"/>
  <c r="BD193" i="4462"/>
  <c r="A194" i="4462"/>
  <c r="B194" i="4462"/>
  <c r="C194" i="4462"/>
  <c r="D194" i="4462"/>
  <c r="E194" i="4462"/>
  <c r="F194" i="4462"/>
  <c r="G194" i="4462"/>
  <c r="H194" i="4462"/>
  <c r="I194" i="4462"/>
  <c r="J194" i="4462"/>
  <c r="K194" i="4462"/>
  <c r="L194" i="4462"/>
  <c r="M194" i="4462"/>
  <c r="N194" i="4462"/>
  <c r="O194" i="4462"/>
  <c r="P194" i="4462"/>
  <c r="Q194" i="4462"/>
  <c r="R194" i="4462"/>
  <c r="S194" i="4462"/>
  <c r="T194" i="4462"/>
  <c r="U194" i="4462"/>
  <c r="V194" i="4462"/>
  <c r="W194" i="4462"/>
  <c r="X194" i="4462"/>
  <c r="Y194" i="4462"/>
  <c r="Z194" i="4462"/>
  <c r="AA194" i="4462"/>
  <c r="AB194" i="4462"/>
  <c r="AC194" i="4462"/>
  <c r="AD194" i="4462"/>
  <c r="AE194" i="4462"/>
  <c r="AF194" i="4462"/>
  <c r="AG194" i="4462"/>
  <c r="AH194" i="4462"/>
  <c r="AI194" i="4462"/>
  <c r="AJ194" i="4462"/>
  <c r="AK194" i="4462"/>
  <c r="AL194" i="4462"/>
  <c r="AM194" i="4462"/>
  <c r="AN194" i="4462"/>
  <c r="AO194" i="4462"/>
  <c r="AP194" i="4462"/>
  <c r="AQ194" i="4462"/>
  <c r="AR194" i="4462"/>
  <c r="AS194" i="4462"/>
  <c r="AT194" i="4462"/>
  <c r="AU194" i="4462"/>
  <c r="AV194" i="4462"/>
  <c r="AW194" i="4462"/>
  <c r="AX194" i="4462"/>
  <c r="AY194" i="4462"/>
  <c r="AZ194" i="4462"/>
  <c r="BA194" i="4462"/>
  <c r="BB194" i="4462"/>
  <c r="BC194" i="4462"/>
  <c r="BD194" i="4462"/>
  <c r="A195" i="4462"/>
  <c r="B195" i="4462"/>
  <c r="C195" i="4462"/>
  <c r="D195" i="4462"/>
  <c r="E195" i="4462"/>
  <c r="F195" i="4462"/>
  <c r="G195" i="4462"/>
  <c r="H195" i="4462"/>
  <c r="I195" i="4462"/>
  <c r="J195" i="4462"/>
  <c r="K195" i="4462"/>
  <c r="L195" i="4462"/>
  <c r="M195" i="4462"/>
  <c r="N195" i="4462"/>
  <c r="O195" i="4462"/>
  <c r="P195" i="4462"/>
  <c r="Q195" i="4462"/>
  <c r="R195" i="4462"/>
  <c r="S195" i="4462"/>
  <c r="T195" i="4462"/>
  <c r="U195" i="4462"/>
  <c r="V195" i="4462"/>
  <c r="W195" i="4462"/>
  <c r="X195" i="4462"/>
  <c r="Y195" i="4462"/>
  <c r="Z195" i="4462"/>
  <c r="AA195" i="4462"/>
  <c r="AB195" i="4462"/>
  <c r="AC195" i="4462"/>
  <c r="AD195" i="4462"/>
  <c r="AE195" i="4462"/>
  <c r="AF195" i="4462"/>
  <c r="AG195" i="4462"/>
  <c r="AH195" i="4462"/>
  <c r="AI195" i="4462"/>
  <c r="AJ195" i="4462"/>
  <c r="AK195" i="4462"/>
  <c r="AL195" i="4462"/>
  <c r="AM195" i="4462"/>
  <c r="AN195" i="4462"/>
  <c r="AO195" i="4462"/>
  <c r="AP195" i="4462"/>
  <c r="AQ195" i="4462"/>
  <c r="AR195" i="4462"/>
  <c r="AS195" i="4462"/>
  <c r="AT195" i="4462"/>
  <c r="AU195" i="4462"/>
  <c r="AV195" i="4462"/>
  <c r="AW195" i="4462"/>
  <c r="AX195" i="4462"/>
  <c r="AY195" i="4462"/>
  <c r="AZ195" i="4462"/>
  <c r="BA195" i="4462"/>
  <c r="BB195" i="4462"/>
  <c r="BC195" i="4462"/>
  <c r="BD195" i="4462"/>
  <c r="A196" i="4462"/>
  <c r="B196" i="4462"/>
  <c r="C196" i="4462"/>
  <c r="D196" i="4462"/>
  <c r="E196" i="4462"/>
  <c r="F196" i="4462"/>
  <c r="G196" i="4462"/>
  <c r="H196" i="4462"/>
  <c r="I196" i="4462"/>
  <c r="J196" i="4462"/>
  <c r="K196" i="4462"/>
  <c r="L196" i="4462"/>
  <c r="M196" i="4462"/>
  <c r="N196" i="4462"/>
  <c r="O196" i="4462"/>
  <c r="P196" i="4462"/>
  <c r="Q196" i="4462"/>
  <c r="R196" i="4462"/>
  <c r="S196" i="4462"/>
  <c r="T196" i="4462"/>
  <c r="U196" i="4462"/>
  <c r="V196" i="4462"/>
  <c r="W196" i="4462"/>
  <c r="X196" i="4462"/>
  <c r="Y196" i="4462"/>
  <c r="Z196" i="4462"/>
  <c r="AA196" i="4462"/>
  <c r="AB196" i="4462"/>
  <c r="AC196" i="4462"/>
  <c r="AD196" i="4462"/>
  <c r="AE196" i="4462"/>
  <c r="AF196" i="4462"/>
  <c r="AG196" i="4462"/>
  <c r="AH196" i="4462"/>
  <c r="AI196" i="4462"/>
  <c r="AJ196" i="4462"/>
  <c r="AK196" i="4462"/>
  <c r="AL196" i="4462"/>
  <c r="AM196" i="4462"/>
  <c r="AN196" i="4462"/>
  <c r="AO196" i="4462"/>
  <c r="AP196" i="4462"/>
  <c r="AQ196" i="4462"/>
  <c r="AR196" i="4462"/>
  <c r="AS196" i="4462"/>
  <c r="AT196" i="4462"/>
  <c r="AU196" i="4462"/>
  <c r="AV196" i="4462"/>
  <c r="AW196" i="4462"/>
  <c r="AX196" i="4462"/>
  <c r="AY196" i="4462"/>
  <c r="AZ196" i="4462"/>
  <c r="BA196" i="4462"/>
  <c r="BB196" i="4462"/>
  <c r="BC196" i="4462"/>
  <c r="BD196" i="4462"/>
  <c r="A197" i="4462"/>
  <c r="B197" i="4462"/>
  <c r="C197" i="4462"/>
  <c r="D197" i="4462"/>
  <c r="E197" i="4462"/>
  <c r="F197" i="4462"/>
  <c r="G197" i="4462"/>
  <c r="H197" i="4462"/>
  <c r="I197" i="4462"/>
  <c r="J197" i="4462"/>
  <c r="K197" i="4462"/>
  <c r="L197" i="4462"/>
  <c r="M197" i="4462"/>
  <c r="N197" i="4462"/>
  <c r="O197" i="4462"/>
  <c r="P197" i="4462"/>
  <c r="Q197" i="4462"/>
  <c r="R197" i="4462"/>
  <c r="S197" i="4462"/>
  <c r="T197" i="4462"/>
  <c r="U197" i="4462"/>
  <c r="V197" i="4462"/>
  <c r="W197" i="4462"/>
  <c r="X197" i="4462"/>
  <c r="Y197" i="4462"/>
  <c r="Z197" i="4462"/>
  <c r="AA197" i="4462"/>
  <c r="AB197" i="4462"/>
  <c r="AC197" i="4462"/>
  <c r="AD197" i="4462"/>
  <c r="AE197" i="4462"/>
  <c r="AF197" i="4462"/>
  <c r="AG197" i="4462"/>
  <c r="AH197" i="4462"/>
  <c r="AI197" i="4462"/>
  <c r="AJ197" i="4462"/>
  <c r="AK197" i="4462"/>
  <c r="AL197" i="4462"/>
  <c r="AM197" i="4462"/>
  <c r="AN197" i="4462"/>
  <c r="AO197" i="4462"/>
  <c r="AP197" i="4462"/>
  <c r="AQ197" i="4462"/>
  <c r="AR197" i="4462"/>
  <c r="AS197" i="4462"/>
  <c r="AT197" i="4462"/>
  <c r="AU197" i="4462"/>
  <c r="AV197" i="4462"/>
  <c r="AW197" i="4462"/>
  <c r="AX197" i="4462"/>
  <c r="AY197" i="4462"/>
  <c r="AZ197" i="4462"/>
  <c r="BA197" i="4462"/>
  <c r="BB197" i="4462"/>
  <c r="BC197" i="4462"/>
  <c r="BD197" i="4462"/>
  <c r="A198" i="4462"/>
  <c r="B198" i="4462"/>
  <c r="C198" i="4462"/>
  <c r="D198" i="4462"/>
  <c r="E198" i="4462"/>
  <c r="F198" i="4462"/>
  <c r="G198" i="4462"/>
  <c r="H198" i="4462"/>
  <c r="I198" i="4462"/>
  <c r="J198" i="4462"/>
  <c r="K198" i="4462"/>
  <c r="L198" i="4462"/>
  <c r="M198" i="4462"/>
  <c r="N198" i="4462"/>
  <c r="O198" i="4462"/>
  <c r="P198" i="4462"/>
  <c r="Q198" i="4462"/>
  <c r="R198" i="4462"/>
  <c r="S198" i="4462"/>
  <c r="T198" i="4462"/>
  <c r="U198" i="4462"/>
  <c r="V198" i="4462"/>
  <c r="W198" i="4462"/>
  <c r="X198" i="4462"/>
  <c r="Y198" i="4462"/>
  <c r="Z198" i="4462"/>
  <c r="AA198" i="4462"/>
  <c r="AB198" i="4462"/>
  <c r="AC198" i="4462"/>
  <c r="AD198" i="4462"/>
  <c r="AE198" i="4462"/>
  <c r="AF198" i="4462"/>
  <c r="AG198" i="4462"/>
  <c r="AH198" i="4462"/>
  <c r="AI198" i="4462"/>
  <c r="AJ198" i="4462"/>
  <c r="AK198" i="4462"/>
  <c r="AL198" i="4462"/>
  <c r="AM198" i="4462"/>
  <c r="AN198" i="4462"/>
  <c r="AO198" i="4462"/>
  <c r="AP198" i="4462"/>
  <c r="AQ198" i="4462"/>
  <c r="AR198" i="4462"/>
  <c r="AS198" i="4462"/>
  <c r="AT198" i="4462"/>
  <c r="AU198" i="4462"/>
  <c r="AV198" i="4462"/>
  <c r="AW198" i="4462"/>
  <c r="AX198" i="4462"/>
  <c r="AY198" i="4462"/>
  <c r="AZ198" i="4462"/>
  <c r="BA198" i="4462"/>
  <c r="BB198" i="4462"/>
  <c r="BC198" i="4462"/>
  <c r="BD198" i="4462"/>
  <c r="A199" i="4462"/>
  <c r="B199" i="4462"/>
  <c r="C199" i="4462"/>
  <c r="D199" i="4462"/>
  <c r="E199" i="4462"/>
  <c r="F199" i="4462"/>
  <c r="G199" i="4462"/>
  <c r="H199" i="4462"/>
  <c r="I199" i="4462"/>
  <c r="J199" i="4462"/>
  <c r="K199" i="4462"/>
  <c r="L199" i="4462"/>
  <c r="M199" i="4462"/>
  <c r="N199" i="4462"/>
  <c r="O199" i="4462"/>
  <c r="P199" i="4462"/>
  <c r="Q199" i="4462"/>
  <c r="R199" i="4462"/>
  <c r="S199" i="4462"/>
  <c r="T199" i="4462"/>
  <c r="U199" i="4462"/>
  <c r="V199" i="4462"/>
  <c r="W199" i="4462"/>
  <c r="X199" i="4462"/>
  <c r="Y199" i="4462"/>
  <c r="Z199" i="4462"/>
  <c r="AA199" i="4462"/>
  <c r="AB199" i="4462"/>
  <c r="AC199" i="4462"/>
  <c r="AD199" i="4462"/>
  <c r="AE199" i="4462"/>
  <c r="AF199" i="4462"/>
  <c r="AG199" i="4462"/>
  <c r="AH199" i="4462"/>
  <c r="AI199" i="4462"/>
  <c r="AJ199" i="4462"/>
  <c r="AK199" i="4462"/>
  <c r="AL199" i="4462"/>
  <c r="AM199" i="4462"/>
  <c r="AN199" i="4462"/>
  <c r="AO199" i="4462"/>
  <c r="AP199" i="4462"/>
  <c r="AQ199" i="4462"/>
  <c r="AR199" i="4462"/>
  <c r="AS199" i="4462"/>
  <c r="AT199" i="4462"/>
  <c r="AU199" i="4462"/>
  <c r="AV199" i="4462"/>
  <c r="AW199" i="4462"/>
  <c r="AX199" i="4462"/>
  <c r="AY199" i="4462"/>
  <c r="AZ199" i="4462"/>
  <c r="BA199" i="4462"/>
  <c r="BB199" i="4462"/>
  <c r="BC199" i="4462"/>
  <c r="BD199" i="4462"/>
  <c r="A200" i="4462"/>
  <c r="B200" i="4462"/>
  <c r="C200" i="4462"/>
  <c r="D200" i="4462"/>
  <c r="E200" i="4462"/>
  <c r="F200" i="4462"/>
  <c r="G200" i="4462"/>
  <c r="H200" i="4462"/>
  <c r="I200" i="4462"/>
  <c r="J200" i="4462"/>
  <c r="K200" i="4462"/>
  <c r="L200" i="4462"/>
  <c r="M200" i="4462"/>
  <c r="N200" i="4462"/>
  <c r="O200" i="4462"/>
  <c r="P200" i="4462"/>
  <c r="Q200" i="4462"/>
  <c r="R200" i="4462"/>
  <c r="S200" i="4462"/>
  <c r="T200" i="4462"/>
  <c r="U200" i="4462"/>
  <c r="V200" i="4462"/>
  <c r="W200" i="4462"/>
  <c r="X200" i="4462"/>
  <c r="Y200" i="4462"/>
  <c r="Z200" i="4462"/>
  <c r="AA200" i="4462"/>
  <c r="AB200" i="4462"/>
  <c r="AC200" i="4462"/>
  <c r="AD200" i="4462"/>
  <c r="AE200" i="4462"/>
  <c r="AF200" i="4462"/>
  <c r="AG200" i="4462"/>
  <c r="AH200" i="4462"/>
  <c r="AI200" i="4462"/>
  <c r="AJ200" i="4462"/>
  <c r="AK200" i="4462"/>
  <c r="AL200" i="4462"/>
  <c r="AM200" i="4462"/>
  <c r="AN200" i="4462"/>
  <c r="AO200" i="4462"/>
  <c r="AP200" i="4462"/>
  <c r="AQ200" i="4462"/>
  <c r="AR200" i="4462"/>
  <c r="AS200" i="4462"/>
  <c r="AT200" i="4462"/>
  <c r="AU200" i="4462"/>
  <c r="AV200" i="4462"/>
  <c r="AW200" i="4462"/>
  <c r="AX200" i="4462"/>
  <c r="AY200" i="4462"/>
  <c r="AZ200" i="4462"/>
  <c r="BA200" i="4462"/>
  <c r="BB200" i="4462"/>
  <c r="BC200" i="4462"/>
  <c r="BD200" i="4462"/>
  <c r="A201" i="4462"/>
  <c r="B201" i="4462"/>
  <c r="C201" i="4462"/>
  <c r="D201" i="4462"/>
  <c r="E201" i="4462"/>
  <c r="F201" i="4462"/>
  <c r="G201" i="4462"/>
  <c r="H201" i="4462"/>
  <c r="I201" i="4462"/>
  <c r="J201" i="4462"/>
  <c r="K201" i="4462"/>
  <c r="L201" i="4462"/>
  <c r="M201" i="4462"/>
  <c r="N201" i="4462"/>
  <c r="O201" i="4462"/>
  <c r="P201" i="4462"/>
  <c r="Q201" i="4462"/>
  <c r="R201" i="4462"/>
  <c r="S201" i="4462"/>
  <c r="T201" i="4462"/>
  <c r="U201" i="4462"/>
  <c r="V201" i="4462"/>
  <c r="W201" i="4462"/>
  <c r="X201" i="4462"/>
  <c r="Y201" i="4462"/>
  <c r="Z201" i="4462"/>
  <c r="AA201" i="4462"/>
  <c r="AB201" i="4462"/>
  <c r="AC201" i="4462"/>
  <c r="AD201" i="4462"/>
  <c r="AE201" i="4462"/>
  <c r="AF201" i="4462"/>
  <c r="AG201" i="4462"/>
  <c r="AH201" i="4462"/>
  <c r="AI201" i="4462"/>
  <c r="AJ201" i="4462"/>
  <c r="AK201" i="4462"/>
  <c r="AL201" i="4462"/>
  <c r="AM201" i="4462"/>
  <c r="AN201" i="4462"/>
  <c r="AO201" i="4462"/>
  <c r="AP201" i="4462"/>
  <c r="AQ201" i="4462"/>
  <c r="AR201" i="4462"/>
  <c r="AS201" i="4462"/>
  <c r="AT201" i="4462"/>
  <c r="AU201" i="4462"/>
  <c r="AV201" i="4462"/>
  <c r="AW201" i="4462"/>
  <c r="AX201" i="4462"/>
  <c r="AY201" i="4462"/>
  <c r="AZ201" i="4462"/>
  <c r="BA201" i="4462"/>
  <c r="BB201" i="4462"/>
  <c r="BC201" i="4462"/>
  <c r="BD201" i="4462"/>
  <c r="A202" i="4462"/>
  <c r="B202" i="4462"/>
  <c r="C202" i="4462"/>
  <c r="D202" i="4462"/>
  <c r="E202" i="4462"/>
  <c r="F202" i="4462"/>
  <c r="G202" i="4462"/>
  <c r="H202" i="4462"/>
  <c r="I202" i="4462"/>
  <c r="J202" i="4462"/>
  <c r="K202" i="4462"/>
  <c r="L202" i="4462"/>
  <c r="M202" i="4462"/>
  <c r="N202" i="4462"/>
  <c r="O202" i="4462"/>
  <c r="P202" i="4462"/>
  <c r="Q202" i="4462"/>
  <c r="R202" i="4462"/>
  <c r="S202" i="4462"/>
  <c r="T202" i="4462"/>
  <c r="U202" i="4462"/>
  <c r="V202" i="4462"/>
  <c r="W202" i="4462"/>
  <c r="X202" i="4462"/>
  <c r="Y202" i="4462"/>
  <c r="Z202" i="4462"/>
  <c r="AA202" i="4462"/>
  <c r="AB202" i="4462"/>
  <c r="AC202" i="4462"/>
  <c r="AD202" i="4462"/>
  <c r="AE202" i="4462"/>
  <c r="AF202" i="4462"/>
  <c r="AG202" i="4462"/>
  <c r="AH202" i="4462"/>
  <c r="AI202" i="4462"/>
  <c r="AJ202" i="4462"/>
  <c r="AK202" i="4462"/>
  <c r="AL202" i="4462"/>
  <c r="AM202" i="4462"/>
  <c r="AN202" i="4462"/>
  <c r="AO202" i="4462"/>
  <c r="AP202" i="4462"/>
  <c r="AQ202" i="4462"/>
  <c r="AR202" i="4462"/>
  <c r="AS202" i="4462"/>
  <c r="AT202" i="4462"/>
  <c r="AU202" i="4462"/>
  <c r="AV202" i="4462"/>
  <c r="AW202" i="4462"/>
  <c r="AX202" i="4462"/>
  <c r="AY202" i="4462"/>
  <c r="AZ202" i="4462"/>
  <c r="BA202" i="4462"/>
  <c r="BB202" i="4462"/>
  <c r="BC202" i="4462"/>
  <c r="BD202" i="4462"/>
  <c r="A203" i="4462"/>
  <c r="B203" i="4462"/>
  <c r="C203" i="4462"/>
  <c r="D203" i="4462"/>
  <c r="E203" i="4462"/>
  <c r="F203" i="4462"/>
  <c r="G203" i="4462"/>
  <c r="H203" i="4462"/>
  <c r="I203" i="4462"/>
  <c r="J203" i="4462"/>
  <c r="K203" i="4462"/>
  <c r="L203" i="4462"/>
  <c r="M203" i="4462"/>
  <c r="N203" i="4462"/>
  <c r="O203" i="4462"/>
  <c r="P203" i="4462"/>
  <c r="Q203" i="4462"/>
  <c r="R203" i="4462"/>
  <c r="S203" i="4462"/>
  <c r="T203" i="4462"/>
  <c r="U203" i="4462"/>
  <c r="V203" i="4462"/>
  <c r="W203" i="4462"/>
  <c r="X203" i="4462"/>
  <c r="Y203" i="4462"/>
  <c r="Z203" i="4462"/>
  <c r="AA203" i="4462"/>
  <c r="AB203" i="4462"/>
  <c r="AC203" i="4462"/>
  <c r="AD203" i="4462"/>
  <c r="AE203" i="4462"/>
  <c r="AF203" i="4462"/>
  <c r="AG203" i="4462"/>
  <c r="AH203" i="4462"/>
  <c r="AI203" i="4462"/>
  <c r="AJ203" i="4462"/>
  <c r="AK203" i="4462"/>
  <c r="AL203" i="4462"/>
  <c r="AM203" i="4462"/>
  <c r="AN203" i="4462"/>
  <c r="AO203" i="4462"/>
  <c r="AP203" i="4462"/>
  <c r="AQ203" i="4462"/>
  <c r="AR203" i="4462"/>
  <c r="AS203" i="4462"/>
  <c r="AT203" i="4462"/>
  <c r="AU203" i="4462"/>
  <c r="AV203" i="4462"/>
  <c r="AW203" i="4462"/>
  <c r="AX203" i="4462"/>
  <c r="AY203" i="4462"/>
  <c r="AZ203" i="4462"/>
  <c r="BA203" i="4462"/>
  <c r="BB203" i="4462"/>
  <c r="BC203" i="4462"/>
  <c r="BD203" i="4462"/>
  <c r="A204" i="4462"/>
  <c r="B204" i="4462"/>
  <c r="C204" i="4462"/>
  <c r="D204" i="4462"/>
  <c r="E204" i="4462"/>
  <c r="F204" i="4462"/>
  <c r="G204" i="4462"/>
  <c r="H204" i="4462"/>
  <c r="I204" i="4462"/>
  <c r="J204" i="4462"/>
  <c r="K204" i="4462"/>
  <c r="L204" i="4462"/>
  <c r="M204" i="4462"/>
  <c r="N204" i="4462"/>
  <c r="O204" i="4462"/>
  <c r="P204" i="4462"/>
  <c r="Q204" i="4462"/>
  <c r="R204" i="4462"/>
  <c r="S204" i="4462"/>
  <c r="T204" i="4462"/>
  <c r="U204" i="4462"/>
  <c r="V204" i="4462"/>
  <c r="W204" i="4462"/>
  <c r="X204" i="4462"/>
  <c r="Y204" i="4462"/>
  <c r="Z204" i="4462"/>
  <c r="AA204" i="4462"/>
  <c r="AB204" i="4462"/>
  <c r="AC204" i="4462"/>
  <c r="AD204" i="4462"/>
  <c r="AE204" i="4462"/>
  <c r="AF204" i="4462"/>
  <c r="AG204" i="4462"/>
  <c r="AH204" i="4462"/>
  <c r="AI204" i="4462"/>
  <c r="AJ204" i="4462"/>
  <c r="AK204" i="4462"/>
  <c r="AL204" i="4462"/>
  <c r="AM204" i="4462"/>
  <c r="AN204" i="4462"/>
  <c r="AO204" i="4462"/>
  <c r="AP204" i="4462"/>
  <c r="AQ204" i="4462"/>
  <c r="AR204" i="4462"/>
  <c r="AS204" i="4462"/>
  <c r="AT204" i="4462"/>
  <c r="AU204" i="4462"/>
  <c r="AV204" i="4462"/>
  <c r="AW204" i="4462"/>
  <c r="AX204" i="4462"/>
  <c r="AY204" i="4462"/>
  <c r="AZ204" i="4462"/>
  <c r="BA204" i="4462"/>
  <c r="BB204" i="4462"/>
  <c r="BC204" i="4462"/>
  <c r="BD204" i="4462"/>
  <c r="A205" i="4462"/>
  <c r="B205" i="4462"/>
  <c r="C205" i="4462"/>
  <c r="D205" i="4462"/>
  <c r="E205" i="4462"/>
  <c r="F205" i="4462"/>
  <c r="G205" i="4462"/>
  <c r="H205" i="4462"/>
  <c r="I205" i="4462"/>
  <c r="J205" i="4462"/>
  <c r="K205" i="4462"/>
  <c r="L205" i="4462"/>
  <c r="M205" i="4462"/>
  <c r="N205" i="4462"/>
  <c r="O205" i="4462"/>
  <c r="P205" i="4462"/>
  <c r="Q205" i="4462"/>
  <c r="R205" i="4462"/>
  <c r="S205" i="4462"/>
  <c r="T205" i="4462"/>
  <c r="U205" i="4462"/>
  <c r="V205" i="4462"/>
  <c r="W205" i="4462"/>
  <c r="X205" i="4462"/>
  <c r="Y205" i="4462"/>
  <c r="Z205" i="4462"/>
  <c r="AA205" i="4462"/>
  <c r="AB205" i="4462"/>
  <c r="AC205" i="4462"/>
  <c r="AD205" i="4462"/>
  <c r="AE205" i="4462"/>
  <c r="AF205" i="4462"/>
  <c r="AG205" i="4462"/>
  <c r="AH205" i="4462"/>
  <c r="AI205" i="4462"/>
  <c r="AJ205" i="4462"/>
  <c r="AK205" i="4462"/>
  <c r="AL205" i="4462"/>
  <c r="AM205" i="4462"/>
  <c r="AN205" i="4462"/>
  <c r="AO205" i="4462"/>
  <c r="AP205" i="4462"/>
  <c r="AQ205" i="4462"/>
  <c r="AR205" i="4462"/>
  <c r="AS205" i="4462"/>
  <c r="AT205" i="4462"/>
  <c r="AU205" i="4462"/>
  <c r="AV205" i="4462"/>
  <c r="AW205" i="4462"/>
  <c r="AX205" i="4462"/>
  <c r="AY205" i="4462"/>
  <c r="AZ205" i="4462"/>
  <c r="BA205" i="4462"/>
  <c r="BB205" i="4462"/>
  <c r="BC205" i="4462"/>
  <c r="BD205" i="4462"/>
  <c r="A206" i="4462"/>
  <c r="B206" i="4462"/>
  <c r="C206" i="4462"/>
  <c r="D206" i="4462"/>
  <c r="E206" i="4462"/>
  <c r="F206" i="4462"/>
  <c r="G206" i="4462"/>
  <c r="H206" i="4462"/>
  <c r="I206" i="4462"/>
  <c r="J206" i="4462"/>
  <c r="K206" i="4462"/>
  <c r="L206" i="4462"/>
  <c r="M206" i="4462"/>
  <c r="N206" i="4462"/>
  <c r="O206" i="4462"/>
  <c r="P206" i="4462"/>
  <c r="Q206" i="4462"/>
  <c r="R206" i="4462"/>
  <c r="S206" i="4462"/>
  <c r="T206" i="4462"/>
  <c r="U206" i="4462"/>
  <c r="V206" i="4462"/>
  <c r="W206" i="4462"/>
  <c r="X206" i="4462"/>
  <c r="Y206" i="4462"/>
  <c r="Z206" i="4462"/>
  <c r="AA206" i="4462"/>
  <c r="AB206" i="4462"/>
  <c r="AC206" i="4462"/>
  <c r="AD206" i="4462"/>
  <c r="AE206" i="4462"/>
  <c r="AF206" i="4462"/>
  <c r="AG206" i="4462"/>
  <c r="AH206" i="4462"/>
  <c r="AI206" i="4462"/>
  <c r="AJ206" i="4462"/>
  <c r="AK206" i="4462"/>
  <c r="AL206" i="4462"/>
  <c r="AM206" i="4462"/>
  <c r="AN206" i="4462"/>
  <c r="AO206" i="4462"/>
  <c r="AP206" i="4462"/>
  <c r="AQ206" i="4462"/>
  <c r="AR206" i="4462"/>
  <c r="AS206" i="4462"/>
  <c r="AT206" i="4462"/>
  <c r="AU206" i="4462"/>
  <c r="AV206" i="4462"/>
  <c r="AW206" i="4462"/>
  <c r="AX206" i="4462"/>
  <c r="AY206" i="4462"/>
  <c r="AZ206" i="4462"/>
  <c r="BA206" i="4462"/>
  <c r="BB206" i="4462"/>
  <c r="BC206" i="4462"/>
  <c r="BD206" i="4462"/>
  <c r="A207" i="4462"/>
  <c r="B207" i="4462"/>
  <c r="C207" i="4462"/>
  <c r="D207" i="4462"/>
  <c r="E207" i="4462"/>
  <c r="F207" i="4462"/>
  <c r="G207" i="4462"/>
  <c r="H207" i="4462"/>
  <c r="I207" i="4462"/>
  <c r="J207" i="4462"/>
  <c r="K207" i="4462"/>
  <c r="L207" i="4462"/>
  <c r="M207" i="4462"/>
  <c r="N207" i="4462"/>
  <c r="O207" i="4462"/>
  <c r="P207" i="4462"/>
  <c r="Q207" i="4462"/>
  <c r="R207" i="4462"/>
  <c r="S207" i="4462"/>
  <c r="T207" i="4462"/>
  <c r="U207" i="4462"/>
  <c r="V207" i="4462"/>
  <c r="W207" i="4462"/>
  <c r="X207" i="4462"/>
  <c r="Y207" i="4462"/>
  <c r="Z207" i="4462"/>
  <c r="AA207" i="4462"/>
  <c r="AB207" i="4462"/>
  <c r="AC207" i="4462"/>
  <c r="AD207" i="4462"/>
  <c r="AE207" i="4462"/>
  <c r="AF207" i="4462"/>
  <c r="AG207" i="4462"/>
  <c r="AH207" i="4462"/>
  <c r="AI207" i="4462"/>
  <c r="AJ207" i="4462"/>
  <c r="AK207" i="4462"/>
  <c r="AL207" i="4462"/>
  <c r="AM207" i="4462"/>
  <c r="AN207" i="4462"/>
  <c r="AO207" i="4462"/>
  <c r="AP207" i="4462"/>
  <c r="AQ207" i="4462"/>
  <c r="AR207" i="4462"/>
  <c r="AS207" i="4462"/>
  <c r="AT207" i="4462"/>
  <c r="AU207" i="4462"/>
  <c r="AV207" i="4462"/>
  <c r="AW207" i="4462"/>
  <c r="AX207" i="4462"/>
  <c r="AY207" i="4462"/>
  <c r="AZ207" i="4462"/>
  <c r="BA207" i="4462"/>
  <c r="BB207" i="4462"/>
  <c r="BC207" i="4462"/>
  <c r="BD207" i="4462"/>
  <c r="A208" i="4462"/>
  <c r="B208" i="4462"/>
  <c r="C208" i="4462"/>
  <c r="D208" i="4462"/>
  <c r="E208" i="4462"/>
  <c r="F208" i="4462"/>
  <c r="G208" i="4462"/>
  <c r="H208" i="4462"/>
  <c r="I208" i="4462"/>
  <c r="J208" i="4462"/>
  <c r="K208" i="4462"/>
  <c r="L208" i="4462"/>
  <c r="M208" i="4462"/>
  <c r="N208" i="4462"/>
  <c r="O208" i="4462"/>
  <c r="P208" i="4462"/>
  <c r="Q208" i="4462"/>
  <c r="R208" i="4462"/>
  <c r="S208" i="4462"/>
  <c r="T208" i="4462"/>
  <c r="U208" i="4462"/>
  <c r="V208" i="4462"/>
  <c r="W208" i="4462"/>
  <c r="X208" i="4462"/>
  <c r="Y208" i="4462"/>
  <c r="Z208" i="4462"/>
  <c r="AA208" i="4462"/>
  <c r="AB208" i="4462"/>
  <c r="AC208" i="4462"/>
  <c r="AD208" i="4462"/>
  <c r="AE208" i="4462"/>
  <c r="AF208" i="4462"/>
  <c r="AG208" i="4462"/>
  <c r="AH208" i="4462"/>
  <c r="AI208" i="4462"/>
  <c r="AJ208" i="4462"/>
  <c r="AK208" i="4462"/>
  <c r="AL208" i="4462"/>
  <c r="AM208" i="4462"/>
  <c r="AN208" i="4462"/>
  <c r="AO208" i="4462"/>
  <c r="AP208" i="4462"/>
  <c r="AQ208" i="4462"/>
  <c r="AR208" i="4462"/>
  <c r="AS208" i="4462"/>
  <c r="AT208" i="4462"/>
  <c r="AU208" i="4462"/>
  <c r="AV208" i="4462"/>
  <c r="AW208" i="4462"/>
  <c r="AX208" i="4462"/>
  <c r="AY208" i="4462"/>
  <c r="AZ208" i="4462"/>
  <c r="BA208" i="4462"/>
  <c r="BB208" i="4462"/>
  <c r="BC208" i="4462"/>
  <c r="BD208" i="4462"/>
  <c r="A209" i="4462"/>
  <c r="B209" i="4462"/>
  <c r="C209" i="4462"/>
  <c r="D209" i="4462"/>
  <c r="E209" i="4462"/>
  <c r="F209" i="4462"/>
  <c r="G209" i="4462"/>
  <c r="H209" i="4462"/>
  <c r="I209" i="4462"/>
  <c r="J209" i="4462"/>
  <c r="K209" i="4462"/>
  <c r="L209" i="4462"/>
  <c r="M209" i="4462"/>
  <c r="N209" i="4462"/>
  <c r="O209" i="4462"/>
  <c r="P209" i="4462"/>
  <c r="Q209" i="4462"/>
  <c r="R209" i="4462"/>
  <c r="S209" i="4462"/>
  <c r="T209" i="4462"/>
  <c r="U209" i="4462"/>
  <c r="V209" i="4462"/>
  <c r="W209" i="4462"/>
  <c r="X209" i="4462"/>
  <c r="Y209" i="4462"/>
  <c r="Z209" i="4462"/>
  <c r="AA209" i="4462"/>
  <c r="AB209" i="4462"/>
  <c r="AC209" i="4462"/>
  <c r="AD209" i="4462"/>
  <c r="AE209" i="4462"/>
  <c r="AF209" i="4462"/>
  <c r="AG209" i="4462"/>
  <c r="AH209" i="4462"/>
  <c r="AI209" i="4462"/>
  <c r="AJ209" i="4462"/>
  <c r="AK209" i="4462"/>
  <c r="AL209" i="4462"/>
  <c r="AM209" i="4462"/>
  <c r="AN209" i="4462"/>
  <c r="AO209" i="4462"/>
  <c r="AP209" i="4462"/>
  <c r="AQ209" i="4462"/>
  <c r="AR209" i="4462"/>
  <c r="AS209" i="4462"/>
  <c r="AT209" i="4462"/>
  <c r="AU209" i="4462"/>
  <c r="AV209" i="4462"/>
  <c r="AW209" i="4462"/>
  <c r="AX209" i="4462"/>
  <c r="AY209" i="4462"/>
  <c r="AZ209" i="4462"/>
  <c r="BA209" i="4462"/>
  <c r="BB209" i="4462"/>
  <c r="BC209" i="4462"/>
  <c r="BD209" i="4462"/>
  <c r="A210" i="4462"/>
  <c r="B210" i="4462"/>
  <c r="C210" i="4462"/>
  <c r="D210" i="4462"/>
  <c r="E210" i="4462"/>
  <c r="F210" i="4462"/>
  <c r="G210" i="4462"/>
  <c r="H210" i="4462"/>
  <c r="I210" i="4462"/>
  <c r="J210" i="4462"/>
  <c r="K210" i="4462"/>
  <c r="L210" i="4462"/>
  <c r="M210" i="4462"/>
  <c r="N210" i="4462"/>
  <c r="O210" i="4462"/>
  <c r="P210" i="4462"/>
  <c r="Q210" i="4462"/>
  <c r="R210" i="4462"/>
  <c r="S210" i="4462"/>
  <c r="T210" i="4462"/>
  <c r="U210" i="4462"/>
  <c r="V210" i="4462"/>
  <c r="W210" i="4462"/>
  <c r="X210" i="4462"/>
  <c r="Y210" i="4462"/>
  <c r="Z210" i="4462"/>
  <c r="AA210" i="4462"/>
  <c r="AB210" i="4462"/>
  <c r="AC210" i="4462"/>
  <c r="AD210" i="4462"/>
  <c r="AE210" i="4462"/>
  <c r="AF210" i="4462"/>
  <c r="AG210" i="4462"/>
  <c r="AH210" i="4462"/>
  <c r="AI210" i="4462"/>
  <c r="AJ210" i="4462"/>
  <c r="AK210" i="4462"/>
  <c r="AL210" i="4462"/>
  <c r="AM210" i="4462"/>
  <c r="AN210" i="4462"/>
  <c r="AO210" i="4462"/>
  <c r="AP210" i="4462"/>
  <c r="AQ210" i="4462"/>
  <c r="AR210" i="4462"/>
  <c r="AS210" i="4462"/>
  <c r="AT210" i="4462"/>
  <c r="AU210" i="4462"/>
  <c r="AV210" i="4462"/>
  <c r="AW210" i="4462"/>
  <c r="AX210" i="4462"/>
  <c r="AY210" i="4462"/>
  <c r="AZ210" i="4462"/>
  <c r="BA210" i="4462"/>
  <c r="BB210" i="4462"/>
  <c r="BC210" i="4462"/>
  <c r="BD210" i="4462"/>
  <c r="A211" i="4462"/>
  <c r="B211" i="4462"/>
  <c r="C211" i="4462"/>
  <c r="D211" i="4462"/>
  <c r="E211" i="4462"/>
  <c r="F211" i="4462"/>
  <c r="G211" i="4462"/>
  <c r="H211" i="4462"/>
  <c r="I211" i="4462"/>
  <c r="J211" i="4462"/>
  <c r="K211" i="4462"/>
  <c r="L211" i="4462"/>
  <c r="M211" i="4462"/>
  <c r="N211" i="4462"/>
  <c r="O211" i="4462"/>
  <c r="P211" i="4462"/>
  <c r="Q211" i="4462"/>
  <c r="R211" i="4462"/>
  <c r="S211" i="4462"/>
  <c r="T211" i="4462"/>
  <c r="U211" i="4462"/>
  <c r="V211" i="4462"/>
  <c r="W211" i="4462"/>
  <c r="X211" i="4462"/>
  <c r="Y211" i="4462"/>
  <c r="Z211" i="4462"/>
  <c r="AA211" i="4462"/>
  <c r="AB211" i="4462"/>
  <c r="AC211" i="4462"/>
  <c r="AD211" i="4462"/>
  <c r="AE211" i="4462"/>
  <c r="AF211" i="4462"/>
  <c r="AG211" i="4462"/>
  <c r="AH211" i="4462"/>
  <c r="AI211" i="4462"/>
  <c r="AJ211" i="4462"/>
  <c r="AK211" i="4462"/>
  <c r="AL211" i="4462"/>
  <c r="AM211" i="4462"/>
  <c r="AN211" i="4462"/>
  <c r="AO211" i="4462"/>
  <c r="AP211" i="4462"/>
  <c r="AQ211" i="4462"/>
  <c r="AR211" i="4462"/>
  <c r="AS211" i="4462"/>
  <c r="AT211" i="4462"/>
  <c r="AU211" i="4462"/>
  <c r="AV211" i="4462"/>
  <c r="AW211" i="4462"/>
  <c r="AX211" i="4462"/>
  <c r="AY211" i="4462"/>
  <c r="AZ211" i="4462"/>
  <c r="BA211" i="4462"/>
  <c r="BB211" i="4462"/>
  <c r="BC211" i="4462"/>
  <c r="BD211" i="4462"/>
  <c r="A212" i="4462"/>
  <c r="B212" i="4462"/>
  <c r="C212" i="4462"/>
  <c r="D212" i="4462"/>
  <c r="E212" i="4462"/>
  <c r="F212" i="4462"/>
  <c r="G212" i="4462"/>
  <c r="H212" i="4462"/>
  <c r="I212" i="4462"/>
  <c r="J212" i="4462"/>
  <c r="K212" i="4462"/>
  <c r="L212" i="4462"/>
  <c r="M212" i="4462"/>
  <c r="N212" i="4462"/>
  <c r="O212" i="4462"/>
  <c r="P212" i="4462"/>
  <c r="Q212" i="4462"/>
  <c r="R212" i="4462"/>
  <c r="S212" i="4462"/>
  <c r="T212" i="4462"/>
  <c r="U212" i="4462"/>
  <c r="V212" i="4462"/>
  <c r="W212" i="4462"/>
  <c r="X212" i="4462"/>
  <c r="Y212" i="4462"/>
  <c r="Z212" i="4462"/>
  <c r="AA212" i="4462"/>
  <c r="AB212" i="4462"/>
  <c r="AC212" i="4462"/>
  <c r="AD212" i="4462"/>
  <c r="AE212" i="4462"/>
  <c r="AF212" i="4462"/>
  <c r="AG212" i="4462"/>
  <c r="AH212" i="4462"/>
  <c r="AI212" i="4462"/>
  <c r="AJ212" i="4462"/>
  <c r="AK212" i="4462"/>
  <c r="AL212" i="4462"/>
  <c r="AM212" i="4462"/>
  <c r="AN212" i="4462"/>
  <c r="AO212" i="4462"/>
  <c r="AP212" i="4462"/>
  <c r="AQ212" i="4462"/>
  <c r="AR212" i="4462"/>
  <c r="AS212" i="4462"/>
  <c r="AT212" i="4462"/>
  <c r="AU212" i="4462"/>
  <c r="AV212" i="4462"/>
  <c r="AW212" i="4462"/>
  <c r="AX212" i="4462"/>
  <c r="AY212" i="4462"/>
  <c r="AZ212" i="4462"/>
  <c r="BA212" i="4462"/>
  <c r="BB212" i="4462"/>
  <c r="BC212" i="4462"/>
  <c r="BD212" i="4462"/>
  <c r="A213" i="4462"/>
  <c r="B213" i="4462"/>
  <c r="C213" i="4462"/>
  <c r="D213" i="4462"/>
  <c r="E213" i="4462"/>
  <c r="F213" i="4462"/>
  <c r="G213" i="4462"/>
  <c r="H213" i="4462"/>
  <c r="I213" i="4462"/>
  <c r="J213" i="4462"/>
  <c r="K213" i="4462"/>
  <c r="L213" i="4462"/>
  <c r="M213" i="4462"/>
  <c r="N213" i="4462"/>
  <c r="O213" i="4462"/>
  <c r="P213" i="4462"/>
  <c r="Q213" i="4462"/>
  <c r="R213" i="4462"/>
  <c r="S213" i="4462"/>
  <c r="T213" i="4462"/>
  <c r="U213" i="4462"/>
  <c r="V213" i="4462"/>
  <c r="W213" i="4462"/>
  <c r="X213" i="4462"/>
  <c r="Y213" i="4462"/>
  <c r="Z213" i="4462"/>
  <c r="AA213" i="4462"/>
  <c r="AB213" i="4462"/>
  <c r="AC213" i="4462"/>
  <c r="AD213" i="4462"/>
  <c r="AE213" i="4462"/>
  <c r="AF213" i="4462"/>
  <c r="AG213" i="4462"/>
  <c r="AH213" i="4462"/>
  <c r="AI213" i="4462"/>
  <c r="AJ213" i="4462"/>
  <c r="AK213" i="4462"/>
  <c r="AL213" i="4462"/>
  <c r="AM213" i="4462"/>
  <c r="AN213" i="4462"/>
  <c r="AO213" i="4462"/>
  <c r="AP213" i="4462"/>
  <c r="AQ213" i="4462"/>
  <c r="AR213" i="4462"/>
  <c r="AS213" i="4462"/>
  <c r="AT213" i="4462"/>
  <c r="AU213" i="4462"/>
  <c r="AV213" i="4462"/>
  <c r="AW213" i="4462"/>
  <c r="AX213" i="4462"/>
  <c r="AY213" i="4462"/>
  <c r="AZ213" i="4462"/>
  <c r="BA213" i="4462"/>
  <c r="BB213" i="4462"/>
  <c r="BC213" i="4462"/>
  <c r="BD213" i="4462"/>
  <c r="A214" i="4462"/>
  <c r="B214" i="4462"/>
  <c r="C214" i="4462"/>
  <c r="D214" i="4462"/>
  <c r="E214" i="4462"/>
  <c r="F214" i="4462"/>
  <c r="G214" i="4462"/>
  <c r="H214" i="4462"/>
  <c r="I214" i="4462"/>
  <c r="J214" i="4462"/>
  <c r="K214" i="4462"/>
  <c r="L214" i="4462"/>
  <c r="M214" i="4462"/>
  <c r="N214" i="4462"/>
  <c r="O214" i="4462"/>
  <c r="P214" i="4462"/>
  <c r="Q214" i="4462"/>
  <c r="R214" i="4462"/>
  <c r="S214" i="4462"/>
  <c r="T214" i="4462"/>
  <c r="U214" i="4462"/>
  <c r="V214" i="4462"/>
  <c r="W214" i="4462"/>
  <c r="X214" i="4462"/>
  <c r="Y214" i="4462"/>
  <c r="Z214" i="4462"/>
  <c r="AA214" i="4462"/>
  <c r="AB214" i="4462"/>
  <c r="AC214" i="4462"/>
  <c r="AD214" i="4462"/>
  <c r="AE214" i="4462"/>
  <c r="AF214" i="4462"/>
  <c r="AG214" i="4462"/>
  <c r="AH214" i="4462"/>
  <c r="AI214" i="4462"/>
  <c r="AJ214" i="4462"/>
  <c r="AK214" i="4462"/>
  <c r="AL214" i="4462"/>
  <c r="AM214" i="4462"/>
  <c r="AN214" i="4462"/>
  <c r="AO214" i="4462"/>
  <c r="AP214" i="4462"/>
  <c r="AQ214" i="4462"/>
  <c r="AR214" i="4462"/>
  <c r="AS214" i="4462"/>
  <c r="AT214" i="4462"/>
  <c r="AU214" i="4462"/>
  <c r="AV214" i="4462"/>
  <c r="AW214" i="4462"/>
  <c r="AX214" i="4462"/>
  <c r="AY214" i="4462"/>
  <c r="AZ214" i="4462"/>
  <c r="BA214" i="4462"/>
  <c r="BB214" i="4462"/>
  <c r="BC214" i="4462"/>
  <c r="BD214" i="4462"/>
  <c r="A215" i="4462"/>
  <c r="B215" i="4462"/>
  <c r="C215" i="4462"/>
  <c r="D215" i="4462"/>
  <c r="E215" i="4462"/>
  <c r="F215" i="4462"/>
  <c r="G215" i="4462"/>
  <c r="H215" i="4462"/>
  <c r="I215" i="4462"/>
  <c r="J215" i="4462"/>
  <c r="K215" i="4462"/>
  <c r="L215" i="4462"/>
  <c r="M215" i="4462"/>
  <c r="N215" i="4462"/>
  <c r="O215" i="4462"/>
  <c r="P215" i="4462"/>
  <c r="Q215" i="4462"/>
  <c r="R215" i="4462"/>
  <c r="S215" i="4462"/>
  <c r="T215" i="4462"/>
  <c r="U215" i="4462"/>
  <c r="V215" i="4462"/>
  <c r="W215" i="4462"/>
  <c r="X215" i="4462"/>
  <c r="Y215" i="4462"/>
  <c r="Z215" i="4462"/>
  <c r="AA215" i="4462"/>
  <c r="AB215" i="4462"/>
  <c r="AC215" i="4462"/>
  <c r="AD215" i="4462"/>
  <c r="AE215" i="4462"/>
  <c r="AF215" i="4462"/>
  <c r="AG215" i="4462"/>
  <c r="AH215" i="4462"/>
  <c r="AI215" i="4462"/>
  <c r="AJ215" i="4462"/>
  <c r="AK215" i="4462"/>
  <c r="AL215" i="4462"/>
  <c r="AM215" i="4462"/>
  <c r="AN215" i="4462"/>
  <c r="AO215" i="4462"/>
  <c r="AP215" i="4462"/>
  <c r="AQ215" i="4462"/>
  <c r="AR215" i="4462"/>
  <c r="AS215" i="4462"/>
  <c r="AT215" i="4462"/>
  <c r="AU215" i="4462"/>
  <c r="AV215" i="4462"/>
  <c r="AW215" i="4462"/>
  <c r="AX215" i="4462"/>
  <c r="AY215" i="4462"/>
  <c r="AZ215" i="4462"/>
  <c r="BA215" i="4462"/>
  <c r="BB215" i="4462"/>
  <c r="BC215" i="4462"/>
  <c r="BD215" i="4462"/>
  <c r="A216" i="4462"/>
  <c r="B216" i="4462"/>
  <c r="C216" i="4462"/>
  <c r="D216" i="4462"/>
  <c r="E216" i="4462"/>
  <c r="F216" i="4462"/>
  <c r="G216" i="4462"/>
  <c r="H216" i="4462"/>
  <c r="I216" i="4462"/>
  <c r="J216" i="4462"/>
  <c r="K216" i="4462"/>
  <c r="L216" i="4462"/>
  <c r="M216" i="4462"/>
  <c r="N216" i="4462"/>
  <c r="O216" i="4462"/>
  <c r="P216" i="4462"/>
  <c r="Q216" i="4462"/>
  <c r="R216" i="4462"/>
  <c r="S216" i="4462"/>
  <c r="T216" i="4462"/>
  <c r="U216" i="4462"/>
  <c r="V216" i="4462"/>
  <c r="W216" i="4462"/>
  <c r="X216" i="4462"/>
  <c r="Y216" i="4462"/>
  <c r="Z216" i="4462"/>
  <c r="AA216" i="4462"/>
  <c r="AB216" i="4462"/>
  <c r="AC216" i="4462"/>
  <c r="AD216" i="4462"/>
  <c r="AE216" i="4462"/>
  <c r="AF216" i="4462"/>
  <c r="AG216" i="4462"/>
  <c r="AH216" i="4462"/>
  <c r="AI216" i="4462"/>
  <c r="AJ216" i="4462"/>
  <c r="AK216" i="4462"/>
  <c r="AL216" i="4462"/>
  <c r="AM216" i="4462"/>
  <c r="AN216" i="4462"/>
  <c r="AO216" i="4462"/>
  <c r="AP216" i="4462"/>
  <c r="AQ216" i="4462"/>
  <c r="AR216" i="4462"/>
  <c r="AS216" i="4462"/>
  <c r="AT216" i="4462"/>
  <c r="AU216" i="4462"/>
  <c r="AV216" i="4462"/>
  <c r="AW216" i="4462"/>
  <c r="AX216" i="4462"/>
  <c r="AY216" i="4462"/>
  <c r="AZ216" i="4462"/>
  <c r="BA216" i="4462"/>
  <c r="BB216" i="4462"/>
  <c r="BC216" i="4462"/>
  <c r="BD216" i="4462"/>
  <c r="A217" i="4462"/>
  <c r="B217" i="4462"/>
  <c r="C217" i="4462"/>
  <c r="D217" i="4462"/>
  <c r="E217" i="4462"/>
  <c r="F217" i="4462"/>
  <c r="G217" i="4462"/>
  <c r="H217" i="4462"/>
  <c r="I217" i="4462"/>
  <c r="J217" i="4462"/>
  <c r="K217" i="4462"/>
  <c r="L217" i="4462"/>
  <c r="M217" i="4462"/>
  <c r="N217" i="4462"/>
  <c r="O217" i="4462"/>
  <c r="P217" i="4462"/>
  <c r="Q217" i="4462"/>
  <c r="R217" i="4462"/>
  <c r="S217" i="4462"/>
  <c r="T217" i="4462"/>
  <c r="U217" i="4462"/>
  <c r="V217" i="4462"/>
  <c r="W217" i="4462"/>
  <c r="X217" i="4462"/>
  <c r="Y217" i="4462"/>
  <c r="Z217" i="4462"/>
  <c r="AA217" i="4462"/>
  <c r="AB217" i="4462"/>
  <c r="AC217" i="4462"/>
  <c r="AD217" i="4462"/>
  <c r="AE217" i="4462"/>
  <c r="AF217" i="4462"/>
  <c r="AG217" i="4462"/>
  <c r="AH217" i="4462"/>
  <c r="AI217" i="4462"/>
  <c r="AJ217" i="4462"/>
  <c r="AK217" i="4462"/>
  <c r="AL217" i="4462"/>
  <c r="AM217" i="4462"/>
  <c r="AN217" i="4462"/>
  <c r="AO217" i="4462"/>
  <c r="AP217" i="4462"/>
  <c r="AQ217" i="4462"/>
  <c r="AR217" i="4462"/>
  <c r="AS217" i="4462"/>
  <c r="AT217" i="4462"/>
  <c r="AU217" i="4462"/>
  <c r="AV217" i="4462"/>
  <c r="AW217" i="4462"/>
  <c r="AX217" i="4462"/>
  <c r="AY217" i="4462"/>
  <c r="AZ217" i="4462"/>
  <c r="BA217" i="4462"/>
  <c r="BB217" i="4462"/>
  <c r="BC217" i="4462"/>
  <c r="BD217" i="4462"/>
  <c r="A218" i="4462"/>
  <c r="B218" i="4462"/>
  <c r="C218" i="4462"/>
  <c r="D218" i="4462"/>
  <c r="E218" i="4462"/>
  <c r="F218" i="4462"/>
  <c r="G218" i="4462"/>
  <c r="H218" i="4462"/>
  <c r="I218" i="4462"/>
  <c r="J218" i="4462"/>
  <c r="K218" i="4462"/>
  <c r="L218" i="4462"/>
  <c r="M218" i="4462"/>
  <c r="N218" i="4462"/>
  <c r="O218" i="4462"/>
  <c r="P218" i="4462"/>
  <c r="Q218" i="4462"/>
  <c r="R218" i="4462"/>
  <c r="S218" i="4462"/>
  <c r="T218" i="4462"/>
  <c r="U218" i="4462"/>
  <c r="V218" i="4462"/>
  <c r="W218" i="4462"/>
  <c r="X218" i="4462"/>
  <c r="Y218" i="4462"/>
  <c r="Z218" i="4462"/>
  <c r="AA218" i="4462"/>
  <c r="AB218" i="4462"/>
  <c r="AC218" i="4462"/>
  <c r="AD218" i="4462"/>
  <c r="AE218" i="4462"/>
  <c r="AF218" i="4462"/>
  <c r="AG218" i="4462"/>
  <c r="AH218" i="4462"/>
  <c r="AI218" i="4462"/>
  <c r="AJ218" i="4462"/>
  <c r="AK218" i="4462"/>
  <c r="AL218" i="4462"/>
  <c r="AM218" i="4462"/>
  <c r="AN218" i="4462"/>
  <c r="AO218" i="4462"/>
  <c r="AP218" i="4462"/>
  <c r="AQ218" i="4462"/>
  <c r="AR218" i="4462"/>
  <c r="AS218" i="4462"/>
  <c r="AT218" i="4462"/>
  <c r="AU218" i="4462"/>
  <c r="AV218" i="4462"/>
  <c r="AW218" i="4462"/>
  <c r="AX218" i="4462"/>
  <c r="AY218" i="4462"/>
  <c r="AZ218" i="4462"/>
  <c r="BA218" i="4462"/>
  <c r="BB218" i="4462"/>
  <c r="BC218" i="4462"/>
  <c r="BD218" i="4462"/>
  <c r="A219" i="4462"/>
  <c r="B219" i="4462"/>
  <c r="C219" i="4462"/>
  <c r="D219" i="4462"/>
  <c r="E219" i="4462"/>
  <c r="F219" i="4462"/>
  <c r="G219" i="4462"/>
  <c r="H219" i="4462"/>
  <c r="I219" i="4462"/>
  <c r="J219" i="4462"/>
  <c r="K219" i="4462"/>
  <c r="L219" i="4462"/>
  <c r="M219" i="4462"/>
  <c r="N219" i="4462"/>
  <c r="O219" i="4462"/>
  <c r="P219" i="4462"/>
  <c r="Q219" i="4462"/>
  <c r="R219" i="4462"/>
  <c r="S219" i="4462"/>
  <c r="T219" i="4462"/>
  <c r="U219" i="4462"/>
  <c r="V219" i="4462"/>
  <c r="W219" i="4462"/>
  <c r="X219" i="4462"/>
  <c r="Y219" i="4462"/>
  <c r="Z219" i="4462"/>
  <c r="AA219" i="4462"/>
  <c r="AB219" i="4462"/>
  <c r="AC219" i="4462"/>
  <c r="AD219" i="4462"/>
  <c r="AE219" i="4462"/>
  <c r="AF219" i="4462"/>
  <c r="AG219" i="4462"/>
  <c r="AH219" i="4462"/>
  <c r="AI219" i="4462"/>
  <c r="AJ219" i="4462"/>
  <c r="AK219" i="4462"/>
  <c r="AL219" i="4462"/>
  <c r="AM219" i="4462"/>
  <c r="AN219" i="4462"/>
  <c r="AO219" i="4462"/>
  <c r="AP219" i="4462"/>
  <c r="AQ219" i="4462"/>
  <c r="AR219" i="4462"/>
  <c r="AS219" i="4462"/>
  <c r="AT219" i="4462"/>
  <c r="AU219" i="4462"/>
  <c r="AV219" i="4462"/>
  <c r="AW219" i="4462"/>
  <c r="AX219" i="4462"/>
  <c r="AY219" i="4462"/>
  <c r="AZ219" i="4462"/>
  <c r="BA219" i="4462"/>
  <c r="BB219" i="4462"/>
  <c r="BC219" i="4462"/>
  <c r="BD219" i="4462"/>
  <c r="A220" i="4462"/>
  <c r="B220" i="4462"/>
  <c r="C220" i="4462"/>
  <c r="D220" i="4462"/>
  <c r="E220" i="4462"/>
  <c r="F220" i="4462"/>
  <c r="G220" i="4462"/>
  <c r="H220" i="4462"/>
  <c r="I220" i="4462"/>
  <c r="J220" i="4462"/>
  <c r="K220" i="4462"/>
  <c r="L220" i="4462"/>
  <c r="M220" i="4462"/>
  <c r="N220" i="4462"/>
  <c r="O220" i="4462"/>
  <c r="P220" i="4462"/>
  <c r="Q220" i="4462"/>
  <c r="R220" i="4462"/>
  <c r="S220" i="4462"/>
  <c r="T220" i="4462"/>
  <c r="U220" i="4462"/>
  <c r="V220" i="4462"/>
  <c r="W220" i="4462"/>
  <c r="X220" i="4462"/>
  <c r="Y220" i="4462"/>
  <c r="Z220" i="4462"/>
  <c r="AA220" i="4462"/>
  <c r="AB220" i="4462"/>
  <c r="AC220" i="4462"/>
  <c r="AD220" i="4462"/>
  <c r="AE220" i="4462"/>
  <c r="AF220" i="4462"/>
  <c r="AG220" i="4462"/>
  <c r="AH220" i="4462"/>
  <c r="AI220" i="4462"/>
  <c r="AJ220" i="4462"/>
  <c r="AK220" i="4462"/>
  <c r="AL220" i="4462"/>
  <c r="AM220" i="4462"/>
  <c r="AN220" i="4462"/>
  <c r="AO220" i="4462"/>
  <c r="AP220" i="4462"/>
  <c r="AQ220" i="4462"/>
  <c r="AR220" i="4462"/>
  <c r="AS220" i="4462"/>
  <c r="AT220" i="4462"/>
  <c r="AU220" i="4462"/>
  <c r="AV220" i="4462"/>
  <c r="AW220" i="4462"/>
  <c r="AX220" i="4462"/>
  <c r="AY220" i="4462"/>
  <c r="AZ220" i="4462"/>
  <c r="BA220" i="4462"/>
  <c r="BB220" i="4462"/>
  <c r="BC220" i="4462"/>
  <c r="BD220" i="4462"/>
  <c r="A221" i="4462"/>
  <c r="B221" i="4462"/>
  <c r="C221" i="4462"/>
  <c r="D221" i="4462"/>
  <c r="E221" i="4462"/>
  <c r="F221" i="4462"/>
  <c r="G221" i="4462"/>
  <c r="H221" i="4462"/>
  <c r="I221" i="4462"/>
  <c r="J221" i="4462"/>
  <c r="K221" i="4462"/>
  <c r="L221" i="4462"/>
  <c r="M221" i="4462"/>
  <c r="N221" i="4462"/>
  <c r="O221" i="4462"/>
  <c r="P221" i="4462"/>
  <c r="Q221" i="4462"/>
  <c r="R221" i="4462"/>
  <c r="S221" i="4462"/>
  <c r="T221" i="4462"/>
  <c r="U221" i="4462"/>
  <c r="V221" i="4462"/>
  <c r="W221" i="4462"/>
  <c r="X221" i="4462"/>
  <c r="Y221" i="4462"/>
  <c r="Z221" i="4462"/>
  <c r="AA221" i="4462"/>
  <c r="AB221" i="4462"/>
  <c r="AC221" i="4462"/>
  <c r="AD221" i="4462"/>
  <c r="AE221" i="4462"/>
  <c r="AF221" i="4462"/>
  <c r="AG221" i="4462"/>
  <c r="AH221" i="4462"/>
  <c r="AI221" i="4462"/>
  <c r="AJ221" i="4462"/>
  <c r="AK221" i="4462"/>
  <c r="AL221" i="4462"/>
  <c r="AM221" i="4462"/>
  <c r="AN221" i="4462"/>
  <c r="AO221" i="4462"/>
  <c r="AP221" i="4462"/>
  <c r="AQ221" i="4462"/>
  <c r="AR221" i="4462"/>
  <c r="AS221" i="4462"/>
  <c r="AT221" i="4462"/>
  <c r="AU221" i="4462"/>
  <c r="AV221" i="4462"/>
  <c r="AW221" i="4462"/>
  <c r="AX221" i="4462"/>
  <c r="AY221" i="4462"/>
  <c r="AZ221" i="4462"/>
  <c r="BA221" i="4462"/>
  <c r="BB221" i="4462"/>
  <c r="BC221" i="4462"/>
  <c r="BD221" i="4462"/>
  <c r="A222" i="4462"/>
  <c r="B222" i="4462"/>
  <c r="C222" i="4462"/>
  <c r="D222" i="4462"/>
  <c r="E222" i="4462"/>
  <c r="F222" i="4462"/>
  <c r="G222" i="4462"/>
  <c r="H222" i="4462"/>
  <c r="I222" i="4462"/>
  <c r="J222" i="4462"/>
  <c r="K222" i="4462"/>
  <c r="L222" i="4462"/>
  <c r="M222" i="4462"/>
  <c r="N222" i="4462"/>
  <c r="O222" i="4462"/>
  <c r="P222" i="4462"/>
  <c r="Q222" i="4462"/>
  <c r="R222" i="4462"/>
  <c r="S222" i="4462"/>
  <c r="T222" i="4462"/>
  <c r="U222" i="4462"/>
  <c r="V222" i="4462"/>
  <c r="W222" i="4462"/>
  <c r="X222" i="4462"/>
  <c r="Y222" i="4462"/>
  <c r="Z222" i="4462"/>
  <c r="AA222" i="4462"/>
  <c r="AB222" i="4462"/>
  <c r="AC222" i="4462"/>
  <c r="AD222" i="4462"/>
  <c r="AE222" i="4462"/>
  <c r="AF222" i="4462"/>
  <c r="AG222" i="4462"/>
  <c r="AH222" i="4462"/>
  <c r="AI222" i="4462"/>
  <c r="AJ222" i="4462"/>
  <c r="AK222" i="4462"/>
  <c r="AL222" i="4462"/>
  <c r="AM222" i="4462"/>
  <c r="AN222" i="4462"/>
  <c r="AO222" i="4462"/>
  <c r="AP222" i="4462"/>
  <c r="AQ222" i="4462"/>
  <c r="AR222" i="4462"/>
  <c r="AS222" i="4462"/>
  <c r="AT222" i="4462"/>
  <c r="AU222" i="4462"/>
  <c r="AV222" i="4462"/>
  <c r="AW222" i="4462"/>
  <c r="AX222" i="4462"/>
  <c r="AY222" i="4462"/>
  <c r="AZ222" i="4462"/>
  <c r="BA222" i="4462"/>
  <c r="BB222" i="4462"/>
  <c r="BC222" i="4462"/>
  <c r="BD222" i="4462"/>
  <c r="A223" i="4462"/>
  <c r="B223" i="4462"/>
  <c r="C223" i="4462"/>
  <c r="D223" i="4462"/>
  <c r="E223" i="4462"/>
  <c r="F223" i="4462"/>
  <c r="G223" i="4462"/>
  <c r="H223" i="4462"/>
  <c r="I223" i="4462"/>
  <c r="J223" i="4462"/>
  <c r="K223" i="4462"/>
  <c r="L223" i="4462"/>
  <c r="M223" i="4462"/>
  <c r="N223" i="4462"/>
  <c r="O223" i="4462"/>
  <c r="P223" i="4462"/>
  <c r="Q223" i="4462"/>
  <c r="R223" i="4462"/>
  <c r="S223" i="4462"/>
  <c r="T223" i="4462"/>
  <c r="U223" i="4462"/>
  <c r="V223" i="4462"/>
  <c r="W223" i="4462"/>
  <c r="X223" i="4462"/>
  <c r="Y223" i="4462"/>
  <c r="Z223" i="4462"/>
  <c r="AA223" i="4462"/>
  <c r="AB223" i="4462"/>
  <c r="AC223" i="4462"/>
  <c r="AD223" i="4462"/>
  <c r="AE223" i="4462"/>
  <c r="AF223" i="4462"/>
  <c r="AG223" i="4462"/>
  <c r="AH223" i="4462"/>
  <c r="AI223" i="4462"/>
  <c r="AJ223" i="4462"/>
  <c r="AK223" i="4462"/>
  <c r="AL223" i="4462"/>
  <c r="AM223" i="4462"/>
  <c r="AN223" i="4462"/>
  <c r="AO223" i="4462"/>
  <c r="AP223" i="4462"/>
  <c r="AQ223" i="4462"/>
  <c r="AR223" i="4462"/>
  <c r="AS223" i="4462"/>
  <c r="AT223" i="4462"/>
  <c r="AU223" i="4462"/>
  <c r="AV223" i="4462"/>
  <c r="AW223" i="4462"/>
  <c r="AX223" i="4462"/>
  <c r="AY223" i="4462"/>
  <c r="AZ223" i="4462"/>
  <c r="BA223" i="4462"/>
  <c r="BB223" i="4462"/>
  <c r="BC223" i="4462"/>
  <c r="BD223" i="4462"/>
  <c r="A224" i="4462"/>
  <c r="B224" i="4462"/>
  <c r="C224" i="4462"/>
  <c r="D224" i="4462"/>
  <c r="E224" i="4462"/>
  <c r="F224" i="4462"/>
  <c r="G224" i="4462"/>
  <c r="H224" i="4462"/>
  <c r="I224" i="4462"/>
  <c r="J224" i="4462"/>
  <c r="K224" i="4462"/>
  <c r="L224" i="4462"/>
  <c r="M224" i="4462"/>
  <c r="N224" i="4462"/>
  <c r="O224" i="4462"/>
  <c r="P224" i="4462"/>
  <c r="Q224" i="4462"/>
  <c r="R224" i="4462"/>
  <c r="S224" i="4462"/>
  <c r="T224" i="4462"/>
  <c r="U224" i="4462"/>
  <c r="V224" i="4462"/>
  <c r="W224" i="4462"/>
  <c r="X224" i="4462"/>
  <c r="Y224" i="4462"/>
  <c r="Z224" i="4462"/>
  <c r="AA224" i="4462"/>
  <c r="AB224" i="4462"/>
  <c r="AC224" i="4462"/>
  <c r="AD224" i="4462"/>
  <c r="AE224" i="4462"/>
  <c r="AF224" i="4462"/>
  <c r="AG224" i="4462"/>
  <c r="AH224" i="4462"/>
  <c r="AI224" i="4462"/>
  <c r="AJ224" i="4462"/>
  <c r="AK224" i="4462"/>
  <c r="AL224" i="4462"/>
  <c r="AM224" i="4462"/>
  <c r="AN224" i="4462"/>
  <c r="AO224" i="4462"/>
  <c r="AP224" i="4462"/>
  <c r="AQ224" i="4462"/>
  <c r="AR224" i="4462"/>
  <c r="AS224" i="4462"/>
  <c r="AT224" i="4462"/>
  <c r="AU224" i="4462"/>
  <c r="AV224" i="4462"/>
  <c r="AW224" i="4462"/>
  <c r="AX224" i="4462"/>
  <c r="AY224" i="4462"/>
  <c r="AZ224" i="4462"/>
  <c r="BA224" i="4462"/>
  <c r="BB224" i="4462"/>
  <c r="BC224" i="4462"/>
  <c r="BD224" i="4462"/>
  <c r="A225" i="4462"/>
  <c r="B225" i="4462"/>
  <c r="C225" i="4462"/>
  <c r="D225" i="4462"/>
  <c r="E225" i="4462"/>
  <c r="F225" i="4462"/>
  <c r="G225" i="4462"/>
  <c r="H225" i="4462"/>
  <c r="I225" i="4462"/>
  <c r="J225" i="4462"/>
  <c r="K225" i="4462"/>
  <c r="L225" i="4462"/>
  <c r="M225" i="4462"/>
  <c r="N225" i="4462"/>
  <c r="O225" i="4462"/>
  <c r="P225" i="4462"/>
  <c r="Q225" i="4462"/>
  <c r="R225" i="4462"/>
  <c r="S225" i="4462"/>
  <c r="T225" i="4462"/>
  <c r="U225" i="4462"/>
  <c r="V225" i="4462"/>
  <c r="W225" i="4462"/>
  <c r="X225" i="4462"/>
  <c r="Y225" i="4462"/>
  <c r="Z225" i="4462"/>
  <c r="AA225" i="4462"/>
  <c r="AB225" i="4462"/>
  <c r="AC225" i="4462"/>
  <c r="AD225" i="4462"/>
  <c r="AE225" i="4462"/>
  <c r="AF225" i="4462"/>
  <c r="AG225" i="4462"/>
  <c r="AH225" i="4462"/>
  <c r="AI225" i="4462"/>
  <c r="AJ225" i="4462"/>
  <c r="AK225" i="4462"/>
  <c r="AL225" i="4462"/>
  <c r="AM225" i="4462"/>
  <c r="AN225" i="4462"/>
  <c r="AO225" i="4462"/>
  <c r="AP225" i="4462"/>
  <c r="AQ225" i="4462"/>
  <c r="AR225" i="4462"/>
  <c r="AS225" i="4462"/>
  <c r="AT225" i="4462"/>
  <c r="AU225" i="4462"/>
  <c r="AV225" i="4462"/>
  <c r="AW225" i="4462"/>
  <c r="AX225" i="4462"/>
  <c r="AY225" i="4462"/>
  <c r="AZ225" i="4462"/>
  <c r="BA225" i="4462"/>
  <c r="BB225" i="4462"/>
  <c r="BC225" i="4462"/>
  <c r="BD225" i="4462"/>
  <c r="A226" i="4462"/>
  <c r="B226" i="4462"/>
  <c r="C226" i="4462"/>
  <c r="D226" i="4462"/>
  <c r="E226" i="4462"/>
  <c r="F226" i="4462"/>
  <c r="G226" i="4462"/>
  <c r="H226" i="4462"/>
  <c r="I226" i="4462"/>
  <c r="J226" i="4462"/>
  <c r="K226" i="4462"/>
  <c r="L226" i="4462"/>
  <c r="M226" i="4462"/>
  <c r="N226" i="4462"/>
  <c r="O226" i="4462"/>
  <c r="P226" i="4462"/>
  <c r="Q226" i="4462"/>
  <c r="R226" i="4462"/>
  <c r="S226" i="4462"/>
  <c r="T226" i="4462"/>
  <c r="U226" i="4462"/>
  <c r="V226" i="4462"/>
  <c r="W226" i="4462"/>
  <c r="X226" i="4462"/>
  <c r="Y226" i="4462"/>
  <c r="Z226" i="4462"/>
  <c r="AA226" i="4462"/>
  <c r="AB226" i="4462"/>
  <c r="AC226" i="4462"/>
  <c r="AD226" i="4462"/>
  <c r="AE226" i="4462"/>
  <c r="AF226" i="4462"/>
  <c r="AG226" i="4462"/>
  <c r="AH226" i="4462"/>
  <c r="AI226" i="4462"/>
  <c r="AJ226" i="4462"/>
  <c r="AK226" i="4462"/>
  <c r="AL226" i="4462"/>
  <c r="AM226" i="4462"/>
  <c r="AN226" i="4462"/>
  <c r="AO226" i="4462"/>
  <c r="AP226" i="4462"/>
  <c r="AQ226" i="4462"/>
  <c r="AR226" i="4462"/>
  <c r="AS226" i="4462"/>
  <c r="AT226" i="4462"/>
  <c r="AU226" i="4462"/>
  <c r="AV226" i="4462"/>
  <c r="AW226" i="4462"/>
  <c r="AX226" i="4462"/>
  <c r="AY226" i="4462"/>
  <c r="AZ226" i="4462"/>
  <c r="BA226" i="4462"/>
  <c r="BB226" i="4462"/>
  <c r="BC226" i="4462"/>
  <c r="BD226" i="4462"/>
  <c r="A227" i="4462"/>
  <c r="B227" i="4462"/>
  <c r="C227" i="4462"/>
  <c r="D227" i="4462"/>
  <c r="E227" i="4462"/>
  <c r="F227" i="4462"/>
  <c r="G227" i="4462"/>
  <c r="H227" i="4462"/>
  <c r="I227" i="4462"/>
  <c r="J227" i="4462"/>
  <c r="K227" i="4462"/>
  <c r="L227" i="4462"/>
  <c r="M227" i="4462"/>
  <c r="N227" i="4462"/>
  <c r="O227" i="4462"/>
  <c r="P227" i="4462"/>
  <c r="Q227" i="4462"/>
  <c r="R227" i="4462"/>
  <c r="S227" i="4462"/>
  <c r="T227" i="4462"/>
  <c r="U227" i="4462"/>
  <c r="V227" i="4462"/>
  <c r="W227" i="4462"/>
  <c r="X227" i="4462"/>
  <c r="Y227" i="4462"/>
  <c r="Z227" i="4462"/>
  <c r="AA227" i="4462"/>
  <c r="AB227" i="4462"/>
  <c r="AC227" i="4462"/>
  <c r="AD227" i="4462"/>
  <c r="AE227" i="4462"/>
  <c r="AF227" i="4462"/>
  <c r="AG227" i="4462"/>
  <c r="AH227" i="4462"/>
  <c r="AI227" i="4462"/>
  <c r="AJ227" i="4462"/>
  <c r="AK227" i="4462"/>
  <c r="AL227" i="4462"/>
  <c r="AM227" i="4462"/>
  <c r="AN227" i="4462"/>
  <c r="AO227" i="4462"/>
  <c r="AP227" i="4462"/>
  <c r="AQ227" i="4462"/>
  <c r="AR227" i="4462"/>
  <c r="AS227" i="4462"/>
  <c r="AT227" i="4462"/>
  <c r="AU227" i="4462"/>
  <c r="AV227" i="4462"/>
  <c r="AW227" i="4462"/>
  <c r="AX227" i="4462"/>
  <c r="AY227" i="4462"/>
  <c r="AZ227" i="4462"/>
  <c r="BA227" i="4462"/>
  <c r="BB227" i="4462"/>
  <c r="BC227" i="4462"/>
  <c r="BD227" i="4462"/>
  <c r="A228" i="4462"/>
  <c r="B228" i="4462"/>
  <c r="C228" i="4462"/>
  <c r="D228" i="4462"/>
  <c r="E228" i="4462"/>
  <c r="F228" i="4462"/>
  <c r="G228" i="4462"/>
  <c r="H228" i="4462"/>
  <c r="I228" i="4462"/>
  <c r="J228" i="4462"/>
  <c r="K228" i="4462"/>
  <c r="L228" i="4462"/>
  <c r="M228" i="4462"/>
  <c r="N228" i="4462"/>
  <c r="O228" i="4462"/>
  <c r="P228" i="4462"/>
  <c r="Q228" i="4462"/>
  <c r="R228" i="4462"/>
  <c r="S228" i="4462"/>
  <c r="T228" i="4462"/>
  <c r="U228" i="4462"/>
  <c r="V228" i="4462"/>
  <c r="W228" i="4462"/>
  <c r="X228" i="4462"/>
  <c r="Y228" i="4462"/>
  <c r="Z228" i="4462"/>
  <c r="AA228" i="4462"/>
  <c r="AB228" i="4462"/>
  <c r="AC228" i="4462"/>
  <c r="AD228" i="4462"/>
  <c r="AE228" i="4462"/>
  <c r="AF228" i="4462"/>
  <c r="AG228" i="4462"/>
  <c r="AH228" i="4462"/>
  <c r="AI228" i="4462"/>
  <c r="AJ228" i="4462"/>
  <c r="AK228" i="4462"/>
  <c r="AL228" i="4462"/>
  <c r="AM228" i="4462"/>
  <c r="AN228" i="4462"/>
  <c r="AO228" i="4462"/>
  <c r="AP228" i="4462"/>
  <c r="AQ228" i="4462"/>
  <c r="AR228" i="4462"/>
  <c r="AS228" i="4462"/>
  <c r="AT228" i="4462"/>
  <c r="AU228" i="4462"/>
  <c r="AV228" i="4462"/>
  <c r="AW228" i="4462"/>
  <c r="AX228" i="4462"/>
  <c r="AY228" i="4462"/>
  <c r="AZ228" i="4462"/>
  <c r="BA228" i="4462"/>
  <c r="BB228" i="4462"/>
  <c r="BC228" i="4462"/>
  <c r="BD228" i="4462"/>
  <c r="A229" i="4462"/>
  <c r="B229" i="4462"/>
  <c r="C229" i="4462"/>
  <c r="D229" i="4462"/>
  <c r="E229" i="4462"/>
  <c r="F229" i="4462"/>
  <c r="G229" i="4462"/>
  <c r="H229" i="4462"/>
  <c r="I229" i="4462"/>
  <c r="J229" i="4462"/>
  <c r="K229" i="4462"/>
  <c r="L229" i="4462"/>
  <c r="M229" i="4462"/>
  <c r="N229" i="4462"/>
  <c r="O229" i="4462"/>
  <c r="P229" i="4462"/>
  <c r="Q229" i="4462"/>
  <c r="R229" i="4462"/>
  <c r="S229" i="4462"/>
  <c r="T229" i="4462"/>
  <c r="U229" i="4462"/>
  <c r="V229" i="4462"/>
  <c r="W229" i="4462"/>
  <c r="X229" i="4462"/>
  <c r="Y229" i="4462"/>
  <c r="Z229" i="4462"/>
  <c r="AA229" i="4462"/>
  <c r="AB229" i="4462"/>
  <c r="AC229" i="4462"/>
  <c r="AD229" i="4462"/>
  <c r="AE229" i="4462"/>
  <c r="AF229" i="4462"/>
  <c r="AG229" i="4462"/>
  <c r="AH229" i="4462"/>
  <c r="AI229" i="4462"/>
  <c r="AJ229" i="4462"/>
  <c r="AK229" i="4462"/>
  <c r="AL229" i="4462"/>
  <c r="AM229" i="4462"/>
  <c r="AN229" i="4462"/>
  <c r="AO229" i="4462"/>
  <c r="AP229" i="4462"/>
  <c r="AQ229" i="4462"/>
  <c r="AR229" i="4462"/>
  <c r="AS229" i="4462"/>
  <c r="AT229" i="4462"/>
  <c r="AU229" i="4462"/>
  <c r="AV229" i="4462"/>
  <c r="AW229" i="4462"/>
  <c r="AX229" i="4462"/>
  <c r="AY229" i="4462"/>
  <c r="AZ229" i="4462"/>
  <c r="BA229" i="4462"/>
  <c r="BB229" i="4462"/>
  <c r="BC229" i="4462"/>
  <c r="BD229" i="4462"/>
  <c r="A230" i="4462"/>
  <c r="B230" i="4462"/>
  <c r="C230" i="4462"/>
  <c r="D230" i="4462"/>
  <c r="E230" i="4462"/>
  <c r="F230" i="4462"/>
  <c r="G230" i="4462"/>
  <c r="H230" i="4462"/>
  <c r="I230" i="4462"/>
  <c r="J230" i="4462"/>
  <c r="K230" i="4462"/>
  <c r="L230" i="4462"/>
  <c r="M230" i="4462"/>
  <c r="N230" i="4462"/>
  <c r="O230" i="4462"/>
  <c r="P230" i="4462"/>
  <c r="Q230" i="4462"/>
  <c r="R230" i="4462"/>
  <c r="S230" i="4462"/>
  <c r="T230" i="4462"/>
  <c r="U230" i="4462"/>
  <c r="V230" i="4462"/>
  <c r="W230" i="4462"/>
  <c r="X230" i="4462"/>
  <c r="Y230" i="4462"/>
  <c r="Z230" i="4462"/>
  <c r="AA230" i="4462"/>
  <c r="AB230" i="4462"/>
  <c r="AC230" i="4462"/>
  <c r="AD230" i="4462"/>
  <c r="AE230" i="4462"/>
  <c r="AF230" i="4462"/>
  <c r="AG230" i="4462"/>
  <c r="AH230" i="4462"/>
  <c r="AI230" i="4462"/>
  <c r="AJ230" i="4462"/>
  <c r="AK230" i="4462"/>
  <c r="AL230" i="4462"/>
  <c r="AM230" i="4462"/>
  <c r="AN230" i="4462"/>
  <c r="AO230" i="4462"/>
  <c r="AP230" i="4462"/>
  <c r="AQ230" i="4462"/>
  <c r="AR230" i="4462"/>
  <c r="AS230" i="4462"/>
  <c r="AT230" i="4462"/>
  <c r="AU230" i="4462"/>
  <c r="AV230" i="4462"/>
  <c r="AW230" i="4462"/>
  <c r="AX230" i="4462"/>
  <c r="AY230" i="4462"/>
  <c r="AZ230" i="4462"/>
  <c r="BA230" i="4462"/>
  <c r="BB230" i="4462"/>
  <c r="BC230" i="4462"/>
  <c r="BD230" i="4462"/>
  <c r="A231" i="4462"/>
  <c r="B231" i="4462"/>
  <c r="C231" i="4462"/>
  <c r="D231" i="4462"/>
  <c r="E231" i="4462"/>
  <c r="F231" i="4462"/>
  <c r="G231" i="4462"/>
  <c r="H231" i="4462"/>
  <c r="I231" i="4462"/>
  <c r="J231" i="4462"/>
  <c r="K231" i="4462"/>
  <c r="L231" i="4462"/>
  <c r="M231" i="4462"/>
  <c r="N231" i="4462"/>
  <c r="O231" i="4462"/>
  <c r="P231" i="4462"/>
  <c r="Q231" i="4462"/>
  <c r="R231" i="4462"/>
  <c r="S231" i="4462"/>
  <c r="T231" i="4462"/>
  <c r="U231" i="4462"/>
  <c r="V231" i="4462"/>
  <c r="W231" i="4462"/>
  <c r="X231" i="4462"/>
  <c r="Y231" i="4462"/>
  <c r="Z231" i="4462"/>
  <c r="AA231" i="4462"/>
  <c r="AB231" i="4462"/>
  <c r="AC231" i="4462"/>
  <c r="AD231" i="4462"/>
  <c r="AE231" i="4462"/>
  <c r="AF231" i="4462"/>
  <c r="AG231" i="4462"/>
  <c r="AH231" i="4462"/>
  <c r="AI231" i="4462"/>
  <c r="AJ231" i="4462"/>
  <c r="AK231" i="4462"/>
  <c r="AL231" i="4462"/>
  <c r="AM231" i="4462"/>
  <c r="AN231" i="4462"/>
  <c r="AO231" i="4462"/>
  <c r="AP231" i="4462"/>
  <c r="AQ231" i="4462"/>
  <c r="AR231" i="4462"/>
  <c r="AS231" i="4462"/>
  <c r="AT231" i="4462"/>
  <c r="AU231" i="4462"/>
  <c r="AV231" i="4462"/>
  <c r="AW231" i="4462"/>
  <c r="AX231" i="4462"/>
  <c r="AY231" i="4462"/>
  <c r="AZ231" i="4462"/>
  <c r="BA231" i="4462"/>
  <c r="BB231" i="4462"/>
  <c r="BC231" i="4462"/>
  <c r="BD231" i="4462"/>
  <c r="A232" i="4462"/>
  <c r="B232" i="4462"/>
  <c r="C232" i="4462"/>
  <c r="D232" i="4462"/>
  <c r="E232" i="4462"/>
  <c r="F232" i="4462"/>
  <c r="G232" i="4462"/>
  <c r="H232" i="4462"/>
  <c r="I232" i="4462"/>
  <c r="J232" i="4462"/>
  <c r="K232" i="4462"/>
  <c r="L232" i="4462"/>
  <c r="M232" i="4462"/>
  <c r="N232" i="4462"/>
  <c r="O232" i="4462"/>
  <c r="P232" i="4462"/>
  <c r="Q232" i="4462"/>
  <c r="R232" i="4462"/>
  <c r="S232" i="4462"/>
  <c r="T232" i="4462"/>
  <c r="U232" i="4462"/>
  <c r="V232" i="4462"/>
  <c r="W232" i="4462"/>
  <c r="X232" i="4462"/>
  <c r="Y232" i="4462"/>
  <c r="Z232" i="4462"/>
  <c r="AA232" i="4462"/>
  <c r="AB232" i="4462"/>
  <c r="AC232" i="4462"/>
  <c r="AD232" i="4462"/>
  <c r="AE232" i="4462"/>
  <c r="AF232" i="4462"/>
  <c r="AG232" i="4462"/>
  <c r="AH232" i="4462"/>
  <c r="AI232" i="4462"/>
  <c r="AJ232" i="4462"/>
  <c r="AK232" i="4462"/>
  <c r="AL232" i="4462"/>
  <c r="AM232" i="4462"/>
  <c r="AN232" i="4462"/>
  <c r="AO232" i="4462"/>
  <c r="AP232" i="4462"/>
  <c r="AQ232" i="4462"/>
  <c r="AR232" i="4462"/>
  <c r="AS232" i="4462"/>
  <c r="AT232" i="4462"/>
  <c r="AU232" i="4462"/>
  <c r="AV232" i="4462"/>
  <c r="AW232" i="4462"/>
  <c r="AX232" i="4462"/>
  <c r="AY232" i="4462"/>
  <c r="AZ232" i="4462"/>
  <c r="BA232" i="4462"/>
  <c r="BB232" i="4462"/>
  <c r="BC232" i="4462"/>
  <c r="BD232" i="4462"/>
  <c r="A233" i="4462"/>
  <c r="B233" i="4462"/>
  <c r="C233" i="4462"/>
  <c r="D233" i="4462"/>
  <c r="E233" i="4462"/>
  <c r="F233" i="4462"/>
  <c r="G233" i="4462"/>
  <c r="H233" i="4462"/>
  <c r="I233" i="4462"/>
  <c r="J233" i="4462"/>
  <c r="K233" i="4462"/>
  <c r="L233" i="4462"/>
  <c r="M233" i="4462"/>
  <c r="N233" i="4462"/>
  <c r="O233" i="4462"/>
  <c r="P233" i="4462"/>
  <c r="Q233" i="4462"/>
  <c r="R233" i="4462"/>
  <c r="S233" i="4462"/>
  <c r="T233" i="4462"/>
  <c r="U233" i="4462"/>
  <c r="V233" i="4462"/>
  <c r="W233" i="4462"/>
  <c r="X233" i="4462"/>
  <c r="Y233" i="4462"/>
  <c r="Z233" i="4462"/>
  <c r="AA233" i="4462"/>
  <c r="AB233" i="4462"/>
  <c r="AC233" i="4462"/>
  <c r="AD233" i="4462"/>
  <c r="AE233" i="4462"/>
  <c r="AF233" i="4462"/>
  <c r="AG233" i="4462"/>
  <c r="AH233" i="4462"/>
  <c r="AI233" i="4462"/>
  <c r="AJ233" i="4462"/>
  <c r="AK233" i="4462"/>
  <c r="AL233" i="4462"/>
  <c r="AM233" i="4462"/>
  <c r="AN233" i="4462"/>
  <c r="AO233" i="4462"/>
  <c r="AP233" i="4462"/>
  <c r="AQ233" i="4462"/>
  <c r="AR233" i="4462"/>
  <c r="AS233" i="4462"/>
  <c r="AT233" i="4462"/>
  <c r="AU233" i="4462"/>
  <c r="AV233" i="4462"/>
  <c r="AW233" i="4462"/>
  <c r="AX233" i="4462"/>
  <c r="AY233" i="4462"/>
  <c r="AZ233" i="4462"/>
  <c r="BA233" i="4462"/>
  <c r="BB233" i="4462"/>
  <c r="BC233" i="4462"/>
  <c r="BD233" i="4462"/>
  <c r="A234" i="4462"/>
  <c r="B234" i="4462"/>
  <c r="C234" i="4462"/>
  <c r="D234" i="4462"/>
  <c r="E234" i="4462"/>
  <c r="F234" i="4462"/>
  <c r="G234" i="4462"/>
  <c r="H234" i="4462"/>
  <c r="I234" i="4462"/>
  <c r="J234" i="4462"/>
  <c r="K234" i="4462"/>
  <c r="L234" i="4462"/>
  <c r="M234" i="4462"/>
  <c r="N234" i="4462"/>
  <c r="O234" i="4462"/>
  <c r="P234" i="4462"/>
  <c r="Q234" i="4462"/>
  <c r="R234" i="4462"/>
  <c r="S234" i="4462"/>
  <c r="T234" i="4462"/>
  <c r="U234" i="4462"/>
  <c r="V234" i="4462"/>
  <c r="W234" i="4462"/>
  <c r="X234" i="4462"/>
  <c r="Y234" i="4462"/>
  <c r="Z234" i="4462"/>
  <c r="AA234" i="4462"/>
  <c r="AB234" i="4462"/>
  <c r="AC234" i="4462"/>
  <c r="AD234" i="4462"/>
  <c r="AE234" i="4462"/>
  <c r="AF234" i="4462"/>
  <c r="AG234" i="4462"/>
  <c r="AH234" i="4462"/>
  <c r="AI234" i="4462"/>
  <c r="AJ234" i="4462"/>
  <c r="AK234" i="4462"/>
  <c r="AL234" i="4462"/>
  <c r="AM234" i="4462"/>
  <c r="AN234" i="4462"/>
  <c r="AO234" i="4462"/>
  <c r="AP234" i="4462"/>
  <c r="AQ234" i="4462"/>
  <c r="AR234" i="4462"/>
  <c r="AS234" i="4462"/>
  <c r="AT234" i="4462"/>
  <c r="AU234" i="4462"/>
  <c r="AV234" i="4462"/>
  <c r="AW234" i="4462"/>
  <c r="AX234" i="4462"/>
  <c r="AY234" i="4462"/>
  <c r="AZ234" i="4462"/>
  <c r="BA234" i="4462"/>
  <c r="BB234" i="4462"/>
  <c r="BC234" i="4462"/>
  <c r="BD234" i="4462"/>
  <c r="A235" i="4462"/>
  <c r="B235" i="4462"/>
  <c r="C235" i="4462"/>
  <c r="D235" i="4462"/>
  <c r="E235" i="4462"/>
  <c r="F235" i="4462"/>
  <c r="G235" i="4462"/>
  <c r="H235" i="4462"/>
  <c r="I235" i="4462"/>
  <c r="J235" i="4462"/>
  <c r="K235" i="4462"/>
  <c r="L235" i="4462"/>
  <c r="M235" i="4462"/>
  <c r="N235" i="4462"/>
  <c r="O235" i="4462"/>
  <c r="P235" i="4462"/>
  <c r="Q235" i="4462"/>
  <c r="R235" i="4462"/>
  <c r="S235" i="4462"/>
  <c r="T235" i="4462"/>
  <c r="U235" i="4462"/>
  <c r="V235" i="4462"/>
  <c r="W235" i="4462"/>
  <c r="X235" i="4462"/>
  <c r="Y235" i="4462"/>
  <c r="Z235" i="4462"/>
  <c r="AA235" i="4462"/>
  <c r="AB235" i="4462"/>
  <c r="AC235" i="4462"/>
  <c r="AD235" i="4462"/>
  <c r="AE235" i="4462"/>
  <c r="AF235" i="4462"/>
  <c r="AG235" i="4462"/>
  <c r="AH235" i="4462"/>
  <c r="AI235" i="4462"/>
  <c r="AJ235" i="4462"/>
  <c r="AK235" i="4462"/>
  <c r="AL235" i="4462"/>
  <c r="AM235" i="4462"/>
  <c r="AN235" i="4462"/>
  <c r="AO235" i="4462"/>
  <c r="AP235" i="4462"/>
  <c r="AQ235" i="4462"/>
  <c r="AR235" i="4462"/>
  <c r="AS235" i="4462"/>
  <c r="AT235" i="4462"/>
  <c r="AU235" i="4462"/>
  <c r="AV235" i="4462"/>
  <c r="AW235" i="4462"/>
  <c r="AX235" i="4462"/>
  <c r="AY235" i="4462"/>
  <c r="AZ235" i="4462"/>
  <c r="BA235" i="4462"/>
  <c r="BB235" i="4462"/>
  <c r="BC235" i="4462"/>
  <c r="BD235" i="4462"/>
  <c r="A236" i="4462"/>
  <c r="B236" i="4462"/>
  <c r="C236" i="4462"/>
  <c r="D236" i="4462"/>
  <c r="E236" i="4462"/>
  <c r="F236" i="4462"/>
  <c r="G236" i="4462"/>
  <c r="H236" i="4462"/>
  <c r="I236" i="4462"/>
  <c r="J236" i="4462"/>
  <c r="K236" i="4462"/>
  <c r="L236" i="4462"/>
  <c r="M236" i="4462"/>
  <c r="N236" i="4462"/>
  <c r="O236" i="4462"/>
  <c r="P236" i="4462"/>
  <c r="Q236" i="4462"/>
  <c r="R236" i="4462"/>
  <c r="S236" i="4462"/>
  <c r="T236" i="4462"/>
  <c r="U236" i="4462"/>
  <c r="V236" i="4462"/>
  <c r="W236" i="4462"/>
  <c r="X236" i="4462"/>
  <c r="Y236" i="4462"/>
  <c r="Z236" i="4462"/>
  <c r="AA236" i="4462"/>
  <c r="AB236" i="4462"/>
  <c r="AC236" i="4462"/>
  <c r="AD236" i="4462"/>
  <c r="AE236" i="4462"/>
  <c r="AF236" i="4462"/>
  <c r="AG236" i="4462"/>
  <c r="AH236" i="4462"/>
  <c r="AI236" i="4462"/>
  <c r="AJ236" i="4462"/>
  <c r="AK236" i="4462"/>
  <c r="AL236" i="4462"/>
  <c r="AM236" i="4462"/>
  <c r="AN236" i="4462"/>
  <c r="AO236" i="4462"/>
  <c r="AP236" i="4462"/>
  <c r="AQ236" i="4462"/>
  <c r="AR236" i="4462"/>
  <c r="AS236" i="4462"/>
  <c r="AT236" i="4462"/>
  <c r="AU236" i="4462"/>
  <c r="AV236" i="4462"/>
  <c r="AW236" i="4462"/>
  <c r="AX236" i="4462"/>
  <c r="AY236" i="4462"/>
  <c r="AZ236" i="4462"/>
  <c r="BA236" i="4462"/>
  <c r="BB236" i="4462"/>
  <c r="BC236" i="4462"/>
  <c r="BD236" i="4462"/>
  <c r="A237" i="4462"/>
  <c r="B237" i="4462"/>
  <c r="C237" i="4462"/>
  <c r="D237" i="4462"/>
  <c r="E237" i="4462"/>
  <c r="F237" i="4462"/>
  <c r="G237" i="4462"/>
  <c r="H237" i="4462"/>
  <c r="I237" i="4462"/>
  <c r="J237" i="4462"/>
  <c r="K237" i="4462"/>
  <c r="L237" i="4462"/>
  <c r="M237" i="4462"/>
  <c r="N237" i="4462"/>
  <c r="O237" i="4462"/>
  <c r="P237" i="4462"/>
  <c r="Q237" i="4462"/>
  <c r="R237" i="4462"/>
  <c r="S237" i="4462"/>
  <c r="T237" i="4462"/>
  <c r="U237" i="4462"/>
  <c r="V237" i="4462"/>
  <c r="W237" i="4462"/>
  <c r="X237" i="4462"/>
  <c r="Y237" i="4462"/>
  <c r="Z237" i="4462"/>
  <c r="AA237" i="4462"/>
  <c r="AB237" i="4462"/>
  <c r="AC237" i="4462"/>
  <c r="AD237" i="4462"/>
  <c r="AE237" i="4462"/>
  <c r="AF237" i="4462"/>
  <c r="AG237" i="4462"/>
  <c r="AH237" i="4462"/>
  <c r="AI237" i="4462"/>
  <c r="AJ237" i="4462"/>
  <c r="AK237" i="4462"/>
  <c r="AL237" i="4462"/>
  <c r="AM237" i="4462"/>
  <c r="AN237" i="4462"/>
  <c r="AO237" i="4462"/>
  <c r="AP237" i="4462"/>
  <c r="AQ237" i="4462"/>
  <c r="AR237" i="4462"/>
  <c r="AS237" i="4462"/>
  <c r="AT237" i="4462"/>
  <c r="AU237" i="4462"/>
  <c r="AV237" i="4462"/>
  <c r="AW237" i="4462"/>
  <c r="AX237" i="4462"/>
  <c r="AY237" i="4462"/>
  <c r="AZ237" i="4462"/>
  <c r="BA237" i="4462"/>
  <c r="BB237" i="4462"/>
  <c r="BC237" i="4462"/>
  <c r="BD237" i="4462"/>
  <c r="A238" i="4462"/>
  <c r="B238" i="4462"/>
  <c r="C238" i="4462"/>
  <c r="D238" i="4462"/>
  <c r="E238" i="4462"/>
  <c r="F238" i="4462"/>
  <c r="G238" i="4462"/>
  <c r="H238" i="4462"/>
  <c r="I238" i="4462"/>
  <c r="J238" i="4462"/>
  <c r="K238" i="4462"/>
  <c r="L238" i="4462"/>
  <c r="M238" i="4462"/>
  <c r="N238" i="4462"/>
  <c r="O238" i="4462"/>
  <c r="P238" i="4462"/>
  <c r="Q238" i="4462"/>
  <c r="R238" i="4462"/>
  <c r="S238" i="4462"/>
  <c r="T238" i="4462"/>
  <c r="U238" i="4462"/>
  <c r="V238" i="4462"/>
  <c r="W238" i="4462"/>
  <c r="X238" i="4462"/>
  <c r="Y238" i="4462"/>
  <c r="Z238" i="4462"/>
  <c r="AA238" i="4462"/>
  <c r="AB238" i="4462"/>
  <c r="AC238" i="4462"/>
  <c r="AD238" i="4462"/>
  <c r="AE238" i="4462"/>
  <c r="AF238" i="4462"/>
  <c r="AG238" i="4462"/>
  <c r="AH238" i="4462"/>
  <c r="AI238" i="4462"/>
  <c r="AJ238" i="4462"/>
  <c r="AK238" i="4462"/>
  <c r="AL238" i="4462"/>
  <c r="AM238" i="4462"/>
  <c r="AN238" i="4462"/>
  <c r="AO238" i="4462"/>
  <c r="AP238" i="4462"/>
  <c r="AQ238" i="4462"/>
  <c r="AR238" i="4462"/>
  <c r="AS238" i="4462"/>
  <c r="AT238" i="4462"/>
  <c r="AU238" i="4462"/>
  <c r="AV238" i="4462"/>
  <c r="AW238" i="4462"/>
  <c r="AX238" i="4462"/>
  <c r="AY238" i="4462"/>
  <c r="AZ238" i="4462"/>
  <c r="BA238" i="4462"/>
  <c r="BB238" i="4462"/>
  <c r="BC238" i="4462"/>
  <c r="BD238" i="4462"/>
  <c r="A239" i="4462"/>
  <c r="B239" i="4462"/>
  <c r="C239" i="4462"/>
  <c r="D239" i="4462"/>
  <c r="E239" i="4462"/>
  <c r="F239" i="4462"/>
  <c r="G239" i="4462"/>
  <c r="H239" i="4462"/>
  <c r="I239" i="4462"/>
  <c r="J239" i="4462"/>
  <c r="K239" i="4462"/>
  <c r="L239" i="4462"/>
  <c r="M239" i="4462"/>
  <c r="N239" i="4462"/>
  <c r="O239" i="4462"/>
  <c r="P239" i="4462"/>
  <c r="Q239" i="4462"/>
  <c r="R239" i="4462"/>
  <c r="S239" i="4462"/>
  <c r="T239" i="4462"/>
  <c r="U239" i="4462"/>
  <c r="V239" i="4462"/>
  <c r="W239" i="4462"/>
  <c r="X239" i="4462"/>
  <c r="Y239" i="4462"/>
  <c r="Z239" i="4462"/>
  <c r="AA239" i="4462"/>
  <c r="AB239" i="4462"/>
  <c r="AC239" i="4462"/>
  <c r="AD239" i="4462"/>
  <c r="AE239" i="4462"/>
  <c r="AF239" i="4462"/>
  <c r="AG239" i="4462"/>
  <c r="AH239" i="4462"/>
  <c r="AI239" i="4462"/>
  <c r="AJ239" i="4462"/>
  <c r="AK239" i="4462"/>
  <c r="AL239" i="4462"/>
  <c r="AM239" i="4462"/>
  <c r="AN239" i="4462"/>
  <c r="AO239" i="4462"/>
  <c r="AP239" i="4462"/>
  <c r="AQ239" i="4462"/>
  <c r="AR239" i="4462"/>
  <c r="AS239" i="4462"/>
  <c r="AT239" i="4462"/>
  <c r="AU239" i="4462"/>
  <c r="AV239" i="4462"/>
  <c r="AW239" i="4462"/>
  <c r="AX239" i="4462"/>
  <c r="AY239" i="4462"/>
  <c r="AZ239" i="4462"/>
  <c r="BA239" i="4462"/>
  <c r="BB239" i="4462"/>
  <c r="BC239" i="4462"/>
  <c r="BD239" i="4462"/>
  <c r="A240" i="4462"/>
  <c r="B240" i="4462"/>
  <c r="C240" i="4462"/>
  <c r="D240" i="4462"/>
  <c r="E240" i="4462"/>
  <c r="F240" i="4462"/>
  <c r="G240" i="4462"/>
  <c r="H240" i="4462"/>
  <c r="I240" i="4462"/>
  <c r="J240" i="4462"/>
  <c r="K240" i="4462"/>
  <c r="L240" i="4462"/>
  <c r="M240" i="4462"/>
  <c r="N240" i="4462"/>
  <c r="O240" i="4462"/>
  <c r="P240" i="4462"/>
  <c r="Q240" i="4462"/>
  <c r="R240" i="4462"/>
  <c r="S240" i="4462"/>
  <c r="T240" i="4462"/>
  <c r="U240" i="4462"/>
  <c r="V240" i="4462"/>
  <c r="W240" i="4462"/>
  <c r="X240" i="4462"/>
  <c r="Y240" i="4462"/>
  <c r="Z240" i="4462"/>
  <c r="AA240" i="4462"/>
  <c r="AB240" i="4462"/>
  <c r="AC240" i="4462"/>
  <c r="AD240" i="4462"/>
  <c r="AE240" i="4462"/>
  <c r="AF240" i="4462"/>
  <c r="AG240" i="4462"/>
  <c r="AH240" i="4462"/>
  <c r="AI240" i="4462"/>
  <c r="AJ240" i="4462"/>
  <c r="AK240" i="4462"/>
  <c r="AL240" i="4462"/>
  <c r="AM240" i="4462"/>
  <c r="AN240" i="4462"/>
  <c r="AO240" i="4462"/>
  <c r="AP240" i="4462"/>
  <c r="AQ240" i="4462"/>
  <c r="AR240" i="4462"/>
  <c r="AS240" i="4462"/>
  <c r="AT240" i="4462"/>
  <c r="AU240" i="4462"/>
  <c r="AV240" i="4462"/>
  <c r="AW240" i="4462"/>
  <c r="AX240" i="4462"/>
  <c r="AY240" i="4462"/>
  <c r="AZ240" i="4462"/>
  <c r="BA240" i="4462"/>
  <c r="BB240" i="4462"/>
  <c r="BC240" i="4462"/>
  <c r="BD240" i="4462"/>
  <c r="A241" i="4462"/>
  <c r="B241" i="4462"/>
  <c r="C241" i="4462"/>
  <c r="D241" i="4462"/>
  <c r="E241" i="4462"/>
  <c r="F241" i="4462"/>
  <c r="G241" i="4462"/>
  <c r="H241" i="4462"/>
  <c r="I241" i="4462"/>
  <c r="J241" i="4462"/>
  <c r="K241" i="4462"/>
  <c r="L241" i="4462"/>
  <c r="M241" i="4462"/>
  <c r="N241" i="4462"/>
  <c r="O241" i="4462"/>
  <c r="P241" i="4462"/>
  <c r="Q241" i="4462"/>
  <c r="R241" i="4462"/>
  <c r="S241" i="4462"/>
  <c r="T241" i="4462"/>
  <c r="U241" i="4462"/>
  <c r="V241" i="4462"/>
  <c r="W241" i="4462"/>
  <c r="X241" i="4462"/>
  <c r="Y241" i="4462"/>
  <c r="Z241" i="4462"/>
  <c r="AA241" i="4462"/>
  <c r="AB241" i="4462"/>
  <c r="AC241" i="4462"/>
  <c r="AD241" i="4462"/>
  <c r="AE241" i="4462"/>
  <c r="AF241" i="4462"/>
  <c r="AG241" i="4462"/>
  <c r="AH241" i="4462"/>
  <c r="AI241" i="4462"/>
  <c r="AJ241" i="4462"/>
  <c r="AK241" i="4462"/>
  <c r="AL241" i="4462"/>
  <c r="AM241" i="4462"/>
  <c r="AN241" i="4462"/>
  <c r="AO241" i="4462"/>
  <c r="AP241" i="4462"/>
  <c r="AQ241" i="4462"/>
  <c r="AR241" i="4462"/>
  <c r="AS241" i="4462"/>
  <c r="AT241" i="4462"/>
  <c r="AU241" i="4462"/>
  <c r="AV241" i="4462"/>
  <c r="AW241" i="4462"/>
  <c r="AX241" i="4462"/>
  <c r="AY241" i="4462"/>
  <c r="AZ241" i="4462"/>
  <c r="BA241" i="4462"/>
  <c r="BB241" i="4462"/>
  <c r="BC241" i="4462"/>
  <c r="BD241" i="4462"/>
  <c r="A242" i="4462"/>
  <c r="B242" i="4462"/>
  <c r="C242" i="4462"/>
  <c r="D242" i="4462"/>
  <c r="E242" i="4462"/>
  <c r="F242" i="4462"/>
  <c r="G242" i="4462"/>
  <c r="H242" i="4462"/>
  <c r="I242" i="4462"/>
  <c r="J242" i="4462"/>
  <c r="K242" i="4462"/>
  <c r="L242" i="4462"/>
  <c r="M242" i="4462"/>
  <c r="N242" i="4462"/>
  <c r="O242" i="4462"/>
  <c r="P242" i="4462"/>
  <c r="Q242" i="4462"/>
  <c r="R242" i="4462"/>
  <c r="S242" i="4462"/>
  <c r="T242" i="4462"/>
  <c r="U242" i="4462"/>
  <c r="V242" i="4462"/>
  <c r="W242" i="4462"/>
  <c r="X242" i="4462"/>
  <c r="Y242" i="4462"/>
  <c r="Z242" i="4462"/>
  <c r="AA242" i="4462"/>
  <c r="AB242" i="4462"/>
  <c r="AC242" i="4462"/>
  <c r="AD242" i="4462"/>
  <c r="AE242" i="4462"/>
  <c r="AF242" i="4462"/>
  <c r="AG242" i="4462"/>
  <c r="AH242" i="4462"/>
  <c r="AI242" i="4462"/>
  <c r="AJ242" i="4462"/>
  <c r="AK242" i="4462"/>
  <c r="AL242" i="4462"/>
  <c r="AM242" i="4462"/>
  <c r="AN242" i="4462"/>
  <c r="AO242" i="4462"/>
  <c r="AP242" i="4462"/>
  <c r="AQ242" i="4462"/>
  <c r="AR242" i="4462"/>
  <c r="AS242" i="4462"/>
  <c r="AT242" i="4462"/>
  <c r="AU242" i="4462"/>
  <c r="AV242" i="4462"/>
  <c r="AW242" i="4462"/>
  <c r="AX242" i="4462"/>
  <c r="AY242" i="4462"/>
  <c r="AZ242" i="4462"/>
  <c r="BA242" i="4462"/>
  <c r="BB242" i="4462"/>
  <c r="BC242" i="4462"/>
  <c r="BD242" i="4462"/>
  <c r="A243" i="4462"/>
  <c r="B243" i="4462"/>
  <c r="C243" i="4462"/>
  <c r="D243" i="4462"/>
  <c r="E243" i="4462"/>
  <c r="F243" i="4462"/>
  <c r="G243" i="4462"/>
  <c r="H243" i="4462"/>
  <c r="I243" i="4462"/>
  <c r="J243" i="4462"/>
  <c r="K243" i="4462"/>
  <c r="L243" i="4462"/>
  <c r="M243" i="4462"/>
  <c r="N243" i="4462"/>
  <c r="O243" i="4462"/>
  <c r="P243" i="4462"/>
  <c r="Q243" i="4462"/>
  <c r="R243" i="4462"/>
  <c r="S243" i="4462"/>
  <c r="T243" i="4462"/>
  <c r="U243" i="4462"/>
  <c r="V243" i="4462"/>
  <c r="W243" i="4462"/>
  <c r="X243" i="4462"/>
  <c r="Y243" i="4462"/>
  <c r="Z243" i="4462"/>
  <c r="AA243" i="4462"/>
  <c r="AB243" i="4462"/>
  <c r="AC243" i="4462"/>
  <c r="AD243" i="4462"/>
  <c r="AE243" i="4462"/>
  <c r="AF243" i="4462"/>
  <c r="AG243" i="4462"/>
  <c r="AH243" i="4462"/>
  <c r="AI243" i="4462"/>
  <c r="AJ243" i="4462"/>
  <c r="AK243" i="4462"/>
  <c r="AL243" i="4462"/>
  <c r="AM243" i="4462"/>
  <c r="AN243" i="4462"/>
  <c r="AO243" i="4462"/>
  <c r="AP243" i="4462"/>
  <c r="AQ243" i="4462"/>
  <c r="AR243" i="4462"/>
  <c r="AS243" i="4462"/>
  <c r="AT243" i="4462"/>
  <c r="AU243" i="4462"/>
  <c r="AV243" i="4462"/>
  <c r="AW243" i="4462"/>
  <c r="AX243" i="4462"/>
  <c r="AY243" i="4462"/>
  <c r="AZ243" i="4462"/>
  <c r="BA243" i="4462"/>
  <c r="BB243" i="4462"/>
  <c r="BC243" i="4462"/>
  <c r="BD243" i="4462"/>
  <c r="A244" i="4462"/>
  <c r="B244" i="4462"/>
  <c r="C244" i="4462"/>
  <c r="D244" i="4462"/>
  <c r="E244" i="4462"/>
  <c r="F244" i="4462"/>
  <c r="G244" i="4462"/>
  <c r="H244" i="4462"/>
  <c r="I244" i="4462"/>
  <c r="J244" i="4462"/>
  <c r="K244" i="4462"/>
  <c r="L244" i="4462"/>
  <c r="M244" i="4462"/>
  <c r="N244" i="4462"/>
  <c r="O244" i="4462"/>
  <c r="P244" i="4462"/>
  <c r="Q244" i="4462"/>
  <c r="R244" i="4462"/>
  <c r="S244" i="4462"/>
  <c r="T244" i="4462"/>
  <c r="U244" i="4462"/>
  <c r="V244" i="4462"/>
  <c r="W244" i="4462"/>
  <c r="X244" i="4462"/>
  <c r="Y244" i="4462"/>
  <c r="Z244" i="4462"/>
  <c r="AA244" i="4462"/>
  <c r="AB244" i="4462"/>
  <c r="AC244" i="4462"/>
  <c r="AD244" i="4462"/>
  <c r="AE244" i="4462"/>
  <c r="AF244" i="4462"/>
  <c r="AG244" i="4462"/>
  <c r="AH244" i="4462"/>
  <c r="AI244" i="4462"/>
  <c r="AJ244" i="4462"/>
  <c r="AK244" i="4462"/>
  <c r="AL244" i="4462"/>
  <c r="AM244" i="4462"/>
  <c r="AN244" i="4462"/>
  <c r="AO244" i="4462"/>
  <c r="AP244" i="4462"/>
  <c r="AQ244" i="4462"/>
  <c r="AR244" i="4462"/>
  <c r="AS244" i="4462"/>
  <c r="AT244" i="4462"/>
  <c r="AU244" i="4462"/>
  <c r="AV244" i="4462"/>
  <c r="AW244" i="4462"/>
  <c r="AX244" i="4462"/>
  <c r="AY244" i="4462"/>
  <c r="AZ244" i="4462"/>
  <c r="BA244" i="4462"/>
  <c r="BB244" i="4462"/>
  <c r="BC244" i="4462"/>
  <c r="BD244" i="4462"/>
  <c r="A245" i="4462"/>
  <c r="B245" i="4462"/>
  <c r="C245" i="4462"/>
  <c r="D245" i="4462"/>
  <c r="E245" i="4462"/>
  <c r="F245" i="4462"/>
  <c r="G245" i="4462"/>
  <c r="H245" i="4462"/>
  <c r="I245" i="4462"/>
  <c r="J245" i="4462"/>
  <c r="K245" i="4462"/>
  <c r="L245" i="4462"/>
  <c r="M245" i="4462"/>
  <c r="N245" i="4462"/>
  <c r="O245" i="4462"/>
  <c r="P245" i="4462"/>
  <c r="Q245" i="4462"/>
  <c r="R245" i="4462"/>
  <c r="S245" i="4462"/>
  <c r="T245" i="4462"/>
  <c r="U245" i="4462"/>
  <c r="V245" i="4462"/>
  <c r="W245" i="4462"/>
  <c r="X245" i="4462"/>
  <c r="Y245" i="4462"/>
  <c r="Z245" i="4462"/>
  <c r="AA245" i="4462"/>
  <c r="AB245" i="4462"/>
  <c r="AC245" i="4462"/>
  <c r="AD245" i="4462"/>
  <c r="AE245" i="4462"/>
  <c r="AF245" i="4462"/>
  <c r="AG245" i="4462"/>
  <c r="AH245" i="4462"/>
  <c r="AI245" i="4462"/>
  <c r="AJ245" i="4462"/>
  <c r="AK245" i="4462"/>
  <c r="AL245" i="4462"/>
  <c r="AM245" i="4462"/>
  <c r="AN245" i="4462"/>
  <c r="AO245" i="4462"/>
  <c r="AP245" i="4462"/>
  <c r="AQ245" i="4462"/>
  <c r="AR245" i="4462"/>
  <c r="AS245" i="4462"/>
  <c r="AT245" i="4462"/>
  <c r="AU245" i="4462"/>
  <c r="AV245" i="4462"/>
  <c r="AW245" i="4462"/>
  <c r="AX245" i="4462"/>
  <c r="AY245" i="4462"/>
  <c r="AZ245" i="4462"/>
  <c r="BA245" i="4462"/>
  <c r="BB245" i="4462"/>
  <c r="BC245" i="4462"/>
  <c r="BD245" i="4462"/>
  <c r="A246" i="4462"/>
  <c r="B246" i="4462"/>
  <c r="C246" i="4462"/>
  <c r="D246" i="4462"/>
  <c r="E246" i="4462"/>
  <c r="F246" i="4462"/>
  <c r="G246" i="4462"/>
  <c r="H246" i="4462"/>
  <c r="I246" i="4462"/>
  <c r="J246" i="4462"/>
  <c r="K246" i="4462"/>
  <c r="L246" i="4462"/>
  <c r="M246" i="4462"/>
  <c r="N246" i="4462"/>
  <c r="O246" i="4462"/>
  <c r="P246" i="4462"/>
  <c r="Q246" i="4462"/>
  <c r="R246" i="4462"/>
  <c r="S246" i="4462"/>
  <c r="T246" i="4462"/>
  <c r="U246" i="4462"/>
  <c r="V246" i="4462"/>
  <c r="W246" i="4462"/>
  <c r="X246" i="4462"/>
  <c r="Y246" i="4462"/>
  <c r="Z246" i="4462"/>
  <c r="AA246" i="4462"/>
  <c r="AB246" i="4462"/>
  <c r="AC246" i="4462"/>
  <c r="AD246" i="4462"/>
  <c r="AE246" i="4462"/>
  <c r="AF246" i="4462"/>
  <c r="AG246" i="4462"/>
  <c r="AH246" i="4462"/>
  <c r="AI246" i="4462"/>
  <c r="AJ246" i="4462"/>
  <c r="AK246" i="4462"/>
  <c r="AL246" i="4462"/>
  <c r="AM246" i="4462"/>
  <c r="AN246" i="4462"/>
  <c r="AO246" i="4462"/>
  <c r="AP246" i="4462"/>
  <c r="AQ246" i="4462"/>
  <c r="AR246" i="4462"/>
  <c r="AS246" i="4462"/>
  <c r="AT246" i="4462"/>
  <c r="AU246" i="4462"/>
  <c r="AV246" i="4462"/>
  <c r="AW246" i="4462"/>
  <c r="AX246" i="4462"/>
  <c r="AY246" i="4462"/>
  <c r="AZ246" i="4462"/>
  <c r="BA246" i="4462"/>
  <c r="BB246" i="4462"/>
  <c r="BC246" i="4462"/>
  <c r="BD246" i="4462"/>
  <c r="A247" i="4462"/>
  <c r="B247" i="4462"/>
  <c r="C247" i="4462"/>
  <c r="D247" i="4462"/>
  <c r="E247" i="4462"/>
  <c r="F247" i="4462"/>
  <c r="G247" i="4462"/>
  <c r="H247" i="4462"/>
  <c r="I247" i="4462"/>
  <c r="J247" i="4462"/>
  <c r="K247" i="4462"/>
  <c r="L247" i="4462"/>
  <c r="M247" i="4462"/>
  <c r="N247" i="4462"/>
  <c r="O247" i="4462"/>
  <c r="P247" i="4462"/>
  <c r="Q247" i="4462"/>
  <c r="R247" i="4462"/>
  <c r="S247" i="4462"/>
  <c r="T247" i="4462"/>
  <c r="U247" i="4462"/>
  <c r="V247" i="4462"/>
  <c r="W247" i="4462"/>
  <c r="X247" i="4462"/>
  <c r="Y247" i="4462"/>
  <c r="Z247" i="4462"/>
  <c r="AA247" i="4462"/>
  <c r="AB247" i="4462"/>
  <c r="AC247" i="4462"/>
  <c r="AD247" i="4462"/>
  <c r="AE247" i="4462"/>
  <c r="AF247" i="4462"/>
  <c r="AG247" i="4462"/>
  <c r="AH247" i="4462"/>
  <c r="AI247" i="4462"/>
  <c r="AJ247" i="4462"/>
  <c r="AK247" i="4462"/>
  <c r="AL247" i="4462"/>
  <c r="AM247" i="4462"/>
  <c r="AN247" i="4462"/>
  <c r="AO247" i="4462"/>
  <c r="AP247" i="4462"/>
  <c r="AQ247" i="4462"/>
  <c r="AR247" i="4462"/>
  <c r="AS247" i="4462"/>
  <c r="AT247" i="4462"/>
  <c r="AU247" i="4462"/>
  <c r="AV247" i="4462"/>
  <c r="AW247" i="4462"/>
  <c r="AX247" i="4462"/>
  <c r="AY247" i="4462"/>
  <c r="AZ247" i="4462"/>
  <c r="BA247" i="4462"/>
  <c r="BB247" i="4462"/>
  <c r="BC247" i="4462"/>
  <c r="BD247" i="4462"/>
  <c r="A248" i="4462"/>
  <c r="B248" i="4462"/>
  <c r="C248" i="4462"/>
  <c r="D248" i="4462"/>
  <c r="E248" i="4462"/>
  <c r="F248" i="4462"/>
  <c r="G248" i="4462"/>
  <c r="H248" i="4462"/>
  <c r="I248" i="4462"/>
  <c r="J248" i="4462"/>
  <c r="K248" i="4462"/>
  <c r="L248" i="4462"/>
  <c r="M248" i="4462"/>
  <c r="N248" i="4462"/>
  <c r="O248" i="4462"/>
  <c r="P248" i="4462"/>
  <c r="Q248" i="4462"/>
  <c r="R248" i="4462"/>
  <c r="S248" i="4462"/>
  <c r="T248" i="4462"/>
  <c r="U248" i="4462"/>
  <c r="V248" i="4462"/>
  <c r="W248" i="4462"/>
  <c r="X248" i="4462"/>
  <c r="Y248" i="4462"/>
  <c r="Z248" i="4462"/>
  <c r="AA248" i="4462"/>
  <c r="AB248" i="4462"/>
  <c r="AC248" i="4462"/>
  <c r="AD248" i="4462"/>
  <c r="AE248" i="4462"/>
  <c r="AF248" i="4462"/>
  <c r="AG248" i="4462"/>
  <c r="AH248" i="4462"/>
  <c r="AI248" i="4462"/>
  <c r="AJ248" i="4462"/>
  <c r="AK248" i="4462"/>
  <c r="AL248" i="4462"/>
  <c r="AM248" i="4462"/>
  <c r="AN248" i="4462"/>
  <c r="AO248" i="4462"/>
  <c r="AP248" i="4462"/>
  <c r="AQ248" i="4462"/>
  <c r="AR248" i="4462"/>
  <c r="AS248" i="4462"/>
  <c r="AT248" i="4462"/>
  <c r="AU248" i="4462"/>
  <c r="AV248" i="4462"/>
  <c r="AW248" i="4462"/>
  <c r="AX248" i="4462"/>
  <c r="AY248" i="4462"/>
  <c r="AZ248" i="4462"/>
  <c r="BA248" i="4462"/>
  <c r="BB248" i="4462"/>
  <c r="BC248" i="4462"/>
  <c r="BD248" i="4462"/>
  <c r="A249" i="4462"/>
  <c r="B249" i="4462"/>
  <c r="C249" i="4462"/>
  <c r="D249" i="4462"/>
  <c r="E249" i="4462"/>
  <c r="F249" i="4462"/>
  <c r="G249" i="4462"/>
  <c r="H249" i="4462"/>
  <c r="I249" i="4462"/>
  <c r="J249" i="4462"/>
  <c r="K249" i="4462"/>
  <c r="L249" i="4462"/>
  <c r="M249" i="4462"/>
  <c r="N249" i="4462"/>
  <c r="O249" i="4462"/>
  <c r="P249" i="4462"/>
  <c r="Q249" i="4462"/>
  <c r="R249" i="4462"/>
  <c r="S249" i="4462"/>
  <c r="T249" i="4462"/>
  <c r="U249" i="4462"/>
  <c r="V249" i="4462"/>
  <c r="W249" i="4462"/>
  <c r="X249" i="4462"/>
  <c r="Y249" i="4462"/>
  <c r="Z249" i="4462"/>
  <c r="AA249" i="4462"/>
  <c r="AB249" i="4462"/>
  <c r="AC249" i="4462"/>
  <c r="AD249" i="4462"/>
  <c r="AE249" i="4462"/>
  <c r="AF249" i="4462"/>
  <c r="AG249" i="4462"/>
  <c r="AH249" i="4462"/>
  <c r="AI249" i="4462"/>
  <c r="AJ249" i="4462"/>
  <c r="AK249" i="4462"/>
  <c r="AL249" i="4462"/>
  <c r="AM249" i="4462"/>
  <c r="AN249" i="4462"/>
  <c r="AO249" i="4462"/>
  <c r="AP249" i="4462"/>
  <c r="AQ249" i="4462"/>
  <c r="AR249" i="4462"/>
  <c r="AS249" i="4462"/>
  <c r="AT249" i="4462"/>
  <c r="AU249" i="4462"/>
  <c r="AV249" i="4462"/>
  <c r="AW249" i="4462"/>
  <c r="AX249" i="4462"/>
  <c r="AY249" i="4462"/>
  <c r="AZ249" i="4462"/>
  <c r="BA249" i="4462"/>
  <c r="BB249" i="4462"/>
  <c r="BC249" i="4462"/>
  <c r="BD249" i="4462"/>
  <c r="A250" i="4462"/>
  <c r="B250" i="4462"/>
  <c r="C250" i="4462"/>
  <c r="D250" i="4462"/>
  <c r="E250" i="4462"/>
  <c r="F250" i="4462"/>
  <c r="G250" i="4462"/>
  <c r="H250" i="4462"/>
  <c r="I250" i="4462"/>
  <c r="J250" i="4462"/>
  <c r="K250" i="4462"/>
  <c r="L250" i="4462"/>
  <c r="M250" i="4462"/>
  <c r="N250" i="4462"/>
  <c r="O250" i="4462"/>
  <c r="P250" i="4462"/>
  <c r="Q250" i="4462"/>
  <c r="R250" i="4462"/>
  <c r="S250" i="4462"/>
  <c r="T250" i="4462"/>
  <c r="U250" i="4462"/>
  <c r="V250" i="4462"/>
  <c r="W250" i="4462"/>
  <c r="X250" i="4462"/>
  <c r="Y250" i="4462"/>
  <c r="Z250" i="4462"/>
  <c r="AA250" i="4462"/>
  <c r="AB250" i="4462"/>
  <c r="AC250" i="4462"/>
  <c r="AD250" i="4462"/>
  <c r="AE250" i="4462"/>
  <c r="AF250" i="4462"/>
  <c r="AG250" i="4462"/>
  <c r="AH250" i="4462"/>
  <c r="AI250" i="4462"/>
  <c r="AJ250" i="4462"/>
  <c r="AK250" i="4462"/>
  <c r="AL250" i="4462"/>
  <c r="AM250" i="4462"/>
  <c r="AN250" i="4462"/>
  <c r="AO250" i="4462"/>
  <c r="AP250" i="4462"/>
  <c r="AQ250" i="4462"/>
  <c r="AR250" i="4462"/>
  <c r="AS250" i="4462"/>
  <c r="AT250" i="4462"/>
  <c r="AU250" i="4462"/>
  <c r="AV250" i="4462"/>
  <c r="AW250" i="4462"/>
  <c r="AX250" i="4462"/>
  <c r="AY250" i="4462"/>
  <c r="AZ250" i="4462"/>
  <c r="BA250" i="4462"/>
  <c r="BB250" i="4462"/>
  <c r="BC250" i="4462"/>
  <c r="BD250" i="4462"/>
  <c r="A251" i="4462"/>
  <c r="B251" i="4462"/>
  <c r="C251" i="4462"/>
  <c r="D251" i="4462"/>
  <c r="E251" i="4462"/>
  <c r="F251" i="4462"/>
  <c r="G251" i="4462"/>
  <c r="H251" i="4462"/>
  <c r="I251" i="4462"/>
  <c r="J251" i="4462"/>
  <c r="K251" i="4462"/>
  <c r="L251" i="4462"/>
  <c r="M251" i="4462"/>
  <c r="N251" i="4462"/>
  <c r="O251" i="4462"/>
  <c r="P251" i="4462"/>
  <c r="Q251" i="4462"/>
  <c r="R251" i="4462"/>
  <c r="S251" i="4462"/>
  <c r="T251" i="4462"/>
  <c r="U251" i="4462"/>
  <c r="V251" i="4462"/>
  <c r="W251" i="4462"/>
  <c r="X251" i="4462"/>
  <c r="Y251" i="4462"/>
  <c r="Z251" i="4462"/>
  <c r="AA251" i="4462"/>
  <c r="AB251" i="4462"/>
  <c r="AC251" i="4462"/>
  <c r="AD251" i="4462"/>
  <c r="AE251" i="4462"/>
  <c r="AF251" i="4462"/>
  <c r="AG251" i="4462"/>
  <c r="AH251" i="4462"/>
  <c r="AI251" i="4462"/>
  <c r="AJ251" i="4462"/>
  <c r="AK251" i="4462"/>
  <c r="AL251" i="4462"/>
  <c r="AM251" i="4462"/>
  <c r="AN251" i="4462"/>
  <c r="AO251" i="4462"/>
  <c r="AP251" i="4462"/>
  <c r="AQ251" i="4462"/>
  <c r="AR251" i="4462"/>
  <c r="AS251" i="4462"/>
  <c r="AT251" i="4462"/>
  <c r="AU251" i="4462"/>
  <c r="AV251" i="4462"/>
  <c r="AW251" i="4462"/>
  <c r="AX251" i="4462"/>
  <c r="AY251" i="4462"/>
  <c r="AZ251" i="4462"/>
  <c r="BA251" i="4462"/>
  <c r="BB251" i="4462"/>
  <c r="BC251" i="4462"/>
  <c r="BD251" i="4462"/>
  <c r="A252" i="4462"/>
  <c r="B252" i="4462"/>
  <c r="C252" i="4462"/>
  <c r="D252" i="4462"/>
  <c r="E252" i="4462"/>
  <c r="F252" i="4462"/>
  <c r="G252" i="4462"/>
  <c r="H252" i="4462"/>
  <c r="I252" i="4462"/>
  <c r="J252" i="4462"/>
  <c r="K252" i="4462"/>
  <c r="L252" i="4462"/>
  <c r="M252" i="4462"/>
  <c r="N252" i="4462"/>
  <c r="O252" i="4462"/>
  <c r="P252" i="4462"/>
  <c r="Q252" i="4462"/>
  <c r="R252" i="4462"/>
  <c r="S252" i="4462"/>
  <c r="T252" i="4462"/>
  <c r="U252" i="4462"/>
  <c r="V252" i="4462"/>
  <c r="W252" i="4462"/>
  <c r="X252" i="4462"/>
  <c r="Y252" i="4462"/>
  <c r="Z252" i="4462"/>
  <c r="AA252" i="4462"/>
  <c r="AB252" i="4462"/>
  <c r="AC252" i="4462"/>
  <c r="AD252" i="4462"/>
  <c r="AE252" i="4462"/>
  <c r="AF252" i="4462"/>
  <c r="AG252" i="4462"/>
  <c r="AH252" i="4462"/>
  <c r="AI252" i="4462"/>
  <c r="AJ252" i="4462"/>
  <c r="AK252" i="4462"/>
  <c r="AL252" i="4462"/>
  <c r="AM252" i="4462"/>
  <c r="AN252" i="4462"/>
  <c r="AO252" i="4462"/>
  <c r="AP252" i="4462"/>
  <c r="AQ252" i="4462"/>
  <c r="AR252" i="4462"/>
  <c r="AS252" i="4462"/>
  <c r="AT252" i="4462"/>
  <c r="AU252" i="4462"/>
  <c r="AV252" i="4462"/>
  <c r="AW252" i="4462"/>
  <c r="AX252" i="4462"/>
  <c r="AY252" i="4462"/>
  <c r="AZ252" i="4462"/>
  <c r="BA252" i="4462"/>
  <c r="BB252" i="4462"/>
  <c r="BC252" i="4462"/>
  <c r="BD252" i="4462"/>
  <c r="A253" i="4462"/>
  <c r="B253" i="4462"/>
  <c r="C253" i="4462"/>
  <c r="D253" i="4462"/>
  <c r="E253" i="4462"/>
  <c r="F253" i="4462"/>
  <c r="G253" i="4462"/>
  <c r="H253" i="4462"/>
  <c r="I253" i="4462"/>
  <c r="J253" i="4462"/>
  <c r="K253" i="4462"/>
  <c r="L253" i="4462"/>
  <c r="M253" i="4462"/>
  <c r="N253" i="4462"/>
  <c r="O253" i="4462"/>
  <c r="P253" i="4462"/>
  <c r="Q253" i="4462"/>
  <c r="R253" i="4462"/>
  <c r="S253" i="4462"/>
  <c r="T253" i="4462"/>
  <c r="U253" i="4462"/>
  <c r="V253" i="4462"/>
  <c r="W253" i="4462"/>
  <c r="X253" i="4462"/>
  <c r="Y253" i="4462"/>
  <c r="Z253" i="4462"/>
  <c r="AA253" i="4462"/>
  <c r="AB253" i="4462"/>
  <c r="AC253" i="4462"/>
  <c r="AD253" i="4462"/>
  <c r="AE253" i="4462"/>
  <c r="AF253" i="4462"/>
  <c r="AG253" i="4462"/>
  <c r="AH253" i="4462"/>
  <c r="AI253" i="4462"/>
  <c r="AJ253" i="4462"/>
  <c r="AK253" i="4462"/>
  <c r="AL253" i="4462"/>
  <c r="AM253" i="4462"/>
  <c r="AN253" i="4462"/>
  <c r="AO253" i="4462"/>
  <c r="AP253" i="4462"/>
  <c r="AQ253" i="4462"/>
  <c r="AR253" i="4462"/>
  <c r="AS253" i="4462"/>
  <c r="AT253" i="4462"/>
  <c r="AU253" i="4462"/>
  <c r="AV253" i="4462"/>
  <c r="AW253" i="4462"/>
  <c r="AX253" i="4462"/>
  <c r="AY253" i="4462"/>
  <c r="AZ253" i="4462"/>
  <c r="BA253" i="4462"/>
  <c r="BB253" i="4462"/>
  <c r="BC253" i="4462"/>
  <c r="BD253" i="4462"/>
  <c r="A254" i="4462"/>
  <c r="B254" i="4462"/>
  <c r="C254" i="4462"/>
  <c r="D254" i="4462"/>
  <c r="E254" i="4462"/>
  <c r="F254" i="4462"/>
  <c r="G254" i="4462"/>
  <c r="H254" i="4462"/>
  <c r="I254" i="4462"/>
  <c r="J254" i="4462"/>
  <c r="K254" i="4462"/>
  <c r="L254" i="4462"/>
  <c r="M254" i="4462"/>
  <c r="N254" i="4462"/>
  <c r="O254" i="4462"/>
  <c r="P254" i="4462"/>
  <c r="Q254" i="4462"/>
  <c r="R254" i="4462"/>
  <c r="S254" i="4462"/>
  <c r="T254" i="4462"/>
  <c r="U254" i="4462"/>
  <c r="V254" i="4462"/>
  <c r="W254" i="4462"/>
  <c r="X254" i="4462"/>
  <c r="Y254" i="4462"/>
  <c r="Z254" i="4462"/>
  <c r="AA254" i="4462"/>
  <c r="AB254" i="4462"/>
  <c r="AC254" i="4462"/>
  <c r="AD254" i="4462"/>
  <c r="AE254" i="4462"/>
  <c r="AF254" i="4462"/>
  <c r="AG254" i="4462"/>
  <c r="AH254" i="4462"/>
  <c r="AI254" i="4462"/>
  <c r="AJ254" i="4462"/>
  <c r="AK254" i="4462"/>
  <c r="AL254" i="4462"/>
  <c r="AM254" i="4462"/>
  <c r="AN254" i="4462"/>
  <c r="AO254" i="4462"/>
  <c r="AP254" i="4462"/>
  <c r="AQ254" i="4462"/>
  <c r="AR254" i="4462"/>
  <c r="AS254" i="4462"/>
  <c r="AT254" i="4462"/>
  <c r="AU254" i="4462"/>
  <c r="AV254" i="4462"/>
  <c r="AW254" i="4462"/>
  <c r="AX254" i="4462"/>
  <c r="AY254" i="4462"/>
  <c r="AZ254" i="4462"/>
  <c r="BA254" i="4462"/>
  <c r="BB254" i="4462"/>
  <c r="BC254" i="4462"/>
  <c r="BD254" i="4462"/>
  <c r="A255" i="4462"/>
  <c r="B255" i="4462"/>
  <c r="C255" i="4462"/>
  <c r="D255" i="4462"/>
  <c r="E255" i="4462"/>
  <c r="F255" i="4462"/>
  <c r="G255" i="4462"/>
  <c r="H255" i="4462"/>
  <c r="I255" i="4462"/>
  <c r="J255" i="4462"/>
  <c r="K255" i="4462"/>
  <c r="L255" i="4462"/>
  <c r="M255" i="4462"/>
  <c r="N255" i="4462"/>
  <c r="O255" i="4462"/>
  <c r="P255" i="4462"/>
  <c r="Q255" i="4462"/>
  <c r="R255" i="4462"/>
  <c r="S255" i="4462"/>
  <c r="T255" i="4462"/>
  <c r="U255" i="4462"/>
  <c r="V255" i="4462"/>
  <c r="W255" i="4462"/>
  <c r="X255" i="4462"/>
  <c r="Y255" i="4462"/>
  <c r="Z255" i="4462"/>
  <c r="AA255" i="4462"/>
  <c r="AB255" i="4462"/>
  <c r="AC255" i="4462"/>
  <c r="AD255" i="4462"/>
  <c r="AE255" i="4462"/>
  <c r="AF255" i="4462"/>
  <c r="AG255" i="4462"/>
  <c r="AH255" i="4462"/>
  <c r="AI255" i="4462"/>
  <c r="AJ255" i="4462"/>
  <c r="AK255" i="4462"/>
  <c r="AL255" i="4462"/>
  <c r="AM255" i="4462"/>
  <c r="AN255" i="4462"/>
  <c r="AO255" i="4462"/>
  <c r="AP255" i="4462"/>
  <c r="AQ255" i="4462"/>
  <c r="AR255" i="4462"/>
  <c r="AS255" i="4462"/>
  <c r="AT255" i="4462"/>
  <c r="AU255" i="4462"/>
  <c r="AV255" i="4462"/>
  <c r="AW255" i="4462"/>
  <c r="AX255" i="4462"/>
  <c r="AY255" i="4462"/>
  <c r="AZ255" i="4462"/>
  <c r="BA255" i="4462"/>
  <c r="BB255" i="4462"/>
  <c r="BC255" i="4462"/>
  <c r="BD255" i="4462"/>
  <c r="A256" i="4462"/>
  <c r="B256" i="4462"/>
  <c r="C256" i="4462"/>
  <c r="D256" i="4462"/>
  <c r="E256" i="4462"/>
  <c r="F256" i="4462"/>
  <c r="G256" i="4462"/>
  <c r="H256" i="4462"/>
  <c r="I256" i="4462"/>
  <c r="J256" i="4462"/>
  <c r="K256" i="4462"/>
  <c r="L256" i="4462"/>
  <c r="M256" i="4462"/>
  <c r="N256" i="4462"/>
  <c r="O256" i="4462"/>
  <c r="P256" i="4462"/>
  <c r="Q256" i="4462"/>
  <c r="R256" i="4462"/>
  <c r="S256" i="4462"/>
  <c r="T256" i="4462"/>
  <c r="U256" i="4462"/>
  <c r="V256" i="4462"/>
  <c r="W256" i="4462"/>
  <c r="X256" i="4462"/>
  <c r="Y256" i="4462"/>
  <c r="Z256" i="4462"/>
  <c r="AA256" i="4462"/>
  <c r="AB256" i="4462"/>
  <c r="AC256" i="4462"/>
  <c r="AD256" i="4462"/>
  <c r="AE256" i="4462"/>
  <c r="AF256" i="4462"/>
  <c r="AG256" i="4462"/>
  <c r="AH256" i="4462"/>
  <c r="AI256" i="4462"/>
  <c r="AJ256" i="4462"/>
  <c r="AK256" i="4462"/>
  <c r="AL256" i="4462"/>
  <c r="AM256" i="4462"/>
  <c r="AN256" i="4462"/>
  <c r="AO256" i="4462"/>
  <c r="AP256" i="4462"/>
  <c r="AQ256" i="4462"/>
  <c r="AR256" i="4462"/>
  <c r="AS256" i="4462"/>
  <c r="AT256" i="4462"/>
  <c r="AU256" i="4462"/>
  <c r="AV256" i="4462"/>
  <c r="AW256" i="4462"/>
  <c r="AX256" i="4462"/>
  <c r="AY256" i="4462"/>
  <c r="AZ256" i="4462"/>
  <c r="BA256" i="4462"/>
  <c r="BB256" i="4462"/>
  <c r="BC256" i="4462"/>
  <c r="BD256" i="4462"/>
  <c r="A257" i="4462"/>
  <c r="B257" i="4462"/>
  <c r="C257" i="4462"/>
  <c r="D257" i="4462"/>
  <c r="E257" i="4462"/>
  <c r="F257" i="4462"/>
  <c r="G257" i="4462"/>
  <c r="H257" i="4462"/>
  <c r="I257" i="4462"/>
  <c r="J257" i="4462"/>
  <c r="K257" i="4462"/>
  <c r="L257" i="4462"/>
  <c r="M257" i="4462"/>
  <c r="N257" i="4462"/>
  <c r="O257" i="4462"/>
  <c r="P257" i="4462"/>
  <c r="Q257" i="4462"/>
  <c r="R257" i="4462"/>
  <c r="S257" i="4462"/>
  <c r="T257" i="4462"/>
  <c r="U257" i="4462"/>
  <c r="V257" i="4462"/>
  <c r="W257" i="4462"/>
  <c r="X257" i="4462"/>
  <c r="Y257" i="4462"/>
  <c r="Z257" i="4462"/>
  <c r="AA257" i="4462"/>
  <c r="AB257" i="4462"/>
  <c r="AC257" i="4462"/>
  <c r="AD257" i="4462"/>
  <c r="AE257" i="4462"/>
  <c r="AF257" i="4462"/>
  <c r="AG257" i="4462"/>
  <c r="AH257" i="4462"/>
  <c r="AI257" i="4462"/>
  <c r="AJ257" i="4462"/>
  <c r="AK257" i="4462"/>
  <c r="AL257" i="4462"/>
  <c r="AM257" i="4462"/>
  <c r="AN257" i="4462"/>
  <c r="AO257" i="4462"/>
  <c r="AP257" i="4462"/>
  <c r="AQ257" i="4462"/>
  <c r="AR257" i="4462"/>
  <c r="AS257" i="4462"/>
  <c r="AT257" i="4462"/>
  <c r="AU257" i="4462"/>
  <c r="AV257" i="4462"/>
  <c r="AW257" i="4462"/>
  <c r="AX257" i="4462"/>
  <c r="AY257" i="4462"/>
  <c r="AZ257" i="4462"/>
  <c r="BA257" i="4462"/>
  <c r="BB257" i="4462"/>
  <c r="BC257" i="4462"/>
  <c r="BD257" i="4462"/>
  <c r="A258" i="4462"/>
  <c r="B258" i="4462"/>
  <c r="C258" i="4462"/>
  <c r="D258" i="4462"/>
  <c r="E258" i="4462"/>
  <c r="F258" i="4462"/>
  <c r="G258" i="4462"/>
  <c r="H258" i="4462"/>
  <c r="I258" i="4462"/>
  <c r="J258" i="4462"/>
  <c r="K258" i="4462"/>
  <c r="L258" i="4462"/>
  <c r="M258" i="4462"/>
  <c r="N258" i="4462"/>
  <c r="O258" i="4462"/>
  <c r="P258" i="4462"/>
  <c r="Q258" i="4462"/>
  <c r="R258" i="4462"/>
  <c r="S258" i="4462"/>
  <c r="T258" i="4462"/>
  <c r="U258" i="4462"/>
  <c r="V258" i="4462"/>
  <c r="W258" i="4462"/>
  <c r="X258" i="4462"/>
  <c r="Y258" i="4462"/>
  <c r="Z258" i="4462"/>
  <c r="AA258" i="4462"/>
  <c r="AB258" i="4462"/>
  <c r="AC258" i="4462"/>
  <c r="AD258" i="4462"/>
  <c r="AE258" i="4462"/>
  <c r="AF258" i="4462"/>
  <c r="AG258" i="4462"/>
  <c r="AH258" i="4462"/>
  <c r="AI258" i="4462"/>
  <c r="AJ258" i="4462"/>
  <c r="AK258" i="4462"/>
  <c r="AL258" i="4462"/>
  <c r="AM258" i="4462"/>
  <c r="AN258" i="4462"/>
  <c r="AO258" i="4462"/>
  <c r="AP258" i="4462"/>
  <c r="AQ258" i="4462"/>
  <c r="AR258" i="4462"/>
  <c r="AS258" i="4462"/>
  <c r="AT258" i="4462"/>
  <c r="AU258" i="4462"/>
  <c r="AV258" i="4462"/>
  <c r="AW258" i="4462"/>
  <c r="AX258" i="4462"/>
  <c r="AY258" i="4462"/>
  <c r="AZ258" i="4462"/>
  <c r="BA258" i="4462"/>
  <c r="BB258" i="4462"/>
  <c r="BC258" i="4462"/>
  <c r="BD258" i="4462"/>
  <c r="A259" i="4462"/>
  <c r="B259" i="4462"/>
  <c r="C259" i="4462"/>
  <c r="D259" i="4462"/>
  <c r="E259" i="4462"/>
  <c r="F259" i="4462"/>
  <c r="G259" i="4462"/>
  <c r="H259" i="4462"/>
  <c r="I259" i="4462"/>
  <c r="J259" i="4462"/>
  <c r="K259" i="4462"/>
  <c r="L259" i="4462"/>
  <c r="M259" i="4462"/>
  <c r="N259" i="4462"/>
  <c r="O259" i="4462"/>
  <c r="P259" i="4462"/>
  <c r="Q259" i="4462"/>
  <c r="R259" i="4462"/>
  <c r="S259" i="4462"/>
  <c r="T259" i="4462"/>
  <c r="U259" i="4462"/>
  <c r="V259" i="4462"/>
  <c r="W259" i="4462"/>
  <c r="X259" i="4462"/>
  <c r="Y259" i="4462"/>
  <c r="Z259" i="4462"/>
  <c r="AA259" i="4462"/>
  <c r="AB259" i="4462"/>
  <c r="AC259" i="4462"/>
  <c r="AD259" i="4462"/>
  <c r="AE259" i="4462"/>
  <c r="AF259" i="4462"/>
  <c r="AG259" i="4462"/>
  <c r="AH259" i="4462"/>
  <c r="AI259" i="4462"/>
  <c r="AJ259" i="4462"/>
  <c r="AK259" i="4462"/>
  <c r="AL259" i="4462"/>
  <c r="AM259" i="4462"/>
  <c r="AN259" i="4462"/>
  <c r="AO259" i="4462"/>
  <c r="AP259" i="4462"/>
  <c r="AQ259" i="4462"/>
  <c r="AR259" i="4462"/>
  <c r="AS259" i="4462"/>
  <c r="AT259" i="4462"/>
  <c r="AU259" i="4462"/>
  <c r="AV259" i="4462"/>
  <c r="AW259" i="4462"/>
  <c r="AX259" i="4462"/>
  <c r="AY259" i="4462"/>
  <c r="AZ259" i="4462"/>
  <c r="BA259" i="4462"/>
  <c r="BB259" i="4462"/>
  <c r="BC259" i="4462"/>
  <c r="BD259" i="4462"/>
  <c r="A260" i="4462"/>
  <c r="B260" i="4462"/>
  <c r="C260" i="4462"/>
  <c r="D260" i="4462"/>
  <c r="E260" i="4462"/>
  <c r="F260" i="4462"/>
  <c r="G260" i="4462"/>
  <c r="H260" i="4462"/>
  <c r="I260" i="4462"/>
  <c r="J260" i="4462"/>
  <c r="K260" i="4462"/>
  <c r="L260" i="4462"/>
  <c r="M260" i="4462"/>
  <c r="N260" i="4462"/>
  <c r="O260" i="4462"/>
  <c r="P260" i="4462"/>
  <c r="Q260" i="4462"/>
  <c r="R260" i="4462"/>
  <c r="S260" i="4462"/>
  <c r="T260" i="4462"/>
  <c r="U260" i="4462"/>
  <c r="V260" i="4462"/>
  <c r="W260" i="4462"/>
  <c r="X260" i="4462"/>
  <c r="Y260" i="4462"/>
  <c r="Z260" i="4462"/>
  <c r="AA260" i="4462"/>
  <c r="AB260" i="4462"/>
  <c r="AC260" i="4462"/>
  <c r="AD260" i="4462"/>
  <c r="AE260" i="4462"/>
  <c r="AF260" i="4462"/>
  <c r="AG260" i="4462"/>
  <c r="AH260" i="4462"/>
  <c r="AI260" i="4462"/>
  <c r="AJ260" i="4462"/>
  <c r="AK260" i="4462"/>
  <c r="AL260" i="4462"/>
  <c r="AM260" i="4462"/>
  <c r="AN260" i="4462"/>
  <c r="AO260" i="4462"/>
  <c r="AP260" i="4462"/>
  <c r="AQ260" i="4462"/>
  <c r="AR260" i="4462"/>
  <c r="AS260" i="4462"/>
  <c r="AT260" i="4462"/>
  <c r="AU260" i="4462"/>
  <c r="AV260" i="4462"/>
  <c r="AW260" i="4462"/>
  <c r="AX260" i="4462"/>
  <c r="AY260" i="4462"/>
  <c r="AZ260" i="4462"/>
  <c r="BA260" i="4462"/>
  <c r="BB260" i="4462"/>
  <c r="BC260" i="4462"/>
  <c r="BD260" i="4462"/>
  <c r="A261" i="4462"/>
  <c r="B261" i="4462"/>
  <c r="C261" i="4462"/>
  <c r="D261" i="4462"/>
  <c r="E261" i="4462"/>
  <c r="F261" i="4462"/>
  <c r="G261" i="4462"/>
  <c r="H261" i="4462"/>
  <c r="I261" i="4462"/>
  <c r="J261" i="4462"/>
  <c r="K261" i="4462"/>
  <c r="L261" i="4462"/>
  <c r="M261" i="4462"/>
  <c r="N261" i="4462"/>
  <c r="O261" i="4462"/>
  <c r="P261" i="4462"/>
  <c r="Q261" i="4462"/>
  <c r="R261" i="4462"/>
  <c r="S261" i="4462"/>
  <c r="T261" i="4462"/>
  <c r="U261" i="4462"/>
  <c r="V261" i="4462"/>
  <c r="W261" i="4462"/>
  <c r="X261" i="4462"/>
  <c r="Y261" i="4462"/>
  <c r="Z261" i="4462"/>
  <c r="AA261" i="4462"/>
  <c r="AB261" i="4462"/>
  <c r="AC261" i="4462"/>
  <c r="AD261" i="4462"/>
  <c r="AE261" i="4462"/>
  <c r="AF261" i="4462"/>
  <c r="AG261" i="4462"/>
  <c r="AH261" i="4462"/>
  <c r="AI261" i="4462"/>
  <c r="AJ261" i="4462"/>
  <c r="AK261" i="4462"/>
  <c r="AL261" i="4462"/>
  <c r="AM261" i="4462"/>
  <c r="AN261" i="4462"/>
  <c r="AO261" i="4462"/>
  <c r="AP261" i="4462"/>
  <c r="AQ261" i="4462"/>
  <c r="AR261" i="4462"/>
  <c r="AS261" i="4462"/>
  <c r="AT261" i="4462"/>
  <c r="AU261" i="4462"/>
  <c r="AV261" i="4462"/>
  <c r="AW261" i="4462"/>
  <c r="AX261" i="4462"/>
  <c r="AY261" i="4462"/>
  <c r="AZ261" i="4462"/>
  <c r="BA261" i="4462"/>
  <c r="BB261" i="4462"/>
  <c r="BC261" i="4462"/>
  <c r="BD261" i="4462"/>
  <c r="A262" i="4462"/>
  <c r="B262" i="4462"/>
  <c r="C262" i="4462"/>
  <c r="D262" i="4462"/>
  <c r="E262" i="4462"/>
  <c r="F262" i="4462"/>
  <c r="G262" i="4462"/>
  <c r="H262" i="4462"/>
  <c r="I262" i="4462"/>
  <c r="J262" i="4462"/>
  <c r="K262" i="4462"/>
  <c r="L262" i="4462"/>
  <c r="M262" i="4462"/>
  <c r="N262" i="4462"/>
  <c r="O262" i="4462"/>
  <c r="P262" i="4462"/>
  <c r="Q262" i="4462"/>
  <c r="R262" i="4462"/>
  <c r="S262" i="4462"/>
  <c r="T262" i="4462"/>
  <c r="U262" i="4462"/>
  <c r="V262" i="4462"/>
  <c r="W262" i="4462"/>
  <c r="X262" i="4462"/>
  <c r="Y262" i="4462"/>
  <c r="Z262" i="4462"/>
  <c r="AA262" i="4462"/>
  <c r="AB262" i="4462"/>
  <c r="AC262" i="4462"/>
  <c r="AD262" i="4462"/>
  <c r="AE262" i="4462"/>
  <c r="AF262" i="4462"/>
  <c r="AG262" i="4462"/>
  <c r="AH262" i="4462"/>
  <c r="AI262" i="4462"/>
  <c r="AJ262" i="4462"/>
  <c r="AK262" i="4462"/>
  <c r="AL262" i="4462"/>
  <c r="AM262" i="4462"/>
  <c r="AN262" i="4462"/>
  <c r="AO262" i="4462"/>
  <c r="AP262" i="4462"/>
  <c r="AQ262" i="4462"/>
  <c r="AR262" i="4462"/>
  <c r="AS262" i="4462"/>
  <c r="AT262" i="4462"/>
  <c r="AU262" i="4462"/>
  <c r="AV262" i="4462"/>
  <c r="AW262" i="4462"/>
  <c r="AX262" i="4462"/>
  <c r="AY262" i="4462"/>
  <c r="AZ262" i="4462"/>
  <c r="BA262" i="4462"/>
  <c r="BB262" i="4462"/>
  <c r="BC262" i="4462"/>
  <c r="BD262" i="4462"/>
  <c r="A263" i="4462"/>
  <c r="B263" i="4462"/>
  <c r="C263" i="4462"/>
  <c r="D263" i="4462"/>
  <c r="E263" i="4462"/>
  <c r="F263" i="4462"/>
  <c r="G263" i="4462"/>
  <c r="H263" i="4462"/>
  <c r="I263" i="4462"/>
  <c r="J263" i="4462"/>
  <c r="K263" i="4462"/>
  <c r="L263" i="4462"/>
  <c r="M263" i="4462"/>
  <c r="N263" i="4462"/>
  <c r="O263" i="4462"/>
  <c r="P263" i="4462"/>
  <c r="Q263" i="4462"/>
  <c r="R263" i="4462"/>
  <c r="S263" i="4462"/>
  <c r="T263" i="4462"/>
  <c r="U263" i="4462"/>
  <c r="V263" i="4462"/>
  <c r="W263" i="4462"/>
  <c r="X263" i="4462"/>
  <c r="Y263" i="4462"/>
  <c r="Z263" i="4462"/>
  <c r="AA263" i="4462"/>
  <c r="AB263" i="4462"/>
  <c r="AC263" i="4462"/>
  <c r="AD263" i="4462"/>
  <c r="AE263" i="4462"/>
  <c r="AF263" i="4462"/>
  <c r="AG263" i="4462"/>
  <c r="AH263" i="4462"/>
  <c r="AI263" i="4462"/>
  <c r="AJ263" i="4462"/>
  <c r="AK263" i="4462"/>
  <c r="AL263" i="4462"/>
  <c r="AM263" i="4462"/>
  <c r="AN263" i="4462"/>
  <c r="AO263" i="4462"/>
  <c r="AP263" i="4462"/>
  <c r="AQ263" i="4462"/>
  <c r="AR263" i="4462"/>
  <c r="AS263" i="4462"/>
  <c r="AT263" i="4462"/>
  <c r="AU263" i="4462"/>
  <c r="AV263" i="4462"/>
  <c r="AW263" i="4462"/>
  <c r="AX263" i="4462"/>
  <c r="AY263" i="4462"/>
  <c r="AZ263" i="4462"/>
  <c r="BA263" i="4462"/>
  <c r="BB263" i="4462"/>
  <c r="BC263" i="4462"/>
  <c r="BD263" i="4462"/>
  <c r="A264" i="4462"/>
  <c r="B264" i="4462"/>
  <c r="C264" i="4462"/>
  <c r="D264" i="4462"/>
  <c r="E264" i="4462"/>
  <c r="F264" i="4462"/>
  <c r="G264" i="4462"/>
  <c r="H264" i="4462"/>
  <c r="I264" i="4462"/>
  <c r="J264" i="4462"/>
  <c r="K264" i="4462"/>
  <c r="L264" i="4462"/>
  <c r="M264" i="4462"/>
  <c r="N264" i="4462"/>
  <c r="O264" i="4462"/>
  <c r="P264" i="4462"/>
  <c r="Q264" i="4462"/>
  <c r="R264" i="4462"/>
  <c r="S264" i="4462"/>
  <c r="T264" i="4462"/>
  <c r="U264" i="4462"/>
  <c r="V264" i="4462"/>
  <c r="W264" i="4462"/>
  <c r="X264" i="4462"/>
  <c r="Y264" i="4462"/>
  <c r="Z264" i="4462"/>
  <c r="AA264" i="4462"/>
  <c r="AB264" i="4462"/>
  <c r="AC264" i="4462"/>
  <c r="AD264" i="4462"/>
  <c r="AE264" i="4462"/>
  <c r="AF264" i="4462"/>
  <c r="AG264" i="4462"/>
  <c r="AH264" i="4462"/>
  <c r="AI264" i="4462"/>
  <c r="AJ264" i="4462"/>
  <c r="AK264" i="4462"/>
  <c r="AL264" i="4462"/>
  <c r="AM264" i="4462"/>
  <c r="AN264" i="4462"/>
  <c r="AO264" i="4462"/>
  <c r="AP264" i="4462"/>
  <c r="AQ264" i="4462"/>
  <c r="AR264" i="4462"/>
  <c r="AS264" i="4462"/>
  <c r="AT264" i="4462"/>
  <c r="AU264" i="4462"/>
  <c r="AV264" i="4462"/>
  <c r="AW264" i="4462"/>
  <c r="AX264" i="4462"/>
  <c r="AY264" i="4462"/>
  <c r="AZ264" i="4462"/>
  <c r="BA264" i="4462"/>
  <c r="BB264" i="4462"/>
  <c r="BC264" i="4462"/>
  <c r="BD264" i="4462"/>
  <c r="A265" i="4462"/>
  <c r="B265" i="4462"/>
  <c r="C265" i="4462"/>
  <c r="D265" i="4462"/>
  <c r="E265" i="4462"/>
  <c r="F265" i="4462"/>
  <c r="G265" i="4462"/>
  <c r="H265" i="4462"/>
  <c r="I265" i="4462"/>
  <c r="J265" i="4462"/>
  <c r="K265" i="4462"/>
  <c r="L265" i="4462"/>
  <c r="M265" i="4462"/>
  <c r="N265" i="4462"/>
  <c r="O265" i="4462"/>
  <c r="P265" i="4462"/>
  <c r="Q265" i="4462"/>
  <c r="R265" i="4462"/>
  <c r="S265" i="4462"/>
  <c r="T265" i="4462"/>
  <c r="U265" i="4462"/>
  <c r="V265" i="4462"/>
  <c r="W265" i="4462"/>
  <c r="X265" i="4462"/>
  <c r="Y265" i="4462"/>
  <c r="Z265" i="4462"/>
  <c r="AA265" i="4462"/>
  <c r="AB265" i="4462"/>
  <c r="AC265" i="4462"/>
  <c r="AD265" i="4462"/>
  <c r="AE265" i="4462"/>
  <c r="AF265" i="4462"/>
  <c r="AG265" i="4462"/>
  <c r="AH265" i="4462"/>
  <c r="AI265" i="4462"/>
  <c r="AJ265" i="4462"/>
  <c r="AK265" i="4462"/>
  <c r="AL265" i="4462"/>
  <c r="AM265" i="4462"/>
  <c r="AN265" i="4462"/>
  <c r="AO265" i="4462"/>
  <c r="AP265" i="4462"/>
  <c r="AQ265" i="4462"/>
  <c r="AR265" i="4462"/>
  <c r="AS265" i="4462"/>
  <c r="AT265" i="4462"/>
  <c r="AU265" i="4462"/>
  <c r="AV265" i="4462"/>
  <c r="AW265" i="4462"/>
  <c r="AX265" i="4462"/>
  <c r="AY265" i="4462"/>
  <c r="AZ265" i="4462"/>
  <c r="BA265" i="4462"/>
  <c r="BB265" i="4462"/>
  <c r="BC265" i="4462"/>
  <c r="BD265" i="4462"/>
  <c r="A266" i="4462"/>
  <c r="B266" i="4462"/>
  <c r="C266" i="4462"/>
  <c r="D266" i="4462"/>
  <c r="E266" i="4462"/>
  <c r="F266" i="4462"/>
  <c r="G266" i="4462"/>
  <c r="H266" i="4462"/>
  <c r="I266" i="4462"/>
  <c r="J266" i="4462"/>
  <c r="K266" i="4462"/>
  <c r="L266" i="4462"/>
  <c r="M266" i="4462"/>
  <c r="N266" i="4462"/>
  <c r="O266" i="4462"/>
  <c r="P266" i="4462"/>
  <c r="Q266" i="4462"/>
  <c r="R266" i="4462"/>
  <c r="S266" i="4462"/>
  <c r="T266" i="4462"/>
  <c r="U266" i="4462"/>
  <c r="V266" i="4462"/>
  <c r="W266" i="4462"/>
  <c r="X266" i="4462"/>
  <c r="Y266" i="4462"/>
  <c r="Z266" i="4462"/>
  <c r="AA266" i="4462"/>
  <c r="AB266" i="4462"/>
  <c r="AC266" i="4462"/>
  <c r="AD266" i="4462"/>
  <c r="AE266" i="4462"/>
  <c r="AF266" i="4462"/>
  <c r="AG266" i="4462"/>
  <c r="AH266" i="4462"/>
  <c r="AI266" i="4462"/>
  <c r="AJ266" i="4462"/>
  <c r="AK266" i="4462"/>
  <c r="AL266" i="4462"/>
  <c r="AM266" i="4462"/>
  <c r="AN266" i="4462"/>
  <c r="AO266" i="4462"/>
  <c r="AP266" i="4462"/>
  <c r="AQ266" i="4462"/>
  <c r="AR266" i="4462"/>
  <c r="AS266" i="4462"/>
  <c r="AT266" i="4462"/>
  <c r="AU266" i="4462"/>
  <c r="AV266" i="4462"/>
  <c r="AW266" i="4462"/>
  <c r="AX266" i="4462"/>
  <c r="AY266" i="4462"/>
  <c r="AZ266" i="4462"/>
  <c r="BA266" i="4462"/>
  <c r="BB266" i="4462"/>
  <c r="BC266" i="4462"/>
  <c r="BD266" i="4462"/>
  <c r="A267" i="4462"/>
  <c r="B267" i="4462"/>
  <c r="C267" i="4462"/>
  <c r="D267" i="4462"/>
  <c r="E267" i="4462"/>
  <c r="F267" i="4462"/>
  <c r="G267" i="4462"/>
  <c r="H267" i="4462"/>
  <c r="I267" i="4462"/>
  <c r="J267" i="4462"/>
  <c r="K267" i="4462"/>
  <c r="L267" i="4462"/>
  <c r="M267" i="4462"/>
  <c r="N267" i="4462"/>
  <c r="O267" i="4462"/>
  <c r="P267" i="4462"/>
  <c r="Q267" i="4462"/>
  <c r="R267" i="4462"/>
  <c r="S267" i="4462"/>
  <c r="T267" i="4462"/>
  <c r="U267" i="4462"/>
  <c r="V267" i="4462"/>
  <c r="W267" i="4462"/>
  <c r="X267" i="4462"/>
  <c r="Y267" i="4462"/>
  <c r="Z267" i="4462"/>
  <c r="AA267" i="4462"/>
  <c r="AB267" i="4462"/>
  <c r="AC267" i="4462"/>
  <c r="AD267" i="4462"/>
  <c r="AE267" i="4462"/>
  <c r="AF267" i="4462"/>
  <c r="AG267" i="4462"/>
  <c r="AH267" i="4462"/>
  <c r="AI267" i="4462"/>
  <c r="AJ267" i="4462"/>
  <c r="AK267" i="4462"/>
  <c r="AL267" i="4462"/>
  <c r="AM267" i="4462"/>
  <c r="AN267" i="4462"/>
  <c r="AO267" i="4462"/>
  <c r="AP267" i="4462"/>
  <c r="AQ267" i="4462"/>
  <c r="AR267" i="4462"/>
  <c r="AS267" i="4462"/>
  <c r="AT267" i="4462"/>
  <c r="AU267" i="4462"/>
  <c r="AV267" i="4462"/>
  <c r="AW267" i="4462"/>
  <c r="AX267" i="4462"/>
  <c r="AY267" i="4462"/>
  <c r="AZ267" i="4462"/>
  <c r="BA267" i="4462"/>
  <c r="BB267" i="4462"/>
  <c r="BC267" i="4462"/>
  <c r="BD267" i="4462"/>
  <c r="A268" i="4462"/>
  <c r="B268" i="4462"/>
  <c r="C268" i="4462"/>
  <c r="D268" i="4462"/>
  <c r="E268" i="4462"/>
  <c r="F268" i="4462"/>
  <c r="G268" i="4462"/>
  <c r="H268" i="4462"/>
  <c r="I268" i="4462"/>
  <c r="J268" i="4462"/>
  <c r="K268" i="4462"/>
  <c r="L268" i="4462"/>
  <c r="M268" i="4462"/>
  <c r="N268" i="4462"/>
  <c r="O268" i="4462"/>
  <c r="P268" i="4462"/>
  <c r="Q268" i="4462"/>
  <c r="R268" i="4462"/>
  <c r="S268" i="4462"/>
  <c r="T268" i="4462"/>
  <c r="U268" i="4462"/>
  <c r="V268" i="4462"/>
  <c r="W268" i="4462"/>
  <c r="X268" i="4462"/>
  <c r="Y268" i="4462"/>
  <c r="Z268" i="4462"/>
  <c r="AA268" i="4462"/>
  <c r="AB268" i="4462"/>
  <c r="AC268" i="4462"/>
  <c r="AD268" i="4462"/>
  <c r="AE268" i="4462"/>
  <c r="AF268" i="4462"/>
  <c r="AG268" i="4462"/>
  <c r="AH268" i="4462"/>
  <c r="AI268" i="4462"/>
  <c r="AJ268" i="4462"/>
  <c r="AK268" i="4462"/>
  <c r="AL268" i="4462"/>
  <c r="AM268" i="4462"/>
  <c r="AN268" i="4462"/>
  <c r="AO268" i="4462"/>
  <c r="AP268" i="4462"/>
  <c r="AQ268" i="4462"/>
  <c r="AR268" i="4462"/>
  <c r="AS268" i="4462"/>
  <c r="AT268" i="4462"/>
  <c r="AU268" i="4462"/>
  <c r="AV268" i="4462"/>
  <c r="AW268" i="4462"/>
  <c r="AX268" i="4462"/>
  <c r="AY268" i="4462"/>
  <c r="AZ268" i="4462"/>
  <c r="BA268" i="4462"/>
  <c r="BB268" i="4462"/>
  <c r="BC268" i="4462"/>
  <c r="BD268" i="4462"/>
  <c r="A269" i="4462"/>
  <c r="B269" i="4462"/>
  <c r="C269" i="4462"/>
  <c r="D269" i="4462"/>
  <c r="E269" i="4462"/>
  <c r="F269" i="4462"/>
  <c r="G269" i="4462"/>
  <c r="H269" i="4462"/>
  <c r="I269" i="4462"/>
  <c r="J269" i="4462"/>
  <c r="K269" i="4462"/>
  <c r="L269" i="4462"/>
  <c r="M269" i="4462"/>
  <c r="N269" i="4462"/>
  <c r="O269" i="4462"/>
  <c r="P269" i="4462"/>
  <c r="Q269" i="4462"/>
  <c r="R269" i="4462"/>
  <c r="S269" i="4462"/>
  <c r="T269" i="4462"/>
  <c r="U269" i="4462"/>
  <c r="V269" i="4462"/>
  <c r="W269" i="4462"/>
  <c r="X269" i="4462"/>
  <c r="Y269" i="4462"/>
  <c r="Z269" i="4462"/>
  <c r="AA269" i="4462"/>
  <c r="AB269" i="4462"/>
  <c r="AC269" i="4462"/>
  <c r="AD269" i="4462"/>
  <c r="AE269" i="4462"/>
  <c r="AF269" i="4462"/>
  <c r="AG269" i="4462"/>
  <c r="AH269" i="4462"/>
  <c r="AI269" i="4462"/>
  <c r="AJ269" i="4462"/>
  <c r="AK269" i="4462"/>
  <c r="AL269" i="4462"/>
  <c r="AM269" i="4462"/>
  <c r="AN269" i="4462"/>
  <c r="AO269" i="4462"/>
  <c r="AP269" i="4462"/>
  <c r="AQ269" i="4462"/>
  <c r="AR269" i="4462"/>
  <c r="AS269" i="4462"/>
  <c r="AT269" i="4462"/>
  <c r="AU269" i="4462"/>
  <c r="AV269" i="4462"/>
  <c r="AW269" i="4462"/>
  <c r="AX269" i="4462"/>
  <c r="AY269" i="4462"/>
  <c r="AZ269" i="4462"/>
  <c r="BA269" i="4462"/>
  <c r="BB269" i="4462"/>
  <c r="BC269" i="4462"/>
  <c r="BD269" i="4462"/>
  <c r="A270" i="4462"/>
  <c r="B270" i="4462"/>
  <c r="C270" i="4462"/>
  <c r="D270" i="4462"/>
  <c r="E270" i="4462"/>
  <c r="F270" i="4462"/>
  <c r="G270" i="4462"/>
  <c r="H270" i="4462"/>
  <c r="I270" i="4462"/>
  <c r="J270" i="4462"/>
  <c r="K270" i="4462"/>
  <c r="L270" i="4462"/>
  <c r="M270" i="4462"/>
  <c r="N270" i="4462"/>
  <c r="O270" i="4462"/>
  <c r="P270" i="4462"/>
  <c r="Q270" i="4462"/>
  <c r="R270" i="4462"/>
  <c r="S270" i="4462"/>
  <c r="T270" i="4462"/>
  <c r="U270" i="4462"/>
  <c r="V270" i="4462"/>
  <c r="W270" i="4462"/>
  <c r="X270" i="4462"/>
  <c r="Y270" i="4462"/>
  <c r="Z270" i="4462"/>
  <c r="AA270" i="4462"/>
  <c r="AB270" i="4462"/>
  <c r="AC270" i="4462"/>
  <c r="AD270" i="4462"/>
  <c r="AE270" i="4462"/>
  <c r="AF270" i="4462"/>
  <c r="AG270" i="4462"/>
  <c r="AH270" i="4462"/>
  <c r="AI270" i="4462"/>
  <c r="AJ270" i="4462"/>
  <c r="AK270" i="4462"/>
  <c r="AL270" i="4462"/>
  <c r="AM270" i="4462"/>
  <c r="AN270" i="4462"/>
  <c r="AO270" i="4462"/>
  <c r="AP270" i="4462"/>
  <c r="AQ270" i="4462"/>
  <c r="AR270" i="4462"/>
  <c r="AS270" i="4462"/>
  <c r="AT270" i="4462"/>
  <c r="AU270" i="4462"/>
  <c r="AV270" i="4462"/>
  <c r="AW270" i="4462"/>
  <c r="AX270" i="4462"/>
  <c r="AY270" i="4462"/>
  <c r="AZ270" i="4462"/>
  <c r="BA270" i="4462"/>
  <c r="BB270" i="4462"/>
  <c r="BC270" i="4462"/>
  <c r="BD270" i="4462"/>
  <c r="A271" i="4462"/>
  <c r="B271" i="4462"/>
  <c r="C271" i="4462"/>
  <c r="D271" i="4462"/>
  <c r="E271" i="4462"/>
  <c r="F271" i="4462"/>
  <c r="G271" i="4462"/>
  <c r="H271" i="4462"/>
  <c r="I271" i="4462"/>
  <c r="J271" i="4462"/>
  <c r="K271" i="4462"/>
  <c r="L271" i="4462"/>
  <c r="M271" i="4462"/>
  <c r="N271" i="4462"/>
  <c r="O271" i="4462"/>
  <c r="P271" i="4462"/>
  <c r="Q271" i="4462"/>
  <c r="R271" i="4462"/>
  <c r="S271" i="4462"/>
  <c r="T271" i="4462"/>
  <c r="U271" i="4462"/>
  <c r="V271" i="4462"/>
  <c r="W271" i="4462"/>
  <c r="X271" i="4462"/>
  <c r="Y271" i="4462"/>
  <c r="Z271" i="4462"/>
  <c r="AA271" i="4462"/>
  <c r="AB271" i="4462"/>
  <c r="AC271" i="4462"/>
  <c r="AD271" i="4462"/>
  <c r="AE271" i="4462"/>
  <c r="AF271" i="4462"/>
  <c r="AG271" i="4462"/>
  <c r="AH271" i="4462"/>
  <c r="AI271" i="4462"/>
  <c r="AJ271" i="4462"/>
  <c r="AK271" i="4462"/>
  <c r="AL271" i="4462"/>
  <c r="AM271" i="4462"/>
  <c r="AN271" i="4462"/>
  <c r="AO271" i="4462"/>
  <c r="AP271" i="4462"/>
  <c r="AQ271" i="4462"/>
  <c r="AR271" i="4462"/>
  <c r="AS271" i="4462"/>
  <c r="AT271" i="4462"/>
  <c r="AU271" i="4462"/>
  <c r="AV271" i="4462"/>
  <c r="AW271" i="4462"/>
  <c r="AX271" i="4462"/>
  <c r="AY271" i="4462"/>
  <c r="AZ271" i="4462"/>
  <c r="BA271" i="4462"/>
  <c r="BB271" i="4462"/>
  <c r="BC271" i="4462"/>
  <c r="BD271" i="4462"/>
  <c r="A272" i="4462"/>
  <c r="B272" i="4462"/>
  <c r="C272" i="4462"/>
  <c r="D272" i="4462"/>
  <c r="E272" i="4462"/>
  <c r="F272" i="4462"/>
  <c r="G272" i="4462"/>
  <c r="H272" i="4462"/>
  <c r="I272" i="4462"/>
  <c r="J272" i="4462"/>
  <c r="K272" i="4462"/>
  <c r="L272" i="4462"/>
  <c r="M272" i="4462"/>
  <c r="N272" i="4462"/>
  <c r="O272" i="4462"/>
  <c r="P272" i="4462"/>
  <c r="Q272" i="4462"/>
  <c r="R272" i="4462"/>
  <c r="S272" i="4462"/>
  <c r="T272" i="4462"/>
  <c r="U272" i="4462"/>
  <c r="V272" i="4462"/>
  <c r="W272" i="4462"/>
  <c r="X272" i="4462"/>
  <c r="Y272" i="4462"/>
  <c r="Z272" i="4462"/>
  <c r="AA272" i="4462"/>
  <c r="AB272" i="4462"/>
  <c r="AC272" i="4462"/>
  <c r="AD272" i="4462"/>
  <c r="AE272" i="4462"/>
  <c r="AF272" i="4462"/>
  <c r="AG272" i="4462"/>
  <c r="AH272" i="4462"/>
  <c r="AI272" i="4462"/>
  <c r="AJ272" i="4462"/>
  <c r="AK272" i="4462"/>
  <c r="AL272" i="4462"/>
  <c r="AM272" i="4462"/>
  <c r="AN272" i="4462"/>
  <c r="AO272" i="4462"/>
  <c r="AP272" i="4462"/>
  <c r="AQ272" i="4462"/>
  <c r="AR272" i="4462"/>
  <c r="AS272" i="4462"/>
  <c r="AT272" i="4462"/>
  <c r="AU272" i="4462"/>
  <c r="AV272" i="4462"/>
  <c r="AW272" i="4462"/>
  <c r="AX272" i="4462"/>
  <c r="AY272" i="4462"/>
  <c r="AZ272" i="4462"/>
  <c r="BA272" i="4462"/>
  <c r="BB272" i="4462"/>
  <c r="BC272" i="4462"/>
  <c r="BD272" i="4462"/>
  <c r="A273" i="4462"/>
  <c r="B273" i="4462"/>
  <c r="C273" i="4462"/>
  <c r="D273" i="4462"/>
  <c r="E273" i="4462"/>
  <c r="F273" i="4462"/>
  <c r="G273" i="4462"/>
  <c r="H273" i="4462"/>
  <c r="I273" i="4462"/>
  <c r="J273" i="4462"/>
  <c r="K273" i="4462"/>
  <c r="L273" i="4462"/>
  <c r="M273" i="4462"/>
  <c r="N273" i="4462"/>
  <c r="O273" i="4462"/>
  <c r="P273" i="4462"/>
  <c r="Q273" i="4462"/>
  <c r="R273" i="4462"/>
  <c r="S273" i="4462"/>
  <c r="T273" i="4462"/>
  <c r="U273" i="4462"/>
  <c r="V273" i="4462"/>
  <c r="W273" i="4462"/>
  <c r="X273" i="4462"/>
  <c r="Y273" i="4462"/>
  <c r="Z273" i="4462"/>
  <c r="AA273" i="4462"/>
  <c r="AB273" i="4462"/>
  <c r="AC273" i="4462"/>
  <c r="AD273" i="4462"/>
  <c r="AE273" i="4462"/>
  <c r="AF273" i="4462"/>
  <c r="AG273" i="4462"/>
  <c r="AH273" i="4462"/>
  <c r="AI273" i="4462"/>
  <c r="AJ273" i="4462"/>
  <c r="AK273" i="4462"/>
  <c r="AL273" i="4462"/>
  <c r="AM273" i="4462"/>
  <c r="AN273" i="4462"/>
  <c r="AO273" i="4462"/>
  <c r="AP273" i="4462"/>
  <c r="AQ273" i="4462"/>
  <c r="AR273" i="4462"/>
  <c r="AS273" i="4462"/>
  <c r="AT273" i="4462"/>
  <c r="AU273" i="4462"/>
  <c r="AV273" i="4462"/>
  <c r="AW273" i="4462"/>
  <c r="AX273" i="4462"/>
  <c r="AY273" i="4462"/>
  <c r="AZ273" i="4462"/>
  <c r="BA273" i="4462"/>
  <c r="BB273" i="4462"/>
  <c r="BC273" i="4462"/>
  <c r="BD273" i="4462"/>
  <c r="A274" i="4462"/>
  <c r="B274" i="4462"/>
  <c r="C274" i="4462"/>
  <c r="D274" i="4462"/>
  <c r="E274" i="4462"/>
  <c r="F274" i="4462"/>
  <c r="G274" i="4462"/>
  <c r="H274" i="4462"/>
  <c r="I274" i="4462"/>
  <c r="J274" i="4462"/>
  <c r="K274" i="4462"/>
  <c r="L274" i="4462"/>
  <c r="M274" i="4462"/>
  <c r="N274" i="4462"/>
  <c r="O274" i="4462"/>
  <c r="P274" i="4462"/>
  <c r="Q274" i="4462"/>
  <c r="R274" i="4462"/>
  <c r="S274" i="4462"/>
  <c r="T274" i="4462"/>
  <c r="U274" i="4462"/>
  <c r="V274" i="4462"/>
  <c r="W274" i="4462"/>
  <c r="X274" i="4462"/>
  <c r="Y274" i="4462"/>
  <c r="Z274" i="4462"/>
  <c r="AA274" i="4462"/>
  <c r="AB274" i="4462"/>
  <c r="AC274" i="4462"/>
  <c r="AD274" i="4462"/>
  <c r="AE274" i="4462"/>
  <c r="AF274" i="4462"/>
  <c r="AG274" i="4462"/>
  <c r="AH274" i="4462"/>
  <c r="AI274" i="4462"/>
  <c r="AJ274" i="4462"/>
  <c r="AK274" i="4462"/>
  <c r="AL274" i="4462"/>
  <c r="AM274" i="4462"/>
  <c r="AN274" i="4462"/>
  <c r="AO274" i="4462"/>
  <c r="AP274" i="4462"/>
  <c r="AQ274" i="4462"/>
  <c r="AR274" i="4462"/>
  <c r="AS274" i="4462"/>
  <c r="AT274" i="4462"/>
  <c r="AU274" i="4462"/>
  <c r="AV274" i="4462"/>
  <c r="AW274" i="4462"/>
  <c r="AX274" i="4462"/>
  <c r="AY274" i="4462"/>
  <c r="AZ274" i="4462"/>
  <c r="BA274" i="4462"/>
  <c r="BB274" i="4462"/>
  <c r="BC274" i="4462"/>
  <c r="BD274" i="4462"/>
  <c r="A275" i="4462"/>
  <c r="B275" i="4462"/>
  <c r="C275" i="4462"/>
  <c r="D275" i="4462"/>
  <c r="E275" i="4462"/>
  <c r="F275" i="4462"/>
  <c r="G275" i="4462"/>
  <c r="H275" i="4462"/>
  <c r="I275" i="4462"/>
  <c r="J275" i="4462"/>
  <c r="K275" i="4462"/>
  <c r="L275" i="4462"/>
  <c r="M275" i="4462"/>
  <c r="N275" i="4462"/>
  <c r="O275" i="4462"/>
  <c r="P275" i="4462"/>
  <c r="Q275" i="4462"/>
  <c r="R275" i="4462"/>
  <c r="S275" i="4462"/>
  <c r="T275" i="4462"/>
  <c r="U275" i="4462"/>
  <c r="V275" i="4462"/>
  <c r="W275" i="4462"/>
  <c r="X275" i="4462"/>
  <c r="Y275" i="4462"/>
  <c r="Z275" i="4462"/>
  <c r="AA275" i="4462"/>
  <c r="AB275" i="4462"/>
  <c r="AC275" i="4462"/>
  <c r="AD275" i="4462"/>
  <c r="AE275" i="4462"/>
  <c r="AF275" i="4462"/>
  <c r="AG275" i="4462"/>
  <c r="AH275" i="4462"/>
  <c r="AI275" i="4462"/>
  <c r="AJ275" i="4462"/>
  <c r="AK275" i="4462"/>
  <c r="AL275" i="4462"/>
  <c r="AM275" i="4462"/>
  <c r="AN275" i="4462"/>
  <c r="AO275" i="4462"/>
  <c r="AP275" i="4462"/>
  <c r="AQ275" i="4462"/>
  <c r="AR275" i="4462"/>
  <c r="AS275" i="4462"/>
  <c r="AT275" i="4462"/>
  <c r="AU275" i="4462"/>
  <c r="AV275" i="4462"/>
  <c r="AW275" i="4462"/>
  <c r="AX275" i="4462"/>
  <c r="AY275" i="4462"/>
  <c r="AZ275" i="4462"/>
  <c r="BA275" i="4462"/>
  <c r="BB275" i="4462"/>
  <c r="BC275" i="4462"/>
  <c r="BD275" i="4462"/>
  <c r="A276" i="4462"/>
  <c r="B276" i="4462"/>
  <c r="C276" i="4462"/>
  <c r="D276" i="4462"/>
  <c r="E276" i="4462"/>
  <c r="F276" i="4462"/>
  <c r="G276" i="4462"/>
  <c r="H276" i="4462"/>
  <c r="I276" i="4462"/>
  <c r="J276" i="4462"/>
  <c r="K276" i="4462"/>
  <c r="L276" i="4462"/>
  <c r="M276" i="4462"/>
  <c r="N276" i="4462"/>
  <c r="O276" i="4462"/>
  <c r="P276" i="4462"/>
  <c r="Q276" i="4462"/>
  <c r="R276" i="4462"/>
  <c r="S276" i="4462"/>
  <c r="T276" i="4462"/>
  <c r="U276" i="4462"/>
  <c r="V276" i="4462"/>
  <c r="W276" i="4462"/>
  <c r="X276" i="4462"/>
  <c r="Y276" i="4462"/>
  <c r="Z276" i="4462"/>
  <c r="AA276" i="4462"/>
  <c r="AB276" i="4462"/>
  <c r="AC276" i="4462"/>
  <c r="AD276" i="4462"/>
  <c r="AE276" i="4462"/>
  <c r="AF276" i="4462"/>
  <c r="AG276" i="4462"/>
  <c r="AH276" i="4462"/>
  <c r="AI276" i="4462"/>
  <c r="AJ276" i="4462"/>
  <c r="AK276" i="4462"/>
  <c r="AL276" i="4462"/>
  <c r="AM276" i="4462"/>
  <c r="AN276" i="4462"/>
  <c r="AO276" i="4462"/>
  <c r="AP276" i="4462"/>
  <c r="AQ276" i="4462"/>
  <c r="AR276" i="4462"/>
  <c r="AS276" i="4462"/>
  <c r="AT276" i="4462"/>
  <c r="AU276" i="4462"/>
  <c r="AV276" i="4462"/>
  <c r="AW276" i="4462"/>
  <c r="AX276" i="4462"/>
  <c r="AY276" i="4462"/>
  <c r="AZ276" i="4462"/>
  <c r="BA276" i="4462"/>
  <c r="BB276" i="4462"/>
  <c r="BC276" i="4462"/>
  <c r="BD276" i="4462"/>
  <c r="A277" i="4462"/>
  <c r="B277" i="4462"/>
  <c r="C277" i="4462"/>
  <c r="D277" i="4462"/>
  <c r="E277" i="4462"/>
  <c r="F277" i="4462"/>
  <c r="G277" i="4462"/>
  <c r="H277" i="4462"/>
  <c r="I277" i="4462"/>
  <c r="J277" i="4462"/>
  <c r="K277" i="4462"/>
  <c r="L277" i="4462"/>
  <c r="M277" i="4462"/>
  <c r="N277" i="4462"/>
  <c r="O277" i="4462"/>
  <c r="P277" i="4462"/>
  <c r="Q277" i="4462"/>
  <c r="R277" i="4462"/>
  <c r="S277" i="4462"/>
  <c r="T277" i="4462"/>
  <c r="U277" i="4462"/>
  <c r="V277" i="4462"/>
  <c r="W277" i="4462"/>
  <c r="X277" i="4462"/>
  <c r="Y277" i="4462"/>
  <c r="Z277" i="4462"/>
  <c r="AA277" i="4462"/>
  <c r="AB277" i="4462"/>
  <c r="AC277" i="4462"/>
  <c r="AD277" i="4462"/>
  <c r="AE277" i="4462"/>
  <c r="AF277" i="4462"/>
  <c r="AG277" i="4462"/>
  <c r="AH277" i="4462"/>
  <c r="AI277" i="4462"/>
  <c r="AJ277" i="4462"/>
  <c r="AK277" i="4462"/>
  <c r="AL277" i="4462"/>
  <c r="AM277" i="4462"/>
  <c r="AN277" i="4462"/>
  <c r="AO277" i="4462"/>
  <c r="AP277" i="4462"/>
  <c r="AQ277" i="4462"/>
  <c r="AR277" i="4462"/>
  <c r="AS277" i="4462"/>
  <c r="AT277" i="4462"/>
  <c r="AU277" i="4462"/>
  <c r="AV277" i="4462"/>
  <c r="AW277" i="4462"/>
  <c r="AX277" i="4462"/>
  <c r="AY277" i="4462"/>
  <c r="AZ277" i="4462"/>
  <c r="BA277" i="4462"/>
  <c r="BB277" i="4462"/>
  <c r="BC277" i="4462"/>
  <c r="BD277" i="4462"/>
  <c r="A278" i="4462"/>
  <c r="B278" i="4462"/>
  <c r="C278" i="4462"/>
  <c r="D278" i="4462"/>
  <c r="E278" i="4462"/>
  <c r="F278" i="4462"/>
  <c r="G278" i="4462"/>
  <c r="H278" i="4462"/>
  <c r="I278" i="4462"/>
  <c r="J278" i="4462"/>
  <c r="K278" i="4462"/>
  <c r="L278" i="4462"/>
  <c r="M278" i="4462"/>
  <c r="N278" i="4462"/>
  <c r="O278" i="4462"/>
  <c r="P278" i="4462"/>
  <c r="Q278" i="4462"/>
  <c r="R278" i="4462"/>
  <c r="S278" i="4462"/>
  <c r="T278" i="4462"/>
  <c r="U278" i="4462"/>
  <c r="V278" i="4462"/>
  <c r="W278" i="4462"/>
  <c r="X278" i="4462"/>
  <c r="Y278" i="4462"/>
  <c r="Z278" i="4462"/>
  <c r="AA278" i="4462"/>
  <c r="AB278" i="4462"/>
  <c r="AC278" i="4462"/>
  <c r="AD278" i="4462"/>
  <c r="AE278" i="4462"/>
  <c r="AF278" i="4462"/>
  <c r="AG278" i="4462"/>
  <c r="AH278" i="4462"/>
  <c r="AI278" i="4462"/>
  <c r="AJ278" i="4462"/>
  <c r="AK278" i="4462"/>
  <c r="AL278" i="4462"/>
  <c r="AM278" i="4462"/>
  <c r="AN278" i="4462"/>
  <c r="AO278" i="4462"/>
  <c r="AP278" i="4462"/>
  <c r="AQ278" i="4462"/>
  <c r="AR278" i="4462"/>
  <c r="AS278" i="4462"/>
  <c r="AT278" i="4462"/>
  <c r="AU278" i="4462"/>
  <c r="AV278" i="4462"/>
  <c r="AW278" i="4462"/>
  <c r="AX278" i="4462"/>
  <c r="AY278" i="4462"/>
  <c r="AZ278" i="4462"/>
  <c r="BA278" i="4462"/>
  <c r="BB278" i="4462"/>
  <c r="BC278" i="4462"/>
  <c r="BD278" i="4462"/>
  <c r="A279" i="4462"/>
  <c r="B279" i="4462"/>
  <c r="C279" i="4462"/>
  <c r="D279" i="4462"/>
  <c r="E279" i="4462"/>
  <c r="F279" i="4462"/>
  <c r="G279" i="4462"/>
  <c r="H279" i="4462"/>
  <c r="I279" i="4462"/>
  <c r="J279" i="4462"/>
  <c r="K279" i="4462"/>
  <c r="L279" i="4462"/>
  <c r="M279" i="4462"/>
  <c r="N279" i="4462"/>
  <c r="O279" i="4462"/>
  <c r="P279" i="4462"/>
  <c r="Q279" i="4462"/>
  <c r="R279" i="4462"/>
  <c r="S279" i="4462"/>
  <c r="T279" i="4462"/>
  <c r="U279" i="4462"/>
  <c r="V279" i="4462"/>
  <c r="W279" i="4462"/>
  <c r="X279" i="4462"/>
  <c r="Y279" i="4462"/>
  <c r="Z279" i="4462"/>
  <c r="AA279" i="4462"/>
  <c r="AB279" i="4462"/>
  <c r="AC279" i="4462"/>
  <c r="AD279" i="4462"/>
  <c r="AE279" i="4462"/>
  <c r="AF279" i="4462"/>
  <c r="AG279" i="4462"/>
  <c r="AH279" i="4462"/>
  <c r="AI279" i="4462"/>
  <c r="AJ279" i="4462"/>
  <c r="AK279" i="4462"/>
  <c r="AL279" i="4462"/>
  <c r="AM279" i="4462"/>
  <c r="AN279" i="4462"/>
  <c r="AO279" i="4462"/>
  <c r="AP279" i="4462"/>
  <c r="AQ279" i="4462"/>
  <c r="AR279" i="4462"/>
  <c r="AS279" i="4462"/>
  <c r="AT279" i="4462"/>
  <c r="AU279" i="4462"/>
  <c r="AV279" i="4462"/>
  <c r="AW279" i="4462"/>
  <c r="AX279" i="4462"/>
  <c r="AY279" i="4462"/>
  <c r="AZ279" i="4462"/>
  <c r="BA279" i="4462"/>
  <c r="BB279" i="4462"/>
  <c r="BC279" i="4462"/>
  <c r="BD279" i="4462"/>
  <c r="A280" i="4462"/>
  <c r="B280" i="4462"/>
  <c r="C280" i="4462"/>
  <c r="D280" i="4462"/>
  <c r="E280" i="4462"/>
  <c r="F280" i="4462"/>
  <c r="G280" i="4462"/>
  <c r="H280" i="4462"/>
  <c r="I280" i="4462"/>
  <c r="J280" i="4462"/>
  <c r="K280" i="4462"/>
  <c r="L280" i="4462"/>
  <c r="M280" i="4462"/>
  <c r="N280" i="4462"/>
  <c r="O280" i="4462"/>
  <c r="P280" i="4462"/>
  <c r="Q280" i="4462"/>
  <c r="R280" i="4462"/>
  <c r="S280" i="4462"/>
  <c r="T280" i="4462"/>
  <c r="U280" i="4462"/>
  <c r="V280" i="4462"/>
  <c r="W280" i="4462"/>
  <c r="X280" i="4462"/>
  <c r="Y280" i="4462"/>
  <c r="Z280" i="4462"/>
  <c r="AA280" i="4462"/>
  <c r="AB280" i="4462"/>
  <c r="AC280" i="4462"/>
  <c r="AD280" i="4462"/>
  <c r="AE280" i="4462"/>
  <c r="AF280" i="4462"/>
  <c r="AG280" i="4462"/>
  <c r="AH280" i="4462"/>
  <c r="AI280" i="4462"/>
  <c r="AJ280" i="4462"/>
  <c r="AK280" i="4462"/>
  <c r="AL280" i="4462"/>
  <c r="AM280" i="4462"/>
  <c r="AN280" i="4462"/>
  <c r="AO280" i="4462"/>
  <c r="AP280" i="4462"/>
  <c r="AQ280" i="4462"/>
  <c r="AR280" i="4462"/>
  <c r="AS280" i="4462"/>
  <c r="AT280" i="4462"/>
  <c r="AU280" i="4462"/>
  <c r="AV280" i="4462"/>
  <c r="AW280" i="4462"/>
  <c r="AX280" i="4462"/>
  <c r="AY280" i="4462"/>
  <c r="AZ280" i="4462"/>
  <c r="BA280" i="4462"/>
  <c r="BB280" i="4462"/>
  <c r="BC280" i="4462"/>
  <c r="BD280" i="4462"/>
  <c r="A281" i="4462"/>
  <c r="B281" i="4462"/>
  <c r="C281" i="4462"/>
  <c r="D281" i="4462"/>
  <c r="E281" i="4462"/>
  <c r="F281" i="4462"/>
  <c r="G281" i="4462"/>
  <c r="H281" i="4462"/>
  <c r="I281" i="4462"/>
  <c r="J281" i="4462"/>
  <c r="K281" i="4462"/>
  <c r="L281" i="4462"/>
  <c r="M281" i="4462"/>
  <c r="N281" i="4462"/>
  <c r="O281" i="4462"/>
  <c r="P281" i="4462"/>
  <c r="Q281" i="4462"/>
  <c r="R281" i="4462"/>
  <c r="S281" i="4462"/>
  <c r="T281" i="4462"/>
  <c r="U281" i="4462"/>
  <c r="V281" i="4462"/>
  <c r="W281" i="4462"/>
  <c r="X281" i="4462"/>
  <c r="Y281" i="4462"/>
  <c r="Z281" i="4462"/>
  <c r="AA281" i="4462"/>
  <c r="AB281" i="4462"/>
  <c r="AC281" i="4462"/>
  <c r="AD281" i="4462"/>
  <c r="AE281" i="4462"/>
  <c r="AF281" i="4462"/>
  <c r="AG281" i="4462"/>
  <c r="AH281" i="4462"/>
  <c r="AI281" i="4462"/>
  <c r="AJ281" i="4462"/>
  <c r="AK281" i="4462"/>
  <c r="AL281" i="4462"/>
  <c r="AM281" i="4462"/>
  <c r="AN281" i="4462"/>
  <c r="AO281" i="4462"/>
  <c r="AP281" i="4462"/>
  <c r="AQ281" i="4462"/>
  <c r="AR281" i="4462"/>
  <c r="AS281" i="4462"/>
  <c r="AT281" i="4462"/>
  <c r="AU281" i="4462"/>
  <c r="AV281" i="4462"/>
  <c r="AW281" i="4462"/>
  <c r="AX281" i="4462"/>
  <c r="AY281" i="4462"/>
  <c r="AZ281" i="4462"/>
  <c r="BA281" i="4462"/>
  <c r="BB281" i="4462"/>
  <c r="BC281" i="4462"/>
  <c r="BD281" i="4462"/>
  <c r="A282" i="4462"/>
  <c r="B282" i="4462"/>
  <c r="C282" i="4462"/>
  <c r="D282" i="4462"/>
  <c r="E282" i="4462"/>
  <c r="F282" i="4462"/>
  <c r="G282" i="4462"/>
  <c r="H282" i="4462"/>
  <c r="I282" i="4462"/>
  <c r="J282" i="4462"/>
  <c r="K282" i="4462"/>
  <c r="L282" i="4462"/>
  <c r="M282" i="4462"/>
  <c r="N282" i="4462"/>
  <c r="O282" i="4462"/>
  <c r="P282" i="4462"/>
  <c r="Q282" i="4462"/>
  <c r="R282" i="4462"/>
  <c r="S282" i="4462"/>
  <c r="T282" i="4462"/>
  <c r="U282" i="4462"/>
  <c r="V282" i="4462"/>
  <c r="W282" i="4462"/>
  <c r="X282" i="4462"/>
  <c r="Y282" i="4462"/>
  <c r="Z282" i="4462"/>
  <c r="AA282" i="4462"/>
  <c r="AB282" i="4462"/>
  <c r="AC282" i="4462"/>
  <c r="AD282" i="4462"/>
  <c r="AE282" i="4462"/>
  <c r="AF282" i="4462"/>
  <c r="AG282" i="4462"/>
  <c r="AH282" i="4462"/>
  <c r="AI282" i="4462"/>
  <c r="AJ282" i="4462"/>
  <c r="AK282" i="4462"/>
  <c r="AL282" i="4462"/>
  <c r="AM282" i="4462"/>
  <c r="AN282" i="4462"/>
  <c r="AO282" i="4462"/>
  <c r="AP282" i="4462"/>
  <c r="AQ282" i="4462"/>
  <c r="AR282" i="4462"/>
  <c r="AS282" i="4462"/>
  <c r="AT282" i="4462"/>
  <c r="AU282" i="4462"/>
  <c r="AV282" i="4462"/>
  <c r="AW282" i="4462"/>
  <c r="AX282" i="4462"/>
  <c r="AY282" i="4462"/>
  <c r="AZ282" i="4462"/>
  <c r="BA282" i="4462"/>
  <c r="BB282" i="4462"/>
  <c r="BC282" i="4462"/>
  <c r="BD282" i="4462"/>
  <c r="A283" i="4462"/>
  <c r="B283" i="4462"/>
  <c r="C283" i="4462"/>
  <c r="D283" i="4462"/>
  <c r="E283" i="4462"/>
  <c r="F283" i="4462"/>
  <c r="G283" i="4462"/>
  <c r="H283" i="4462"/>
  <c r="I283" i="4462"/>
  <c r="J283" i="4462"/>
  <c r="K283" i="4462"/>
  <c r="L283" i="4462"/>
  <c r="M283" i="4462"/>
  <c r="N283" i="4462"/>
  <c r="O283" i="4462"/>
  <c r="P283" i="4462"/>
  <c r="Q283" i="4462"/>
  <c r="R283" i="4462"/>
  <c r="S283" i="4462"/>
  <c r="T283" i="4462"/>
  <c r="U283" i="4462"/>
  <c r="V283" i="4462"/>
  <c r="W283" i="4462"/>
  <c r="X283" i="4462"/>
  <c r="Y283" i="4462"/>
  <c r="Z283" i="4462"/>
  <c r="AA283" i="4462"/>
  <c r="AB283" i="4462"/>
  <c r="AC283" i="4462"/>
  <c r="AD283" i="4462"/>
  <c r="AE283" i="4462"/>
  <c r="AF283" i="4462"/>
  <c r="AG283" i="4462"/>
  <c r="AH283" i="4462"/>
  <c r="AI283" i="4462"/>
  <c r="AJ283" i="4462"/>
  <c r="AK283" i="4462"/>
  <c r="AL283" i="4462"/>
  <c r="AM283" i="4462"/>
  <c r="AN283" i="4462"/>
  <c r="AO283" i="4462"/>
  <c r="AP283" i="4462"/>
  <c r="AQ283" i="4462"/>
  <c r="AR283" i="4462"/>
  <c r="AS283" i="4462"/>
  <c r="AT283" i="4462"/>
  <c r="AU283" i="4462"/>
  <c r="AV283" i="4462"/>
  <c r="AW283" i="4462"/>
  <c r="AX283" i="4462"/>
  <c r="AY283" i="4462"/>
  <c r="AZ283" i="4462"/>
  <c r="BA283" i="4462"/>
  <c r="BB283" i="4462"/>
  <c r="BC283" i="4462"/>
  <c r="BD283" i="4462"/>
  <c r="A284" i="4462"/>
  <c r="B284" i="4462"/>
  <c r="C284" i="4462"/>
  <c r="D284" i="4462"/>
  <c r="E284" i="4462"/>
  <c r="F284" i="4462"/>
  <c r="G284" i="4462"/>
  <c r="H284" i="4462"/>
  <c r="I284" i="4462"/>
  <c r="J284" i="4462"/>
  <c r="K284" i="4462"/>
  <c r="L284" i="4462"/>
  <c r="M284" i="4462"/>
  <c r="N284" i="4462"/>
  <c r="O284" i="4462"/>
  <c r="P284" i="4462"/>
  <c r="Q284" i="4462"/>
  <c r="R284" i="4462"/>
  <c r="S284" i="4462"/>
  <c r="T284" i="4462"/>
  <c r="U284" i="4462"/>
  <c r="V284" i="4462"/>
  <c r="W284" i="4462"/>
  <c r="X284" i="4462"/>
  <c r="Y284" i="4462"/>
  <c r="Z284" i="4462"/>
  <c r="AA284" i="4462"/>
  <c r="AB284" i="4462"/>
  <c r="AC284" i="4462"/>
  <c r="AD284" i="4462"/>
  <c r="AE284" i="4462"/>
  <c r="AF284" i="4462"/>
  <c r="AG284" i="4462"/>
  <c r="AH284" i="4462"/>
  <c r="AI284" i="4462"/>
  <c r="AJ284" i="4462"/>
  <c r="AK284" i="4462"/>
  <c r="AL284" i="4462"/>
  <c r="AM284" i="4462"/>
  <c r="AN284" i="4462"/>
  <c r="AO284" i="4462"/>
  <c r="AP284" i="4462"/>
  <c r="AQ284" i="4462"/>
  <c r="AR284" i="4462"/>
  <c r="AS284" i="4462"/>
  <c r="AT284" i="4462"/>
  <c r="AU284" i="4462"/>
  <c r="AV284" i="4462"/>
  <c r="AW284" i="4462"/>
  <c r="AX284" i="4462"/>
  <c r="AY284" i="4462"/>
  <c r="AZ284" i="4462"/>
  <c r="BA284" i="4462"/>
  <c r="BB284" i="4462"/>
  <c r="BC284" i="4462"/>
  <c r="BD284" i="4462"/>
  <c r="A285" i="4462"/>
  <c r="B285" i="4462"/>
  <c r="C285" i="4462"/>
  <c r="D285" i="4462"/>
  <c r="E285" i="4462"/>
  <c r="F285" i="4462"/>
  <c r="G285" i="4462"/>
  <c r="H285" i="4462"/>
  <c r="I285" i="4462"/>
  <c r="J285" i="4462"/>
  <c r="K285" i="4462"/>
  <c r="L285" i="4462"/>
  <c r="M285" i="4462"/>
  <c r="N285" i="4462"/>
  <c r="O285" i="4462"/>
  <c r="P285" i="4462"/>
  <c r="Q285" i="4462"/>
  <c r="R285" i="4462"/>
  <c r="S285" i="4462"/>
  <c r="T285" i="4462"/>
  <c r="U285" i="4462"/>
  <c r="V285" i="4462"/>
  <c r="W285" i="4462"/>
  <c r="X285" i="4462"/>
  <c r="Y285" i="4462"/>
  <c r="Z285" i="4462"/>
  <c r="AA285" i="4462"/>
  <c r="AB285" i="4462"/>
  <c r="AC285" i="4462"/>
  <c r="AD285" i="4462"/>
  <c r="AE285" i="4462"/>
  <c r="AF285" i="4462"/>
  <c r="AG285" i="4462"/>
  <c r="AH285" i="4462"/>
  <c r="AI285" i="4462"/>
  <c r="AJ285" i="4462"/>
  <c r="AK285" i="4462"/>
  <c r="AL285" i="4462"/>
  <c r="AM285" i="4462"/>
  <c r="AN285" i="4462"/>
  <c r="AO285" i="4462"/>
  <c r="AP285" i="4462"/>
  <c r="AQ285" i="4462"/>
  <c r="AR285" i="4462"/>
  <c r="AS285" i="4462"/>
  <c r="AT285" i="4462"/>
  <c r="AU285" i="4462"/>
  <c r="AV285" i="4462"/>
  <c r="AW285" i="4462"/>
  <c r="AX285" i="4462"/>
  <c r="AY285" i="4462"/>
  <c r="AZ285" i="4462"/>
  <c r="BA285" i="4462"/>
  <c r="BB285" i="4462"/>
  <c r="BC285" i="4462"/>
  <c r="BD285" i="4462"/>
  <c r="A286" i="4462"/>
  <c r="B286" i="4462"/>
  <c r="C286" i="4462"/>
  <c r="D286" i="4462"/>
  <c r="E286" i="4462"/>
  <c r="F286" i="4462"/>
  <c r="G286" i="4462"/>
  <c r="H286" i="4462"/>
  <c r="I286" i="4462"/>
  <c r="J286" i="4462"/>
  <c r="K286" i="4462"/>
  <c r="L286" i="4462"/>
  <c r="M286" i="4462"/>
  <c r="N286" i="4462"/>
  <c r="O286" i="4462"/>
  <c r="P286" i="4462"/>
  <c r="Q286" i="4462"/>
  <c r="R286" i="4462"/>
  <c r="S286" i="4462"/>
  <c r="T286" i="4462"/>
  <c r="U286" i="4462"/>
  <c r="V286" i="4462"/>
  <c r="W286" i="4462"/>
  <c r="X286" i="4462"/>
  <c r="Y286" i="4462"/>
  <c r="Z286" i="4462"/>
  <c r="AA286" i="4462"/>
  <c r="AB286" i="4462"/>
  <c r="AC286" i="4462"/>
  <c r="AD286" i="4462"/>
  <c r="AE286" i="4462"/>
  <c r="AF286" i="4462"/>
  <c r="AG286" i="4462"/>
  <c r="AH286" i="4462"/>
  <c r="AI286" i="4462"/>
  <c r="AJ286" i="4462"/>
  <c r="AK286" i="4462"/>
  <c r="AL286" i="4462"/>
  <c r="AM286" i="4462"/>
  <c r="AN286" i="4462"/>
  <c r="AO286" i="4462"/>
  <c r="AP286" i="4462"/>
  <c r="AQ286" i="4462"/>
  <c r="AR286" i="4462"/>
  <c r="AS286" i="4462"/>
  <c r="AT286" i="4462"/>
  <c r="AU286" i="4462"/>
  <c r="AV286" i="4462"/>
  <c r="AW286" i="4462"/>
  <c r="AX286" i="4462"/>
  <c r="AY286" i="4462"/>
  <c r="AZ286" i="4462"/>
  <c r="BA286" i="4462"/>
  <c r="BB286" i="4462"/>
  <c r="BC286" i="4462"/>
  <c r="BD286" i="4462"/>
  <c r="A287" i="4462"/>
  <c r="B287" i="4462"/>
  <c r="C287" i="4462"/>
  <c r="D287" i="4462"/>
  <c r="E287" i="4462"/>
  <c r="F287" i="4462"/>
  <c r="G287" i="4462"/>
  <c r="H287" i="4462"/>
  <c r="I287" i="4462"/>
  <c r="J287" i="4462"/>
  <c r="K287" i="4462"/>
  <c r="L287" i="4462"/>
  <c r="M287" i="4462"/>
  <c r="N287" i="4462"/>
  <c r="O287" i="4462"/>
  <c r="P287" i="4462"/>
  <c r="Q287" i="4462"/>
  <c r="R287" i="4462"/>
  <c r="S287" i="4462"/>
  <c r="T287" i="4462"/>
  <c r="U287" i="4462"/>
  <c r="V287" i="4462"/>
  <c r="W287" i="4462"/>
  <c r="X287" i="4462"/>
  <c r="Y287" i="4462"/>
  <c r="Z287" i="4462"/>
  <c r="AA287" i="4462"/>
  <c r="AB287" i="4462"/>
  <c r="AC287" i="4462"/>
  <c r="AD287" i="4462"/>
  <c r="AE287" i="4462"/>
  <c r="AF287" i="4462"/>
  <c r="AG287" i="4462"/>
  <c r="AH287" i="4462"/>
  <c r="AI287" i="4462"/>
  <c r="AJ287" i="4462"/>
  <c r="AK287" i="4462"/>
  <c r="AL287" i="4462"/>
  <c r="AM287" i="4462"/>
  <c r="AN287" i="4462"/>
  <c r="AO287" i="4462"/>
  <c r="AP287" i="4462"/>
  <c r="AQ287" i="4462"/>
  <c r="AR287" i="4462"/>
  <c r="AS287" i="4462"/>
  <c r="AT287" i="4462"/>
  <c r="AU287" i="4462"/>
  <c r="AV287" i="4462"/>
  <c r="AW287" i="4462"/>
  <c r="AX287" i="4462"/>
  <c r="AY287" i="4462"/>
  <c r="AZ287" i="4462"/>
  <c r="BA287" i="4462"/>
  <c r="BB287" i="4462"/>
  <c r="BC287" i="4462"/>
  <c r="BD287" i="4462"/>
  <c r="A288" i="4462"/>
  <c r="B288" i="4462"/>
  <c r="C288" i="4462"/>
  <c r="D288" i="4462"/>
  <c r="E288" i="4462"/>
  <c r="F288" i="4462"/>
  <c r="G288" i="4462"/>
  <c r="H288" i="4462"/>
  <c r="I288" i="4462"/>
  <c r="J288" i="4462"/>
  <c r="K288" i="4462"/>
  <c r="L288" i="4462"/>
  <c r="M288" i="4462"/>
  <c r="N288" i="4462"/>
  <c r="O288" i="4462"/>
  <c r="P288" i="4462"/>
  <c r="Q288" i="4462"/>
  <c r="R288" i="4462"/>
  <c r="S288" i="4462"/>
  <c r="T288" i="4462"/>
  <c r="U288" i="4462"/>
  <c r="V288" i="4462"/>
  <c r="W288" i="4462"/>
  <c r="X288" i="4462"/>
  <c r="Y288" i="4462"/>
  <c r="Z288" i="4462"/>
  <c r="AA288" i="4462"/>
  <c r="AB288" i="4462"/>
  <c r="AC288" i="4462"/>
  <c r="AD288" i="4462"/>
  <c r="AE288" i="4462"/>
  <c r="AF288" i="4462"/>
  <c r="AG288" i="4462"/>
  <c r="AH288" i="4462"/>
  <c r="AI288" i="4462"/>
  <c r="AJ288" i="4462"/>
  <c r="AK288" i="4462"/>
  <c r="AL288" i="4462"/>
  <c r="AM288" i="4462"/>
  <c r="AN288" i="4462"/>
  <c r="AO288" i="4462"/>
  <c r="AP288" i="4462"/>
  <c r="AQ288" i="4462"/>
  <c r="AR288" i="4462"/>
  <c r="AS288" i="4462"/>
  <c r="AT288" i="4462"/>
  <c r="AU288" i="4462"/>
  <c r="AV288" i="4462"/>
  <c r="AW288" i="4462"/>
  <c r="AX288" i="4462"/>
  <c r="AY288" i="4462"/>
  <c r="AZ288" i="4462"/>
  <c r="BA288" i="4462"/>
  <c r="BB288" i="4462"/>
  <c r="BC288" i="4462"/>
  <c r="BD288" i="4462"/>
  <c r="A289" i="4462"/>
  <c r="B289" i="4462"/>
  <c r="C289" i="4462"/>
  <c r="D289" i="4462"/>
  <c r="E289" i="4462"/>
  <c r="F289" i="4462"/>
  <c r="G289" i="4462"/>
  <c r="H289" i="4462"/>
  <c r="I289" i="4462"/>
  <c r="J289" i="4462"/>
  <c r="K289" i="4462"/>
  <c r="L289" i="4462"/>
  <c r="M289" i="4462"/>
  <c r="N289" i="4462"/>
  <c r="O289" i="4462"/>
  <c r="P289" i="4462"/>
  <c r="Q289" i="4462"/>
  <c r="R289" i="4462"/>
  <c r="S289" i="4462"/>
  <c r="T289" i="4462"/>
  <c r="U289" i="4462"/>
  <c r="V289" i="4462"/>
  <c r="W289" i="4462"/>
  <c r="X289" i="4462"/>
  <c r="Y289" i="4462"/>
  <c r="Z289" i="4462"/>
  <c r="AA289" i="4462"/>
  <c r="AB289" i="4462"/>
  <c r="AC289" i="4462"/>
  <c r="AD289" i="4462"/>
  <c r="AE289" i="4462"/>
  <c r="AF289" i="4462"/>
  <c r="AG289" i="4462"/>
  <c r="AH289" i="4462"/>
  <c r="AI289" i="4462"/>
  <c r="AJ289" i="4462"/>
  <c r="AK289" i="4462"/>
  <c r="AL289" i="4462"/>
  <c r="AM289" i="4462"/>
  <c r="AN289" i="4462"/>
  <c r="AO289" i="4462"/>
  <c r="AP289" i="4462"/>
  <c r="AQ289" i="4462"/>
  <c r="AR289" i="4462"/>
  <c r="AS289" i="4462"/>
  <c r="AT289" i="4462"/>
  <c r="AU289" i="4462"/>
  <c r="AV289" i="4462"/>
  <c r="AW289" i="4462"/>
  <c r="AX289" i="4462"/>
  <c r="AY289" i="4462"/>
  <c r="AZ289" i="4462"/>
  <c r="BA289" i="4462"/>
  <c r="BB289" i="4462"/>
  <c r="BC289" i="4462"/>
  <c r="BD289" i="4462"/>
  <c r="A290" i="4462"/>
  <c r="B290" i="4462"/>
  <c r="C290" i="4462"/>
  <c r="D290" i="4462"/>
  <c r="E290" i="4462"/>
  <c r="F290" i="4462"/>
  <c r="G290" i="4462"/>
  <c r="H290" i="4462"/>
  <c r="I290" i="4462"/>
  <c r="J290" i="4462"/>
  <c r="K290" i="4462"/>
  <c r="L290" i="4462"/>
  <c r="M290" i="4462"/>
  <c r="N290" i="4462"/>
  <c r="O290" i="4462"/>
  <c r="P290" i="4462"/>
  <c r="Q290" i="4462"/>
  <c r="R290" i="4462"/>
  <c r="S290" i="4462"/>
  <c r="T290" i="4462"/>
  <c r="U290" i="4462"/>
  <c r="V290" i="4462"/>
  <c r="W290" i="4462"/>
  <c r="X290" i="4462"/>
  <c r="Y290" i="4462"/>
  <c r="Z290" i="4462"/>
  <c r="AA290" i="4462"/>
  <c r="AB290" i="4462"/>
  <c r="AC290" i="4462"/>
  <c r="AD290" i="4462"/>
  <c r="AE290" i="4462"/>
  <c r="AF290" i="4462"/>
  <c r="AG290" i="4462"/>
  <c r="AH290" i="4462"/>
  <c r="AI290" i="4462"/>
  <c r="AJ290" i="4462"/>
  <c r="AK290" i="4462"/>
  <c r="AL290" i="4462"/>
  <c r="AM290" i="4462"/>
  <c r="AN290" i="4462"/>
  <c r="AO290" i="4462"/>
  <c r="AP290" i="4462"/>
  <c r="AQ290" i="4462"/>
  <c r="AR290" i="4462"/>
  <c r="AS290" i="4462"/>
  <c r="AT290" i="4462"/>
  <c r="AU290" i="4462"/>
  <c r="AV290" i="4462"/>
  <c r="AW290" i="4462"/>
  <c r="AX290" i="4462"/>
  <c r="AY290" i="4462"/>
  <c r="AZ290" i="4462"/>
  <c r="BA290" i="4462"/>
  <c r="BB290" i="4462"/>
  <c r="BC290" i="4462"/>
  <c r="BD290" i="4462"/>
  <c r="A291" i="4462"/>
  <c r="B291" i="4462"/>
  <c r="C291" i="4462"/>
  <c r="D291" i="4462"/>
  <c r="E291" i="4462"/>
  <c r="F291" i="4462"/>
  <c r="G291" i="4462"/>
  <c r="H291" i="4462"/>
  <c r="I291" i="4462"/>
  <c r="J291" i="4462"/>
  <c r="K291" i="4462"/>
  <c r="L291" i="4462"/>
  <c r="M291" i="4462"/>
  <c r="N291" i="4462"/>
  <c r="O291" i="4462"/>
  <c r="P291" i="4462"/>
  <c r="Q291" i="4462"/>
  <c r="R291" i="4462"/>
  <c r="S291" i="4462"/>
  <c r="T291" i="4462"/>
  <c r="U291" i="4462"/>
  <c r="V291" i="4462"/>
  <c r="W291" i="4462"/>
  <c r="X291" i="4462"/>
  <c r="Y291" i="4462"/>
  <c r="Z291" i="4462"/>
  <c r="AA291" i="4462"/>
  <c r="AB291" i="4462"/>
  <c r="AC291" i="4462"/>
  <c r="AD291" i="4462"/>
  <c r="AE291" i="4462"/>
  <c r="AF291" i="4462"/>
  <c r="AG291" i="4462"/>
  <c r="AH291" i="4462"/>
  <c r="AI291" i="4462"/>
  <c r="AJ291" i="4462"/>
  <c r="AK291" i="4462"/>
  <c r="AL291" i="4462"/>
  <c r="AM291" i="4462"/>
  <c r="AN291" i="4462"/>
  <c r="AO291" i="4462"/>
  <c r="AP291" i="4462"/>
  <c r="AQ291" i="4462"/>
  <c r="AR291" i="4462"/>
  <c r="AS291" i="4462"/>
  <c r="AT291" i="4462"/>
  <c r="AU291" i="4462"/>
  <c r="AV291" i="4462"/>
  <c r="AW291" i="4462"/>
  <c r="AX291" i="4462"/>
  <c r="AY291" i="4462"/>
  <c r="AZ291" i="4462"/>
  <c r="BA291" i="4462"/>
  <c r="BB291" i="4462"/>
  <c r="BC291" i="4462"/>
  <c r="BD291" i="4462"/>
  <c r="A292" i="4462"/>
  <c r="B292" i="4462"/>
  <c r="C292" i="4462"/>
  <c r="D292" i="4462"/>
  <c r="E292" i="4462"/>
  <c r="F292" i="4462"/>
  <c r="G292" i="4462"/>
  <c r="H292" i="4462"/>
  <c r="I292" i="4462"/>
  <c r="J292" i="4462"/>
  <c r="K292" i="4462"/>
  <c r="L292" i="4462"/>
  <c r="M292" i="4462"/>
  <c r="N292" i="4462"/>
  <c r="O292" i="4462"/>
  <c r="P292" i="4462"/>
  <c r="Q292" i="4462"/>
  <c r="R292" i="4462"/>
  <c r="S292" i="4462"/>
  <c r="T292" i="4462"/>
  <c r="U292" i="4462"/>
  <c r="V292" i="4462"/>
  <c r="W292" i="4462"/>
  <c r="X292" i="4462"/>
  <c r="Y292" i="4462"/>
  <c r="Z292" i="4462"/>
  <c r="AA292" i="4462"/>
  <c r="AB292" i="4462"/>
  <c r="AC292" i="4462"/>
  <c r="AD292" i="4462"/>
  <c r="AE292" i="4462"/>
  <c r="AF292" i="4462"/>
  <c r="AG292" i="4462"/>
  <c r="AH292" i="4462"/>
  <c r="AI292" i="4462"/>
  <c r="AJ292" i="4462"/>
  <c r="AK292" i="4462"/>
  <c r="AL292" i="4462"/>
  <c r="AM292" i="4462"/>
  <c r="AN292" i="4462"/>
  <c r="AO292" i="4462"/>
  <c r="AP292" i="4462"/>
  <c r="AQ292" i="4462"/>
  <c r="AR292" i="4462"/>
  <c r="AS292" i="4462"/>
  <c r="AT292" i="4462"/>
  <c r="AU292" i="4462"/>
  <c r="AV292" i="4462"/>
  <c r="AW292" i="4462"/>
  <c r="AX292" i="4462"/>
  <c r="AY292" i="4462"/>
  <c r="AZ292" i="4462"/>
  <c r="BA292" i="4462"/>
  <c r="BB292" i="4462"/>
  <c r="BC292" i="4462"/>
  <c r="BD292" i="4462"/>
  <c r="A293" i="4462"/>
  <c r="B293" i="4462"/>
  <c r="C293" i="4462"/>
  <c r="D293" i="4462"/>
  <c r="E293" i="4462"/>
  <c r="F293" i="4462"/>
  <c r="G293" i="4462"/>
  <c r="H293" i="4462"/>
  <c r="I293" i="4462"/>
  <c r="J293" i="4462"/>
  <c r="K293" i="4462"/>
  <c r="L293" i="4462"/>
  <c r="M293" i="4462"/>
  <c r="N293" i="4462"/>
  <c r="O293" i="4462"/>
  <c r="P293" i="4462"/>
  <c r="Q293" i="4462"/>
  <c r="R293" i="4462"/>
  <c r="S293" i="4462"/>
  <c r="T293" i="4462"/>
  <c r="U293" i="4462"/>
  <c r="V293" i="4462"/>
  <c r="W293" i="4462"/>
  <c r="X293" i="4462"/>
  <c r="Y293" i="4462"/>
  <c r="Z293" i="4462"/>
  <c r="AA293" i="4462"/>
  <c r="AB293" i="4462"/>
  <c r="AC293" i="4462"/>
  <c r="AD293" i="4462"/>
  <c r="AE293" i="4462"/>
  <c r="AF293" i="4462"/>
  <c r="AG293" i="4462"/>
  <c r="AH293" i="4462"/>
  <c r="AI293" i="4462"/>
  <c r="AJ293" i="4462"/>
  <c r="AK293" i="4462"/>
  <c r="AL293" i="4462"/>
  <c r="AM293" i="4462"/>
  <c r="AN293" i="4462"/>
  <c r="AO293" i="4462"/>
  <c r="AP293" i="4462"/>
  <c r="AQ293" i="4462"/>
  <c r="AR293" i="4462"/>
  <c r="AS293" i="4462"/>
  <c r="AT293" i="4462"/>
  <c r="AU293" i="4462"/>
  <c r="AV293" i="4462"/>
  <c r="AW293" i="4462"/>
  <c r="AX293" i="4462"/>
  <c r="AY293" i="4462"/>
  <c r="AZ293" i="4462"/>
  <c r="BA293" i="4462"/>
  <c r="BB293" i="4462"/>
  <c r="BC293" i="4462"/>
  <c r="BD293" i="4462"/>
  <c r="A294" i="4462"/>
  <c r="B294" i="4462"/>
  <c r="C294" i="4462"/>
  <c r="D294" i="4462"/>
  <c r="E294" i="4462"/>
  <c r="F294" i="4462"/>
  <c r="G294" i="4462"/>
  <c r="H294" i="4462"/>
  <c r="I294" i="4462"/>
  <c r="J294" i="4462"/>
  <c r="K294" i="4462"/>
  <c r="L294" i="4462"/>
  <c r="M294" i="4462"/>
  <c r="N294" i="4462"/>
  <c r="O294" i="4462"/>
  <c r="P294" i="4462"/>
  <c r="Q294" i="4462"/>
  <c r="R294" i="4462"/>
  <c r="S294" i="4462"/>
  <c r="T294" i="4462"/>
  <c r="U294" i="4462"/>
  <c r="V294" i="4462"/>
  <c r="W294" i="4462"/>
  <c r="X294" i="4462"/>
  <c r="Y294" i="4462"/>
  <c r="Z294" i="4462"/>
  <c r="AA294" i="4462"/>
  <c r="AB294" i="4462"/>
  <c r="AC294" i="4462"/>
  <c r="AD294" i="4462"/>
  <c r="AE294" i="4462"/>
  <c r="AF294" i="4462"/>
  <c r="AG294" i="4462"/>
  <c r="AH294" i="4462"/>
  <c r="AI294" i="4462"/>
  <c r="AJ294" i="4462"/>
  <c r="AK294" i="4462"/>
  <c r="AL294" i="4462"/>
  <c r="AM294" i="4462"/>
  <c r="AN294" i="4462"/>
  <c r="AO294" i="4462"/>
  <c r="AP294" i="4462"/>
  <c r="AQ294" i="4462"/>
  <c r="AR294" i="4462"/>
  <c r="AS294" i="4462"/>
  <c r="AT294" i="4462"/>
  <c r="AU294" i="4462"/>
  <c r="AV294" i="4462"/>
  <c r="AW294" i="4462"/>
  <c r="AX294" i="4462"/>
  <c r="AY294" i="4462"/>
  <c r="AZ294" i="4462"/>
  <c r="BA294" i="4462"/>
  <c r="BB294" i="4462"/>
  <c r="BC294" i="4462"/>
  <c r="BD294" i="4462"/>
  <c r="A295" i="4462"/>
  <c r="B295" i="4462"/>
  <c r="C295" i="4462"/>
  <c r="D295" i="4462"/>
  <c r="E295" i="4462"/>
  <c r="F295" i="4462"/>
  <c r="G295" i="4462"/>
  <c r="H295" i="4462"/>
  <c r="I295" i="4462"/>
  <c r="J295" i="4462"/>
  <c r="K295" i="4462"/>
  <c r="L295" i="4462"/>
  <c r="M295" i="4462"/>
  <c r="N295" i="4462"/>
  <c r="O295" i="4462"/>
  <c r="P295" i="4462"/>
  <c r="Q295" i="4462"/>
  <c r="R295" i="4462"/>
  <c r="S295" i="4462"/>
  <c r="T295" i="4462"/>
  <c r="U295" i="4462"/>
  <c r="V295" i="4462"/>
  <c r="W295" i="4462"/>
  <c r="X295" i="4462"/>
  <c r="Y295" i="4462"/>
  <c r="Z295" i="4462"/>
  <c r="AA295" i="4462"/>
  <c r="AB295" i="4462"/>
  <c r="AC295" i="4462"/>
  <c r="AD295" i="4462"/>
  <c r="AE295" i="4462"/>
  <c r="AF295" i="4462"/>
  <c r="AG295" i="4462"/>
  <c r="AH295" i="4462"/>
  <c r="AI295" i="4462"/>
  <c r="AJ295" i="4462"/>
  <c r="AK295" i="4462"/>
  <c r="AL295" i="4462"/>
  <c r="AM295" i="4462"/>
  <c r="AN295" i="4462"/>
  <c r="AO295" i="4462"/>
  <c r="AP295" i="4462"/>
  <c r="AQ295" i="4462"/>
  <c r="AR295" i="4462"/>
  <c r="AS295" i="4462"/>
  <c r="AT295" i="4462"/>
  <c r="AU295" i="4462"/>
  <c r="AV295" i="4462"/>
  <c r="AW295" i="4462"/>
  <c r="AX295" i="4462"/>
  <c r="AY295" i="4462"/>
  <c r="AZ295" i="4462"/>
  <c r="BA295" i="4462"/>
  <c r="BB295" i="4462"/>
  <c r="BC295" i="4462"/>
  <c r="BD295" i="4462"/>
  <c r="A296" i="4462"/>
  <c r="B296" i="4462"/>
  <c r="C296" i="4462"/>
  <c r="D296" i="4462"/>
  <c r="E296" i="4462"/>
  <c r="F296" i="4462"/>
  <c r="G296" i="4462"/>
  <c r="H296" i="4462"/>
  <c r="I296" i="4462"/>
  <c r="J296" i="4462"/>
  <c r="K296" i="4462"/>
  <c r="L296" i="4462"/>
  <c r="M296" i="4462"/>
  <c r="N296" i="4462"/>
  <c r="O296" i="4462"/>
  <c r="P296" i="4462"/>
  <c r="Q296" i="4462"/>
  <c r="R296" i="4462"/>
  <c r="S296" i="4462"/>
  <c r="T296" i="4462"/>
  <c r="U296" i="4462"/>
  <c r="V296" i="4462"/>
  <c r="W296" i="4462"/>
  <c r="X296" i="4462"/>
  <c r="Y296" i="4462"/>
  <c r="Z296" i="4462"/>
  <c r="AA296" i="4462"/>
  <c r="AB296" i="4462"/>
  <c r="AC296" i="4462"/>
  <c r="AD296" i="4462"/>
  <c r="AE296" i="4462"/>
  <c r="AF296" i="4462"/>
  <c r="AG296" i="4462"/>
  <c r="AH296" i="4462"/>
  <c r="AI296" i="4462"/>
  <c r="AJ296" i="4462"/>
  <c r="AK296" i="4462"/>
  <c r="AL296" i="4462"/>
  <c r="AM296" i="4462"/>
  <c r="AN296" i="4462"/>
  <c r="AO296" i="4462"/>
  <c r="AP296" i="4462"/>
  <c r="AQ296" i="4462"/>
  <c r="AR296" i="4462"/>
  <c r="AS296" i="4462"/>
  <c r="AT296" i="4462"/>
  <c r="AU296" i="4462"/>
  <c r="AV296" i="4462"/>
  <c r="AW296" i="4462"/>
  <c r="AX296" i="4462"/>
  <c r="AY296" i="4462"/>
  <c r="AZ296" i="4462"/>
  <c r="BA296" i="4462"/>
  <c r="BB296" i="4462"/>
  <c r="BC296" i="4462"/>
  <c r="BD296" i="4462"/>
  <c r="A297" i="4462"/>
  <c r="B297" i="4462"/>
  <c r="C297" i="4462"/>
  <c r="D297" i="4462"/>
  <c r="E297" i="4462"/>
  <c r="F297" i="4462"/>
  <c r="G297" i="4462"/>
  <c r="H297" i="4462"/>
  <c r="I297" i="4462"/>
  <c r="J297" i="4462"/>
  <c r="K297" i="4462"/>
  <c r="L297" i="4462"/>
  <c r="M297" i="4462"/>
  <c r="N297" i="4462"/>
  <c r="O297" i="4462"/>
  <c r="P297" i="4462"/>
  <c r="Q297" i="4462"/>
  <c r="R297" i="4462"/>
  <c r="S297" i="4462"/>
  <c r="T297" i="4462"/>
  <c r="U297" i="4462"/>
  <c r="V297" i="4462"/>
  <c r="W297" i="4462"/>
  <c r="X297" i="4462"/>
  <c r="Y297" i="4462"/>
  <c r="Z297" i="4462"/>
  <c r="AA297" i="4462"/>
  <c r="AB297" i="4462"/>
  <c r="AC297" i="4462"/>
  <c r="AD297" i="4462"/>
  <c r="AE297" i="4462"/>
  <c r="AF297" i="4462"/>
  <c r="AG297" i="4462"/>
  <c r="AH297" i="4462"/>
  <c r="AI297" i="4462"/>
  <c r="AJ297" i="4462"/>
  <c r="AK297" i="4462"/>
  <c r="AL297" i="4462"/>
  <c r="AM297" i="4462"/>
  <c r="AN297" i="4462"/>
  <c r="AO297" i="4462"/>
  <c r="AP297" i="4462"/>
  <c r="AQ297" i="4462"/>
  <c r="AR297" i="4462"/>
  <c r="AS297" i="4462"/>
  <c r="AT297" i="4462"/>
  <c r="AU297" i="4462"/>
  <c r="AV297" i="4462"/>
  <c r="AW297" i="4462"/>
  <c r="AX297" i="4462"/>
  <c r="AY297" i="4462"/>
  <c r="AZ297" i="4462"/>
  <c r="BA297" i="4462"/>
  <c r="BB297" i="4462"/>
  <c r="BC297" i="4462"/>
  <c r="BD297" i="4462"/>
  <c r="A298" i="4462"/>
  <c r="B298" i="4462"/>
  <c r="C298" i="4462"/>
  <c r="D298" i="4462"/>
  <c r="E298" i="4462"/>
  <c r="F298" i="4462"/>
  <c r="G298" i="4462"/>
  <c r="H298" i="4462"/>
  <c r="I298" i="4462"/>
  <c r="J298" i="4462"/>
  <c r="K298" i="4462"/>
  <c r="L298" i="4462"/>
  <c r="M298" i="4462"/>
  <c r="N298" i="4462"/>
  <c r="O298" i="4462"/>
  <c r="P298" i="4462"/>
  <c r="Q298" i="4462"/>
  <c r="R298" i="4462"/>
  <c r="S298" i="4462"/>
  <c r="T298" i="4462"/>
  <c r="U298" i="4462"/>
  <c r="V298" i="4462"/>
  <c r="W298" i="4462"/>
  <c r="X298" i="4462"/>
  <c r="Y298" i="4462"/>
  <c r="Z298" i="4462"/>
  <c r="AA298" i="4462"/>
  <c r="AB298" i="4462"/>
  <c r="AC298" i="4462"/>
  <c r="AD298" i="4462"/>
  <c r="AE298" i="4462"/>
  <c r="AF298" i="4462"/>
  <c r="AG298" i="4462"/>
  <c r="AH298" i="4462"/>
  <c r="AI298" i="4462"/>
  <c r="AJ298" i="4462"/>
  <c r="AK298" i="4462"/>
  <c r="AL298" i="4462"/>
  <c r="AM298" i="4462"/>
  <c r="AN298" i="4462"/>
  <c r="AO298" i="4462"/>
  <c r="AP298" i="4462"/>
  <c r="AQ298" i="4462"/>
  <c r="AR298" i="4462"/>
  <c r="AS298" i="4462"/>
  <c r="AT298" i="4462"/>
  <c r="AU298" i="4462"/>
  <c r="AV298" i="4462"/>
  <c r="AW298" i="4462"/>
  <c r="AX298" i="4462"/>
  <c r="AY298" i="4462"/>
  <c r="AZ298" i="4462"/>
  <c r="BA298" i="4462"/>
  <c r="BB298" i="4462"/>
  <c r="BC298" i="4462"/>
  <c r="BD298" i="4462"/>
  <c r="A299" i="4462"/>
  <c r="B299" i="4462"/>
  <c r="C299" i="4462"/>
  <c r="D299" i="4462"/>
  <c r="E299" i="4462"/>
  <c r="F299" i="4462"/>
  <c r="G299" i="4462"/>
  <c r="H299" i="4462"/>
  <c r="I299" i="4462"/>
  <c r="J299" i="4462"/>
  <c r="K299" i="4462"/>
  <c r="L299" i="4462"/>
  <c r="M299" i="4462"/>
  <c r="N299" i="4462"/>
  <c r="O299" i="4462"/>
  <c r="P299" i="4462"/>
  <c r="Q299" i="4462"/>
  <c r="R299" i="4462"/>
  <c r="S299" i="4462"/>
  <c r="T299" i="4462"/>
  <c r="U299" i="4462"/>
  <c r="V299" i="4462"/>
  <c r="W299" i="4462"/>
  <c r="X299" i="4462"/>
  <c r="Y299" i="4462"/>
  <c r="Z299" i="4462"/>
  <c r="AA299" i="4462"/>
  <c r="AB299" i="4462"/>
  <c r="AC299" i="4462"/>
  <c r="AD299" i="4462"/>
  <c r="AE299" i="4462"/>
  <c r="AF299" i="4462"/>
  <c r="AG299" i="4462"/>
  <c r="AH299" i="4462"/>
  <c r="AI299" i="4462"/>
  <c r="AJ299" i="4462"/>
  <c r="AK299" i="4462"/>
  <c r="AL299" i="4462"/>
  <c r="AM299" i="4462"/>
  <c r="AN299" i="4462"/>
  <c r="AO299" i="4462"/>
  <c r="AP299" i="4462"/>
  <c r="AQ299" i="4462"/>
  <c r="AR299" i="4462"/>
  <c r="AS299" i="4462"/>
  <c r="AT299" i="4462"/>
  <c r="AU299" i="4462"/>
  <c r="AV299" i="4462"/>
  <c r="AW299" i="4462"/>
  <c r="AX299" i="4462"/>
  <c r="AY299" i="4462"/>
  <c r="AZ299" i="4462"/>
  <c r="BA299" i="4462"/>
  <c r="BB299" i="4462"/>
  <c r="BC299" i="4462"/>
  <c r="BD299" i="4462"/>
  <c r="A300" i="4462"/>
  <c r="B300" i="4462"/>
  <c r="C300" i="4462"/>
  <c r="D300" i="4462"/>
  <c r="E300" i="4462"/>
  <c r="F300" i="4462"/>
  <c r="G300" i="4462"/>
  <c r="H300" i="4462"/>
  <c r="I300" i="4462"/>
  <c r="J300" i="4462"/>
  <c r="K300" i="4462"/>
  <c r="L300" i="4462"/>
  <c r="M300" i="4462"/>
  <c r="N300" i="4462"/>
  <c r="O300" i="4462"/>
  <c r="P300" i="4462"/>
  <c r="Q300" i="4462"/>
  <c r="R300" i="4462"/>
  <c r="S300" i="4462"/>
  <c r="T300" i="4462"/>
  <c r="U300" i="4462"/>
  <c r="V300" i="4462"/>
  <c r="W300" i="4462"/>
  <c r="X300" i="4462"/>
  <c r="Y300" i="4462"/>
  <c r="Z300" i="4462"/>
  <c r="AA300" i="4462"/>
  <c r="AB300" i="4462"/>
  <c r="AC300" i="4462"/>
  <c r="AD300" i="4462"/>
  <c r="AE300" i="4462"/>
  <c r="AF300" i="4462"/>
  <c r="AG300" i="4462"/>
  <c r="AH300" i="4462"/>
  <c r="AI300" i="4462"/>
  <c r="AJ300" i="4462"/>
  <c r="AK300" i="4462"/>
  <c r="AL300" i="4462"/>
  <c r="AM300" i="4462"/>
  <c r="AN300" i="4462"/>
  <c r="AO300" i="4462"/>
  <c r="AP300" i="4462"/>
  <c r="AQ300" i="4462"/>
  <c r="AR300" i="4462"/>
  <c r="AS300" i="4462"/>
  <c r="AT300" i="4462"/>
  <c r="AU300" i="4462"/>
  <c r="AV300" i="4462"/>
  <c r="AW300" i="4462"/>
  <c r="AX300" i="4462"/>
  <c r="AY300" i="4462"/>
  <c r="AZ300" i="4462"/>
  <c r="BA300" i="4462"/>
  <c r="BB300" i="4462"/>
  <c r="BC300" i="4462"/>
  <c r="BD300" i="4462"/>
  <c r="A301" i="4462"/>
  <c r="B301" i="4462"/>
  <c r="C301" i="4462"/>
  <c r="D301" i="4462"/>
  <c r="E301" i="4462"/>
  <c r="F301" i="4462"/>
  <c r="G301" i="4462"/>
  <c r="H301" i="4462"/>
  <c r="I301" i="4462"/>
  <c r="J301" i="4462"/>
  <c r="K301" i="4462"/>
  <c r="L301" i="4462"/>
  <c r="M301" i="4462"/>
  <c r="N301" i="4462"/>
  <c r="O301" i="4462"/>
  <c r="P301" i="4462"/>
  <c r="Q301" i="4462"/>
  <c r="R301" i="4462"/>
  <c r="S301" i="4462"/>
  <c r="T301" i="4462"/>
  <c r="U301" i="4462"/>
  <c r="V301" i="4462"/>
  <c r="W301" i="4462"/>
  <c r="X301" i="4462"/>
  <c r="Y301" i="4462"/>
  <c r="Z301" i="4462"/>
  <c r="AA301" i="4462"/>
  <c r="AB301" i="4462"/>
  <c r="AC301" i="4462"/>
  <c r="AD301" i="4462"/>
  <c r="AE301" i="4462"/>
  <c r="AF301" i="4462"/>
  <c r="AG301" i="4462"/>
  <c r="AH301" i="4462"/>
  <c r="AI301" i="4462"/>
  <c r="AJ301" i="4462"/>
  <c r="AK301" i="4462"/>
  <c r="AL301" i="4462"/>
  <c r="AM301" i="4462"/>
  <c r="AN301" i="4462"/>
  <c r="AO301" i="4462"/>
  <c r="AP301" i="4462"/>
  <c r="AQ301" i="4462"/>
  <c r="AR301" i="4462"/>
  <c r="AS301" i="4462"/>
  <c r="AT301" i="4462"/>
  <c r="AU301" i="4462"/>
  <c r="AV301" i="4462"/>
  <c r="AW301" i="4462"/>
  <c r="AX301" i="4462"/>
  <c r="AY301" i="4462"/>
  <c r="AZ301" i="4462"/>
  <c r="BA301" i="4462"/>
  <c r="BB301" i="4462"/>
  <c r="BC301" i="4462"/>
  <c r="BD301" i="4462"/>
  <c r="A302" i="4462"/>
  <c r="B302" i="4462"/>
  <c r="C302" i="4462"/>
  <c r="D302" i="4462"/>
  <c r="E302" i="4462"/>
  <c r="F302" i="4462"/>
  <c r="G302" i="4462"/>
  <c r="H302" i="4462"/>
  <c r="I302" i="4462"/>
  <c r="J302" i="4462"/>
  <c r="K302" i="4462"/>
  <c r="L302" i="4462"/>
  <c r="M302" i="4462"/>
  <c r="N302" i="4462"/>
  <c r="O302" i="4462"/>
  <c r="P302" i="4462"/>
  <c r="Q302" i="4462"/>
  <c r="R302" i="4462"/>
  <c r="S302" i="4462"/>
  <c r="T302" i="4462"/>
  <c r="U302" i="4462"/>
  <c r="V302" i="4462"/>
  <c r="W302" i="4462"/>
  <c r="X302" i="4462"/>
  <c r="Y302" i="4462"/>
  <c r="Z302" i="4462"/>
  <c r="AA302" i="4462"/>
  <c r="AB302" i="4462"/>
  <c r="AC302" i="4462"/>
  <c r="AD302" i="4462"/>
  <c r="AE302" i="4462"/>
  <c r="AF302" i="4462"/>
  <c r="AG302" i="4462"/>
  <c r="AH302" i="4462"/>
  <c r="AI302" i="4462"/>
  <c r="AJ302" i="4462"/>
  <c r="AK302" i="4462"/>
  <c r="AL302" i="4462"/>
  <c r="AM302" i="4462"/>
  <c r="AN302" i="4462"/>
  <c r="AO302" i="4462"/>
  <c r="AP302" i="4462"/>
  <c r="AQ302" i="4462"/>
  <c r="AR302" i="4462"/>
  <c r="AS302" i="4462"/>
  <c r="AT302" i="4462"/>
  <c r="AU302" i="4462"/>
  <c r="AV302" i="4462"/>
  <c r="AW302" i="4462"/>
  <c r="AX302" i="4462"/>
  <c r="AY302" i="4462"/>
  <c r="AZ302" i="4462"/>
  <c r="BA302" i="4462"/>
  <c r="BB302" i="4462"/>
  <c r="BC302" i="4462"/>
  <c r="BD302" i="4462"/>
  <c r="A303" i="4462"/>
  <c r="B303" i="4462"/>
  <c r="C303" i="4462"/>
  <c r="D303" i="4462"/>
  <c r="E303" i="4462"/>
  <c r="F303" i="4462"/>
  <c r="G303" i="4462"/>
  <c r="H303" i="4462"/>
  <c r="I303" i="4462"/>
  <c r="J303" i="4462"/>
  <c r="K303" i="4462"/>
  <c r="L303" i="4462"/>
  <c r="M303" i="4462"/>
  <c r="N303" i="4462"/>
  <c r="O303" i="4462"/>
  <c r="P303" i="4462"/>
  <c r="Q303" i="4462"/>
  <c r="R303" i="4462"/>
  <c r="S303" i="4462"/>
  <c r="T303" i="4462"/>
  <c r="U303" i="4462"/>
  <c r="V303" i="4462"/>
  <c r="W303" i="4462"/>
  <c r="X303" i="4462"/>
  <c r="Y303" i="4462"/>
  <c r="Z303" i="4462"/>
  <c r="AA303" i="4462"/>
  <c r="AB303" i="4462"/>
  <c r="AC303" i="4462"/>
  <c r="AD303" i="4462"/>
  <c r="AE303" i="4462"/>
  <c r="AF303" i="4462"/>
  <c r="AG303" i="4462"/>
  <c r="AH303" i="4462"/>
  <c r="AI303" i="4462"/>
  <c r="AJ303" i="4462"/>
  <c r="AK303" i="4462"/>
  <c r="AL303" i="4462"/>
  <c r="AM303" i="4462"/>
  <c r="AN303" i="4462"/>
  <c r="AO303" i="4462"/>
  <c r="AP303" i="4462"/>
  <c r="AQ303" i="4462"/>
  <c r="AR303" i="4462"/>
  <c r="AS303" i="4462"/>
  <c r="AT303" i="4462"/>
  <c r="AU303" i="4462"/>
  <c r="AV303" i="4462"/>
  <c r="AW303" i="4462"/>
  <c r="AX303" i="4462"/>
  <c r="AY303" i="4462"/>
  <c r="AZ303" i="4462"/>
  <c r="BA303" i="4462"/>
  <c r="BB303" i="4462"/>
  <c r="BC303" i="4462"/>
  <c r="BD303" i="4462"/>
  <c r="A304" i="4462"/>
  <c r="B304" i="4462"/>
  <c r="C304" i="4462"/>
  <c r="D304" i="4462"/>
  <c r="E304" i="4462"/>
  <c r="F304" i="4462"/>
  <c r="G304" i="4462"/>
  <c r="H304" i="4462"/>
  <c r="I304" i="4462"/>
  <c r="J304" i="4462"/>
  <c r="K304" i="4462"/>
  <c r="L304" i="4462"/>
  <c r="M304" i="4462"/>
  <c r="N304" i="4462"/>
  <c r="O304" i="4462"/>
  <c r="P304" i="4462"/>
  <c r="Q304" i="4462"/>
  <c r="R304" i="4462"/>
  <c r="S304" i="4462"/>
  <c r="T304" i="4462"/>
  <c r="U304" i="4462"/>
  <c r="V304" i="4462"/>
  <c r="W304" i="4462"/>
  <c r="X304" i="4462"/>
  <c r="Y304" i="4462"/>
  <c r="Z304" i="4462"/>
  <c r="AA304" i="4462"/>
  <c r="AB304" i="4462"/>
  <c r="AC304" i="4462"/>
  <c r="AD304" i="4462"/>
  <c r="AE304" i="4462"/>
  <c r="AF304" i="4462"/>
  <c r="AG304" i="4462"/>
  <c r="AH304" i="4462"/>
  <c r="AI304" i="4462"/>
  <c r="AJ304" i="4462"/>
  <c r="AK304" i="4462"/>
  <c r="AL304" i="4462"/>
  <c r="AM304" i="4462"/>
  <c r="AN304" i="4462"/>
  <c r="AO304" i="4462"/>
  <c r="AP304" i="4462"/>
  <c r="AQ304" i="4462"/>
  <c r="AR304" i="4462"/>
  <c r="AS304" i="4462"/>
  <c r="AT304" i="4462"/>
  <c r="AU304" i="4462"/>
  <c r="AV304" i="4462"/>
  <c r="AW304" i="4462"/>
  <c r="AX304" i="4462"/>
  <c r="AY304" i="4462"/>
  <c r="AZ304" i="4462"/>
  <c r="BA304" i="4462"/>
  <c r="BB304" i="4462"/>
  <c r="BC304" i="4462"/>
  <c r="BD304" i="4462"/>
  <c r="A305" i="4462"/>
  <c r="B305" i="4462"/>
  <c r="C305" i="4462"/>
  <c r="D305" i="4462"/>
  <c r="E305" i="4462"/>
  <c r="F305" i="4462"/>
  <c r="G305" i="4462"/>
  <c r="H305" i="4462"/>
  <c r="I305" i="4462"/>
  <c r="J305" i="4462"/>
  <c r="K305" i="4462"/>
  <c r="L305" i="4462"/>
  <c r="M305" i="4462"/>
  <c r="N305" i="4462"/>
  <c r="O305" i="4462"/>
  <c r="P305" i="4462"/>
  <c r="Q305" i="4462"/>
  <c r="R305" i="4462"/>
  <c r="S305" i="4462"/>
  <c r="T305" i="4462"/>
  <c r="U305" i="4462"/>
  <c r="V305" i="4462"/>
  <c r="W305" i="4462"/>
  <c r="X305" i="4462"/>
  <c r="Y305" i="4462"/>
  <c r="Z305" i="4462"/>
  <c r="AA305" i="4462"/>
  <c r="AB305" i="4462"/>
  <c r="AC305" i="4462"/>
  <c r="AD305" i="4462"/>
  <c r="AE305" i="4462"/>
  <c r="AF305" i="4462"/>
  <c r="AG305" i="4462"/>
  <c r="AH305" i="4462"/>
  <c r="AI305" i="4462"/>
  <c r="AJ305" i="4462"/>
  <c r="AK305" i="4462"/>
  <c r="AL305" i="4462"/>
  <c r="AM305" i="4462"/>
  <c r="AN305" i="4462"/>
  <c r="AO305" i="4462"/>
  <c r="AP305" i="4462"/>
  <c r="AQ305" i="4462"/>
  <c r="AR305" i="4462"/>
  <c r="AS305" i="4462"/>
  <c r="AT305" i="4462"/>
  <c r="AU305" i="4462"/>
  <c r="AV305" i="4462"/>
  <c r="AW305" i="4462"/>
  <c r="AX305" i="4462"/>
  <c r="AY305" i="4462"/>
  <c r="AZ305" i="4462"/>
  <c r="BA305" i="4462"/>
  <c r="BB305" i="4462"/>
  <c r="BC305" i="4462"/>
  <c r="BD305" i="4462"/>
  <c r="A306" i="4462"/>
  <c r="B306" i="4462"/>
  <c r="C306" i="4462"/>
  <c r="D306" i="4462"/>
  <c r="E306" i="4462"/>
  <c r="F306" i="4462"/>
  <c r="G306" i="4462"/>
  <c r="H306" i="4462"/>
  <c r="I306" i="4462"/>
  <c r="J306" i="4462"/>
  <c r="K306" i="4462"/>
  <c r="L306" i="4462"/>
  <c r="M306" i="4462"/>
  <c r="N306" i="4462"/>
  <c r="O306" i="4462"/>
  <c r="P306" i="4462"/>
  <c r="Q306" i="4462"/>
  <c r="R306" i="4462"/>
  <c r="S306" i="4462"/>
  <c r="T306" i="4462"/>
  <c r="U306" i="4462"/>
  <c r="V306" i="4462"/>
  <c r="W306" i="4462"/>
  <c r="X306" i="4462"/>
  <c r="Y306" i="4462"/>
  <c r="Z306" i="4462"/>
  <c r="AA306" i="4462"/>
  <c r="AB306" i="4462"/>
  <c r="AC306" i="4462"/>
  <c r="AD306" i="4462"/>
  <c r="AE306" i="4462"/>
  <c r="AF306" i="4462"/>
  <c r="AG306" i="4462"/>
  <c r="AH306" i="4462"/>
  <c r="AI306" i="4462"/>
  <c r="AJ306" i="4462"/>
  <c r="AK306" i="4462"/>
  <c r="AL306" i="4462"/>
  <c r="AM306" i="4462"/>
  <c r="AN306" i="4462"/>
  <c r="AO306" i="4462"/>
  <c r="AP306" i="4462"/>
  <c r="AQ306" i="4462"/>
  <c r="AR306" i="4462"/>
  <c r="AS306" i="4462"/>
  <c r="AT306" i="4462"/>
  <c r="AU306" i="4462"/>
  <c r="AV306" i="4462"/>
  <c r="AW306" i="4462"/>
  <c r="AX306" i="4462"/>
  <c r="AY306" i="4462"/>
  <c r="AZ306" i="4462"/>
  <c r="BA306" i="4462"/>
  <c r="BB306" i="4462"/>
  <c r="BC306" i="4462"/>
  <c r="BD306" i="4462"/>
  <c r="A307" i="4462"/>
  <c r="B307" i="4462"/>
  <c r="C307" i="4462"/>
  <c r="D307" i="4462"/>
  <c r="E307" i="4462"/>
  <c r="F307" i="4462"/>
  <c r="G307" i="4462"/>
  <c r="H307" i="4462"/>
  <c r="I307" i="4462"/>
  <c r="J307" i="4462"/>
  <c r="K307" i="4462"/>
  <c r="L307" i="4462"/>
  <c r="M307" i="4462"/>
  <c r="N307" i="4462"/>
  <c r="O307" i="4462"/>
  <c r="P307" i="4462"/>
  <c r="Q307" i="4462"/>
  <c r="R307" i="4462"/>
  <c r="S307" i="4462"/>
  <c r="T307" i="4462"/>
  <c r="U307" i="4462"/>
  <c r="V307" i="4462"/>
  <c r="W307" i="4462"/>
  <c r="X307" i="4462"/>
  <c r="Y307" i="4462"/>
  <c r="Z307" i="4462"/>
  <c r="AA307" i="4462"/>
  <c r="AB307" i="4462"/>
  <c r="AC307" i="4462"/>
  <c r="AD307" i="4462"/>
  <c r="AE307" i="4462"/>
  <c r="AF307" i="4462"/>
  <c r="AG307" i="4462"/>
  <c r="AH307" i="4462"/>
  <c r="AI307" i="4462"/>
  <c r="AJ307" i="4462"/>
  <c r="AK307" i="4462"/>
  <c r="AL307" i="4462"/>
  <c r="AM307" i="4462"/>
  <c r="AN307" i="4462"/>
  <c r="AO307" i="4462"/>
  <c r="AP307" i="4462"/>
  <c r="AQ307" i="4462"/>
  <c r="AR307" i="4462"/>
  <c r="AS307" i="4462"/>
  <c r="AT307" i="4462"/>
  <c r="AU307" i="4462"/>
  <c r="AV307" i="4462"/>
  <c r="AW307" i="4462"/>
  <c r="AX307" i="4462"/>
  <c r="AY307" i="4462"/>
  <c r="AZ307" i="4462"/>
  <c r="BA307" i="4462"/>
  <c r="BB307" i="4462"/>
  <c r="BC307" i="4462"/>
  <c r="BD307" i="4462"/>
  <c r="A308" i="4462"/>
  <c r="B308" i="4462"/>
  <c r="C308" i="4462"/>
  <c r="D308" i="4462"/>
  <c r="E308" i="4462"/>
  <c r="F308" i="4462"/>
  <c r="G308" i="4462"/>
  <c r="H308" i="4462"/>
  <c r="I308" i="4462"/>
  <c r="J308" i="4462"/>
  <c r="K308" i="4462"/>
  <c r="L308" i="4462"/>
  <c r="M308" i="4462"/>
  <c r="N308" i="4462"/>
  <c r="O308" i="4462"/>
  <c r="P308" i="4462"/>
  <c r="Q308" i="4462"/>
  <c r="R308" i="4462"/>
  <c r="S308" i="4462"/>
  <c r="T308" i="4462"/>
  <c r="U308" i="4462"/>
  <c r="V308" i="4462"/>
  <c r="W308" i="4462"/>
  <c r="X308" i="4462"/>
  <c r="Y308" i="4462"/>
  <c r="Z308" i="4462"/>
  <c r="AA308" i="4462"/>
  <c r="AB308" i="4462"/>
  <c r="AC308" i="4462"/>
  <c r="AD308" i="4462"/>
  <c r="AE308" i="4462"/>
  <c r="AF308" i="4462"/>
  <c r="AG308" i="4462"/>
  <c r="AH308" i="4462"/>
  <c r="AI308" i="4462"/>
  <c r="AJ308" i="4462"/>
  <c r="AK308" i="4462"/>
  <c r="AL308" i="4462"/>
  <c r="AM308" i="4462"/>
  <c r="AN308" i="4462"/>
  <c r="AO308" i="4462"/>
  <c r="AP308" i="4462"/>
  <c r="AQ308" i="4462"/>
  <c r="AR308" i="4462"/>
  <c r="AS308" i="4462"/>
  <c r="AT308" i="4462"/>
  <c r="AU308" i="4462"/>
  <c r="AV308" i="4462"/>
  <c r="AW308" i="4462"/>
  <c r="AX308" i="4462"/>
  <c r="AY308" i="4462"/>
  <c r="AZ308" i="4462"/>
  <c r="BA308" i="4462"/>
  <c r="BB308" i="4462"/>
  <c r="BC308" i="4462"/>
  <c r="BD308" i="4462"/>
  <c r="A309" i="4462"/>
  <c r="B309" i="4462"/>
  <c r="C309" i="4462"/>
  <c r="D309" i="4462"/>
  <c r="E309" i="4462"/>
  <c r="F309" i="4462"/>
  <c r="G309" i="4462"/>
  <c r="H309" i="4462"/>
  <c r="I309" i="4462"/>
  <c r="J309" i="4462"/>
  <c r="K309" i="4462"/>
  <c r="L309" i="4462"/>
  <c r="M309" i="4462"/>
  <c r="N309" i="4462"/>
  <c r="O309" i="4462"/>
  <c r="P309" i="4462"/>
  <c r="Q309" i="4462"/>
  <c r="R309" i="4462"/>
  <c r="S309" i="4462"/>
  <c r="T309" i="4462"/>
  <c r="U309" i="4462"/>
  <c r="V309" i="4462"/>
  <c r="W309" i="4462"/>
  <c r="X309" i="4462"/>
  <c r="Y309" i="4462"/>
  <c r="Z309" i="4462"/>
  <c r="AA309" i="4462"/>
  <c r="AB309" i="4462"/>
  <c r="AC309" i="4462"/>
  <c r="AD309" i="4462"/>
  <c r="AE309" i="4462"/>
  <c r="AF309" i="4462"/>
  <c r="AG309" i="4462"/>
  <c r="AH309" i="4462"/>
  <c r="AI309" i="4462"/>
  <c r="AJ309" i="4462"/>
  <c r="AK309" i="4462"/>
  <c r="AL309" i="4462"/>
  <c r="AM309" i="4462"/>
  <c r="AN309" i="4462"/>
  <c r="AO309" i="4462"/>
  <c r="AP309" i="4462"/>
  <c r="AQ309" i="4462"/>
  <c r="AR309" i="4462"/>
  <c r="AS309" i="4462"/>
  <c r="AT309" i="4462"/>
  <c r="AU309" i="4462"/>
  <c r="AV309" i="4462"/>
  <c r="AW309" i="4462"/>
  <c r="AX309" i="4462"/>
  <c r="AY309" i="4462"/>
  <c r="AZ309" i="4462"/>
  <c r="BA309" i="4462"/>
  <c r="BB309" i="4462"/>
  <c r="BC309" i="4462"/>
  <c r="BD309" i="4462"/>
  <c r="A310" i="4462"/>
  <c r="B310" i="4462"/>
  <c r="C310" i="4462"/>
  <c r="D310" i="4462"/>
  <c r="E310" i="4462"/>
  <c r="F310" i="4462"/>
  <c r="G310" i="4462"/>
  <c r="H310" i="4462"/>
  <c r="I310" i="4462"/>
  <c r="J310" i="4462"/>
  <c r="K310" i="4462"/>
  <c r="L310" i="4462"/>
  <c r="M310" i="4462"/>
  <c r="N310" i="4462"/>
  <c r="O310" i="4462"/>
  <c r="P310" i="4462"/>
  <c r="Q310" i="4462"/>
  <c r="R310" i="4462"/>
  <c r="S310" i="4462"/>
  <c r="T310" i="4462"/>
  <c r="U310" i="4462"/>
  <c r="V310" i="4462"/>
  <c r="W310" i="4462"/>
  <c r="X310" i="4462"/>
  <c r="Y310" i="4462"/>
  <c r="Z310" i="4462"/>
  <c r="AA310" i="4462"/>
  <c r="AB310" i="4462"/>
  <c r="AC310" i="4462"/>
  <c r="AD310" i="4462"/>
  <c r="AE310" i="4462"/>
  <c r="AF310" i="4462"/>
  <c r="AG310" i="4462"/>
  <c r="AH310" i="4462"/>
  <c r="AI310" i="4462"/>
  <c r="AJ310" i="4462"/>
  <c r="AK310" i="4462"/>
  <c r="AL310" i="4462"/>
  <c r="AM310" i="4462"/>
  <c r="AN310" i="4462"/>
  <c r="AO310" i="4462"/>
  <c r="AP310" i="4462"/>
  <c r="AQ310" i="4462"/>
  <c r="AR310" i="4462"/>
  <c r="AS310" i="4462"/>
  <c r="AT310" i="4462"/>
  <c r="AU310" i="4462"/>
  <c r="AV310" i="4462"/>
  <c r="AW310" i="4462"/>
  <c r="AX310" i="4462"/>
  <c r="AY310" i="4462"/>
  <c r="AZ310" i="4462"/>
  <c r="BA310" i="4462"/>
  <c r="BB310" i="4462"/>
  <c r="BC310" i="4462"/>
  <c r="BD310" i="4462"/>
  <c r="A311" i="4462"/>
  <c r="B311" i="4462"/>
  <c r="C311" i="4462"/>
  <c r="D311" i="4462"/>
  <c r="E311" i="4462"/>
  <c r="F311" i="4462"/>
  <c r="G311" i="4462"/>
  <c r="H311" i="4462"/>
  <c r="I311" i="4462"/>
  <c r="J311" i="4462"/>
  <c r="K311" i="4462"/>
  <c r="L311" i="4462"/>
  <c r="M311" i="4462"/>
  <c r="N311" i="4462"/>
  <c r="O311" i="4462"/>
  <c r="P311" i="4462"/>
  <c r="Q311" i="4462"/>
  <c r="R311" i="4462"/>
  <c r="S311" i="4462"/>
  <c r="T311" i="4462"/>
  <c r="U311" i="4462"/>
  <c r="V311" i="4462"/>
  <c r="W311" i="4462"/>
  <c r="X311" i="4462"/>
  <c r="Y311" i="4462"/>
  <c r="Z311" i="4462"/>
  <c r="AA311" i="4462"/>
  <c r="AB311" i="4462"/>
  <c r="AC311" i="4462"/>
  <c r="AD311" i="4462"/>
  <c r="AE311" i="4462"/>
  <c r="AF311" i="4462"/>
  <c r="AG311" i="4462"/>
  <c r="AH311" i="4462"/>
  <c r="AI311" i="4462"/>
  <c r="AJ311" i="4462"/>
  <c r="AK311" i="4462"/>
  <c r="AL311" i="4462"/>
  <c r="AM311" i="4462"/>
  <c r="AN311" i="4462"/>
  <c r="AO311" i="4462"/>
  <c r="AP311" i="4462"/>
  <c r="AQ311" i="4462"/>
  <c r="AR311" i="4462"/>
  <c r="AS311" i="4462"/>
  <c r="AT311" i="4462"/>
  <c r="AU311" i="4462"/>
  <c r="AV311" i="4462"/>
  <c r="AW311" i="4462"/>
  <c r="AX311" i="4462"/>
  <c r="AY311" i="4462"/>
  <c r="AZ311" i="4462"/>
  <c r="BA311" i="4462"/>
  <c r="BB311" i="4462"/>
  <c r="BC311" i="4462"/>
  <c r="BD311" i="4462"/>
  <c r="A312" i="4462"/>
  <c r="B312" i="4462"/>
  <c r="C312" i="4462"/>
  <c r="D312" i="4462"/>
  <c r="E312" i="4462"/>
  <c r="F312" i="4462"/>
  <c r="G312" i="4462"/>
  <c r="H312" i="4462"/>
  <c r="I312" i="4462"/>
  <c r="J312" i="4462"/>
  <c r="K312" i="4462"/>
  <c r="L312" i="4462"/>
  <c r="M312" i="4462"/>
  <c r="N312" i="4462"/>
  <c r="O312" i="4462"/>
  <c r="P312" i="4462"/>
  <c r="Q312" i="4462"/>
  <c r="R312" i="4462"/>
  <c r="S312" i="4462"/>
  <c r="T312" i="4462"/>
  <c r="U312" i="4462"/>
  <c r="V312" i="4462"/>
  <c r="W312" i="4462"/>
  <c r="X312" i="4462"/>
  <c r="Y312" i="4462"/>
  <c r="Z312" i="4462"/>
  <c r="AA312" i="4462"/>
  <c r="AB312" i="4462"/>
  <c r="AC312" i="4462"/>
  <c r="AD312" i="4462"/>
  <c r="AE312" i="4462"/>
  <c r="AF312" i="4462"/>
  <c r="AG312" i="4462"/>
  <c r="AH312" i="4462"/>
  <c r="AI312" i="4462"/>
  <c r="AJ312" i="4462"/>
  <c r="AK312" i="4462"/>
  <c r="AL312" i="4462"/>
  <c r="AM312" i="4462"/>
  <c r="AN312" i="4462"/>
  <c r="AO312" i="4462"/>
  <c r="AP312" i="4462"/>
  <c r="AQ312" i="4462"/>
  <c r="AR312" i="4462"/>
  <c r="AS312" i="4462"/>
  <c r="AT312" i="4462"/>
  <c r="AU312" i="4462"/>
  <c r="AV312" i="4462"/>
  <c r="AW312" i="4462"/>
  <c r="AX312" i="4462"/>
  <c r="AY312" i="4462"/>
  <c r="AZ312" i="4462"/>
  <c r="BA312" i="4462"/>
  <c r="BB312" i="4462"/>
  <c r="BC312" i="4462"/>
  <c r="BD312" i="4462"/>
  <c r="A313" i="4462"/>
  <c r="B313" i="4462"/>
  <c r="C313" i="4462"/>
  <c r="D313" i="4462"/>
  <c r="E313" i="4462"/>
  <c r="F313" i="4462"/>
  <c r="G313" i="4462"/>
  <c r="H313" i="4462"/>
  <c r="I313" i="4462"/>
  <c r="J313" i="4462"/>
  <c r="K313" i="4462"/>
  <c r="L313" i="4462"/>
  <c r="M313" i="4462"/>
  <c r="N313" i="4462"/>
  <c r="O313" i="4462"/>
  <c r="P313" i="4462"/>
  <c r="Q313" i="4462"/>
  <c r="R313" i="4462"/>
  <c r="S313" i="4462"/>
  <c r="T313" i="4462"/>
  <c r="U313" i="4462"/>
  <c r="V313" i="4462"/>
  <c r="W313" i="4462"/>
  <c r="X313" i="4462"/>
  <c r="Y313" i="4462"/>
  <c r="Z313" i="4462"/>
  <c r="AA313" i="4462"/>
  <c r="AB313" i="4462"/>
  <c r="AC313" i="4462"/>
  <c r="AD313" i="4462"/>
  <c r="AE313" i="4462"/>
  <c r="AF313" i="4462"/>
  <c r="AG313" i="4462"/>
  <c r="AH313" i="4462"/>
  <c r="AI313" i="4462"/>
  <c r="AJ313" i="4462"/>
  <c r="AK313" i="4462"/>
  <c r="AL313" i="4462"/>
  <c r="AM313" i="4462"/>
  <c r="AN313" i="4462"/>
  <c r="AO313" i="4462"/>
  <c r="AP313" i="4462"/>
  <c r="AQ313" i="4462"/>
  <c r="AR313" i="4462"/>
  <c r="AS313" i="4462"/>
  <c r="AT313" i="4462"/>
  <c r="AU313" i="4462"/>
  <c r="AV313" i="4462"/>
  <c r="AW313" i="4462"/>
  <c r="AX313" i="4462"/>
  <c r="AY313" i="4462"/>
  <c r="AZ313" i="4462"/>
  <c r="BA313" i="4462"/>
  <c r="BB313" i="4462"/>
  <c r="BC313" i="4462"/>
  <c r="BD313" i="4462"/>
  <c r="A314" i="4462"/>
  <c r="B314" i="4462"/>
  <c r="C314" i="4462"/>
  <c r="D314" i="4462"/>
  <c r="E314" i="4462"/>
  <c r="F314" i="4462"/>
  <c r="G314" i="4462"/>
  <c r="H314" i="4462"/>
  <c r="I314" i="4462"/>
  <c r="J314" i="4462"/>
  <c r="K314" i="4462"/>
  <c r="L314" i="4462"/>
  <c r="M314" i="4462"/>
  <c r="N314" i="4462"/>
  <c r="O314" i="4462"/>
  <c r="P314" i="4462"/>
  <c r="Q314" i="4462"/>
  <c r="R314" i="4462"/>
  <c r="S314" i="4462"/>
  <c r="T314" i="4462"/>
  <c r="U314" i="4462"/>
  <c r="V314" i="4462"/>
  <c r="W314" i="4462"/>
  <c r="X314" i="4462"/>
  <c r="Y314" i="4462"/>
  <c r="Z314" i="4462"/>
  <c r="AA314" i="4462"/>
  <c r="AB314" i="4462"/>
  <c r="AC314" i="4462"/>
  <c r="AD314" i="4462"/>
  <c r="AE314" i="4462"/>
  <c r="AF314" i="4462"/>
  <c r="AG314" i="4462"/>
  <c r="AH314" i="4462"/>
  <c r="AI314" i="4462"/>
  <c r="AJ314" i="4462"/>
  <c r="AK314" i="4462"/>
  <c r="AL314" i="4462"/>
  <c r="AM314" i="4462"/>
  <c r="AN314" i="4462"/>
  <c r="AO314" i="4462"/>
  <c r="AP314" i="4462"/>
  <c r="AQ314" i="4462"/>
  <c r="AR314" i="4462"/>
  <c r="AS314" i="4462"/>
  <c r="AT314" i="4462"/>
  <c r="AU314" i="4462"/>
  <c r="AV314" i="4462"/>
  <c r="AW314" i="4462"/>
  <c r="AX314" i="4462"/>
  <c r="AY314" i="4462"/>
  <c r="AZ314" i="4462"/>
  <c r="BA314" i="4462"/>
  <c r="BB314" i="4462"/>
  <c r="BC314" i="4462"/>
  <c r="BD314" i="4462"/>
  <c r="A315" i="4462"/>
  <c r="B315" i="4462"/>
  <c r="C315" i="4462"/>
  <c r="D315" i="4462"/>
  <c r="E315" i="4462"/>
  <c r="F315" i="4462"/>
  <c r="G315" i="4462"/>
  <c r="H315" i="4462"/>
  <c r="I315" i="4462"/>
  <c r="J315" i="4462"/>
  <c r="K315" i="4462"/>
  <c r="L315" i="4462"/>
  <c r="M315" i="4462"/>
  <c r="N315" i="4462"/>
  <c r="O315" i="4462"/>
  <c r="P315" i="4462"/>
  <c r="Q315" i="4462"/>
  <c r="R315" i="4462"/>
  <c r="S315" i="4462"/>
  <c r="T315" i="4462"/>
  <c r="U315" i="4462"/>
  <c r="V315" i="4462"/>
  <c r="W315" i="4462"/>
  <c r="X315" i="4462"/>
  <c r="Y315" i="4462"/>
  <c r="Z315" i="4462"/>
  <c r="AA315" i="4462"/>
  <c r="AB315" i="4462"/>
  <c r="AC315" i="4462"/>
  <c r="AD315" i="4462"/>
  <c r="AE315" i="4462"/>
  <c r="AF315" i="4462"/>
  <c r="AG315" i="4462"/>
  <c r="AH315" i="4462"/>
  <c r="AI315" i="4462"/>
  <c r="AJ315" i="4462"/>
  <c r="AK315" i="4462"/>
  <c r="AL315" i="4462"/>
  <c r="AM315" i="4462"/>
  <c r="AN315" i="4462"/>
  <c r="AO315" i="4462"/>
  <c r="AP315" i="4462"/>
  <c r="AQ315" i="4462"/>
  <c r="AR315" i="4462"/>
  <c r="AS315" i="4462"/>
  <c r="AT315" i="4462"/>
  <c r="AU315" i="4462"/>
  <c r="AV315" i="4462"/>
  <c r="AW315" i="4462"/>
  <c r="AX315" i="4462"/>
  <c r="AY315" i="4462"/>
  <c r="AZ315" i="4462"/>
  <c r="BA315" i="4462"/>
  <c r="BB315" i="4462"/>
  <c r="BC315" i="4462"/>
  <c r="BD315" i="4462"/>
  <c r="A316" i="4462"/>
  <c r="B316" i="4462"/>
  <c r="C316" i="4462"/>
  <c r="D316" i="4462"/>
  <c r="E316" i="4462"/>
  <c r="F316" i="4462"/>
  <c r="G316" i="4462"/>
  <c r="H316" i="4462"/>
  <c r="I316" i="4462"/>
  <c r="J316" i="4462"/>
  <c r="K316" i="4462"/>
  <c r="L316" i="4462"/>
  <c r="M316" i="4462"/>
  <c r="N316" i="4462"/>
  <c r="O316" i="4462"/>
  <c r="P316" i="4462"/>
  <c r="Q316" i="4462"/>
  <c r="R316" i="4462"/>
  <c r="S316" i="4462"/>
  <c r="T316" i="4462"/>
  <c r="U316" i="4462"/>
  <c r="V316" i="4462"/>
  <c r="W316" i="4462"/>
  <c r="X316" i="4462"/>
  <c r="Y316" i="4462"/>
  <c r="Z316" i="4462"/>
  <c r="AA316" i="4462"/>
  <c r="AB316" i="4462"/>
  <c r="AC316" i="4462"/>
  <c r="AD316" i="4462"/>
  <c r="AE316" i="4462"/>
  <c r="AF316" i="4462"/>
  <c r="AG316" i="4462"/>
  <c r="AH316" i="4462"/>
  <c r="AI316" i="4462"/>
  <c r="AJ316" i="4462"/>
  <c r="AK316" i="4462"/>
  <c r="AL316" i="4462"/>
  <c r="AM316" i="4462"/>
  <c r="AN316" i="4462"/>
  <c r="AO316" i="4462"/>
  <c r="AP316" i="4462"/>
  <c r="AQ316" i="4462"/>
  <c r="AR316" i="4462"/>
  <c r="AS316" i="4462"/>
  <c r="AT316" i="4462"/>
  <c r="AU316" i="4462"/>
  <c r="AV316" i="4462"/>
  <c r="AW316" i="4462"/>
  <c r="AX316" i="4462"/>
  <c r="AY316" i="4462"/>
  <c r="AZ316" i="4462"/>
  <c r="BA316" i="4462"/>
  <c r="BB316" i="4462"/>
  <c r="BC316" i="4462"/>
  <c r="BD316" i="4462"/>
  <c r="A317" i="4462"/>
  <c r="B317" i="4462"/>
  <c r="C317" i="4462"/>
  <c r="D317" i="4462"/>
  <c r="E317" i="4462"/>
  <c r="F317" i="4462"/>
  <c r="G317" i="4462"/>
  <c r="H317" i="4462"/>
  <c r="I317" i="4462"/>
  <c r="J317" i="4462"/>
  <c r="K317" i="4462"/>
  <c r="L317" i="4462"/>
  <c r="M317" i="4462"/>
  <c r="N317" i="4462"/>
  <c r="O317" i="4462"/>
  <c r="P317" i="4462"/>
  <c r="Q317" i="4462"/>
  <c r="R317" i="4462"/>
  <c r="S317" i="4462"/>
  <c r="T317" i="4462"/>
  <c r="U317" i="4462"/>
  <c r="V317" i="4462"/>
  <c r="W317" i="4462"/>
  <c r="X317" i="4462"/>
  <c r="Y317" i="4462"/>
  <c r="Z317" i="4462"/>
  <c r="AA317" i="4462"/>
  <c r="AB317" i="4462"/>
  <c r="AC317" i="4462"/>
  <c r="AD317" i="4462"/>
  <c r="AE317" i="4462"/>
  <c r="AF317" i="4462"/>
  <c r="AG317" i="4462"/>
  <c r="AH317" i="4462"/>
  <c r="AI317" i="4462"/>
  <c r="AJ317" i="4462"/>
  <c r="AK317" i="4462"/>
  <c r="AL317" i="4462"/>
  <c r="AM317" i="4462"/>
  <c r="AN317" i="4462"/>
  <c r="AO317" i="4462"/>
  <c r="AP317" i="4462"/>
  <c r="AQ317" i="4462"/>
  <c r="AR317" i="4462"/>
  <c r="AS317" i="4462"/>
  <c r="AT317" i="4462"/>
  <c r="AU317" i="4462"/>
  <c r="AV317" i="4462"/>
  <c r="AW317" i="4462"/>
  <c r="AX317" i="4462"/>
  <c r="AY317" i="4462"/>
  <c r="AZ317" i="4462"/>
  <c r="BA317" i="4462"/>
  <c r="BB317" i="4462"/>
  <c r="BC317" i="4462"/>
  <c r="BD317" i="4462"/>
  <c r="A318" i="4462"/>
  <c r="B318" i="4462"/>
  <c r="C318" i="4462"/>
  <c r="D318" i="4462"/>
  <c r="E318" i="4462"/>
  <c r="F318" i="4462"/>
  <c r="G318" i="4462"/>
  <c r="H318" i="4462"/>
  <c r="I318" i="4462"/>
  <c r="J318" i="4462"/>
  <c r="K318" i="4462"/>
  <c r="L318" i="4462"/>
  <c r="M318" i="4462"/>
  <c r="N318" i="4462"/>
  <c r="O318" i="4462"/>
  <c r="P318" i="4462"/>
  <c r="Q318" i="4462"/>
  <c r="R318" i="4462"/>
  <c r="S318" i="4462"/>
  <c r="T318" i="4462"/>
  <c r="U318" i="4462"/>
  <c r="V318" i="4462"/>
  <c r="W318" i="4462"/>
  <c r="X318" i="4462"/>
  <c r="Y318" i="4462"/>
  <c r="Z318" i="4462"/>
  <c r="AA318" i="4462"/>
  <c r="AB318" i="4462"/>
  <c r="AC318" i="4462"/>
  <c r="AD318" i="4462"/>
  <c r="AE318" i="4462"/>
  <c r="AF318" i="4462"/>
  <c r="AG318" i="4462"/>
  <c r="AH318" i="4462"/>
  <c r="AI318" i="4462"/>
  <c r="AJ318" i="4462"/>
  <c r="AK318" i="4462"/>
  <c r="AL318" i="4462"/>
  <c r="AM318" i="4462"/>
  <c r="AN318" i="4462"/>
  <c r="AO318" i="4462"/>
  <c r="AP318" i="4462"/>
  <c r="AQ318" i="4462"/>
  <c r="AR318" i="4462"/>
  <c r="AS318" i="4462"/>
  <c r="AT318" i="4462"/>
  <c r="AU318" i="4462"/>
  <c r="AV318" i="4462"/>
  <c r="AW318" i="4462"/>
  <c r="AX318" i="4462"/>
  <c r="AY318" i="4462"/>
  <c r="AZ318" i="4462"/>
  <c r="BA318" i="4462"/>
  <c r="BB318" i="4462"/>
  <c r="BC318" i="4462"/>
  <c r="BD318" i="4462"/>
  <c r="A319" i="4462"/>
  <c r="B319" i="4462"/>
  <c r="C319" i="4462"/>
  <c r="D319" i="4462"/>
  <c r="E319" i="4462"/>
  <c r="F319" i="4462"/>
  <c r="G319" i="4462"/>
  <c r="H319" i="4462"/>
  <c r="I319" i="4462"/>
  <c r="J319" i="4462"/>
  <c r="K319" i="4462"/>
  <c r="L319" i="4462"/>
  <c r="M319" i="4462"/>
  <c r="N319" i="4462"/>
  <c r="O319" i="4462"/>
  <c r="P319" i="4462"/>
  <c r="Q319" i="4462"/>
  <c r="R319" i="4462"/>
  <c r="S319" i="4462"/>
  <c r="T319" i="4462"/>
  <c r="U319" i="4462"/>
  <c r="V319" i="4462"/>
  <c r="W319" i="4462"/>
  <c r="X319" i="4462"/>
  <c r="Y319" i="4462"/>
  <c r="Z319" i="4462"/>
  <c r="AA319" i="4462"/>
  <c r="AB319" i="4462"/>
  <c r="AC319" i="4462"/>
  <c r="AD319" i="4462"/>
  <c r="AE319" i="4462"/>
  <c r="AF319" i="4462"/>
  <c r="AG319" i="4462"/>
  <c r="AH319" i="4462"/>
  <c r="AI319" i="4462"/>
  <c r="AJ319" i="4462"/>
  <c r="AK319" i="4462"/>
  <c r="AL319" i="4462"/>
  <c r="AM319" i="4462"/>
  <c r="AN319" i="4462"/>
  <c r="AO319" i="4462"/>
  <c r="AP319" i="4462"/>
  <c r="AQ319" i="4462"/>
  <c r="AR319" i="4462"/>
  <c r="AS319" i="4462"/>
  <c r="AT319" i="4462"/>
  <c r="AU319" i="4462"/>
  <c r="AV319" i="4462"/>
  <c r="AW319" i="4462"/>
  <c r="AX319" i="4462"/>
  <c r="AY319" i="4462"/>
  <c r="AZ319" i="4462"/>
  <c r="BA319" i="4462"/>
  <c r="BB319" i="4462"/>
  <c r="BC319" i="4462"/>
  <c r="BD319" i="4462"/>
  <c r="A320" i="4462"/>
  <c r="B320" i="4462"/>
  <c r="C320" i="4462"/>
  <c r="D320" i="4462"/>
  <c r="E320" i="4462"/>
  <c r="F320" i="4462"/>
  <c r="G320" i="4462"/>
  <c r="H320" i="4462"/>
  <c r="I320" i="4462"/>
  <c r="J320" i="4462"/>
  <c r="K320" i="4462"/>
  <c r="L320" i="4462"/>
  <c r="M320" i="4462"/>
  <c r="N320" i="4462"/>
  <c r="O320" i="4462"/>
  <c r="P320" i="4462"/>
  <c r="Q320" i="4462"/>
  <c r="R320" i="4462"/>
  <c r="S320" i="4462"/>
  <c r="T320" i="4462"/>
  <c r="U320" i="4462"/>
  <c r="V320" i="4462"/>
  <c r="W320" i="4462"/>
  <c r="X320" i="4462"/>
  <c r="Y320" i="4462"/>
  <c r="Z320" i="4462"/>
  <c r="AA320" i="4462"/>
  <c r="AB320" i="4462"/>
  <c r="AC320" i="4462"/>
  <c r="AD320" i="4462"/>
  <c r="AE320" i="4462"/>
  <c r="AF320" i="4462"/>
  <c r="AG320" i="4462"/>
  <c r="AH320" i="4462"/>
  <c r="AI320" i="4462"/>
  <c r="AJ320" i="4462"/>
  <c r="AK320" i="4462"/>
  <c r="AL320" i="4462"/>
  <c r="AM320" i="4462"/>
  <c r="AN320" i="4462"/>
  <c r="AO320" i="4462"/>
  <c r="AP320" i="4462"/>
  <c r="AQ320" i="4462"/>
  <c r="AR320" i="4462"/>
  <c r="AS320" i="4462"/>
  <c r="AT320" i="4462"/>
  <c r="AU320" i="4462"/>
  <c r="AV320" i="4462"/>
  <c r="AW320" i="4462"/>
  <c r="AX320" i="4462"/>
  <c r="AY320" i="4462"/>
  <c r="AZ320" i="4462"/>
  <c r="BA320" i="4462"/>
  <c r="BB320" i="4462"/>
  <c r="BC320" i="4462"/>
  <c r="BD320" i="4462"/>
  <c r="A321" i="4462"/>
  <c r="B321" i="4462"/>
  <c r="C321" i="4462"/>
  <c r="D321" i="4462"/>
  <c r="E321" i="4462"/>
  <c r="F321" i="4462"/>
  <c r="G321" i="4462"/>
  <c r="H321" i="4462"/>
  <c r="I321" i="4462"/>
  <c r="J321" i="4462"/>
  <c r="K321" i="4462"/>
  <c r="L321" i="4462"/>
  <c r="M321" i="4462"/>
  <c r="N321" i="4462"/>
  <c r="O321" i="4462"/>
  <c r="P321" i="4462"/>
  <c r="Q321" i="4462"/>
  <c r="R321" i="4462"/>
  <c r="S321" i="4462"/>
  <c r="T321" i="4462"/>
  <c r="U321" i="4462"/>
  <c r="V321" i="4462"/>
  <c r="W321" i="4462"/>
  <c r="X321" i="4462"/>
  <c r="Y321" i="4462"/>
  <c r="Z321" i="4462"/>
  <c r="AA321" i="4462"/>
  <c r="AB321" i="4462"/>
  <c r="AC321" i="4462"/>
  <c r="AD321" i="4462"/>
  <c r="AE321" i="4462"/>
  <c r="AF321" i="4462"/>
  <c r="AG321" i="4462"/>
  <c r="AH321" i="4462"/>
  <c r="AI321" i="4462"/>
  <c r="AJ321" i="4462"/>
  <c r="AK321" i="4462"/>
  <c r="AL321" i="4462"/>
  <c r="AM321" i="4462"/>
  <c r="AN321" i="4462"/>
  <c r="AO321" i="4462"/>
  <c r="AP321" i="4462"/>
  <c r="AQ321" i="4462"/>
  <c r="AR321" i="4462"/>
  <c r="AS321" i="4462"/>
  <c r="AT321" i="4462"/>
  <c r="AU321" i="4462"/>
  <c r="AV321" i="4462"/>
  <c r="AW321" i="4462"/>
  <c r="AX321" i="4462"/>
  <c r="AY321" i="4462"/>
  <c r="AZ321" i="4462"/>
  <c r="BA321" i="4462"/>
  <c r="BB321" i="4462"/>
  <c r="BC321" i="4462"/>
  <c r="BD321" i="4462"/>
  <c r="A322" i="4462"/>
  <c r="B322" i="4462"/>
  <c r="C322" i="4462"/>
  <c r="D322" i="4462"/>
  <c r="E322" i="4462"/>
  <c r="F322" i="4462"/>
  <c r="G322" i="4462"/>
  <c r="H322" i="4462"/>
  <c r="I322" i="4462"/>
  <c r="J322" i="4462"/>
  <c r="K322" i="4462"/>
  <c r="L322" i="4462"/>
  <c r="M322" i="4462"/>
  <c r="N322" i="4462"/>
  <c r="O322" i="4462"/>
  <c r="P322" i="4462"/>
  <c r="Q322" i="4462"/>
  <c r="R322" i="4462"/>
  <c r="S322" i="4462"/>
  <c r="T322" i="4462"/>
  <c r="U322" i="4462"/>
  <c r="V322" i="4462"/>
  <c r="W322" i="4462"/>
  <c r="X322" i="4462"/>
  <c r="Y322" i="4462"/>
  <c r="Z322" i="4462"/>
  <c r="AA322" i="4462"/>
  <c r="AB322" i="4462"/>
  <c r="AC322" i="4462"/>
  <c r="AD322" i="4462"/>
  <c r="AE322" i="4462"/>
  <c r="AF322" i="4462"/>
  <c r="AG322" i="4462"/>
  <c r="AH322" i="4462"/>
  <c r="AI322" i="4462"/>
  <c r="AJ322" i="4462"/>
  <c r="AK322" i="4462"/>
  <c r="AL322" i="4462"/>
  <c r="AM322" i="4462"/>
  <c r="AN322" i="4462"/>
  <c r="AO322" i="4462"/>
  <c r="AP322" i="4462"/>
  <c r="AQ322" i="4462"/>
  <c r="AR322" i="4462"/>
  <c r="AS322" i="4462"/>
  <c r="AT322" i="4462"/>
  <c r="AU322" i="4462"/>
  <c r="AV322" i="4462"/>
  <c r="AW322" i="4462"/>
  <c r="AX322" i="4462"/>
  <c r="AY322" i="4462"/>
  <c r="AZ322" i="4462"/>
  <c r="BA322" i="4462"/>
  <c r="BB322" i="4462"/>
  <c r="BC322" i="4462"/>
  <c r="BD322" i="4462"/>
  <c r="A323" i="4462"/>
  <c r="B323" i="4462"/>
  <c r="C323" i="4462"/>
  <c r="D323" i="4462"/>
  <c r="E323" i="4462"/>
  <c r="F323" i="4462"/>
  <c r="G323" i="4462"/>
  <c r="H323" i="4462"/>
  <c r="I323" i="4462"/>
  <c r="J323" i="4462"/>
  <c r="K323" i="4462"/>
  <c r="L323" i="4462"/>
  <c r="M323" i="4462"/>
  <c r="N323" i="4462"/>
  <c r="O323" i="4462"/>
  <c r="P323" i="4462"/>
  <c r="Q323" i="4462"/>
  <c r="R323" i="4462"/>
  <c r="S323" i="4462"/>
  <c r="T323" i="4462"/>
  <c r="U323" i="4462"/>
  <c r="V323" i="4462"/>
  <c r="W323" i="4462"/>
  <c r="X323" i="4462"/>
  <c r="Y323" i="4462"/>
  <c r="Z323" i="4462"/>
  <c r="AA323" i="4462"/>
  <c r="AB323" i="4462"/>
  <c r="AC323" i="4462"/>
  <c r="AD323" i="4462"/>
  <c r="AE323" i="4462"/>
  <c r="AF323" i="4462"/>
  <c r="AG323" i="4462"/>
  <c r="AH323" i="4462"/>
  <c r="AI323" i="4462"/>
  <c r="AJ323" i="4462"/>
  <c r="AK323" i="4462"/>
  <c r="AL323" i="4462"/>
  <c r="AM323" i="4462"/>
  <c r="AN323" i="4462"/>
  <c r="AO323" i="4462"/>
  <c r="AP323" i="4462"/>
  <c r="AQ323" i="4462"/>
  <c r="AR323" i="4462"/>
  <c r="AS323" i="4462"/>
  <c r="AT323" i="4462"/>
  <c r="AU323" i="4462"/>
  <c r="AV323" i="4462"/>
  <c r="AW323" i="4462"/>
  <c r="AX323" i="4462"/>
  <c r="AY323" i="4462"/>
  <c r="AZ323" i="4462"/>
  <c r="BA323" i="4462"/>
  <c r="BB323" i="4462"/>
  <c r="BC323" i="4462"/>
  <c r="BD323" i="4462"/>
  <c r="A324" i="4462"/>
  <c r="B324" i="4462"/>
  <c r="C324" i="4462"/>
  <c r="D324" i="4462"/>
  <c r="E324" i="4462"/>
  <c r="F324" i="4462"/>
  <c r="G324" i="4462"/>
  <c r="H324" i="4462"/>
  <c r="I324" i="4462"/>
  <c r="J324" i="4462"/>
  <c r="K324" i="4462"/>
  <c r="L324" i="4462"/>
  <c r="M324" i="4462"/>
  <c r="N324" i="4462"/>
  <c r="O324" i="4462"/>
  <c r="P324" i="4462"/>
  <c r="Q324" i="4462"/>
  <c r="R324" i="4462"/>
  <c r="S324" i="4462"/>
  <c r="T324" i="4462"/>
  <c r="U324" i="4462"/>
  <c r="V324" i="4462"/>
  <c r="W324" i="4462"/>
  <c r="X324" i="4462"/>
  <c r="Y324" i="4462"/>
  <c r="Z324" i="4462"/>
  <c r="AA324" i="4462"/>
  <c r="AB324" i="4462"/>
  <c r="AC324" i="4462"/>
  <c r="AD324" i="4462"/>
  <c r="AE324" i="4462"/>
  <c r="AF324" i="4462"/>
  <c r="AG324" i="4462"/>
  <c r="AH324" i="4462"/>
  <c r="AI324" i="4462"/>
  <c r="AJ324" i="4462"/>
  <c r="AK324" i="4462"/>
  <c r="AL324" i="4462"/>
  <c r="AM324" i="4462"/>
  <c r="AN324" i="4462"/>
  <c r="AO324" i="4462"/>
  <c r="AP324" i="4462"/>
  <c r="AQ324" i="4462"/>
  <c r="AR324" i="4462"/>
  <c r="AS324" i="4462"/>
  <c r="AT324" i="4462"/>
  <c r="AU324" i="4462"/>
  <c r="AV324" i="4462"/>
  <c r="AW324" i="4462"/>
  <c r="AX324" i="4462"/>
  <c r="AY324" i="4462"/>
  <c r="AZ324" i="4462"/>
  <c r="BA324" i="4462"/>
  <c r="BB324" i="4462"/>
  <c r="BC324" i="4462"/>
  <c r="BD324" i="4462"/>
  <c r="A325" i="4462"/>
  <c r="B325" i="4462"/>
  <c r="C325" i="4462"/>
  <c r="D325" i="4462"/>
  <c r="E325" i="4462"/>
  <c r="F325" i="4462"/>
  <c r="G325" i="4462"/>
  <c r="H325" i="4462"/>
  <c r="I325" i="4462"/>
  <c r="J325" i="4462"/>
  <c r="K325" i="4462"/>
  <c r="L325" i="4462"/>
  <c r="M325" i="4462"/>
  <c r="N325" i="4462"/>
  <c r="O325" i="4462"/>
  <c r="P325" i="4462"/>
  <c r="Q325" i="4462"/>
  <c r="R325" i="4462"/>
  <c r="S325" i="4462"/>
  <c r="T325" i="4462"/>
  <c r="U325" i="4462"/>
  <c r="V325" i="4462"/>
  <c r="W325" i="4462"/>
  <c r="X325" i="4462"/>
  <c r="Y325" i="4462"/>
  <c r="Z325" i="4462"/>
  <c r="AA325" i="4462"/>
  <c r="AB325" i="4462"/>
  <c r="AC325" i="4462"/>
  <c r="AD325" i="4462"/>
  <c r="AE325" i="4462"/>
  <c r="AF325" i="4462"/>
  <c r="AG325" i="4462"/>
  <c r="AH325" i="4462"/>
  <c r="AI325" i="4462"/>
  <c r="AJ325" i="4462"/>
  <c r="AK325" i="4462"/>
  <c r="AL325" i="4462"/>
  <c r="AM325" i="4462"/>
  <c r="AN325" i="4462"/>
  <c r="AO325" i="4462"/>
  <c r="AP325" i="4462"/>
  <c r="AQ325" i="4462"/>
  <c r="AR325" i="4462"/>
  <c r="AS325" i="4462"/>
  <c r="AT325" i="4462"/>
  <c r="AU325" i="4462"/>
  <c r="AV325" i="4462"/>
  <c r="AW325" i="4462"/>
  <c r="AX325" i="4462"/>
  <c r="AY325" i="4462"/>
  <c r="AZ325" i="4462"/>
  <c r="BA325" i="4462"/>
  <c r="BB325" i="4462"/>
  <c r="BC325" i="4462"/>
  <c r="BD325" i="4462"/>
  <c r="A326" i="4462"/>
  <c r="B326" i="4462"/>
  <c r="C326" i="4462"/>
  <c r="D326" i="4462"/>
  <c r="E326" i="4462"/>
  <c r="F326" i="4462"/>
  <c r="G326" i="4462"/>
  <c r="H326" i="4462"/>
  <c r="I326" i="4462"/>
  <c r="J326" i="4462"/>
  <c r="K326" i="4462"/>
  <c r="L326" i="4462"/>
  <c r="M326" i="4462"/>
  <c r="N326" i="4462"/>
  <c r="O326" i="4462"/>
  <c r="P326" i="4462"/>
  <c r="Q326" i="4462"/>
  <c r="R326" i="4462"/>
  <c r="S326" i="4462"/>
  <c r="T326" i="4462"/>
  <c r="U326" i="4462"/>
  <c r="V326" i="4462"/>
  <c r="W326" i="4462"/>
  <c r="X326" i="4462"/>
  <c r="Y326" i="4462"/>
  <c r="Z326" i="4462"/>
  <c r="AA326" i="4462"/>
  <c r="AB326" i="4462"/>
  <c r="AC326" i="4462"/>
  <c r="AD326" i="4462"/>
  <c r="AE326" i="4462"/>
  <c r="AF326" i="4462"/>
  <c r="AG326" i="4462"/>
  <c r="AH326" i="4462"/>
  <c r="AI326" i="4462"/>
  <c r="AJ326" i="4462"/>
  <c r="AK326" i="4462"/>
  <c r="AL326" i="4462"/>
  <c r="AM326" i="4462"/>
  <c r="AN326" i="4462"/>
  <c r="AO326" i="4462"/>
  <c r="AP326" i="4462"/>
  <c r="AQ326" i="4462"/>
  <c r="AR326" i="4462"/>
  <c r="AS326" i="4462"/>
  <c r="AT326" i="4462"/>
  <c r="AU326" i="4462"/>
  <c r="AV326" i="4462"/>
  <c r="AW326" i="4462"/>
  <c r="AX326" i="4462"/>
  <c r="AY326" i="4462"/>
  <c r="AZ326" i="4462"/>
  <c r="BA326" i="4462"/>
  <c r="BB326" i="4462"/>
  <c r="BC326" i="4462"/>
  <c r="BD326" i="4462"/>
  <c r="A327" i="4462"/>
  <c r="B327" i="4462"/>
  <c r="C327" i="4462"/>
  <c r="D327" i="4462"/>
  <c r="E327" i="4462"/>
  <c r="F327" i="4462"/>
  <c r="G327" i="4462"/>
  <c r="H327" i="4462"/>
  <c r="I327" i="4462"/>
  <c r="J327" i="4462"/>
  <c r="K327" i="4462"/>
  <c r="L327" i="4462"/>
  <c r="M327" i="4462"/>
  <c r="N327" i="4462"/>
  <c r="O327" i="4462"/>
  <c r="P327" i="4462"/>
  <c r="Q327" i="4462"/>
  <c r="R327" i="4462"/>
  <c r="S327" i="4462"/>
  <c r="T327" i="4462"/>
  <c r="U327" i="4462"/>
  <c r="V327" i="4462"/>
  <c r="W327" i="4462"/>
  <c r="X327" i="4462"/>
  <c r="Y327" i="4462"/>
  <c r="Z327" i="4462"/>
  <c r="AA327" i="4462"/>
  <c r="AB327" i="4462"/>
  <c r="AC327" i="4462"/>
  <c r="AD327" i="4462"/>
  <c r="AE327" i="4462"/>
  <c r="AF327" i="4462"/>
  <c r="AG327" i="4462"/>
  <c r="AH327" i="4462"/>
  <c r="AI327" i="4462"/>
  <c r="AJ327" i="4462"/>
  <c r="AK327" i="4462"/>
  <c r="AL327" i="4462"/>
  <c r="AM327" i="4462"/>
  <c r="AN327" i="4462"/>
  <c r="AO327" i="4462"/>
  <c r="AP327" i="4462"/>
  <c r="AQ327" i="4462"/>
  <c r="AR327" i="4462"/>
  <c r="AS327" i="4462"/>
  <c r="AT327" i="4462"/>
  <c r="AU327" i="4462"/>
  <c r="AV327" i="4462"/>
  <c r="AW327" i="4462"/>
  <c r="AX327" i="4462"/>
  <c r="AY327" i="4462"/>
  <c r="AZ327" i="4462"/>
  <c r="BA327" i="4462"/>
  <c r="BB327" i="4462"/>
  <c r="BC327" i="4462"/>
  <c r="BD327" i="4462"/>
  <c r="A328" i="4462"/>
  <c r="B328" i="4462"/>
  <c r="C328" i="4462"/>
  <c r="D328" i="4462"/>
  <c r="E328" i="4462"/>
  <c r="F328" i="4462"/>
  <c r="G328" i="4462"/>
  <c r="H328" i="4462"/>
  <c r="I328" i="4462"/>
  <c r="J328" i="4462"/>
  <c r="K328" i="4462"/>
  <c r="L328" i="4462"/>
  <c r="M328" i="4462"/>
  <c r="N328" i="4462"/>
  <c r="O328" i="4462"/>
  <c r="P328" i="4462"/>
  <c r="Q328" i="4462"/>
  <c r="R328" i="4462"/>
  <c r="S328" i="4462"/>
  <c r="T328" i="4462"/>
  <c r="U328" i="4462"/>
  <c r="V328" i="4462"/>
  <c r="W328" i="4462"/>
  <c r="X328" i="4462"/>
  <c r="Y328" i="4462"/>
  <c r="Z328" i="4462"/>
  <c r="AA328" i="4462"/>
  <c r="AB328" i="4462"/>
  <c r="AC328" i="4462"/>
  <c r="AD328" i="4462"/>
  <c r="AE328" i="4462"/>
  <c r="AF328" i="4462"/>
  <c r="AG328" i="4462"/>
  <c r="AH328" i="4462"/>
  <c r="AI328" i="4462"/>
  <c r="AJ328" i="4462"/>
  <c r="AK328" i="4462"/>
  <c r="AL328" i="4462"/>
  <c r="AM328" i="4462"/>
  <c r="AN328" i="4462"/>
  <c r="AO328" i="4462"/>
  <c r="AP328" i="4462"/>
  <c r="AQ328" i="4462"/>
  <c r="AR328" i="4462"/>
  <c r="AS328" i="4462"/>
  <c r="AT328" i="4462"/>
  <c r="AU328" i="4462"/>
  <c r="AV328" i="4462"/>
  <c r="AW328" i="4462"/>
  <c r="AX328" i="4462"/>
  <c r="AY328" i="4462"/>
  <c r="AZ328" i="4462"/>
  <c r="BA328" i="4462"/>
  <c r="BB328" i="4462"/>
  <c r="BC328" i="4462"/>
  <c r="BD328" i="4462"/>
  <c r="A329" i="4462"/>
  <c r="B329" i="4462"/>
  <c r="C329" i="4462"/>
  <c r="D329" i="4462"/>
  <c r="E329" i="4462"/>
  <c r="F329" i="4462"/>
  <c r="G329" i="4462"/>
  <c r="H329" i="4462"/>
  <c r="I329" i="4462"/>
  <c r="J329" i="4462"/>
  <c r="K329" i="4462"/>
  <c r="L329" i="4462"/>
  <c r="M329" i="4462"/>
  <c r="N329" i="4462"/>
  <c r="O329" i="4462"/>
  <c r="P329" i="4462"/>
  <c r="Q329" i="4462"/>
  <c r="R329" i="4462"/>
  <c r="S329" i="4462"/>
  <c r="T329" i="4462"/>
  <c r="U329" i="4462"/>
  <c r="V329" i="4462"/>
  <c r="W329" i="4462"/>
  <c r="X329" i="4462"/>
  <c r="Y329" i="4462"/>
  <c r="Z329" i="4462"/>
  <c r="AA329" i="4462"/>
  <c r="AB329" i="4462"/>
  <c r="AC329" i="4462"/>
  <c r="AD329" i="4462"/>
  <c r="AE329" i="4462"/>
  <c r="AF329" i="4462"/>
  <c r="AG329" i="4462"/>
  <c r="AH329" i="4462"/>
  <c r="AI329" i="4462"/>
  <c r="AJ329" i="4462"/>
  <c r="AK329" i="4462"/>
  <c r="AL329" i="4462"/>
  <c r="AM329" i="4462"/>
  <c r="AN329" i="4462"/>
  <c r="AO329" i="4462"/>
  <c r="AP329" i="4462"/>
  <c r="AQ329" i="4462"/>
  <c r="AR329" i="4462"/>
  <c r="AS329" i="4462"/>
  <c r="AT329" i="4462"/>
  <c r="AU329" i="4462"/>
  <c r="AV329" i="4462"/>
  <c r="AW329" i="4462"/>
  <c r="AX329" i="4462"/>
  <c r="AY329" i="4462"/>
  <c r="AZ329" i="4462"/>
  <c r="BA329" i="4462"/>
  <c r="BB329" i="4462"/>
  <c r="BC329" i="4462"/>
  <c r="BD329" i="4462"/>
  <c r="A330" i="4462"/>
  <c r="B330" i="4462"/>
  <c r="C330" i="4462"/>
  <c r="D330" i="4462"/>
  <c r="E330" i="4462"/>
  <c r="F330" i="4462"/>
  <c r="G330" i="4462"/>
  <c r="H330" i="4462"/>
  <c r="I330" i="4462"/>
  <c r="J330" i="4462"/>
  <c r="K330" i="4462"/>
  <c r="L330" i="4462"/>
  <c r="M330" i="4462"/>
  <c r="N330" i="4462"/>
  <c r="O330" i="4462"/>
  <c r="P330" i="4462"/>
  <c r="Q330" i="4462"/>
  <c r="R330" i="4462"/>
  <c r="S330" i="4462"/>
  <c r="T330" i="4462"/>
  <c r="U330" i="4462"/>
  <c r="V330" i="4462"/>
  <c r="W330" i="4462"/>
  <c r="X330" i="4462"/>
  <c r="Y330" i="4462"/>
  <c r="Z330" i="4462"/>
  <c r="AA330" i="4462"/>
  <c r="AB330" i="4462"/>
  <c r="AC330" i="4462"/>
  <c r="AD330" i="4462"/>
  <c r="AE330" i="4462"/>
  <c r="AF330" i="4462"/>
  <c r="AG330" i="4462"/>
  <c r="AH330" i="4462"/>
  <c r="AI330" i="4462"/>
  <c r="AJ330" i="4462"/>
  <c r="AK330" i="4462"/>
  <c r="AL330" i="4462"/>
  <c r="AM330" i="4462"/>
  <c r="AN330" i="4462"/>
  <c r="AO330" i="4462"/>
  <c r="AP330" i="4462"/>
  <c r="AQ330" i="4462"/>
  <c r="AR330" i="4462"/>
  <c r="AS330" i="4462"/>
  <c r="AT330" i="4462"/>
  <c r="AU330" i="4462"/>
  <c r="AV330" i="4462"/>
  <c r="AW330" i="4462"/>
  <c r="AX330" i="4462"/>
  <c r="AY330" i="4462"/>
  <c r="AZ330" i="4462"/>
  <c r="BA330" i="4462"/>
  <c r="BB330" i="4462"/>
  <c r="BC330" i="4462"/>
  <c r="BD330" i="4462"/>
  <c r="A331" i="4462"/>
  <c r="B331" i="4462"/>
  <c r="C331" i="4462"/>
  <c r="D331" i="4462"/>
  <c r="E331" i="4462"/>
  <c r="F331" i="4462"/>
  <c r="G331" i="4462"/>
  <c r="H331" i="4462"/>
  <c r="I331" i="4462"/>
  <c r="J331" i="4462"/>
  <c r="K331" i="4462"/>
  <c r="L331" i="4462"/>
  <c r="M331" i="4462"/>
  <c r="N331" i="4462"/>
  <c r="O331" i="4462"/>
  <c r="P331" i="4462"/>
  <c r="Q331" i="4462"/>
  <c r="R331" i="4462"/>
  <c r="S331" i="4462"/>
  <c r="T331" i="4462"/>
  <c r="U331" i="4462"/>
  <c r="V331" i="4462"/>
  <c r="W331" i="4462"/>
  <c r="X331" i="4462"/>
  <c r="Y331" i="4462"/>
  <c r="Z331" i="4462"/>
  <c r="AA331" i="4462"/>
  <c r="AB331" i="4462"/>
  <c r="AC331" i="4462"/>
  <c r="AD331" i="4462"/>
  <c r="AE331" i="4462"/>
  <c r="AF331" i="4462"/>
  <c r="AG331" i="4462"/>
  <c r="AH331" i="4462"/>
  <c r="AI331" i="4462"/>
  <c r="AJ331" i="4462"/>
  <c r="AK331" i="4462"/>
  <c r="AL331" i="4462"/>
  <c r="AM331" i="4462"/>
  <c r="AN331" i="4462"/>
  <c r="AO331" i="4462"/>
  <c r="AP331" i="4462"/>
  <c r="AQ331" i="4462"/>
  <c r="AR331" i="4462"/>
  <c r="AS331" i="4462"/>
  <c r="AT331" i="4462"/>
  <c r="AU331" i="4462"/>
  <c r="AV331" i="4462"/>
  <c r="AW331" i="4462"/>
  <c r="AX331" i="4462"/>
  <c r="AY331" i="4462"/>
  <c r="AZ331" i="4462"/>
  <c r="BA331" i="4462"/>
  <c r="BB331" i="4462"/>
  <c r="BC331" i="4462"/>
  <c r="BD331" i="4462"/>
  <c r="A332" i="4462"/>
  <c r="B332" i="4462"/>
  <c r="C332" i="4462"/>
  <c r="D332" i="4462"/>
  <c r="E332" i="4462"/>
  <c r="F332" i="4462"/>
  <c r="G332" i="4462"/>
  <c r="H332" i="4462"/>
  <c r="I332" i="4462"/>
  <c r="J332" i="4462"/>
  <c r="K332" i="4462"/>
  <c r="L332" i="4462"/>
  <c r="M332" i="4462"/>
  <c r="N332" i="4462"/>
  <c r="O332" i="4462"/>
  <c r="P332" i="4462"/>
  <c r="Q332" i="4462"/>
  <c r="R332" i="4462"/>
  <c r="S332" i="4462"/>
  <c r="T332" i="4462"/>
  <c r="U332" i="4462"/>
  <c r="V332" i="4462"/>
  <c r="W332" i="4462"/>
  <c r="X332" i="4462"/>
  <c r="Y332" i="4462"/>
  <c r="Z332" i="4462"/>
  <c r="AA332" i="4462"/>
  <c r="AB332" i="4462"/>
  <c r="AC332" i="4462"/>
  <c r="AD332" i="4462"/>
  <c r="AE332" i="4462"/>
  <c r="AF332" i="4462"/>
  <c r="AG332" i="4462"/>
  <c r="AH332" i="4462"/>
  <c r="AI332" i="4462"/>
  <c r="AJ332" i="4462"/>
  <c r="AK332" i="4462"/>
  <c r="AL332" i="4462"/>
  <c r="AM332" i="4462"/>
  <c r="AN332" i="4462"/>
  <c r="AO332" i="4462"/>
  <c r="AP332" i="4462"/>
  <c r="AQ332" i="4462"/>
  <c r="AR332" i="4462"/>
  <c r="AS332" i="4462"/>
  <c r="AT332" i="4462"/>
  <c r="AU332" i="4462"/>
  <c r="AV332" i="4462"/>
  <c r="AW332" i="4462"/>
  <c r="AX332" i="4462"/>
  <c r="AY332" i="4462"/>
  <c r="AZ332" i="4462"/>
  <c r="BA332" i="4462"/>
  <c r="BB332" i="4462"/>
  <c r="BC332" i="4462"/>
  <c r="BD332" i="4462"/>
  <c r="A333" i="4462"/>
  <c r="B333" i="4462"/>
  <c r="C333" i="4462"/>
  <c r="D333" i="4462"/>
  <c r="E333" i="4462"/>
  <c r="F333" i="4462"/>
  <c r="G333" i="4462"/>
  <c r="H333" i="4462"/>
  <c r="I333" i="4462"/>
  <c r="J333" i="4462"/>
  <c r="K333" i="4462"/>
  <c r="L333" i="4462"/>
  <c r="M333" i="4462"/>
  <c r="N333" i="4462"/>
  <c r="O333" i="4462"/>
  <c r="P333" i="4462"/>
  <c r="Q333" i="4462"/>
  <c r="R333" i="4462"/>
  <c r="S333" i="4462"/>
  <c r="T333" i="4462"/>
  <c r="U333" i="4462"/>
  <c r="V333" i="4462"/>
  <c r="W333" i="4462"/>
  <c r="X333" i="4462"/>
  <c r="Y333" i="4462"/>
  <c r="Z333" i="4462"/>
  <c r="AA333" i="4462"/>
  <c r="AB333" i="4462"/>
  <c r="AC333" i="4462"/>
  <c r="AD333" i="4462"/>
  <c r="AE333" i="4462"/>
  <c r="AF333" i="4462"/>
  <c r="AG333" i="4462"/>
  <c r="AH333" i="4462"/>
  <c r="AI333" i="4462"/>
  <c r="AJ333" i="4462"/>
  <c r="AK333" i="4462"/>
  <c r="AL333" i="4462"/>
  <c r="AM333" i="4462"/>
  <c r="AN333" i="4462"/>
  <c r="AO333" i="4462"/>
  <c r="AP333" i="4462"/>
  <c r="AQ333" i="4462"/>
  <c r="AR333" i="4462"/>
  <c r="AS333" i="4462"/>
  <c r="AT333" i="4462"/>
  <c r="AU333" i="4462"/>
  <c r="AV333" i="4462"/>
  <c r="AW333" i="4462"/>
  <c r="AX333" i="4462"/>
  <c r="AY333" i="4462"/>
  <c r="AZ333" i="4462"/>
  <c r="BA333" i="4462"/>
  <c r="BB333" i="4462"/>
  <c r="BC333" i="4462"/>
  <c r="BD333" i="4462"/>
  <c r="A334" i="4462"/>
  <c r="B334" i="4462"/>
  <c r="C334" i="4462"/>
  <c r="D334" i="4462"/>
  <c r="E334" i="4462"/>
  <c r="F334" i="4462"/>
  <c r="G334" i="4462"/>
  <c r="H334" i="4462"/>
  <c r="I334" i="4462"/>
  <c r="J334" i="4462"/>
  <c r="K334" i="4462"/>
  <c r="L334" i="4462"/>
  <c r="M334" i="4462"/>
  <c r="N334" i="4462"/>
  <c r="O334" i="4462"/>
  <c r="P334" i="4462"/>
  <c r="Q334" i="4462"/>
  <c r="R334" i="4462"/>
  <c r="S334" i="4462"/>
  <c r="T334" i="4462"/>
  <c r="U334" i="4462"/>
  <c r="V334" i="4462"/>
  <c r="W334" i="4462"/>
  <c r="X334" i="4462"/>
  <c r="Y334" i="4462"/>
  <c r="Z334" i="4462"/>
  <c r="AA334" i="4462"/>
  <c r="AB334" i="4462"/>
  <c r="AC334" i="4462"/>
  <c r="AD334" i="4462"/>
  <c r="AE334" i="4462"/>
  <c r="AF334" i="4462"/>
  <c r="AG334" i="4462"/>
  <c r="AH334" i="4462"/>
  <c r="AI334" i="4462"/>
  <c r="AJ334" i="4462"/>
  <c r="AK334" i="4462"/>
  <c r="AL334" i="4462"/>
  <c r="AM334" i="4462"/>
  <c r="AN334" i="4462"/>
  <c r="AO334" i="4462"/>
  <c r="AP334" i="4462"/>
  <c r="AQ334" i="4462"/>
  <c r="AR334" i="4462"/>
  <c r="AS334" i="4462"/>
  <c r="AT334" i="4462"/>
  <c r="AU334" i="4462"/>
  <c r="AV334" i="4462"/>
  <c r="AW334" i="4462"/>
  <c r="AX334" i="4462"/>
  <c r="AY334" i="4462"/>
  <c r="AZ334" i="4462"/>
  <c r="BA334" i="4462"/>
  <c r="BB334" i="4462"/>
  <c r="BC334" i="4462"/>
  <c r="BD334" i="4462"/>
  <c r="A335" i="4462"/>
  <c r="B335" i="4462"/>
  <c r="C335" i="4462"/>
  <c r="D335" i="4462"/>
  <c r="E335" i="4462"/>
  <c r="F335" i="4462"/>
  <c r="G335" i="4462"/>
  <c r="H335" i="4462"/>
  <c r="I335" i="4462"/>
  <c r="J335" i="4462"/>
  <c r="K335" i="4462"/>
  <c r="L335" i="4462"/>
  <c r="M335" i="4462"/>
  <c r="N335" i="4462"/>
  <c r="O335" i="4462"/>
  <c r="P335" i="4462"/>
  <c r="Q335" i="4462"/>
  <c r="R335" i="4462"/>
  <c r="S335" i="4462"/>
  <c r="T335" i="4462"/>
  <c r="U335" i="4462"/>
  <c r="V335" i="4462"/>
  <c r="W335" i="4462"/>
  <c r="X335" i="4462"/>
  <c r="Y335" i="4462"/>
  <c r="Z335" i="4462"/>
  <c r="AA335" i="4462"/>
  <c r="AB335" i="4462"/>
  <c r="AC335" i="4462"/>
  <c r="AD335" i="4462"/>
  <c r="AE335" i="4462"/>
  <c r="AF335" i="4462"/>
  <c r="AG335" i="4462"/>
  <c r="AH335" i="4462"/>
  <c r="AI335" i="4462"/>
  <c r="AJ335" i="4462"/>
  <c r="AK335" i="4462"/>
  <c r="AL335" i="4462"/>
  <c r="AM335" i="4462"/>
  <c r="AN335" i="4462"/>
  <c r="AO335" i="4462"/>
  <c r="AP335" i="4462"/>
  <c r="AQ335" i="4462"/>
  <c r="AR335" i="4462"/>
  <c r="AS335" i="4462"/>
  <c r="AT335" i="4462"/>
  <c r="AU335" i="4462"/>
  <c r="AV335" i="4462"/>
  <c r="AW335" i="4462"/>
  <c r="AX335" i="4462"/>
  <c r="AY335" i="4462"/>
  <c r="AZ335" i="4462"/>
  <c r="BA335" i="4462"/>
  <c r="BB335" i="4462"/>
  <c r="BC335" i="4462"/>
  <c r="BD335" i="4462"/>
  <c r="A336" i="4462"/>
  <c r="B336" i="4462"/>
  <c r="C336" i="4462"/>
  <c r="D336" i="4462"/>
  <c r="E336" i="4462"/>
  <c r="F336" i="4462"/>
  <c r="G336" i="4462"/>
  <c r="H336" i="4462"/>
  <c r="I336" i="4462"/>
  <c r="J336" i="4462"/>
  <c r="K336" i="4462"/>
  <c r="L336" i="4462"/>
  <c r="M336" i="4462"/>
  <c r="N336" i="4462"/>
  <c r="O336" i="4462"/>
  <c r="P336" i="4462"/>
  <c r="Q336" i="4462"/>
  <c r="R336" i="4462"/>
  <c r="S336" i="4462"/>
  <c r="T336" i="4462"/>
  <c r="U336" i="4462"/>
  <c r="V336" i="4462"/>
  <c r="W336" i="4462"/>
  <c r="X336" i="4462"/>
  <c r="Y336" i="4462"/>
  <c r="Z336" i="4462"/>
  <c r="AA336" i="4462"/>
  <c r="AB336" i="4462"/>
  <c r="AC336" i="4462"/>
  <c r="AD336" i="4462"/>
  <c r="AE336" i="4462"/>
  <c r="AF336" i="4462"/>
  <c r="AG336" i="4462"/>
  <c r="AH336" i="4462"/>
  <c r="AI336" i="4462"/>
  <c r="AJ336" i="4462"/>
  <c r="AK336" i="4462"/>
  <c r="AL336" i="4462"/>
  <c r="AM336" i="4462"/>
  <c r="AN336" i="4462"/>
  <c r="AO336" i="4462"/>
  <c r="AP336" i="4462"/>
  <c r="AQ336" i="4462"/>
  <c r="AR336" i="4462"/>
  <c r="AS336" i="4462"/>
  <c r="AT336" i="4462"/>
  <c r="AU336" i="4462"/>
  <c r="AV336" i="4462"/>
  <c r="AW336" i="4462"/>
  <c r="AX336" i="4462"/>
  <c r="AY336" i="4462"/>
  <c r="AZ336" i="4462"/>
  <c r="BA336" i="4462"/>
  <c r="BB336" i="4462"/>
  <c r="BC336" i="4462"/>
  <c r="BD336" i="4462"/>
  <c r="A337" i="4462"/>
  <c r="B337" i="4462"/>
  <c r="C337" i="4462"/>
  <c r="D337" i="4462"/>
  <c r="E337" i="4462"/>
  <c r="F337" i="4462"/>
  <c r="G337" i="4462"/>
  <c r="H337" i="4462"/>
  <c r="I337" i="4462"/>
  <c r="J337" i="4462"/>
  <c r="K337" i="4462"/>
  <c r="L337" i="4462"/>
  <c r="M337" i="4462"/>
  <c r="N337" i="4462"/>
  <c r="O337" i="4462"/>
  <c r="P337" i="4462"/>
  <c r="Q337" i="4462"/>
  <c r="R337" i="4462"/>
  <c r="S337" i="4462"/>
  <c r="T337" i="4462"/>
  <c r="U337" i="4462"/>
  <c r="V337" i="4462"/>
  <c r="W337" i="4462"/>
  <c r="X337" i="4462"/>
  <c r="Y337" i="4462"/>
  <c r="Z337" i="4462"/>
  <c r="AA337" i="4462"/>
  <c r="AB337" i="4462"/>
  <c r="AC337" i="4462"/>
  <c r="AD337" i="4462"/>
  <c r="AE337" i="4462"/>
  <c r="AF337" i="4462"/>
  <c r="AG337" i="4462"/>
  <c r="AH337" i="4462"/>
  <c r="AI337" i="4462"/>
  <c r="AJ337" i="4462"/>
  <c r="AK337" i="4462"/>
  <c r="AL337" i="4462"/>
  <c r="AM337" i="4462"/>
  <c r="AN337" i="4462"/>
  <c r="AO337" i="4462"/>
  <c r="AP337" i="4462"/>
  <c r="AQ337" i="4462"/>
  <c r="AR337" i="4462"/>
  <c r="AS337" i="4462"/>
  <c r="AT337" i="4462"/>
  <c r="AU337" i="4462"/>
  <c r="AV337" i="4462"/>
  <c r="AW337" i="4462"/>
  <c r="AX337" i="4462"/>
  <c r="AY337" i="4462"/>
  <c r="AZ337" i="4462"/>
  <c r="BA337" i="4462"/>
  <c r="BB337" i="4462"/>
  <c r="BC337" i="4462"/>
  <c r="BD337" i="4462"/>
  <c r="A338" i="4462"/>
  <c r="B338" i="4462"/>
  <c r="C338" i="4462"/>
  <c r="D338" i="4462"/>
  <c r="E338" i="4462"/>
  <c r="F338" i="4462"/>
  <c r="G338" i="4462"/>
  <c r="H338" i="4462"/>
  <c r="I338" i="4462"/>
  <c r="J338" i="4462"/>
  <c r="K338" i="4462"/>
  <c r="L338" i="4462"/>
  <c r="M338" i="4462"/>
  <c r="N338" i="4462"/>
  <c r="O338" i="4462"/>
  <c r="P338" i="4462"/>
  <c r="Q338" i="4462"/>
  <c r="R338" i="4462"/>
  <c r="S338" i="4462"/>
  <c r="T338" i="4462"/>
  <c r="U338" i="4462"/>
  <c r="V338" i="4462"/>
  <c r="W338" i="4462"/>
  <c r="X338" i="4462"/>
  <c r="Y338" i="4462"/>
  <c r="Z338" i="4462"/>
  <c r="AA338" i="4462"/>
  <c r="AB338" i="4462"/>
  <c r="AC338" i="4462"/>
  <c r="AD338" i="4462"/>
  <c r="AE338" i="4462"/>
  <c r="AF338" i="4462"/>
  <c r="AG338" i="4462"/>
  <c r="AH338" i="4462"/>
  <c r="AI338" i="4462"/>
  <c r="AJ338" i="4462"/>
  <c r="AK338" i="4462"/>
  <c r="AL338" i="4462"/>
  <c r="AM338" i="4462"/>
  <c r="AN338" i="4462"/>
  <c r="AO338" i="4462"/>
  <c r="AP338" i="4462"/>
  <c r="AQ338" i="4462"/>
  <c r="AR338" i="4462"/>
  <c r="AS338" i="4462"/>
  <c r="AT338" i="4462"/>
  <c r="AU338" i="4462"/>
  <c r="AV338" i="4462"/>
  <c r="AW338" i="4462"/>
  <c r="AX338" i="4462"/>
  <c r="AY338" i="4462"/>
  <c r="AZ338" i="4462"/>
  <c r="BA338" i="4462"/>
  <c r="BB338" i="4462"/>
  <c r="BC338" i="4462"/>
  <c r="BD338" i="4462"/>
  <c r="A339" i="4462"/>
  <c r="B339" i="4462"/>
  <c r="C339" i="4462"/>
  <c r="D339" i="4462"/>
  <c r="E339" i="4462"/>
  <c r="F339" i="4462"/>
  <c r="G339" i="4462"/>
  <c r="H339" i="4462"/>
  <c r="I339" i="4462"/>
  <c r="J339" i="4462"/>
  <c r="K339" i="4462"/>
  <c r="L339" i="4462"/>
  <c r="M339" i="4462"/>
  <c r="N339" i="4462"/>
  <c r="O339" i="4462"/>
  <c r="P339" i="4462"/>
  <c r="Q339" i="4462"/>
  <c r="R339" i="4462"/>
  <c r="S339" i="4462"/>
  <c r="T339" i="4462"/>
  <c r="U339" i="4462"/>
  <c r="V339" i="4462"/>
  <c r="W339" i="4462"/>
  <c r="X339" i="4462"/>
  <c r="Y339" i="4462"/>
  <c r="Z339" i="4462"/>
  <c r="AA339" i="4462"/>
  <c r="AB339" i="4462"/>
  <c r="AC339" i="4462"/>
  <c r="AD339" i="4462"/>
  <c r="AE339" i="4462"/>
  <c r="AF339" i="4462"/>
  <c r="AG339" i="4462"/>
  <c r="AH339" i="4462"/>
  <c r="AI339" i="4462"/>
  <c r="AJ339" i="4462"/>
  <c r="AK339" i="4462"/>
  <c r="AL339" i="4462"/>
  <c r="AM339" i="4462"/>
  <c r="AN339" i="4462"/>
  <c r="AO339" i="4462"/>
  <c r="AP339" i="4462"/>
  <c r="AQ339" i="4462"/>
  <c r="AR339" i="4462"/>
  <c r="AS339" i="4462"/>
  <c r="AT339" i="4462"/>
  <c r="AU339" i="4462"/>
  <c r="AV339" i="4462"/>
  <c r="AW339" i="4462"/>
  <c r="AX339" i="4462"/>
  <c r="AY339" i="4462"/>
  <c r="AZ339" i="4462"/>
  <c r="BA339" i="4462"/>
  <c r="BB339" i="4462"/>
  <c r="BC339" i="4462"/>
  <c r="BD339" i="4462"/>
  <c r="A340" i="4462"/>
  <c r="B340" i="4462"/>
  <c r="C340" i="4462"/>
  <c r="D340" i="4462"/>
  <c r="E340" i="4462"/>
  <c r="F340" i="4462"/>
  <c r="G340" i="4462"/>
  <c r="H340" i="4462"/>
  <c r="I340" i="4462"/>
  <c r="J340" i="4462"/>
  <c r="K340" i="4462"/>
  <c r="L340" i="4462"/>
  <c r="M340" i="4462"/>
  <c r="N340" i="4462"/>
  <c r="O340" i="4462"/>
  <c r="P340" i="4462"/>
  <c r="Q340" i="4462"/>
  <c r="R340" i="4462"/>
  <c r="S340" i="4462"/>
  <c r="T340" i="4462"/>
  <c r="U340" i="4462"/>
  <c r="V340" i="4462"/>
  <c r="W340" i="4462"/>
  <c r="X340" i="4462"/>
  <c r="Y340" i="4462"/>
  <c r="Z340" i="4462"/>
  <c r="AA340" i="4462"/>
  <c r="AB340" i="4462"/>
  <c r="AC340" i="4462"/>
  <c r="AD340" i="4462"/>
  <c r="AE340" i="4462"/>
  <c r="AF340" i="4462"/>
  <c r="AG340" i="4462"/>
  <c r="AH340" i="4462"/>
  <c r="AI340" i="4462"/>
  <c r="AJ340" i="4462"/>
  <c r="AK340" i="4462"/>
  <c r="AL340" i="4462"/>
  <c r="AM340" i="4462"/>
  <c r="AN340" i="4462"/>
  <c r="AO340" i="4462"/>
  <c r="AP340" i="4462"/>
  <c r="AQ340" i="4462"/>
  <c r="AR340" i="4462"/>
  <c r="AS340" i="4462"/>
  <c r="AT340" i="4462"/>
  <c r="AU340" i="4462"/>
  <c r="AV340" i="4462"/>
  <c r="AW340" i="4462"/>
  <c r="AX340" i="4462"/>
  <c r="AY340" i="4462"/>
  <c r="AZ340" i="4462"/>
  <c r="BA340" i="4462"/>
  <c r="BB340" i="4462"/>
  <c r="BC340" i="4462"/>
  <c r="BD340" i="4462"/>
  <c r="A341" i="4462"/>
  <c r="B341" i="4462"/>
  <c r="C341" i="4462"/>
  <c r="D341" i="4462"/>
  <c r="E341" i="4462"/>
  <c r="F341" i="4462"/>
  <c r="G341" i="4462"/>
  <c r="H341" i="4462"/>
  <c r="I341" i="4462"/>
  <c r="J341" i="4462"/>
  <c r="K341" i="4462"/>
  <c r="L341" i="4462"/>
  <c r="M341" i="4462"/>
  <c r="N341" i="4462"/>
  <c r="O341" i="4462"/>
  <c r="P341" i="4462"/>
  <c r="Q341" i="4462"/>
  <c r="R341" i="4462"/>
  <c r="S341" i="4462"/>
  <c r="T341" i="4462"/>
  <c r="U341" i="4462"/>
  <c r="V341" i="4462"/>
  <c r="W341" i="4462"/>
  <c r="X341" i="4462"/>
  <c r="Y341" i="4462"/>
  <c r="Z341" i="4462"/>
  <c r="AA341" i="4462"/>
  <c r="AB341" i="4462"/>
  <c r="AC341" i="4462"/>
  <c r="AD341" i="4462"/>
  <c r="AE341" i="4462"/>
  <c r="AF341" i="4462"/>
  <c r="AG341" i="4462"/>
  <c r="AH341" i="4462"/>
  <c r="AI341" i="4462"/>
  <c r="AJ341" i="4462"/>
  <c r="AK341" i="4462"/>
  <c r="AL341" i="4462"/>
  <c r="AM341" i="4462"/>
  <c r="AN341" i="4462"/>
  <c r="AO341" i="4462"/>
  <c r="AP341" i="4462"/>
  <c r="AQ341" i="4462"/>
  <c r="AR341" i="4462"/>
  <c r="AS341" i="4462"/>
  <c r="AT341" i="4462"/>
  <c r="AU341" i="4462"/>
  <c r="AV341" i="4462"/>
  <c r="AW341" i="4462"/>
  <c r="AX341" i="4462"/>
  <c r="AY341" i="4462"/>
  <c r="AZ341" i="4462"/>
  <c r="BA341" i="4462"/>
  <c r="BB341" i="4462"/>
  <c r="BC341" i="4462"/>
  <c r="BD341" i="4462"/>
  <c r="A342" i="4462"/>
  <c r="B342" i="4462"/>
  <c r="C342" i="4462"/>
  <c r="D342" i="4462"/>
  <c r="E342" i="4462"/>
  <c r="F342" i="4462"/>
  <c r="G342" i="4462"/>
  <c r="H342" i="4462"/>
  <c r="I342" i="4462"/>
  <c r="J342" i="4462"/>
  <c r="K342" i="4462"/>
  <c r="L342" i="4462"/>
  <c r="M342" i="4462"/>
  <c r="N342" i="4462"/>
  <c r="O342" i="4462"/>
  <c r="P342" i="4462"/>
  <c r="Q342" i="4462"/>
  <c r="R342" i="4462"/>
  <c r="S342" i="4462"/>
  <c r="T342" i="4462"/>
  <c r="U342" i="4462"/>
  <c r="V342" i="4462"/>
  <c r="W342" i="4462"/>
  <c r="X342" i="4462"/>
  <c r="Y342" i="4462"/>
  <c r="Z342" i="4462"/>
  <c r="AA342" i="4462"/>
  <c r="AB342" i="4462"/>
  <c r="AC342" i="4462"/>
  <c r="AD342" i="4462"/>
  <c r="AE342" i="4462"/>
  <c r="AF342" i="4462"/>
  <c r="AG342" i="4462"/>
  <c r="AH342" i="4462"/>
  <c r="AI342" i="4462"/>
  <c r="AJ342" i="4462"/>
  <c r="AK342" i="4462"/>
  <c r="AL342" i="4462"/>
  <c r="AM342" i="4462"/>
  <c r="AN342" i="4462"/>
  <c r="AO342" i="4462"/>
  <c r="AP342" i="4462"/>
  <c r="AQ342" i="4462"/>
  <c r="AR342" i="4462"/>
  <c r="AS342" i="4462"/>
  <c r="AT342" i="4462"/>
  <c r="AU342" i="4462"/>
  <c r="AV342" i="4462"/>
  <c r="AW342" i="4462"/>
  <c r="AX342" i="4462"/>
  <c r="AY342" i="4462"/>
  <c r="AZ342" i="4462"/>
  <c r="BA342" i="4462"/>
  <c r="BB342" i="4462"/>
  <c r="BC342" i="4462"/>
  <c r="BD342" i="4462"/>
  <c r="A343" i="4462"/>
  <c r="B343" i="4462"/>
  <c r="C343" i="4462"/>
  <c r="D343" i="4462"/>
  <c r="E343" i="4462"/>
  <c r="F343" i="4462"/>
  <c r="G343" i="4462"/>
  <c r="H343" i="4462"/>
  <c r="I343" i="4462"/>
  <c r="J343" i="4462"/>
  <c r="K343" i="4462"/>
  <c r="L343" i="4462"/>
  <c r="M343" i="4462"/>
  <c r="N343" i="4462"/>
  <c r="O343" i="4462"/>
  <c r="P343" i="4462"/>
  <c r="Q343" i="4462"/>
  <c r="R343" i="4462"/>
  <c r="S343" i="4462"/>
  <c r="T343" i="4462"/>
  <c r="U343" i="4462"/>
  <c r="V343" i="4462"/>
  <c r="W343" i="4462"/>
  <c r="X343" i="4462"/>
  <c r="Y343" i="4462"/>
  <c r="Z343" i="4462"/>
  <c r="AA343" i="4462"/>
  <c r="AB343" i="4462"/>
  <c r="AC343" i="4462"/>
  <c r="AD343" i="4462"/>
  <c r="AE343" i="4462"/>
  <c r="AF343" i="4462"/>
  <c r="AG343" i="4462"/>
  <c r="AH343" i="4462"/>
  <c r="AI343" i="4462"/>
  <c r="AJ343" i="4462"/>
  <c r="AK343" i="4462"/>
  <c r="AL343" i="4462"/>
  <c r="AM343" i="4462"/>
  <c r="AN343" i="4462"/>
  <c r="AO343" i="4462"/>
  <c r="AP343" i="4462"/>
  <c r="AQ343" i="4462"/>
  <c r="AR343" i="4462"/>
  <c r="AS343" i="4462"/>
  <c r="AT343" i="4462"/>
  <c r="AU343" i="4462"/>
  <c r="AV343" i="4462"/>
  <c r="AW343" i="4462"/>
  <c r="AX343" i="4462"/>
  <c r="AY343" i="4462"/>
  <c r="AZ343" i="4462"/>
  <c r="BA343" i="4462"/>
  <c r="BB343" i="4462"/>
  <c r="BC343" i="4462"/>
  <c r="BD343" i="4462"/>
  <c r="A344" i="4462"/>
  <c r="B344" i="4462"/>
  <c r="C344" i="4462"/>
  <c r="D344" i="4462"/>
  <c r="E344" i="4462"/>
  <c r="F344" i="4462"/>
  <c r="G344" i="4462"/>
  <c r="H344" i="4462"/>
  <c r="I344" i="4462"/>
  <c r="J344" i="4462"/>
  <c r="K344" i="4462"/>
  <c r="L344" i="4462"/>
  <c r="M344" i="4462"/>
  <c r="N344" i="4462"/>
  <c r="O344" i="4462"/>
  <c r="P344" i="4462"/>
  <c r="Q344" i="4462"/>
  <c r="R344" i="4462"/>
  <c r="S344" i="4462"/>
  <c r="T344" i="4462"/>
  <c r="U344" i="4462"/>
  <c r="V344" i="4462"/>
  <c r="W344" i="4462"/>
  <c r="X344" i="4462"/>
  <c r="Y344" i="4462"/>
  <c r="Z344" i="4462"/>
  <c r="AA344" i="4462"/>
  <c r="AB344" i="4462"/>
  <c r="AC344" i="4462"/>
  <c r="AD344" i="4462"/>
  <c r="AE344" i="4462"/>
  <c r="AF344" i="4462"/>
  <c r="AG344" i="4462"/>
  <c r="AH344" i="4462"/>
  <c r="AI344" i="4462"/>
  <c r="AJ344" i="4462"/>
  <c r="AK344" i="4462"/>
  <c r="AL344" i="4462"/>
  <c r="AM344" i="4462"/>
  <c r="AN344" i="4462"/>
  <c r="AO344" i="4462"/>
  <c r="AP344" i="4462"/>
  <c r="AQ344" i="4462"/>
  <c r="AR344" i="4462"/>
  <c r="AS344" i="4462"/>
  <c r="AT344" i="4462"/>
  <c r="AU344" i="4462"/>
  <c r="AV344" i="4462"/>
  <c r="AW344" i="4462"/>
  <c r="AX344" i="4462"/>
  <c r="AY344" i="4462"/>
  <c r="AZ344" i="4462"/>
  <c r="BA344" i="4462"/>
  <c r="BB344" i="4462"/>
  <c r="BC344" i="4462"/>
  <c r="BD344" i="4462"/>
  <c r="A345" i="4462"/>
  <c r="B345" i="4462"/>
  <c r="C345" i="4462"/>
  <c r="D345" i="4462"/>
  <c r="E345" i="4462"/>
  <c r="F345" i="4462"/>
  <c r="G345" i="4462"/>
  <c r="H345" i="4462"/>
  <c r="I345" i="4462"/>
  <c r="J345" i="4462"/>
  <c r="K345" i="4462"/>
  <c r="L345" i="4462"/>
  <c r="M345" i="4462"/>
  <c r="N345" i="4462"/>
  <c r="O345" i="4462"/>
  <c r="P345" i="4462"/>
  <c r="Q345" i="4462"/>
  <c r="R345" i="4462"/>
  <c r="S345" i="4462"/>
  <c r="T345" i="4462"/>
  <c r="U345" i="4462"/>
  <c r="V345" i="4462"/>
  <c r="W345" i="4462"/>
  <c r="X345" i="4462"/>
  <c r="Y345" i="4462"/>
  <c r="Z345" i="4462"/>
  <c r="AA345" i="4462"/>
  <c r="AB345" i="4462"/>
  <c r="AC345" i="4462"/>
  <c r="AD345" i="4462"/>
  <c r="AE345" i="4462"/>
  <c r="AF345" i="4462"/>
  <c r="AG345" i="4462"/>
  <c r="AH345" i="4462"/>
  <c r="AI345" i="4462"/>
  <c r="AJ345" i="4462"/>
  <c r="AK345" i="4462"/>
  <c r="AL345" i="4462"/>
  <c r="AM345" i="4462"/>
  <c r="AN345" i="4462"/>
  <c r="AO345" i="4462"/>
  <c r="AP345" i="4462"/>
  <c r="AQ345" i="4462"/>
  <c r="AR345" i="4462"/>
  <c r="AS345" i="4462"/>
  <c r="AT345" i="4462"/>
  <c r="AU345" i="4462"/>
  <c r="AV345" i="4462"/>
  <c r="AW345" i="4462"/>
  <c r="AX345" i="4462"/>
  <c r="AY345" i="4462"/>
  <c r="AZ345" i="4462"/>
  <c r="BA345" i="4462"/>
  <c r="BB345" i="4462"/>
  <c r="BC345" i="4462"/>
  <c r="BD345" i="4462"/>
  <c r="A346" i="4462"/>
  <c r="B346" i="4462"/>
  <c r="C346" i="4462"/>
  <c r="D346" i="4462"/>
  <c r="E346" i="4462"/>
  <c r="F346" i="4462"/>
  <c r="G346" i="4462"/>
  <c r="H346" i="4462"/>
  <c r="I346" i="4462"/>
  <c r="J346" i="4462"/>
  <c r="K346" i="4462"/>
  <c r="L346" i="4462"/>
  <c r="M346" i="4462"/>
  <c r="N346" i="4462"/>
  <c r="O346" i="4462"/>
  <c r="P346" i="4462"/>
  <c r="Q346" i="4462"/>
  <c r="R346" i="4462"/>
  <c r="S346" i="4462"/>
  <c r="T346" i="4462"/>
  <c r="U346" i="4462"/>
  <c r="V346" i="4462"/>
  <c r="W346" i="4462"/>
  <c r="X346" i="4462"/>
  <c r="Y346" i="4462"/>
  <c r="Z346" i="4462"/>
  <c r="AA346" i="4462"/>
  <c r="AB346" i="4462"/>
  <c r="AC346" i="4462"/>
  <c r="AD346" i="4462"/>
  <c r="AE346" i="4462"/>
  <c r="AF346" i="4462"/>
  <c r="AG346" i="4462"/>
  <c r="AH346" i="4462"/>
  <c r="AI346" i="4462"/>
  <c r="AJ346" i="4462"/>
  <c r="AK346" i="4462"/>
  <c r="AL346" i="4462"/>
  <c r="AM346" i="4462"/>
  <c r="AN346" i="4462"/>
  <c r="AO346" i="4462"/>
  <c r="AP346" i="4462"/>
  <c r="AQ346" i="4462"/>
  <c r="AR346" i="4462"/>
  <c r="AS346" i="4462"/>
  <c r="AT346" i="4462"/>
  <c r="AU346" i="4462"/>
  <c r="AV346" i="4462"/>
  <c r="AW346" i="4462"/>
  <c r="AX346" i="4462"/>
  <c r="AY346" i="4462"/>
  <c r="AZ346" i="4462"/>
  <c r="BA346" i="4462"/>
  <c r="BB346" i="4462"/>
  <c r="BC346" i="4462"/>
  <c r="BD346" i="4462"/>
  <c r="A347" i="4462"/>
  <c r="B347" i="4462"/>
  <c r="C347" i="4462"/>
  <c r="D347" i="4462"/>
  <c r="E347" i="4462"/>
  <c r="F347" i="4462"/>
  <c r="G347" i="4462"/>
  <c r="H347" i="4462"/>
  <c r="I347" i="4462"/>
  <c r="J347" i="4462"/>
  <c r="K347" i="4462"/>
  <c r="L347" i="4462"/>
  <c r="M347" i="4462"/>
  <c r="N347" i="4462"/>
  <c r="O347" i="4462"/>
  <c r="P347" i="4462"/>
  <c r="Q347" i="4462"/>
  <c r="R347" i="4462"/>
  <c r="S347" i="4462"/>
  <c r="T347" i="4462"/>
  <c r="U347" i="4462"/>
  <c r="V347" i="4462"/>
  <c r="W347" i="4462"/>
  <c r="X347" i="4462"/>
  <c r="Y347" i="4462"/>
  <c r="Z347" i="4462"/>
  <c r="AA347" i="4462"/>
  <c r="AB347" i="4462"/>
  <c r="AC347" i="4462"/>
  <c r="AD347" i="4462"/>
  <c r="AE347" i="4462"/>
  <c r="AF347" i="4462"/>
  <c r="AG347" i="4462"/>
  <c r="AH347" i="4462"/>
  <c r="AI347" i="4462"/>
  <c r="AJ347" i="4462"/>
  <c r="AK347" i="4462"/>
  <c r="AL347" i="4462"/>
  <c r="AM347" i="4462"/>
  <c r="AN347" i="4462"/>
  <c r="AO347" i="4462"/>
  <c r="AP347" i="4462"/>
  <c r="AQ347" i="4462"/>
  <c r="AR347" i="4462"/>
  <c r="AS347" i="4462"/>
  <c r="AT347" i="4462"/>
  <c r="AU347" i="4462"/>
  <c r="AV347" i="4462"/>
  <c r="AW347" i="4462"/>
  <c r="AX347" i="4462"/>
  <c r="AY347" i="4462"/>
  <c r="AZ347" i="4462"/>
  <c r="BA347" i="4462"/>
  <c r="BB347" i="4462"/>
  <c r="BC347" i="4462"/>
  <c r="BD347" i="4462"/>
  <c r="A348" i="4462"/>
  <c r="B348" i="4462"/>
  <c r="C348" i="4462"/>
  <c r="D348" i="4462"/>
  <c r="E348" i="4462"/>
  <c r="F348" i="4462"/>
  <c r="G348" i="4462"/>
  <c r="H348" i="4462"/>
  <c r="I348" i="4462"/>
  <c r="J348" i="4462"/>
  <c r="K348" i="4462"/>
  <c r="L348" i="4462"/>
  <c r="M348" i="4462"/>
  <c r="N348" i="4462"/>
  <c r="O348" i="4462"/>
  <c r="P348" i="4462"/>
  <c r="Q348" i="4462"/>
  <c r="R348" i="4462"/>
  <c r="S348" i="4462"/>
  <c r="T348" i="4462"/>
  <c r="U348" i="4462"/>
  <c r="V348" i="4462"/>
  <c r="W348" i="4462"/>
  <c r="X348" i="4462"/>
  <c r="Y348" i="4462"/>
  <c r="Z348" i="4462"/>
  <c r="AA348" i="4462"/>
  <c r="AB348" i="4462"/>
  <c r="AC348" i="4462"/>
  <c r="AD348" i="4462"/>
  <c r="AE348" i="4462"/>
  <c r="AF348" i="4462"/>
  <c r="AG348" i="4462"/>
  <c r="AH348" i="4462"/>
  <c r="AI348" i="4462"/>
  <c r="AJ348" i="4462"/>
  <c r="AK348" i="4462"/>
  <c r="AL348" i="4462"/>
  <c r="AM348" i="4462"/>
  <c r="AN348" i="4462"/>
  <c r="AO348" i="4462"/>
  <c r="AP348" i="4462"/>
  <c r="AQ348" i="4462"/>
  <c r="AR348" i="4462"/>
  <c r="AS348" i="4462"/>
  <c r="AT348" i="4462"/>
  <c r="AU348" i="4462"/>
  <c r="AV348" i="4462"/>
  <c r="AW348" i="4462"/>
  <c r="AX348" i="4462"/>
  <c r="AY348" i="4462"/>
  <c r="AZ348" i="4462"/>
  <c r="BA348" i="4462"/>
  <c r="BB348" i="4462"/>
  <c r="BC348" i="4462"/>
  <c r="BD348" i="4462"/>
  <c r="A349" i="4462"/>
  <c r="B349" i="4462"/>
  <c r="C349" i="4462"/>
  <c r="D349" i="4462"/>
  <c r="E349" i="4462"/>
  <c r="F349" i="4462"/>
  <c r="G349" i="4462"/>
  <c r="H349" i="4462"/>
  <c r="I349" i="4462"/>
  <c r="J349" i="4462"/>
  <c r="K349" i="4462"/>
  <c r="L349" i="4462"/>
  <c r="M349" i="4462"/>
  <c r="N349" i="4462"/>
  <c r="O349" i="4462"/>
  <c r="P349" i="4462"/>
  <c r="Q349" i="4462"/>
  <c r="R349" i="4462"/>
  <c r="S349" i="4462"/>
  <c r="T349" i="4462"/>
  <c r="U349" i="4462"/>
  <c r="V349" i="4462"/>
  <c r="W349" i="4462"/>
  <c r="X349" i="4462"/>
  <c r="Y349" i="4462"/>
  <c r="Z349" i="4462"/>
  <c r="AA349" i="4462"/>
  <c r="AB349" i="4462"/>
  <c r="AC349" i="4462"/>
  <c r="AD349" i="4462"/>
  <c r="AE349" i="4462"/>
  <c r="AF349" i="4462"/>
  <c r="AG349" i="4462"/>
  <c r="AH349" i="4462"/>
  <c r="AI349" i="4462"/>
  <c r="AJ349" i="4462"/>
  <c r="AK349" i="4462"/>
  <c r="AL349" i="4462"/>
  <c r="AM349" i="4462"/>
  <c r="AN349" i="4462"/>
  <c r="AO349" i="4462"/>
  <c r="AP349" i="4462"/>
  <c r="AQ349" i="4462"/>
  <c r="AR349" i="4462"/>
  <c r="AS349" i="4462"/>
  <c r="AT349" i="4462"/>
  <c r="AU349" i="4462"/>
  <c r="AV349" i="4462"/>
  <c r="AW349" i="4462"/>
  <c r="AX349" i="4462"/>
  <c r="AY349" i="4462"/>
  <c r="AZ349" i="4462"/>
  <c r="BA349" i="4462"/>
  <c r="BB349" i="4462"/>
  <c r="BC349" i="4462"/>
  <c r="BD349" i="4462"/>
  <c r="A350" i="4462"/>
  <c r="B350" i="4462"/>
  <c r="C350" i="4462"/>
  <c r="D350" i="4462"/>
  <c r="E350" i="4462"/>
  <c r="F350" i="4462"/>
  <c r="G350" i="4462"/>
  <c r="H350" i="4462"/>
  <c r="I350" i="4462"/>
  <c r="J350" i="4462"/>
  <c r="K350" i="4462"/>
  <c r="L350" i="4462"/>
  <c r="M350" i="4462"/>
  <c r="N350" i="4462"/>
  <c r="O350" i="4462"/>
  <c r="P350" i="4462"/>
  <c r="Q350" i="4462"/>
  <c r="R350" i="4462"/>
  <c r="S350" i="4462"/>
  <c r="T350" i="4462"/>
  <c r="U350" i="4462"/>
  <c r="V350" i="4462"/>
  <c r="W350" i="4462"/>
  <c r="X350" i="4462"/>
  <c r="Y350" i="4462"/>
  <c r="Z350" i="4462"/>
  <c r="AA350" i="4462"/>
  <c r="AB350" i="4462"/>
  <c r="AC350" i="4462"/>
  <c r="AD350" i="4462"/>
  <c r="AE350" i="4462"/>
  <c r="AF350" i="4462"/>
  <c r="AG350" i="4462"/>
  <c r="AH350" i="4462"/>
  <c r="AI350" i="4462"/>
  <c r="AJ350" i="4462"/>
  <c r="AK350" i="4462"/>
  <c r="AL350" i="4462"/>
  <c r="AM350" i="4462"/>
  <c r="AN350" i="4462"/>
  <c r="AO350" i="4462"/>
  <c r="AP350" i="4462"/>
  <c r="AQ350" i="4462"/>
  <c r="AR350" i="4462"/>
  <c r="AS350" i="4462"/>
  <c r="AT350" i="4462"/>
  <c r="AU350" i="4462"/>
  <c r="AV350" i="4462"/>
  <c r="AW350" i="4462"/>
  <c r="AX350" i="4462"/>
  <c r="AY350" i="4462"/>
  <c r="AZ350" i="4462"/>
  <c r="BA350" i="4462"/>
  <c r="BB350" i="4462"/>
  <c r="BC350" i="4462"/>
  <c r="BD350" i="4462"/>
  <c r="A351" i="4462"/>
  <c r="B351" i="4462"/>
  <c r="C351" i="4462"/>
  <c r="D351" i="4462"/>
  <c r="E351" i="4462"/>
  <c r="F351" i="4462"/>
  <c r="G351" i="4462"/>
  <c r="H351" i="4462"/>
  <c r="I351" i="4462"/>
  <c r="J351" i="4462"/>
  <c r="K351" i="4462"/>
  <c r="L351" i="4462"/>
  <c r="M351" i="4462"/>
  <c r="N351" i="4462"/>
  <c r="O351" i="4462"/>
  <c r="P351" i="4462"/>
  <c r="Q351" i="4462"/>
  <c r="R351" i="4462"/>
  <c r="S351" i="4462"/>
  <c r="T351" i="4462"/>
  <c r="U351" i="4462"/>
  <c r="V351" i="4462"/>
  <c r="W351" i="4462"/>
  <c r="X351" i="4462"/>
  <c r="Y351" i="4462"/>
  <c r="Z351" i="4462"/>
  <c r="AA351" i="4462"/>
  <c r="AB351" i="4462"/>
  <c r="AC351" i="4462"/>
  <c r="AD351" i="4462"/>
  <c r="AE351" i="4462"/>
  <c r="AF351" i="4462"/>
  <c r="AG351" i="4462"/>
  <c r="AH351" i="4462"/>
  <c r="AI351" i="4462"/>
  <c r="AJ351" i="4462"/>
  <c r="AK351" i="4462"/>
  <c r="AL351" i="4462"/>
  <c r="AM351" i="4462"/>
  <c r="AN351" i="4462"/>
  <c r="AO351" i="4462"/>
  <c r="AP351" i="4462"/>
  <c r="AQ351" i="4462"/>
  <c r="AR351" i="4462"/>
  <c r="AS351" i="4462"/>
  <c r="AT351" i="4462"/>
  <c r="AU351" i="4462"/>
  <c r="AV351" i="4462"/>
  <c r="AW351" i="4462"/>
  <c r="AX351" i="4462"/>
  <c r="AY351" i="4462"/>
  <c r="AZ351" i="4462"/>
  <c r="BA351" i="4462"/>
  <c r="BB351" i="4462"/>
  <c r="BC351" i="4462"/>
  <c r="BD351" i="4462"/>
  <c r="A352" i="4462"/>
  <c r="B352" i="4462"/>
  <c r="C352" i="4462"/>
  <c r="D352" i="4462"/>
  <c r="E352" i="4462"/>
  <c r="F352" i="4462"/>
  <c r="G352" i="4462"/>
  <c r="H352" i="4462"/>
  <c r="I352" i="4462"/>
  <c r="J352" i="4462"/>
  <c r="K352" i="4462"/>
  <c r="L352" i="4462"/>
  <c r="M352" i="4462"/>
  <c r="N352" i="4462"/>
  <c r="O352" i="4462"/>
  <c r="P352" i="4462"/>
  <c r="Q352" i="4462"/>
  <c r="R352" i="4462"/>
  <c r="S352" i="4462"/>
  <c r="T352" i="4462"/>
  <c r="U352" i="4462"/>
  <c r="V352" i="4462"/>
  <c r="W352" i="4462"/>
  <c r="X352" i="4462"/>
  <c r="Y352" i="4462"/>
  <c r="Z352" i="4462"/>
  <c r="AA352" i="4462"/>
  <c r="AB352" i="4462"/>
  <c r="AC352" i="4462"/>
  <c r="AD352" i="4462"/>
  <c r="AE352" i="4462"/>
  <c r="AF352" i="4462"/>
  <c r="AG352" i="4462"/>
  <c r="AH352" i="4462"/>
  <c r="AI352" i="4462"/>
  <c r="AJ352" i="4462"/>
  <c r="AK352" i="4462"/>
  <c r="AL352" i="4462"/>
  <c r="AM352" i="4462"/>
  <c r="AN352" i="4462"/>
  <c r="AO352" i="4462"/>
  <c r="AP352" i="4462"/>
  <c r="AQ352" i="4462"/>
  <c r="AR352" i="4462"/>
  <c r="AS352" i="4462"/>
  <c r="AT352" i="4462"/>
  <c r="AU352" i="4462"/>
  <c r="AV352" i="4462"/>
  <c r="AW352" i="4462"/>
  <c r="AX352" i="4462"/>
  <c r="AY352" i="4462"/>
  <c r="AZ352" i="4462"/>
  <c r="BA352" i="4462"/>
  <c r="BB352" i="4462"/>
  <c r="BC352" i="4462"/>
  <c r="BD352" i="4462"/>
  <c r="A353" i="4462"/>
  <c r="B353" i="4462"/>
  <c r="C353" i="4462"/>
  <c r="D353" i="4462"/>
  <c r="E353" i="4462"/>
  <c r="F353" i="4462"/>
  <c r="G353" i="4462"/>
  <c r="H353" i="4462"/>
  <c r="I353" i="4462"/>
  <c r="J353" i="4462"/>
  <c r="K353" i="4462"/>
  <c r="L353" i="4462"/>
  <c r="M353" i="4462"/>
  <c r="N353" i="4462"/>
  <c r="O353" i="4462"/>
  <c r="P353" i="4462"/>
  <c r="Q353" i="4462"/>
  <c r="R353" i="4462"/>
  <c r="S353" i="4462"/>
  <c r="T353" i="4462"/>
  <c r="U353" i="4462"/>
  <c r="V353" i="4462"/>
  <c r="W353" i="4462"/>
  <c r="X353" i="4462"/>
  <c r="Y353" i="4462"/>
  <c r="Z353" i="4462"/>
  <c r="AA353" i="4462"/>
  <c r="AB353" i="4462"/>
  <c r="AC353" i="4462"/>
  <c r="AD353" i="4462"/>
  <c r="AE353" i="4462"/>
  <c r="AF353" i="4462"/>
  <c r="AG353" i="4462"/>
  <c r="AH353" i="4462"/>
  <c r="AI353" i="4462"/>
  <c r="AJ353" i="4462"/>
  <c r="AK353" i="4462"/>
  <c r="AL353" i="4462"/>
  <c r="AM353" i="4462"/>
  <c r="AN353" i="4462"/>
  <c r="AO353" i="4462"/>
  <c r="AP353" i="4462"/>
  <c r="AQ353" i="4462"/>
  <c r="AR353" i="4462"/>
  <c r="AS353" i="4462"/>
  <c r="AT353" i="4462"/>
  <c r="AU353" i="4462"/>
  <c r="AV353" i="4462"/>
  <c r="AW353" i="4462"/>
  <c r="AX353" i="4462"/>
  <c r="AY353" i="4462"/>
  <c r="AZ353" i="4462"/>
  <c r="BA353" i="4462"/>
  <c r="BB353" i="4462"/>
  <c r="BC353" i="4462"/>
  <c r="BD353" i="4462"/>
  <c r="A354" i="4462"/>
  <c r="B354" i="4462"/>
  <c r="C354" i="4462"/>
  <c r="D354" i="4462"/>
  <c r="E354" i="4462"/>
  <c r="F354" i="4462"/>
  <c r="G354" i="4462"/>
  <c r="H354" i="4462"/>
  <c r="I354" i="4462"/>
  <c r="J354" i="4462"/>
  <c r="K354" i="4462"/>
  <c r="L354" i="4462"/>
  <c r="M354" i="4462"/>
  <c r="N354" i="4462"/>
  <c r="O354" i="4462"/>
  <c r="P354" i="4462"/>
  <c r="Q354" i="4462"/>
  <c r="R354" i="4462"/>
  <c r="S354" i="4462"/>
  <c r="T354" i="4462"/>
  <c r="U354" i="4462"/>
  <c r="V354" i="4462"/>
  <c r="W354" i="4462"/>
  <c r="X354" i="4462"/>
  <c r="Y354" i="4462"/>
  <c r="Z354" i="4462"/>
  <c r="AA354" i="4462"/>
  <c r="AB354" i="4462"/>
  <c r="AC354" i="4462"/>
  <c r="AD354" i="4462"/>
  <c r="AE354" i="4462"/>
  <c r="AF354" i="4462"/>
  <c r="AG354" i="4462"/>
  <c r="AH354" i="4462"/>
  <c r="AI354" i="4462"/>
  <c r="AJ354" i="4462"/>
  <c r="AK354" i="4462"/>
  <c r="AL354" i="4462"/>
  <c r="AM354" i="4462"/>
  <c r="AN354" i="4462"/>
  <c r="AO354" i="4462"/>
  <c r="AP354" i="4462"/>
  <c r="AQ354" i="4462"/>
  <c r="AR354" i="4462"/>
  <c r="AS354" i="4462"/>
  <c r="AT354" i="4462"/>
  <c r="AU354" i="4462"/>
  <c r="AV354" i="4462"/>
  <c r="AW354" i="4462"/>
  <c r="AX354" i="4462"/>
  <c r="AY354" i="4462"/>
  <c r="AZ354" i="4462"/>
  <c r="BA354" i="4462"/>
  <c r="BB354" i="4462"/>
  <c r="BC354" i="4462"/>
  <c r="BD354" i="4462"/>
  <c r="A355" i="4462"/>
  <c r="B355" i="4462"/>
  <c r="C355" i="4462"/>
  <c r="D355" i="4462"/>
  <c r="E355" i="4462"/>
  <c r="F355" i="4462"/>
  <c r="G355" i="4462"/>
  <c r="H355" i="4462"/>
  <c r="I355" i="4462"/>
  <c r="J355" i="4462"/>
  <c r="K355" i="4462"/>
  <c r="L355" i="4462"/>
  <c r="M355" i="4462"/>
  <c r="N355" i="4462"/>
  <c r="O355" i="4462"/>
  <c r="P355" i="4462"/>
  <c r="Q355" i="4462"/>
  <c r="R355" i="4462"/>
  <c r="S355" i="4462"/>
  <c r="T355" i="4462"/>
  <c r="U355" i="4462"/>
  <c r="V355" i="4462"/>
  <c r="W355" i="4462"/>
  <c r="X355" i="4462"/>
  <c r="Y355" i="4462"/>
  <c r="Z355" i="4462"/>
  <c r="AA355" i="4462"/>
  <c r="AB355" i="4462"/>
  <c r="AC355" i="4462"/>
  <c r="AD355" i="4462"/>
  <c r="AE355" i="4462"/>
  <c r="AF355" i="4462"/>
  <c r="AG355" i="4462"/>
  <c r="AH355" i="4462"/>
  <c r="AI355" i="4462"/>
  <c r="AJ355" i="4462"/>
  <c r="AK355" i="4462"/>
  <c r="AL355" i="4462"/>
  <c r="AM355" i="4462"/>
  <c r="AN355" i="4462"/>
  <c r="AO355" i="4462"/>
  <c r="AP355" i="4462"/>
  <c r="AQ355" i="4462"/>
  <c r="AR355" i="4462"/>
  <c r="AS355" i="4462"/>
  <c r="AT355" i="4462"/>
  <c r="AU355" i="4462"/>
  <c r="AV355" i="4462"/>
  <c r="AW355" i="4462"/>
  <c r="AX355" i="4462"/>
  <c r="AY355" i="4462"/>
  <c r="AZ355" i="4462"/>
  <c r="BA355" i="4462"/>
  <c r="BB355" i="4462"/>
  <c r="BC355" i="4462"/>
  <c r="BD355" i="4462"/>
  <c r="A356" i="4462"/>
  <c r="B356" i="4462"/>
  <c r="C356" i="4462"/>
  <c r="D356" i="4462"/>
  <c r="E356" i="4462"/>
  <c r="F356" i="4462"/>
  <c r="G356" i="4462"/>
  <c r="H356" i="4462"/>
  <c r="I356" i="4462"/>
  <c r="J356" i="4462"/>
  <c r="K356" i="4462"/>
  <c r="L356" i="4462"/>
  <c r="M356" i="4462"/>
  <c r="N356" i="4462"/>
  <c r="O356" i="4462"/>
  <c r="P356" i="4462"/>
  <c r="Q356" i="4462"/>
  <c r="R356" i="4462"/>
  <c r="S356" i="4462"/>
  <c r="T356" i="4462"/>
  <c r="U356" i="4462"/>
  <c r="V356" i="4462"/>
  <c r="W356" i="4462"/>
  <c r="X356" i="4462"/>
  <c r="Y356" i="4462"/>
  <c r="Z356" i="4462"/>
  <c r="AA356" i="4462"/>
  <c r="AB356" i="4462"/>
  <c r="AC356" i="4462"/>
  <c r="AD356" i="4462"/>
  <c r="AE356" i="4462"/>
  <c r="AF356" i="4462"/>
  <c r="AG356" i="4462"/>
  <c r="AH356" i="4462"/>
  <c r="AI356" i="4462"/>
  <c r="AJ356" i="4462"/>
  <c r="AK356" i="4462"/>
  <c r="AL356" i="4462"/>
  <c r="AM356" i="4462"/>
  <c r="AN356" i="4462"/>
  <c r="AO356" i="4462"/>
  <c r="AP356" i="4462"/>
  <c r="AQ356" i="4462"/>
  <c r="AR356" i="4462"/>
  <c r="AS356" i="4462"/>
  <c r="AT356" i="4462"/>
  <c r="AU356" i="4462"/>
  <c r="AV356" i="4462"/>
  <c r="AW356" i="4462"/>
  <c r="AX356" i="4462"/>
  <c r="AY356" i="4462"/>
  <c r="AZ356" i="4462"/>
  <c r="BA356" i="4462"/>
  <c r="BB356" i="4462"/>
  <c r="BC356" i="4462"/>
  <c r="BD356" i="4462"/>
  <c r="A357" i="4462"/>
  <c r="B357" i="4462"/>
  <c r="C357" i="4462"/>
  <c r="D357" i="4462"/>
  <c r="E357" i="4462"/>
  <c r="F357" i="4462"/>
  <c r="G357" i="4462"/>
  <c r="H357" i="4462"/>
  <c r="I357" i="4462"/>
  <c r="J357" i="4462"/>
  <c r="K357" i="4462"/>
  <c r="L357" i="4462"/>
  <c r="M357" i="4462"/>
  <c r="N357" i="4462"/>
  <c r="O357" i="4462"/>
  <c r="P357" i="4462"/>
  <c r="Q357" i="4462"/>
  <c r="R357" i="4462"/>
  <c r="S357" i="4462"/>
  <c r="T357" i="4462"/>
  <c r="U357" i="4462"/>
  <c r="V357" i="4462"/>
  <c r="W357" i="4462"/>
  <c r="X357" i="4462"/>
  <c r="Y357" i="4462"/>
  <c r="Z357" i="4462"/>
  <c r="AA357" i="4462"/>
  <c r="AB357" i="4462"/>
  <c r="AC357" i="4462"/>
  <c r="AD357" i="4462"/>
  <c r="AE357" i="4462"/>
  <c r="AF357" i="4462"/>
  <c r="AG357" i="4462"/>
  <c r="AH357" i="4462"/>
  <c r="AI357" i="4462"/>
  <c r="AJ357" i="4462"/>
  <c r="AK357" i="4462"/>
  <c r="AL357" i="4462"/>
  <c r="AM357" i="4462"/>
  <c r="AN357" i="4462"/>
  <c r="AO357" i="4462"/>
  <c r="AP357" i="4462"/>
  <c r="AQ357" i="4462"/>
  <c r="AR357" i="4462"/>
  <c r="AS357" i="4462"/>
  <c r="AT357" i="4462"/>
  <c r="AU357" i="4462"/>
  <c r="AV357" i="4462"/>
  <c r="AW357" i="4462"/>
  <c r="AX357" i="4462"/>
  <c r="AY357" i="4462"/>
  <c r="AZ357" i="4462"/>
  <c r="BA357" i="4462"/>
  <c r="BB357" i="4462"/>
  <c r="BC357" i="4462"/>
  <c r="BD357" i="4462"/>
  <c r="A358" i="4462"/>
  <c r="B358" i="4462"/>
  <c r="C358" i="4462"/>
  <c r="D358" i="4462"/>
  <c r="E358" i="4462"/>
  <c r="F358" i="4462"/>
  <c r="G358" i="4462"/>
  <c r="H358" i="4462"/>
  <c r="I358" i="4462"/>
  <c r="J358" i="4462"/>
  <c r="K358" i="4462"/>
  <c r="L358" i="4462"/>
  <c r="M358" i="4462"/>
  <c r="N358" i="4462"/>
  <c r="O358" i="4462"/>
  <c r="P358" i="4462"/>
  <c r="Q358" i="4462"/>
  <c r="R358" i="4462"/>
  <c r="S358" i="4462"/>
  <c r="T358" i="4462"/>
  <c r="U358" i="4462"/>
  <c r="V358" i="4462"/>
  <c r="W358" i="4462"/>
  <c r="X358" i="4462"/>
  <c r="Y358" i="4462"/>
  <c r="Z358" i="4462"/>
  <c r="AA358" i="4462"/>
  <c r="AB358" i="4462"/>
  <c r="AC358" i="4462"/>
  <c r="AD358" i="4462"/>
  <c r="AE358" i="4462"/>
  <c r="AF358" i="4462"/>
  <c r="AG358" i="4462"/>
  <c r="AH358" i="4462"/>
  <c r="AI358" i="4462"/>
  <c r="AJ358" i="4462"/>
  <c r="AK358" i="4462"/>
  <c r="AL358" i="4462"/>
  <c r="AM358" i="4462"/>
  <c r="AN358" i="4462"/>
  <c r="AO358" i="4462"/>
  <c r="AP358" i="4462"/>
  <c r="AQ358" i="4462"/>
  <c r="AR358" i="4462"/>
  <c r="AS358" i="4462"/>
  <c r="AT358" i="4462"/>
  <c r="AU358" i="4462"/>
  <c r="AV358" i="4462"/>
  <c r="AW358" i="4462"/>
  <c r="AX358" i="4462"/>
  <c r="AY358" i="4462"/>
  <c r="AZ358" i="4462"/>
  <c r="BA358" i="4462"/>
  <c r="BB358" i="4462"/>
  <c r="BC358" i="4462"/>
  <c r="BD358" i="4462"/>
  <c r="A359" i="4462"/>
  <c r="B359" i="4462"/>
  <c r="C359" i="4462"/>
  <c r="D359" i="4462"/>
  <c r="E359" i="4462"/>
  <c r="F359" i="4462"/>
  <c r="G359" i="4462"/>
  <c r="H359" i="4462"/>
  <c r="I359" i="4462"/>
  <c r="J359" i="4462"/>
  <c r="K359" i="4462"/>
  <c r="L359" i="4462"/>
  <c r="M359" i="4462"/>
  <c r="N359" i="4462"/>
  <c r="O359" i="4462"/>
  <c r="P359" i="4462"/>
  <c r="Q359" i="4462"/>
  <c r="R359" i="4462"/>
  <c r="S359" i="4462"/>
  <c r="T359" i="4462"/>
  <c r="U359" i="4462"/>
  <c r="V359" i="4462"/>
  <c r="W359" i="4462"/>
  <c r="X359" i="4462"/>
  <c r="Y359" i="4462"/>
  <c r="Z359" i="4462"/>
  <c r="AA359" i="4462"/>
  <c r="AB359" i="4462"/>
  <c r="AC359" i="4462"/>
  <c r="AD359" i="4462"/>
  <c r="AE359" i="4462"/>
  <c r="AF359" i="4462"/>
  <c r="AG359" i="4462"/>
  <c r="AH359" i="4462"/>
  <c r="AI359" i="4462"/>
  <c r="AJ359" i="4462"/>
  <c r="AK359" i="4462"/>
  <c r="AL359" i="4462"/>
  <c r="AM359" i="4462"/>
  <c r="AN359" i="4462"/>
  <c r="AO359" i="4462"/>
  <c r="AP359" i="4462"/>
  <c r="AQ359" i="4462"/>
  <c r="AR359" i="4462"/>
  <c r="AS359" i="4462"/>
  <c r="AT359" i="4462"/>
  <c r="AU359" i="4462"/>
  <c r="AV359" i="4462"/>
  <c r="AW359" i="4462"/>
  <c r="AX359" i="4462"/>
  <c r="AY359" i="4462"/>
  <c r="AZ359" i="4462"/>
  <c r="BA359" i="4462"/>
  <c r="BB359" i="4462"/>
  <c r="BC359" i="4462"/>
  <c r="BD359" i="4462"/>
  <c r="A360" i="4462"/>
  <c r="B360" i="4462"/>
  <c r="C360" i="4462"/>
  <c r="D360" i="4462"/>
  <c r="E360" i="4462"/>
  <c r="F360" i="4462"/>
  <c r="G360" i="4462"/>
  <c r="H360" i="4462"/>
  <c r="I360" i="4462"/>
  <c r="J360" i="4462"/>
  <c r="K360" i="4462"/>
  <c r="L360" i="4462"/>
  <c r="M360" i="4462"/>
  <c r="N360" i="4462"/>
  <c r="O360" i="4462"/>
  <c r="P360" i="4462"/>
  <c r="Q360" i="4462"/>
  <c r="R360" i="4462"/>
  <c r="S360" i="4462"/>
  <c r="T360" i="4462"/>
  <c r="U360" i="4462"/>
  <c r="V360" i="4462"/>
  <c r="W360" i="4462"/>
  <c r="X360" i="4462"/>
  <c r="Y360" i="4462"/>
  <c r="Z360" i="4462"/>
  <c r="AA360" i="4462"/>
  <c r="AB360" i="4462"/>
  <c r="AC360" i="4462"/>
  <c r="AD360" i="4462"/>
  <c r="AE360" i="4462"/>
  <c r="AF360" i="4462"/>
  <c r="AG360" i="4462"/>
  <c r="AH360" i="4462"/>
  <c r="AI360" i="4462"/>
  <c r="AJ360" i="4462"/>
  <c r="AK360" i="4462"/>
  <c r="AL360" i="4462"/>
  <c r="AM360" i="4462"/>
  <c r="AN360" i="4462"/>
  <c r="AO360" i="4462"/>
  <c r="AP360" i="4462"/>
  <c r="AQ360" i="4462"/>
  <c r="AR360" i="4462"/>
  <c r="AS360" i="4462"/>
  <c r="AT360" i="4462"/>
  <c r="AU360" i="4462"/>
  <c r="AV360" i="4462"/>
  <c r="AW360" i="4462"/>
  <c r="AX360" i="4462"/>
  <c r="AY360" i="4462"/>
  <c r="AZ360" i="4462"/>
  <c r="BA360" i="4462"/>
  <c r="BB360" i="4462"/>
  <c r="BC360" i="4462"/>
  <c r="BD360" i="4462"/>
  <c r="A361" i="4462"/>
  <c r="B361" i="4462"/>
  <c r="C361" i="4462"/>
  <c r="D361" i="4462"/>
  <c r="E361" i="4462"/>
  <c r="F361" i="4462"/>
  <c r="G361" i="4462"/>
  <c r="H361" i="4462"/>
  <c r="I361" i="4462"/>
  <c r="J361" i="4462"/>
  <c r="K361" i="4462"/>
  <c r="L361" i="4462"/>
  <c r="M361" i="4462"/>
  <c r="N361" i="4462"/>
  <c r="O361" i="4462"/>
  <c r="P361" i="4462"/>
  <c r="Q361" i="4462"/>
  <c r="R361" i="4462"/>
  <c r="S361" i="4462"/>
  <c r="T361" i="4462"/>
  <c r="U361" i="4462"/>
  <c r="V361" i="4462"/>
  <c r="W361" i="4462"/>
  <c r="X361" i="4462"/>
  <c r="Y361" i="4462"/>
  <c r="Z361" i="4462"/>
  <c r="AA361" i="4462"/>
  <c r="AB361" i="4462"/>
  <c r="AC361" i="4462"/>
  <c r="AD361" i="4462"/>
  <c r="AE361" i="4462"/>
  <c r="AF361" i="4462"/>
  <c r="AG361" i="4462"/>
  <c r="AH361" i="4462"/>
  <c r="AI361" i="4462"/>
  <c r="AJ361" i="4462"/>
  <c r="AK361" i="4462"/>
  <c r="AL361" i="4462"/>
  <c r="AM361" i="4462"/>
  <c r="AN361" i="4462"/>
  <c r="AO361" i="4462"/>
  <c r="AP361" i="4462"/>
  <c r="AQ361" i="4462"/>
  <c r="AR361" i="4462"/>
  <c r="AS361" i="4462"/>
  <c r="AT361" i="4462"/>
  <c r="AU361" i="4462"/>
  <c r="AV361" i="4462"/>
  <c r="AW361" i="4462"/>
  <c r="AX361" i="4462"/>
  <c r="AY361" i="4462"/>
  <c r="AZ361" i="4462"/>
  <c r="BA361" i="4462"/>
  <c r="BB361" i="4462"/>
  <c r="BC361" i="4462"/>
  <c r="BD361" i="4462"/>
  <c r="A362" i="4462"/>
  <c r="B362" i="4462"/>
  <c r="C362" i="4462"/>
  <c r="D362" i="4462"/>
  <c r="E362" i="4462"/>
  <c r="F362" i="4462"/>
  <c r="G362" i="4462"/>
  <c r="H362" i="4462"/>
  <c r="I362" i="4462"/>
  <c r="J362" i="4462"/>
  <c r="K362" i="4462"/>
  <c r="L362" i="4462"/>
  <c r="M362" i="4462"/>
  <c r="N362" i="4462"/>
  <c r="O362" i="4462"/>
  <c r="P362" i="4462"/>
  <c r="Q362" i="4462"/>
  <c r="R362" i="4462"/>
  <c r="S362" i="4462"/>
  <c r="T362" i="4462"/>
  <c r="U362" i="4462"/>
  <c r="V362" i="4462"/>
  <c r="W362" i="4462"/>
  <c r="X362" i="4462"/>
  <c r="Y362" i="4462"/>
  <c r="Z362" i="4462"/>
  <c r="AA362" i="4462"/>
  <c r="AB362" i="4462"/>
  <c r="AC362" i="4462"/>
  <c r="AD362" i="4462"/>
  <c r="AE362" i="4462"/>
  <c r="AF362" i="4462"/>
  <c r="AG362" i="4462"/>
  <c r="AH362" i="4462"/>
  <c r="AI362" i="4462"/>
  <c r="AJ362" i="4462"/>
  <c r="AK362" i="4462"/>
  <c r="AL362" i="4462"/>
  <c r="AM362" i="4462"/>
  <c r="AN362" i="4462"/>
  <c r="AO362" i="4462"/>
  <c r="AP362" i="4462"/>
  <c r="AQ362" i="4462"/>
  <c r="AR362" i="4462"/>
  <c r="AS362" i="4462"/>
  <c r="AT362" i="4462"/>
  <c r="AU362" i="4462"/>
  <c r="AV362" i="4462"/>
  <c r="AW362" i="4462"/>
  <c r="AX362" i="4462"/>
  <c r="AY362" i="4462"/>
  <c r="AZ362" i="4462"/>
  <c r="BA362" i="4462"/>
  <c r="BB362" i="4462"/>
  <c r="BC362" i="4462"/>
  <c r="BD362" i="4462"/>
  <c r="A363" i="4462"/>
  <c r="B363" i="4462"/>
  <c r="C363" i="4462"/>
  <c r="D363" i="4462"/>
  <c r="E363" i="4462"/>
  <c r="F363" i="4462"/>
  <c r="G363" i="4462"/>
  <c r="H363" i="4462"/>
  <c r="I363" i="4462"/>
  <c r="J363" i="4462"/>
  <c r="K363" i="4462"/>
  <c r="L363" i="4462"/>
  <c r="M363" i="4462"/>
  <c r="N363" i="4462"/>
  <c r="O363" i="4462"/>
  <c r="P363" i="4462"/>
  <c r="Q363" i="4462"/>
  <c r="R363" i="4462"/>
  <c r="S363" i="4462"/>
  <c r="T363" i="4462"/>
  <c r="U363" i="4462"/>
  <c r="V363" i="4462"/>
  <c r="W363" i="4462"/>
  <c r="X363" i="4462"/>
  <c r="Y363" i="4462"/>
  <c r="Z363" i="4462"/>
  <c r="AA363" i="4462"/>
  <c r="AB363" i="4462"/>
  <c r="AC363" i="4462"/>
  <c r="AD363" i="4462"/>
  <c r="AE363" i="4462"/>
  <c r="AF363" i="4462"/>
  <c r="AG363" i="4462"/>
  <c r="AH363" i="4462"/>
  <c r="AI363" i="4462"/>
  <c r="AJ363" i="4462"/>
  <c r="AK363" i="4462"/>
  <c r="AL363" i="4462"/>
  <c r="AM363" i="4462"/>
  <c r="AN363" i="4462"/>
  <c r="AO363" i="4462"/>
  <c r="AP363" i="4462"/>
  <c r="AQ363" i="4462"/>
  <c r="AR363" i="4462"/>
  <c r="AS363" i="4462"/>
  <c r="AT363" i="4462"/>
  <c r="AU363" i="4462"/>
  <c r="AV363" i="4462"/>
  <c r="AW363" i="4462"/>
  <c r="AX363" i="4462"/>
  <c r="AY363" i="4462"/>
  <c r="AZ363" i="4462"/>
  <c r="BA363" i="4462"/>
  <c r="BB363" i="4462"/>
  <c r="BC363" i="4462"/>
  <c r="BD363" i="4462"/>
  <c r="A364" i="4462"/>
  <c r="B364" i="4462"/>
  <c r="C364" i="4462"/>
  <c r="D364" i="4462"/>
  <c r="E364" i="4462"/>
  <c r="F364" i="4462"/>
  <c r="G364" i="4462"/>
  <c r="H364" i="4462"/>
  <c r="I364" i="4462"/>
  <c r="J364" i="4462"/>
  <c r="K364" i="4462"/>
  <c r="L364" i="4462"/>
  <c r="M364" i="4462"/>
  <c r="N364" i="4462"/>
  <c r="O364" i="4462"/>
  <c r="P364" i="4462"/>
  <c r="Q364" i="4462"/>
  <c r="R364" i="4462"/>
  <c r="S364" i="4462"/>
  <c r="T364" i="4462"/>
  <c r="U364" i="4462"/>
  <c r="V364" i="4462"/>
  <c r="W364" i="4462"/>
  <c r="X364" i="4462"/>
  <c r="Y364" i="4462"/>
  <c r="Z364" i="4462"/>
  <c r="AA364" i="4462"/>
  <c r="AB364" i="4462"/>
  <c r="AC364" i="4462"/>
  <c r="AD364" i="4462"/>
  <c r="AE364" i="4462"/>
  <c r="AF364" i="4462"/>
  <c r="AG364" i="4462"/>
  <c r="AH364" i="4462"/>
  <c r="AI364" i="4462"/>
  <c r="AJ364" i="4462"/>
  <c r="AK364" i="4462"/>
  <c r="AL364" i="4462"/>
  <c r="AM364" i="4462"/>
  <c r="AN364" i="4462"/>
  <c r="AO364" i="4462"/>
  <c r="AP364" i="4462"/>
  <c r="AQ364" i="4462"/>
  <c r="AR364" i="4462"/>
  <c r="AS364" i="4462"/>
  <c r="AT364" i="4462"/>
  <c r="AU364" i="4462"/>
  <c r="AV364" i="4462"/>
  <c r="AW364" i="4462"/>
  <c r="AX364" i="4462"/>
  <c r="AY364" i="4462"/>
  <c r="AZ364" i="4462"/>
  <c r="BA364" i="4462"/>
  <c r="BB364" i="4462"/>
  <c r="BC364" i="4462"/>
  <c r="BD364" i="4462"/>
  <c r="A365" i="4462"/>
  <c r="B365" i="4462"/>
  <c r="C365" i="4462"/>
  <c r="D365" i="4462"/>
  <c r="E365" i="4462"/>
  <c r="F365" i="4462"/>
  <c r="G365" i="4462"/>
  <c r="H365" i="4462"/>
  <c r="I365" i="4462"/>
  <c r="J365" i="4462"/>
  <c r="K365" i="4462"/>
  <c r="L365" i="4462"/>
  <c r="M365" i="4462"/>
  <c r="N365" i="4462"/>
  <c r="O365" i="4462"/>
  <c r="P365" i="4462"/>
  <c r="Q365" i="4462"/>
  <c r="R365" i="4462"/>
  <c r="S365" i="4462"/>
  <c r="T365" i="4462"/>
  <c r="U365" i="4462"/>
  <c r="V365" i="4462"/>
  <c r="W365" i="4462"/>
  <c r="X365" i="4462"/>
  <c r="Y365" i="4462"/>
  <c r="Z365" i="4462"/>
  <c r="AA365" i="4462"/>
  <c r="AB365" i="4462"/>
  <c r="AC365" i="4462"/>
  <c r="AD365" i="4462"/>
  <c r="AE365" i="4462"/>
  <c r="AF365" i="4462"/>
  <c r="AG365" i="4462"/>
  <c r="AH365" i="4462"/>
  <c r="AI365" i="4462"/>
  <c r="AJ365" i="4462"/>
  <c r="AK365" i="4462"/>
  <c r="AL365" i="4462"/>
  <c r="AM365" i="4462"/>
  <c r="AN365" i="4462"/>
  <c r="AO365" i="4462"/>
  <c r="AP365" i="4462"/>
  <c r="AQ365" i="4462"/>
  <c r="AR365" i="4462"/>
  <c r="AS365" i="4462"/>
  <c r="AT365" i="4462"/>
  <c r="AU365" i="4462"/>
  <c r="AV365" i="4462"/>
  <c r="AW365" i="4462"/>
  <c r="AX365" i="4462"/>
  <c r="AY365" i="4462"/>
  <c r="AZ365" i="4462"/>
  <c r="BA365" i="4462"/>
  <c r="BB365" i="4462"/>
  <c r="BC365" i="4462"/>
  <c r="BD365" i="4462"/>
  <c r="A366" i="4462"/>
  <c r="B366" i="4462"/>
  <c r="C366" i="4462"/>
  <c r="D366" i="4462"/>
  <c r="E366" i="4462"/>
  <c r="F366" i="4462"/>
  <c r="G366" i="4462"/>
  <c r="H366" i="4462"/>
  <c r="I366" i="4462"/>
  <c r="J366" i="4462"/>
  <c r="K366" i="4462"/>
  <c r="L366" i="4462"/>
  <c r="M366" i="4462"/>
  <c r="N366" i="4462"/>
  <c r="O366" i="4462"/>
  <c r="P366" i="4462"/>
  <c r="Q366" i="4462"/>
  <c r="R366" i="4462"/>
  <c r="S366" i="4462"/>
  <c r="T366" i="4462"/>
  <c r="U366" i="4462"/>
  <c r="V366" i="4462"/>
  <c r="W366" i="4462"/>
  <c r="X366" i="4462"/>
  <c r="Y366" i="4462"/>
  <c r="Z366" i="4462"/>
  <c r="AA366" i="4462"/>
  <c r="AB366" i="4462"/>
  <c r="AC366" i="4462"/>
  <c r="AD366" i="4462"/>
  <c r="AE366" i="4462"/>
  <c r="AF366" i="4462"/>
  <c r="AG366" i="4462"/>
  <c r="AH366" i="4462"/>
  <c r="AI366" i="4462"/>
  <c r="AJ366" i="4462"/>
  <c r="AK366" i="4462"/>
  <c r="AL366" i="4462"/>
  <c r="AM366" i="4462"/>
  <c r="AN366" i="4462"/>
  <c r="AO366" i="4462"/>
  <c r="AP366" i="4462"/>
  <c r="AQ366" i="4462"/>
  <c r="AR366" i="4462"/>
  <c r="AS366" i="4462"/>
  <c r="AT366" i="4462"/>
  <c r="AU366" i="4462"/>
  <c r="AV366" i="4462"/>
  <c r="AW366" i="4462"/>
  <c r="AX366" i="4462"/>
  <c r="AY366" i="4462"/>
  <c r="AZ366" i="4462"/>
  <c r="BA366" i="4462"/>
  <c r="BB366" i="4462"/>
  <c r="BC366" i="4462"/>
  <c r="BD366" i="4462"/>
  <c r="A367" i="4462"/>
  <c r="B367" i="4462"/>
  <c r="C367" i="4462"/>
  <c r="D367" i="4462"/>
  <c r="E367" i="4462"/>
  <c r="F367" i="4462"/>
  <c r="G367" i="4462"/>
  <c r="H367" i="4462"/>
  <c r="I367" i="4462"/>
  <c r="J367" i="4462"/>
  <c r="K367" i="4462"/>
  <c r="L367" i="4462"/>
  <c r="M367" i="4462"/>
  <c r="N367" i="4462"/>
  <c r="O367" i="4462"/>
  <c r="P367" i="4462"/>
  <c r="Q367" i="4462"/>
  <c r="R367" i="4462"/>
  <c r="S367" i="4462"/>
  <c r="T367" i="4462"/>
  <c r="U367" i="4462"/>
  <c r="V367" i="4462"/>
  <c r="W367" i="4462"/>
  <c r="X367" i="4462"/>
  <c r="Y367" i="4462"/>
  <c r="Z367" i="4462"/>
  <c r="AA367" i="4462"/>
  <c r="AB367" i="4462"/>
  <c r="AC367" i="4462"/>
  <c r="AD367" i="4462"/>
  <c r="AE367" i="4462"/>
  <c r="AF367" i="4462"/>
  <c r="AG367" i="4462"/>
  <c r="AH367" i="4462"/>
  <c r="AI367" i="4462"/>
  <c r="AJ367" i="4462"/>
  <c r="AK367" i="4462"/>
  <c r="AL367" i="4462"/>
  <c r="AM367" i="4462"/>
  <c r="AN367" i="4462"/>
  <c r="AO367" i="4462"/>
  <c r="AP367" i="4462"/>
  <c r="AQ367" i="4462"/>
  <c r="AR367" i="4462"/>
  <c r="AS367" i="4462"/>
  <c r="AT367" i="4462"/>
  <c r="AU367" i="4462"/>
  <c r="AV367" i="4462"/>
  <c r="AW367" i="4462"/>
  <c r="AX367" i="4462"/>
  <c r="AY367" i="4462"/>
  <c r="AZ367" i="4462"/>
  <c r="BA367" i="4462"/>
  <c r="BB367" i="4462"/>
  <c r="BC367" i="4462"/>
  <c r="BD367" i="4462"/>
  <c r="A368" i="4462"/>
  <c r="B368" i="4462"/>
  <c r="C368" i="4462"/>
  <c r="D368" i="4462"/>
  <c r="E368" i="4462"/>
  <c r="F368" i="4462"/>
  <c r="G368" i="4462"/>
  <c r="H368" i="4462"/>
  <c r="I368" i="4462"/>
  <c r="J368" i="4462"/>
  <c r="K368" i="4462"/>
  <c r="L368" i="4462"/>
  <c r="M368" i="4462"/>
  <c r="N368" i="4462"/>
  <c r="O368" i="4462"/>
  <c r="P368" i="4462"/>
  <c r="Q368" i="4462"/>
  <c r="R368" i="4462"/>
  <c r="S368" i="4462"/>
  <c r="T368" i="4462"/>
  <c r="U368" i="4462"/>
  <c r="V368" i="4462"/>
  <c r="W368" i="4462"/>
  <c r="X368" i="4462"/>
  <c r="Y368" i="4462"/>
  <c r="Z368" i="4462"/>
  <c r="AA368" i="4462"/>
  <c r="AB368" i="4462"/>
  <c r="AC368" i="4462"/>
  <c r="AD368" i="4462"/>
  <c r="AE368" i="4462"/>
  <c r="AF368" i="4462"/>
  <c r="AG368" i="4462"/>
  <c r="AH368" i="4462"/>
  <c r="AI368" i="4462"/>
  <c r="AJ368" i="4462"/>
  <c r="AK368" i="4462"/>
  <c r="AL368" i="4462"/>
  <c r="AM368" i="4462"/>
  <c r="AN368" i="4462"/>
  <c r="AO368" i="4462"/>
  <c r="AP368" i="4462"/>
  <c r="AQ368" i="4462"/>
  <c r="AR368" i="4462"/>
  <c r="AS368" i="4462"/>
  <c r="AT368" i="4462"/>
  <c r="AU368" i="4462"/>
  <c r="AV368" i="4462"/>
  <c r="AW368" i="4462"/>
  <c r="AX368" i="4462"/>
  <c r="AY368" i="4462"/>
  <c r="AZ368" i="4462"/>
  <c r="BA368" i="4462"/>
  <c r="BB368" i="4462"/>
  <c r="BC368" i="4462"/>
  <c r="BD368" i="4462"/>
  <c r="A369" i="4462"/>
  <c r="B369" i="4462"/>
  <c r="C369" i="4462"/>
  <c r="D369" i="4462"/>
  <c r="E369" i="4462"/>
  <c r="F369" i="4462"/>
  <c r="G369" i="4462"/>
  <c r="H369" i="4462"/>
  <c r="I369" i="4462"/>
  <c r="J369" i="4462"/>
  <c r="K369" i="4462"/>
  <c r="L369" i="4462"/>
  <c r="M369" i="4462"/>
  <c r="N369" i="4462"/>
  <c r="O369" i="4462"/>
  <c r="P369" i="4462"/>
  <c r="Q369" i="4462"/>
  <c r="R369" i="4462"/>
  <c r="S369" i="4462"/>
  <c r="T369" i="4462"/>
  <c r="U369" i="4462"/>
  <c r="V369" i="4462"/>
  <c r="W369" i="4462"/>
  <c r="X369" i="4462"/>
  <c r="Y369" i="4462"/>
  <c r="Z369" i="4462"/>
  <c r="AA369" i="4462"/>
  <c r="AB369" i="4462"/>
  <c r="AC369" i="4462"/>
  <c r="AD369" i="4462"/>
  <c r="AE369" i="4462"/>
  <c r="AF369" i="4462"/>
  <c r="AG369" i="4462"/>
  <c r="AH369" i="4462"/>
  <c r="AI369" i="4462"/>
  <c r="AJ369" i="4462"/>
  <c r="AK369" i="4462"/>
  <c r="AL369" i="4462"/>
  <c r="AM369" i="4462"/>
  <c r="AN369" i="4462"/>
  <c r="AO369" i="4462"/>
  <c r="AP369" i="4462"/>
  <c r="AQ369" i="4462"/>
  <c r="AR369" i="4462"/>
  <c r="AS369" i="4462"/>
  <c r="AT369" i="4462"/>
  <c r="AU369" i="4462"/>
  <c r="AV369" i="4462"/>
  <c r="AW369" i="4462"/>
  <c r="AX369" i="4462"/>
  <c r="AY369" i="4462"/>
  <c r="AZ369" i="4462"/>
  <c r="BA369" i="4462"/>
  <c r="BB369" i="4462"/>
  <c r="BC369" i="4462"/>
  <c r="BD369" i="4462"/>
  <c r="A370" i="4462"/>
  <c r="B370" i="4462"/>
  <c r="C370" i="4462"/>
  <c r="D370" i="4462"/>
  <c r="E370" i="4462"/>
  <c r="F370" i="4462"/>
  <c r="G370" i="4462"/>
  <c r="H370" i="4462"/>
  <c r="I370" i="4462"/>
  <c r="J370" i="4462"/>
  <c r="K370" i="4462"/>
  <c r="L370" i="4462"/>
  <c r="M370" i="4462"/>
  <c r="N370" i="4462"/>
  <c r="O370" i="4462"/>
  <c r="P370" i="4462"/>
  <c r="Q370" i="4462"/>
  <c r="R370" i="4462"/>
  <c r="S370" i="4462"/>
  <c r="T370" i="4462"/>
  <c r="U370" i="4462"/>
  <c r="V370" i="4462"/>
  <c r="W370" i="4462"/>
  <c r="X370" i="4462"/>
  <c r="Y370" i="4462"/>
  <c r="Z370" i="4462"/>
  <c r="AA370" i="4462"/>
  <c r="AB370" i="4462"/>
  <c r="AC370" i="4462"/>
  <c r="AD370" i="4462"/>
  <c r="AE370" i="4462"/>
  <c r="AF370" i="4462"/>
  <c r="AG370" i="4462"/>
  <c r="AH370" i="4462"/>
  <c r="AI370" i="4462"/>
  <c r="AJ370" i="4462"/>
  <c r="AK370" i="4462"/>
  <c r="AL370" i="4462"/>
  <c r="AM370" i="4462"/>
  <c r="AN370" i="4462"/>
  <c r="AO370" i="4462"/>
  <c r="AP370" i="4462"/>
  <c r="AQ370" i="4462"/>
  <c r="AR370" i="4462"/>
  <c r="AS370" i="4462"/>
  <c r="AT370" i="4462"/>
  <c r="AU370" i="4462"/>
  <c r="AV370" i="4462"/>
  <c r="AW370" i="4462"/>
  <c r="AX370" i="4462"/>
  <c r="AY370" i="4462"/>
  <c r="AZ370" i="4462"/>
  <c r="BA370" i="4462"/>
  <c r="BB370" i="4462"/>
  <c r="BC370" i="4462"/>
  <c r="BD370" i="4462"/>
  <c r="A371" i="4462"/>
  <c r="B371" i="4462"/>
  <c r="C371" i="4462"/>
  <c r="D371" i="4462"/>
  <c r="E371" i="4462"/>
  <c r="F371" i="4462"/>
  <c r="G371" i="4462"/>
  <c r="H371" i="4462"/>
  <c r="I371" i="4462"/>
  <c r="J371" i="4462"/>
  <c r="K371" i="4462"/>
  <c r="L371" i="4462"/>
  <c r="M371" i="4462"/>
  <c r="N371" i="4462"/>
  <c r="O371" i="4462"/>
  <c r="P371" i="4462"/>
  <c r="Q371" i="4462"/>
  <c r="R371" i="4462"/>
  <c r="S371" i="4462"/>
  <c r="T371" i="4462"/>
  <c r="U371" i="4462"/>
  <c r="V371" i="4462"/>
  <c r="W371" i="4462"/>
  <c r="X371" i="4462"/>
  <c r="Y371" i="4462"/>
  <c r="Z371" i="4462"/>
  <c r="AA371" i="4462"/>
  <c r="AB371" i="4462"/>
  <c r="AC371" i="4462"/>
  <c r="AD371" i="4462"/>
  <c r="AE371" i="4462"/>
  <c r="AF371" i="4462"/>
  <c r="AG371" i="4462"/>
  <c r="AH371" i="4462"/>
  <c r="AI371" i="4462"/>
  <c r="AJ371" i="4462"/>
  <c r="AK371" i="4462"/>
  <c r="AL371" i="4462"/>
  <c r="AM371" i="4462"/>
  <c r="AN371" i="4462"/>
  <c r="AO371" i="4462"/>
  <c r="AP371" i="4462"/>
  <c r="AQ371" i="4462"/>
  <c r="AR371" i="4462"/>
  <c r="AS371" i="4462"/>
  <c r="AT371" i="4462"/>
  <c r="AU371" i="4462"/>
  <c r="AV371" i="4462"/>
  <c r="AW371" i="4462"/>
  <c r="AX371" i="4462"/>
  <c r="AY371" i="4462"/>
  <c r="AZ371" i="4462"/>
  <c r="BA371" i="4462"/>
  <c r="BB371" i="4462"/>
  <c r="BC371" i="4462"/>
  <c r="BD371" i="4462"/>
  <c r="A372" i="4462"/>
  <c r="B372" i="4462"/>
  <c r="C372" i="4462"/>
  <c r="D372" i="4462"/>
  <c r="E372" i="4462"/>
  <c r="F372" i="4462"/>
  <c r="G372" i="4462"/>
  <c r="H372" i="4462"/>
  <c r="I372" i="4462"/>
  <c r="J372" i="4462"/>
  <c r="K372" i="4462"/>
  <c r="L372" i="4462"/>
  <c r="M372" i="4462"/>
  <c r="N372" i="4462"/>
  <c r="O372" i="4462"/>
  <c r="P372" i="4462"/>
  <c r="Q372" i="4462"/>
  <c r="R372" i="4462"/>
  <c r="S372" i="4462"/>
  <c r="T372" i="4462"/>
  <c r="U372" i="4462"/>
  <c r="V372" i="4462"/>
  <c r="W372" i="4462"/>
  <c r="X372" i="4462"/>
  <c r="Y372" i="4462"/>
  <c r="Z372" i="4462"/>
  <c r="AA372" i="4462"/>
  <c r="AB372" i="4462"/>
  <c r="AC372" i="4462"/>
  <c r="AD372" i="4462"/>
  <c r="AE372" i="4462"/>
  <c r="AF372" i="4462"/>
  <c r="AG372" i="4462"/>
  <c r="AH372" i="4462"/>
  <c r="AI372" i="4462"/>
  <c r="AJ372" i="4462"/>
  <c r="AK372" i="4462"/>
  <c r="AL372" i="4462"/>
  <c r="AM372" i="4462"/>
  <c r="AN372" i="4462"/>
  <c r="AO372" i="4462"/>
  <c r="AP372" i="4462"/>
  <c r="AQ372" i="4462"/>
  <c r="AR372" i="4462"/>
  <c r="AS372" i="4462"/>
  <c r="AT372" i="4462"/>
  <c r="AU372" i="4462"/>
  <c r="AV372" i="4462"/>
  <c r="AW372" i="4462"/>
  <c r="AX372" i="4462"/>
  <c r="AY372" i="4462"/>
  <c r="AZ372" i="4462"/>
  <c r="BA372" i="4462"/>
  <c r="BB372" i="4462"/>
  <c r="BC372" i="4462"/>
  <c r="BD372" i="4462"/>
  <c r="A373" i="4462"/>
  <c r="B373" i="4462"/>
  <c r="C373" i="4462"/>
  <c r="D373" i="4462"/>
  <c r="E373" i="4462"/>
  <c r="F373" i="4462"/>
  <c r="G373" i="4462"/>
  <c r="H373" i="4462"/>
  <c r="I373" i="4462"/>
  <c r="J373" i="4462"/>
  <c r="K373" i="4462"/>
  <c r="L373" i="4462"/>
  <c r="M373" i="4462"/>
  <c r="N373" i="4462"/>
  <c r="O373" i="4462"/>
  <c r="P373" i="4462"/>
  <c r="Q373" i="4462"/>
  <c r="R373" i="4462"/>
  <c r="S373" i="4462"/>
  <c r="T373" i="4462"/>
  <c r="U373" i="4462"/>
  <c r="V373" i="4462"/>
  <c r="W373" i="4462"/>
  <c r="X373" i="4462"/>
  <c r="Y373" i="4462"/>
  <c r="Z373" i="4462"/>
  <c r="AA373" i="4462"/>
  <c r="AB373" i="4462"/>
  <c r="AC373" i="4462"/>
  <c r="AD373" i="4462"/>
  <c r="AE373" i="4462"/>
  <c r="AF373" i="4462"/>
  <c r="AG373" i="4462"/>
  <c r="AH373" i="4462"/>
  <c r="AI373" i="4462"/>
  <c r="AJ373" i="4462"/>
  <c r="AK373" i="4462"/>
  <c r="AL373" i="4462"/>
  <c r="AM373" i="4462"/>
  <c r="AN373" i="4462"/>
  <c r="AO373" i="4462"/>
  <c r="AP373" i="4462"/>
  <c r="AQ373" i="4462"/>
  <c r="AR373" i="4462"/>
  <c r="AS373" i="4462"/>
  <c r="AT373" i="4462"/>
  <c r="AU373" i="4462"/>
  <c r="AV373" i="4462"/>
  <c r="AW373" i="4462"/>
  <c r="AX373" i="4462"/>
  <c r="AY373" i="4462"/>
  <c r="AZ373" i="4462"/>
  <c r="BA373" i="4462"/>
  <c r="BB373" i="4462"/>
  <c r="BC373" i="4462"/>
  <c r="BD373" i="4462"/>
  <c r="A374" i="4462"/>
  <c r="B374" i="4462"/>
  <c r="C374" i="4462"/>
  <c r="D374" i="4462"/>
  <c r="E374" i="4462"/>
  <c r="F374" i="4462"/>
  <c r="G374" i="4462"/>
  <c r="H374" i="4462"/>
  <c r="I374" i="4462"/>
  <c r="J374" i="4462"/>
  <c r="K374" i="4462"/>
  <c r="L374" i="4462"/>
  <c r="M374" i="4462"/>
  <c r="N374" i="4462"/>
  <c r="O374" i="4462"/>
  <c r="P374" i="4462"/>
  <c r="Q374" i="4462"/>
  <c r="R374" i="4462"/>
  <c r="S374" i="4462"/>
  <c r="T374" i="4462"/>
  <c r="U374" i="4462"/>
  <c r="V374" i="4462"/>
  <c r="W374" i="4462"/>
  <c r="X374" i="4462"/>
  <c r="Y374" i="4462"/>
  <c r="Z374" i="4462"/>
  <c r="AA374" i="4462"/>
  <c r="AB374" i="4462"/>
  <c r="AC374" i="4462"/>
  <c r="AD374" i="4462"/>
  <c r="AE374" i="4462"/>
  <c r="AF374" i="4462"/>
  <c r="AG374" i="4462"/>
  <c r="AH374" i="4462"/>
  <c r="AI374" i="4462"/>
  <c r="AJ374" i="4462"/>
  <c r="AK374" i="4462"/>
  <c r="AL374" i="4462"/>
  <c r="AM374" i="4462"/>
  <c r="AN374" i="4462"/>
  <c r="AO374" i="4462"/>
  <c r="AP374" i="4462"/>
  <c r="AQ374" i="4462"/>
  <c r="AR374" i="4462"/>
  <c r="AS374" i="4462"/>
  <c r="AT374" i="4462"/>
  <c r="AU374" i="4462"/>
  <c r="AV374" i="4462"/>
  <c r="AW374" i="4462"/>
  <c r="AX374" i="4462"/>
  <c r="AY374" i="4462"/>
  <c r="AZ374" i="4462"/>
  <c r="BA374" i="4462"/>
  <c r="BB374" i="4462"/>
  <c r="BC374" i="4462"/>
  <c r="BD374" i="4462"/>
  <c r="A375" i="4462"/>
  <c r="B375" i="4462"/>
  <c r="C375" i="4462"/>
  <c r="D375" i="4462"/>
  <c r="E375" i="4462"/>
  <c r="F375" i="4462"/>
  <c r="G375" i="4462"/>
  <c r="H375" i="4462"/>
  <c r="I375" i="4462"/>
  <c r="J375" i="4462"/>
  <c r="K375" i="4462"/>
  <c r="L375" i="4462"/>
  <c r="M375" i="4462"/>
  <c r="N375" i="4462"/>
  <c r="O375" i="4462"/>
  <c r="P375" i="4462"/>
  <c r="Q375" i="4462"/>
  <c r="R375" i="4462"/>
  <c r="S375" i="4462"/>
  <c r="T375" i="4462"/>
  <c r="U375" i="4462"/>
  <c r="V375" i="4462"/>
  <c r="W375" i="4462"/>
  <c r="X375" i="4462"/>
  <c r="Y375" i="4462"/>
  <c r="Z375" i="4462"/>
  <c r="AA375" i="4462"/>
  <c r="AB375" i="4462"/>
  <c r="AC375" i="4462"/>
  <c r="AD375" i="4462"/>
  <c r="AE375" i="4462"/>
  <c r="AF375" i="4462"/>
  <c r="AG375" i="4462"/>
  <c r="AH375" i="4462"/>
  <c r="AI375" i="4462"/>
  <c r="AJ375" i="4462"/>
  <c r="AK375" i="4462"/>
  <c r="AL375" i="4462"/>
  <c r="AM375" i="4462"/>
  <c r="AN375" i="4462"/>
  <c r="AO375" i="4462"/>
  <c r="AP375" i="4462"/>
  <c r="AQ375" i="4462"/>
  <c r="AR375" i="4462"/>
  <c r="AS375" i="4462"/>
  <c r="AT375" i="4462"/>
  <c r="AU375" i="4462"/>
  <c r="AV375" i="4462"/>
  <c r="AW375" i="4462"/>
  <c r="AX375" i="4462"/>
  <c r="AY375" i="4462"/>
  <c r="AZ375" i="4462"/>
  <c r="BA375" i="4462"/>
  <c r="BB375" i="4462"/>
  <c r="BC375" i="4462"/>
  <c r="BD375" i="4462"/>
  <c r="A376" i="4462"/>
  <c r="B376" i="4462"/>
  <c r="C376" i="4462"/>
  <c r="D376" i="4462"/>
  <c r="E376" i="4462"/>
  <c r="F376" i="4462"/>
  <c r="G376" i="4462"/>
  <c r="H376" i="4462"/>
  <c r="I376" i="4462"/>
  <c r="J376" i="4462"/>
  <c r="K376" i="4462"/>
  <c r="L376" i="4462"/>
  <c r="M376" i="4462"/>
  <c r="N376" i="4462"/>
  <c r="O376" i="4462"/>
  <c r="P376" i="4462"/>
  <c r="Q376" i="4462"/>
  <c r="R376" i="4462"/>
  <c r="S376" i="4462"/>
  <c r="T376" i="4462"/>
  <c r="U376" i="4462"/>
  <c r="V376" i="4462"/>
  <c r="W376" i="4462"/>
  <c r="X376" i="4462"/>
  <c r="Y376" i="4462"/>
  <c r="Z376" i="4462"/>
  <c r="AA376" i="4462"/>
  <c r="AB376" i="4462"/>
  <c r="AC376" i="4462"/>
  <c r="AD376" i="4462"/>
  <c r="AE376" i="4462"/>
  <c r="AF376" i="4462"/>
  <c r="AG376" i="4462"/>
  <c r="AH376" i="4462"/>
  <c r="AI376" i="4462"/>
  <c r="AJ376" i="4462"/>
  <c r="AK376" i="4462"/>
  <c r="AL376" i="4462"/>
  <c r="AM376" i="4462"/>
  <c r="AN376" i="4462"/>
  <c r="AO376" i="4462"/>
  <c r="AP376" i="4462"/>
  <c r="AQ376" i="4462"/>
  <c r="AR376" i="4462"/>
  <c r="AS376" i="4462"/>
  <c r="AT376" i="4462"/>
  <c r="AU376" i="4462"/>
  <c r="AV376" i="4462"/>
  <c r="AW376" i="4462"/>
  <c r="AX376" i="4462"/>
  <c r="AY376" i="4462"/>
  <c r="AZ376" i="4462"/>
  <c r="BA376" i="4462"/>
  <c r="BB376" i="4462"/>
  <c r="BC376" i="4462"/>
  <c r="BD376" i="4462"/>
  <c r="A377" i="4462"/>
  <c r="B377" i="4462"/>
  <c r="C377" i="4462"/>
  <c r="D377" i="4462"/>
  <c r="E377" i="4462"/>
  <c r="F377" i="4462"/>
  <c r="G377" i="4462"/>
  <c r="H377" i="4462"/>
  <c r="I377" i="4462"/>
  <c r="J377" i="4462"/>
  <c r="K377" i="4462"/>
  <c r="L377" i="4462"/>
  <c r="M377" i="4462"/>
  <c r="N377" i="4462"/>
  <c r="O377" i="4462"/>
  <c r="P377" i="4462"/>
  <c r="Q377" i="4462"/>
  <c r="R377" i="4462"/>
  <c r="S377" i="4462"/>
  <c r="T377" i="4462"/>
  <c r="U377" i="4462"/>
  <c r="V377" i="4462"/>
  <c r="W377" i="4462"/>
  <c r="X377" i="4462"/>
  <c r="Y377" i="4462"/>
  <c r="Z377" i="4462"/>
  <c r="AA377" i="4462"/>
  <c r="AB377" i="4462"/>
  <c r="AC377" i="4462"/>
  <c r="AD377" i="4462"/>
  <c r="AE377" i="4462"/>
  <c r="AF377" i="4462"/>
  <c r="AG377" i="4462"/>
  <c r="AH377" i="4462"/>
  <c r="AI377" i="4462"/>
  <c r="AJ377" i="4462"/>
  <c r="AK377" i="4462"/>
  <c r="AL377" i="4462"/>
  <c r="AM377" i="4462"/>
  <c r="AN377" i="4462"/>
  <c r="AO377" i="4462"/>
  <c r="AP377" i="4462"/>
  <c r="AQ377" i="4462"/>
  <c r="AR377" i="4462"/>
  <c r="AS377" i="4462"/>
  <c r="AT377" i="4462"/>
  <c r="AU377" i="4462"/>
  <c r="AV377" i="4462"/>
  <c r="AW377" i="4462"/>
  <c r="AX377" i="4462"/>
  <c r="AY377" i="4462"/>
  <c r="AZ377" i="4462"/>
  <c r="BA377" i="4462"/>
  <c r="BB377" i="4462"/>
  <c r="BC377" i="4462"/>
  <c r="BD377" i="4462"/>
  <c r="A378" i="4462"/>
  <c r="B378" i="4462"/>
  <c r="C378" i="4462"/>
  <c r="D378" i="4462"/>
  <c r="E378" i="4462"/>
  <c r="F378" i="4462"/>
  <c r="G378" i="4462"/>
  <c r="H378" i="4462"/>
  <c r="I378" i="4462"/>
  <c r="J378" i="4462"/>
  <c r="K378" i="4462"/>
  <c r="L378" i="4462"/>
  <c r="M378" i="4462"/>
  <c r="N378" i="4462"/>
  <c r="O378" i="4462"/>
  <c r="P378" i="4462"/>
  <c r="Q378" i="4462"/>
  <c r="R378" i="4462"/>
  <c r="S378" i="4462"/>
  <c r="T378" i="4462"/>
  <c r="U378" i="4462"/>
  <c r="V378" i="4462"/>
  <c r="W378" i="4462"/>
  <c r="X378" i="4462"/>
  <c r="Y378" i="4462"/>
  <c r="Z378" i="4462"/>
  <c r="AA378" i="4462"/>
  <c r="AB378" i="4462"/>
  <c r="AC378" i="4462"/>
  <c r="AD378" i="4462"/>
  <c r="AE378" i="4462"/>
  <c r="AF378" i="4462"/>
  <c r="AG378" i="4462"/>
  <c r="AH378" i="4462"/>
  <c r="AI378" i="4462"/>
  <c r="AJ378" i="4462"/>
  <c r="AK378" i="4462"/>
  <c r="AL378" i="4462"/>
  <c r="AM378" i="4462"/>
  <c r="AN378" i="4462"/>
  <c r="AO378" i="4462"/>
  <c r="AP378" i="4462"/>
  <c r="AQ378" i="4462"/>
  <c r="AR378" i="4462"/>
  <c r="AS378" i="4462"/>
  <c r="AT378" i="4462"/>
  <c r="AU378" i="4462"/>
  <c r="AV378" i="4462"/>
  <c r="AW378" i="4462"/>
  <c r="AX378" i="4462"/>
  <c r="AY378" i="4462"/>
  <c r="AZ378" i="4462"/>
  <c r="BA378" i="4462"/>
  <c r="BB378" i="4462"/>
  <c r="BC378" i="4462"/>
  <c r="BD378" i="4462"/>
  <c r="A379" i="4462"/>
  <c r="B379" i="4462"/>
  <c r="C379" i="4462"/>
  <c r="D379" i="4462"/>
  <c r="E379" i="4462"/>
  <c r="F379" i="4462"/>
  <c r="G379" i="4462"/>
  <c r="H379" i="4462"/>
  <c r="I379" i="4462"/>
  <c r="J379" i="4462"/>
  <c r="K379" i="4462"/>
  <c r="L379" i="4462"/>
  <c r="M379" i="4462"/>
  <c r="N379" i="4462"/>
  <c r="O379" i="4462"/>
  <c r="P379" i="4462"/>
  <c r="Q379" i="4462"/>
  <c r="R379" i="4462"/>
  <c r="S379" i="4462"/>
  <c r="T379" i="4462"/>
  <c r="U379" i="4462"/>
  <c r="V379" i="4462"/>
  <c r="W379" i="4462"/>
  <c r="X379" i="4462"/>
  <c r="Y379" i="4462"/>
  <c r="Z379" i="4462"/>
  <c r="AA379" i="4462"/>
  <c r="AB379" i="4462"/>
  <c r="AC379" i="4462"/>
  <c r="AD379" i="4462"/>
  <c r="AE379" i="4462"/>
  <c r="AF379" i="4462"/>
  <c r="AG379" i="4462"/>
  <c r="AH379" i="4462"/>
  <c r="AI379" i="4462"/>
  <c r="AJ379" i="4462"/>
  <c r="AK379" i="4462"/>
  <c r="AL379" i="4462"/>
  <c r="AM379" i="4462"/>
  <c r="AN379" i="4462"/>
  <c r="AO379" i="4462"/>
  <c r="AP379" i="4462"/>
  <c r="AQ379" i="4462"/>
  <c r="AR379" i="4462"/>
  <c r="AS379" i="4462"/>
  <c r="AT379" i="4462"/>
  <c r="AU379" i="4462"/>
  <c r="AV379" i="4462"/>
  <c r="AW379" i="4462"/>
  <c r="AX379" i="4462"/>
  <c r="AY379" i="4462"/>
  <c r="AZ379" i="4462"/>
  <c r="BA379" i="4462"/>
  <c r="BB379" i="4462"/>
  <c r="BC379" i="4462"/>
  <c r="BD379" i="4462"/>
  <c r="A380" i="4462"/>
  <c r="B380" i="4462"/>
  <c r="C380" i="4462"/>
  <c r="D380" i="4462"/>
  <c r="E380" i="4462"/>
  <c r="F380" i="4462"/>
  <c r="G380" i="4462"/>
  <c r="H380" i="4462"/>
  <c r="I380" i="4462"/>
  <c r="J380" i="4462"/>
  <c r="K380" i="4462"/>
  <c r="L380" i="4462"/>
  <c r="M380" i="4462"/>
  <c r="N380" i="4462"/>
  <c r="O380" i="4462"/>
  <c r="P380" i="4462"/>
  <c r="Q380" i="4462"/>
  <c r="R380" i="4462"/>
  <c r="S380" i="4462"/>
  <c r="T380" i="4462"/>
  <c r="U380" i="4462"/>
  <c r="V380" i="4462"/>
  <c r="W380" i="4462"/>
  <c r="X380" i="4462"/>
  <c r="Y380" i="4462"/>
  <c r="Z380" i="4462"/>
  <c r="AA380" i="4462"/>
  <c r="AB380" i="4462"/>
  <c r="AC380" i="4462"/>
  <c r="AD380" i="4462"/>
  <c r="AE380" i="4462"/>
  <c r="AF380" i="4462"/>
  <c r="AG380" i="4462"/>
  <c r="AH380" i="4462"/>
  <c r="AI380" i="4462"/>
  <c r="AJ380" i="4462"/>
  <c r="AK380" i="4462"/>
  <c r="AL380" i="4462"/>
  <c r="AM380" i="4462"/>
  <c r="AN380" i="4462"/>
  <c r="AO380" i="4462"/>
  <c r="AP380" i="4462"/>
  <c r="AQ380" i="4462"/>
  <c r="AR380" i="4462"/>
  <c r="AS380" i="4462"/>
  <c r="AT380" i="4462"/>
  <c r="AU380" i="4462"/>
  <c r="AV380" i="4462"/>
  <c r="AW380" i="4462"/>
  <c r="AX380" i="4462"/>
  <c r="AY380" i="4462"/>
  <c r="AZ380" i="4462"/>
  <c r="BA380" i="4462"/>
  <c r="BB380" i="4462"/>
  <c r="BC380" i="4462"/>
  <c r="BD380" i="4462"/>
  <c r="A381" i="4462"/>
  <c r="B381" i="4462"/>
  <c r="C381" i="4462"/>
  <c r="D381" i="4462"/>
  <c r="E381" i="4462"/>
  <c r="F381" i="4462"/>
  <c r="G381" i="4462"/>
  <c r="H381" i="4462"/>
  <c r="I381" i="4462"/>
  <c r="J381" i="4462"/>
  <c r="K381" i="4462"/>
  <c r="L381" i="4462"/>
  <c r="M381" i="4462"/>
  <c r="N381" i="4462"/>
  <c r="O381" i="4462"/>
  <c r="P381" i="4462"/>
  <c r="Q381" i="4462"/>
  <c r="R381" i="4462"/>
  <c r="S381" i="4462"/>
  <c r="T381" i="4462"/>
  <c r="U381" i="4462"/>
  <c r="V381" i="4462"/>
  <c r="W381" i="4462"/>
  <c r="X381" i="4462"/>
  <c r="Y381" i="4462"/>
  <c r="Z381" i="4462"/>
  <c r="AA381" i="4462"/>
  <c r="AB381" i="4462"/>
  <c r="AC381" i="4462"/>
  <c r="AD381" i="4462"/>
  <c r="AE381" i="4462"/>
  <c r="AF381" i="4462"/>
  <c r="AG381" i="4462"/>
  <c r="AH381" i="4462"/>
  <c r="AI381" i="4462"/>
  <c r="AJ381" i="4462"/>
  <c r="AK381" i="4462"/>
  <c r="AL381" i="4462"/>
  <c r="AM381" i="4462"/>
  <c r="AN381" i="4462"/>
  <c r="AO381" i="4462"/>
  <c r="AP381" i="4462"/>
  <c r="AQ381" i="4462"/>
  <c r="AR381" i="4462"/>
  <c r="AS381" i="4462"/>
  <c r="AT381" i="4462"/>
  <c r="AU381" i="4462"/>
  <c r="AV381" i="4462"/>
  <c r="AW381" i="4462"/>
  <c r="AX381" i="4462"/>
  <c r="AY381" i="4462"/>
  <c r="AZ381" i="4462"/>
  <c r="BA381" i="4462"/>
  <c r="BB381" i="4462"/>
  <c r="BC381" i="4462"/>
  <c r="BD381" i="4462"/>
  <c r="A382" i="4462"/>
  <c r="B382" i="4462"/>
  <c r="C382" i="4462"/>
  <c r="D382" i="4462"/>
  <c r="E382" i="4462"/>
  <c r="F382" i="4462"/>
  <c r="G382" i="4462"/>
  <c r="H382" i="4462"/>
  <c r="I382" i="4462"/>
  <c r="J382" i="4462"/>
  <c r="K382" i="4462"/>
  <c r="L382" i="4462"/>
  <c r="M382" i="4462"/>
  <c r="N382" i="4462"/>
  <c r="O382" i="4462"/>
  <c r="P382" i="4462"/>
  <c r="Q382" i="4462"/>
  <c r="R382" i="4462"/>
  <c r="S382" i="4462"/>
  <c r="T382" i="4462"/>
  <c r="U382" i="4462"/>
  <c r="V382" i="4462"/>
  <c r="W382" i="4462"/>
  <c r="X382" i="4462"/>
  <c r="Y382" i="4462"/>
  <c r="Z382" i="4462"/>
  <c r="AA382" i="4462"/>
  <c r="AB382" i="4462"/>
  <c r="AC382" i="4462"/>
  <c r="AD382" i="4462"/>
  <c r="AE382" i="4462"/>
  <c r="AF382" i="4462"/>
  <c r="AG382" i="4462"/>
  <c r="AH382" i="4462"/>
  <c r="AI382" i="4462"/>
  <c r="AJ382" i="4462"/>
  <c r="AK382" i="4462"/>
  <c r="AL382" i="4462"/>
  <c r="AM382" i="4462"/>
  <c r="AN382" i="4462"/>
  <c r="AO382" i="4462"/>
  <c r="AP382" i="4462"/>
  <c r="AQ382" i="4462"/>
  <c r="AR382" i="4462"/>
  <c r="AS382" i="4462"/>
  <c r="AT382" i="4462"/>
  <c r="AU382" i="4462"/>
  <c r="AV382" i="4462"/>
  <c r="AW382" i="4462"/>
  <c r="AX382" i="4462"/>
  <c r="AY382" i="4462"/>
  <c r="AZ382" i="4462"/>
  <c r="BA382" i="4462"/>
  <c r="BB382" i="4462"/>
  <c r="BC382" i="4462"/>
  <c r="BD382" i="4462"/>
  <c r="A383" i="4462"/>
  <c r="B383" i="4462"/>
  <c r="C383" i="4462"/>
  <c r="D383" i="4462"/>
  <c r="E383" i="4462"/>
  <c r="F383" i="4462"/>
  <c r="G383" i="4462"/>
  <c r="H383" i="4462"/>
  <c r="I383" i="4462"/>
  <c r="J383" i="4462"/>
  <c r="K383" i="4462"/>
  <c r="L383" i="4462"/>
  <c r="M383" i="4462"/>
  <c r="N383" i="4462"/>
  <c r="O383" i="4462"/>
  <c r="P383" i="4462"/>
  <c r="Q383" i="4462"/>
  <c r="R383" i="4462"/>
  <c r="S383" i="4462"/>
  <c r="T383" i="4462"/>
  <c r="U383" i="4462"/>
  <c r="V383" i="4462"/>
  <c r="W383" i="4462"/>
  <c r="X383" i="4462"/>
  <c r="Y383" i="4462"/>
  <c r="Z383" i="4462"/>
  <c r="AA383" i="4462"/>
  <c r="AB383" i="4462"/>
  <c r="AC383" i="4462"/>
  <c r="AD383" i="4462"/>
  <c r="AE383" i="4462"/>
  <c r="AF383" i="4462"/>
  <c r="AG383" i="4462"/>
  <c r="AH383" i="4462"/>
  <c r="AI383" i="4462"/>
  <c r="AJ383" i="4462"/>
  <c r="AK383" i="4462"/>
  <c r="AL383" i="4462"/>
  <c r="AM383" i="4462"/>
  <c r="AN383" i="4462"/>
  <c r="AO383" i="4462"/>
  <c r="AP383" i="4462"/>
  <c r="AQ383" i="4462"/>
  <c r="AR383" i="4462"/>
  <c r="AS383" i="4462"/>
  <c r="AT383" i="4462"/>
  <c r="AU383" i="4462"/>
  <c r="AV383" i="4462"/>
  <c r="AW383" i="4462"/>
  <c r="AX383" i="4462"/>
  <c r="AY383" i="4462"/>
  <c r="AZ383" i="4462"/>
  <c r="BA383" i="4462"/>
  <c r="BB383" i="4462"/>
  <c r="BC383" i="4462"/>
  <c r="BD383" i="4462"/>
  <c r="A384" i="4462"/>
  <c r="B384" i="4462"/>
  <c r="C384" i="4462"/>
  <c r="D384" i="4462"/>
  <c r="E384" i="4462"/>
  <c r="F384" i="4462"/>
  <c r="G384" i="4462"/>
  <c r="H384" i="4462"/>
  <c r="I384" i="4462"/>
  <c r="J384" i="4462"/>
  <c r="K384" i="4462"/>
  <c r="L384" i="4462"/>
  <c r="M384" i="4462"/>
  <c r="N384" i="4462"/>
  <c r="O384" i="4462"/>
  <c r="P384" i="4462"/>
  <c r="Q384" i="4462"/>
  <c r="R384" i="4462"/>
  <c r="S384" i="4462"/>
  <c r="T384" i="4462"/>
  <c r="U384" i="4462"/>
  <c r="V384" i="4462"/>
  <c r="W384" i="4462"/>
  <c r="X384" i="4462"/>
  <c r="Y384" i="4462"/>
  <c r="Z384" i="4462"/>
  <c r="AA384" i="4462"/>
  <c r="AB384" i="4462"/>
  <c r="AC384" i="4462"/>
  <c r="AD384" i="4462"/>
  <c r="AE384" i="4462"/>
  <c r="AF384" i="4462"/>
  <c r="AG384" i="4462"/>
  <c r="AH384" i="4462"/>
  <c r="AI384" i="4462"/>
  <c r="AJ384" i="4462"/>
  <c r="AK384" i="4462"/>
  <c r="AL384" i="4462"/>
  <c r="AM384" i="4462"/>
  <c r="AN384" i="4462"/>
  <c r="AO384" i="4462"/>
  <c r="AP384" i="4462"/>
  <c r="AQ384" i="4462"/>
  <c r="AR384" i="4462"/>
  <c r="AS384" i="4462"/>
  <c r="AT384" i="4462"/>
  <c r="AU384" i="4462"/>
  <c r="AV384" i="4462"/>
  <c r="AW384" i="4462"/>
  <c r="AX384" i="4462"/>
  <c r="AY384" i="4462"/>
  <c r="AZ384" i="4462"/>
  <c r="BA384" i="4462"/>
  <c r="BB384" i="4462"/>
  <c r="BC384" i="4462"/>
  <c r="BD384" i="4462"/>
  <c r="A385" i="4462"/>
  <c r="B385" i="4462"/>
  <c r="C385" i="4462"/>
  <c r="D385" i="4462"/>
  <c r="E385" i="4462"/>
  <c r="F385" i="4462"/>
  <c r="G385" i="4462"/>
  <c r="H385" i="4462"/>
  <c r="I385" i="4462"/>
  <c r="J385" i="4462"/>
  <c r="K385" i="4462"/>
  <c r="L385" i="4462"/>
  <c r="M385" i="4462"/>
  <c r="N385" i="4462"/>
  <c r="O385" i="4462"/>
  <c r="P385" i="4462"/>
  <c r="Q385" i="4462"/>
  <c r="R385" i="4462"/>
  <c r="S385" i="4462"/>
  <c r="T385" i="4462"/>
  <c r="U385" i="4462"/>
  <c r="V385" i="4462"/>
  <c r="W385" i="4462"/>
  <c r="X385" i="4462"/>
  <c r="Y385" i="4462"/>
  <c r="Z385" i="4462"/>
  <c r="AA385" i="4462"/>
  <c r="AB385" i="4462"/>
  <c r="AC385" i="4462"/>
  <c r="AD385" i="4462"/>
  <c r="AE385" i="4462"/>
  <c r="AF385" i="4462"/>
  <c r="AG385" i="4462"/>
  <c r="AH385" i="4462"/>
  <c r="AI385" i="4462"/>
  <c r="AJ385" i="4462"/>
  <c r="AK385" i="4462"/>
  <c r="AL385" i="4462"/>
  <c r="AM385" i="4462"/>
  <c r="AN385" i="4462"/>
  <c r="AO385" i="4462"/>
  <c r="AP385" i="4462"/>
  <c r="AQ385" i="4462"/>
  <c r="AR385" i="4462"/>
  <c r="AS385" i="4462"/>
  <c r="AT385" i="4462"/>
  <c r="AU385" i="4462"/>
  <c r="AV385" i="4462"/>
  <c r="AW385" i="4462"/>
  <c r="AX385" i="4462"/>
  <c r="AY385" i="4462"/>
  <c r="AZ385" i="4462"/>
  <c r="BA385" i="4462"/>
  <c r="BB385" i="4462"/>
  <c r="BC385" i="4462"/>
  <c r="BD385" i="4462"/>
  <c r="A386" i="4462"/>
  <c r="B386" i="4462"/>
  <c r="C386" i="4462"/>
  <c r="D386" i="4462"/>
  <c r="E386" i="4462"/>
  <c r="F386" i="4462"/>
  <c r="G386" i="4462"/>
  <c r="H386" i="4462"/>
  <c r="I386" i="4462"/>
  <c r="J386" i="4462"/>
  <c r="K386" i="4462"/>
  <c r="L386" i="4462"/>
  <c r="M386" i="4462"/>
  <c r="N386" i="4462"/>
  <c r="O386" i="4462"/>
  <c r="P386" i="4462"/>
  <c r="Q386" i="4462"/>
  <c r="R386" i="4462"/>
  <c r="S386" i="4462"/>
  <c r="T386" i="4462"/>
  <c r="U386" i="4462"/>
  <c r="V386" i="4462"/>
  <c r="W386" i="4462"/>
  <c r="X386" i="4462"/>
  <c r="Y386" i="4462"/>
  <c r="Z386" i="4462"/>
  <c r="AA386" i="4462"/>
  <c r="AB386" i="4462"/>
  <c r="AC386" i="4462"/>
  <c r="AD386" i="4462"/>
  <c r="AE386" i="4462"/>
  <c r="AF386" i="4462"/>
  <c r="AG386" i="4462"/>
  <c r="AH386" i="4462"/>
  <c r="AI386" i="4462"/>
  <c r="AJ386" i="4462"/>
  <c r="AK386" i="4462"/>
  <c r="AL386" i="4462"/>
  <c r="AM386" i="4462"/>
  <c r="AN386" i="4462"/>
  <c r="AO386" i="4462"/>
  <c r="AP386" i="4462"/>
  <c r="AQ386" i="4462"/>
  <c r="AR386" i="4462"/>
  <c r="AS386" i="4462"/>
  <c r="AT386" i="4462"/>
  <c r="AU386" i="4462"/>
  <c r="AV386" i="4462"/>
  <c r="AW386" i="4462"/>
  <c r="AX386" i="4462"/>
  <c r="AY386" i="4462"/>
  <c r="AZ386" i="4462"/>
  <c r="BA386" i="4462"/>
  <c r="BB386" i="4462"/>
  <c r="BC386" i="4462"/>
  <c r="BD386" i="4462"/>
  <c r="A387" i="4462"/>
  <c r="B387" i="4462"/>
  <c r="C387" i="4462"/>
  <c r="D387" i="4462"/>
  <c r="E387" i="4462"/>
  <c r="F387" i="4462"/>
  <c r="G387" i="4462"/>
  <c r="H387" i="4462"/>
  <c r="I387" i="4462"/>
  <c r="J387" i="4462"/>
  <c r="K387" i="4462"/>
  <c r="L387" i="4462"/>
  <c r="M387" i="4462"/>
  <c r="N387" i="4462"/>
  <c r="O387" i="4462"/>
  <c r="P387" i="4462"/>
  <c r="Q387" i="4462"/>
  <c r="R387" i="4462"/>
  <c r="S387" i="4462"/>
  <c r="T387" i="4462"/>
  <c r="U387" i="4462"/>
  <c r="V387" i="4462"/>
  <c r="W387" i="4462"/>
  <c r="X387" i="4462"/>
  <c r="Y387" i="4462"/>
  <c r="Z387" i="4462"/>
  <c r="AA387" i="4462"/>
  <c r="AB387" i="4462"/>
  <c r="AC387" i="4462"/>
  <c r="AD387" i="4462"/>
  <c r="AE387" i="4462"/>
  <c r="AF387" i="4462"/>
  <c r="AG387" i="4462"/>
  <c r="AH387" i="4462"/>
  <c r="AI387" i="4462"/>
  <c r="AJ387" i="4462"/>
  <c r="AK387" i="4462"/>
  <c r="AL387" i="4462"/>
  <c r="AM387" i="4462"/>
  <c r="AN387" i="4462"/>
  <c r="AO387" i="4462"/>
  <c r="AP387" i="4462"/>
  <c r="AQ387" i="4462"/>
  <c r="AR387" i="4462"/>
  <c r="AS387" i="4462"/>
  <c r="AT387" i="4462"/>
  <c r="AU387" i="4462"/>
  <c r="AV387" i="4462"/>
  <c r="AW387" i="4462"/>
  <c r="AX387" i="4462"/>
  <c r="AY387" i="4462"/>
  <c r="AZ387" i="4462"/>
  <c r="BA387" i="4462"/>
  <c r="BB387" i="4462"/>
  <c r="BC387" i="4462"/>
  <c r="BD387" i="4462"/>
  <c r="A388" i="4462"/>
  <c r="B388" i="4462"/>
  <c r="C388" i="4462"/>
  <c r="D388" i="4462"/>
  <c r="E388" i="4462"/>
  <c r="F388" i="4462"/>
  <c r="G388" i="4462"/>
  <c r="H388" i="4462"/>
  <c r="I388" i="4462"/>
  <c r="J388" i="4462"/>
  <c r="K388" i="4462"/>
  <c r="L388" i="4462"/>
  <c r="M388" i="4462"/>
  <c r="N388" i="4462"/>
  <c r="O388" i="4462"/>
  <c r="P388" i="4462"/>
  <c r="Q388" i="4462"/>
  <c r="R388" i="4462"/>
  <c r="S388" i="4462"/>
  <c r="T388" i="4462"/>
  <c r="U388" i="4462"/>
  <c r="V388" i="4462"/>
  <c r="W388" i="4462"/>
  <c r="X388" i="4462"/>
  <c r="Y388" i="4462"/>
  <c r="Z388" i="4462"/>
  <c r="AA388" i="4462"/>
  <c r="AB388" i="4462"/>
  <c r="AC388" i="4462"/>
  <c r="AD388" i="4462"/>
  <c r="AE388" i="4462"/>
  <c r="AF388" i="4462"/>
  <c r="AG388" i="4462"/>
  <c r="AH388" i="4462"/>
  <c r="AI388" i="4462"/>
  <c r="AJ388" i="4462"/>
  <c r="AK388" i="4462"/>
  <c r="AL388" i="4462"/>
  <c r="AM388" i="4462"/>
  <c r="AN388" i="4462"/>
  <c r="AO388" i="4462"/>
  <c r="AP388" i="4462"/>
  <c r="AQ388" i="4462"/>
  <c r="AR388" i="4462"/>
  <c r="AS388" i="4462"/>
  <c r="AT388" i="4462"/>
  <c r="AU388" i="4462"/>
  <c r="AV388" i="4462"/>
  <c r="AW388" i="4462"/>
  <c r="AX388" i="4462"/>
  <c r="AY388" i="4462"/>
  <c r="AZ388" i="4462"/>
  <c r="BA388" i="4462"/>
  <c r="BB388" i="4462"/>
  <c r="BC388" i="4462"/>
  <c r="BD388" i="4462"/>
  <c r="A389" i="4462"/>
  <c r="B389" i="4462"/>
  <c r="C389" i="4462"/>
  <c r="D389" i="4462"/>
  <c r="E389" i="4462"/>
  <c r="F389" i="4462"/>
  <c r="G389" i="4462"/>
  <c r="H389" i="4462"/>
  <c r="I389" i="4462"/>
  <c r="J389" i="4462"/>
  <c r="K389" i="4462"/>
  <c r="L389" i="4462"/>
  <c r="M389" i="4462"/>
  <c r="N389" i="4462"/>
  <c r="O389" i="4462"/>
  <c r="P389" i="4462"/>
  <c r="Q389" i="4462"/>
  <c r="R389" i="4462"/>
  <c r="S389" i="4462"/>
  <c r="T389" i="4462"/>
  <c r="U389" i="4462"/>
  <c r="V389" i="4462"/>
  <c r="W389" i="4462"/>
  <c r="X389" i="4462"/>
  <c r="Y389" i="4462"/>
  <c r="Z389" i="4462"/>
  <c r="AA389" i="4462"/>
  <c r="AB389" i="4462"/>
  <c r="AC389" i="4462"/>
  <c r="AD389" i="4462"/>
  <c r="AE389" i="4462"/>
  <c r="AF389" i="4462"/>
  <c r="AG389" i="4462"/>
  <c r="AH389" i="4462"/>
  <c r="AI389" i="4462"/>
  <c r="AJ389" i="4462"/>
  <c r="AK389" i="4462"/>
  <c r="AL389" i="4462"/>
  <c r="AM389" i="4462"/>
  <c r="AN389" i="4462"/>
  <c r="AO389" i="4462"/>
  <c r="AP389" i="4462"/>
  <c r="AQ389" i="4462"/>
  <c r="AR389" i="4462"/>
  <c r="AS389" i="4462"/>
  <c r="AT389" i="4462"/>
  <c r="AU389" i="4462"/>
  <c r="AV389" i="4462"/>
  <c r="AW389" i="4462"/>
  <c r="AX389" i="4462"/>
  <c r="AY389" i="4462"/>
  <c r="AZ389" i="4462"/>
  <c r="BA389" i="4462"/>
  <c r="BB389" i="4462"/>
  <c r="BC389" i="4462"/>
  <c r="BD389" i="4462"/>
  <c r="A390" i="4462"/>
  <c r="B390" i="4462"/>
  <c r="C390" i="4462"/>
  <c r="D390" i="4462"/>
  <c r="E390" i="4462"/>
  <c r="F390" i="4462"/>
  <c r="G390" i="4462"/>
  <c r="H390" i="4462"/>
  <c r="I390" i="4462"/>
  <c r="J390" i="4462"/>
  <c r="K390" i="4462"/>
  <c r="L390" i="4462"/>
  <c r="M390" i="4462"/>
  <c r="N390" i="4462"/>
  <c r="O390" i="4462"/>
  <c r="P390" i="4462"/>
  <c r="Q390" i="4462"/>
  <c r="R390" i="4462"/>
  <c r="S390" i="4462"/>
  <c r="T390" i="4462"/>
  <c r="U390" i="4462"/>
  <c r="V390" i="4462"/>
  <c r="W390" i="4462"/>
  <c r="X390" i="4462"/>
  <c r="Y390" i="4462"/>
  <c r="Z390" i="4462"/>
  <c r="AA390" i="4462"/>
  <c r="AB390" i="4462"/>
  <c r="AC390" i="4462"/>
  <c r="AD390" i="4462"/>
  <c r="AE390" i="4462"/>
  <c r="AF390" i="4462"/>
  <c r="AG390" i="4462"/>
  <c r="AH390" i="4462"/>
  <c r="AI390" i="4462"/>
  <c r="AJ390" i="4462"/>
  <c r="AK390" i="4462"/>
  <c r="AL390" i="4462"/>
  <c r="AM390" i="4462"/>
  <c r="AN390" i="4462"/>
  <c r="AO390" i="4462"/>
  <c r="AP390" i="4462"/>
  <c r="AQ390" i="4462"/>
  <c r="AR390" i="4462"/>
  <c r="AS390" i="4462"/>
  <c r="AT390" i="4462"/>
  <c r="AU390" i="4462"/>
  <c r="AV390" i="4462"/>
  <c r="AW390" i="4462"/>
  <c r="AX390" i="4462"/>
  <c r="AY390" i="4462"/>
  <c r="AZ390" i="4462"/>
  <c r="BA390" i="4462"/>
  <c r="BB390" i="4462"/>
  <c r="BC390" i="4462"/>
  <c r="BD390" i="4462"/>
  <c r="A391" i="4462"/>
  <c r="B391" i="4462"/>
  <c r="C391" i="4462"/>
  <c r="D391" i="4462"/>
  <c r="E391" i="4462"/>
  <c r="F391" i="4462"/>
  <c r="G391" i="4462"/>
  <c r="H391" i="4462"/>
  <c r="I391" i="4462"/>
  <c r="J391" i="4462"/>
  <c r="K391" i="4462"/>
  <c r="L391" i="4462"/>
  <c r="M391" i="4462"/>
  <c r="N391" i="4462"/>
  <c r="O391" i="4462"/>
  <c r="P391" i="4462"/>
  <c r="Q391" i="4462"/>
  <c r="R391" i="4462"/>
  <c r="S391" i="4462"/>
  <c r="T391" i="4462"/>
  <c r="U391" i="4462"/>
  <c r="V391" i="4462"/>
  <c r="W391" i="4462"/>
  <c r="X391" i="4462"/>
  <c r="Y391" i="4462"/>
  <c r="Z391" i="4462"/>
  <c r="AA391" i="4462"/>
  <c r="AB391" i="4462"/>
  <c r="AC391" i="4462"/>
  <c r="AD391" i="4462"/>
  <c r="AE391" i="4462"/>
  <c r="AF391" i="4462"/>
  <c r="AG391" i="4462"/>
  <c r="AH391" i="4462"/>
  <c r="AI391" i="4462"/>
  <c r="AJ391" i="4462"/>
  <c r="AK391" i="4462"/>
  <c r="AL391" i="4462"/>
  <c r="AM391" i="4462"/>
  <c r="AN391" i="4462"/>
  <c r="AO391" i="4462"/>
  <c r="AP391" i="4462"/>
  <c r="AQ391" i="4462"/>
  <c r="AR391" i="4462"/>
  <c r="AS391" i="4462"/>
  <c r="AT391" i="4462"/>
  <c r="AU391" i="4462"/>
  <c r="AV391" i="4462"/>
  <c r="AW391" i="4462"/>
  <c r="AX391" i="4462"/>
  <c r="AY391" i="4462"/>
  <c r="AZ391" i="4462"/>
  <c r="BA391" i="4462"/>
  <c r="BB391" i="4462"/>
  <c r="BC391" i="4462"/>
  <c r="BD391" i="4462"/>
  <c r="A392" i="4462"/>
  <c r="B392" i="4462"/>
  <c r="C392" i="4462"/>
  <c r="D392" i="4462"/>
  <c r="E392" i="4462"/>
  <c r="F392" i="4462"/>
  <c r="G392" i="4462"/>
  <c r="H392" i="4462"/>
  <c r="I392" i="4462"/>
  <c r="J392" i="4462"/>
  <c r="K392" i="4462"/>
  <c r="L392" i="4462"/>
  <c r="M392" i="4462"/>
  <c r="N392" i="4462"/>
  <c r="O392" i="4462"/>
  <c r="P392" i="4462"/>
  <c r="Q392" i="4462"/>
  <c r="R392" i="4462"/>
  <c r="S392" i="4462"/>
  <c r="T392" i="4462"/>
  <c r="U392" i="4462"/>
  <c r="V392" i="4462"/>
  <c r="W392" i="4462"/>
  <c r="X392" i="4462"/>
  <c r="Y392" i="4462"/>
  <c r="Z392" i="4462"/>
  <c r="AA392" i="4462"/>
  <c r="AB392" i="4462"/>
  <c r="AC392" i="4462"/>
  <c r="AD392" i="4462"/>
  <c r="AE392" i="4462"/>
  <c r="AF392" i="4462"/>
  <c r="AG392" i="4462"/>
  <c r="AH392" i="4462"/>
  <c r="AI392" i="4462"/>
  <c r="AJ392" i="4462"/>
  <c r="AK392" i="4462"/>
  <c r="AL392" i="4462"/>
  <c r="AM392" i="4462"/>
  <c r="AN392" i="4462"/>
  <c r="AO392" i="4462"/>
  <c r="AP392" i="4462"/>
  <c r="AQ392" i="4462"/>
  <c r="AR392" i="4462"/>
  <c r="AS392" i="4462"/>
  <c r="AT392" i="4462"/>
  <c r="AU392" i="4462"/>
  <c r="AV392" i="4462"/>
  <c r="AW392" i="4462"/>
  <c r="AX392" i="4462"/>
  <c r="AY392" i="4462"/>
  <c r="AZ392" i="4462"/>
  <c r="BA392" i="4462"/>
  <c r="BB392" i="4462"/>
  <c r="BC392" i="4462"/>
  <c r="BD392" i="4462"/>
  <c r="A393" i="4462"/>
  <c r="B393" i="4462"/>
  <c r="C393" i="4462"/>
  <c r="D393" i="4462"/>
  <c r="E393" i="4462"/>
  <c r="F393" i="4462"/>
  <c r="G393" i="4462"/>
  <c r="H393" i="4462"/>
  <c r="I393" i="4462"/>
  <c r="J393" i="4462"/>
  <c r="K393" i="4462"/>
  <c r="L393" i="4462"/>
  <c r="M393" i="4462"/>
  <c r="N393" i="4462"/>
  <c r="O393" i="4462"/>
  <c r="P393" i="4462"/>
  <c r="Q393" i="4462"/>
  <c r="R393" i="4462"/>
  <c r="S393" i="4462"/>
  <c r="T393" i="4462"/>
  <c r="U393" i="4462"/>
  <c r="V393" i="4462"/>
  <c r="W393" i="4462"/>
  <c r="X393" i="4462"/>
  <c r="Y393" i="4462"/>
  <c r="Z393" i="4462"/>
  <c r="AA393" i="4462"/>
  <c r="AB393" i="4462"/>
  <c r="AC393" i="4462"/>
  <c r="AD393" i="4462"/>
  <c r="AE393" i="4462"/>
  <c r="AF393" i="4462"/>
  <c r="AG393" i="4462"/>
  <c r="AH393" i="4462"/>
  <c r="AI393" i="4462"/>
  <c r="AJ393" i="4462"/>
  <c r="AK393" i="4462"/>
  <c r="AL393" i="4462"/>
  <c r="AM393" i="4462"/>
  <c r="AN393" i="4462"/>
  <c r="AO393" i="4462"/>
  <c r="AP393" i="4462"/>
  <c r="AQ393" i="4462"/>
  <c r="AR393" i="4462"/>
  <c r="AS393" i="4462"/>
  <c r="AT393" i="4462"/>
  <c r="AU393" i="4462"/>
  <c r="AV393" i="4462"/>
  <c r="AW393" i="4462"/>
  <c r="AX393" i="4462"/>
  <c r="AY393" i="4462"/>
  <c r="AZ393" i="4462"/>
  <c r="BA393" i="4462"/>
  <c r="BB393" i="4462"/>
  <c r="BC393" i="4462"/>
  <c r="BD393" i="4462"/>
  <c r="A394" i="4462"/>
  <c r="B394" i="4462"/>
  <c r="C394" i="4462"/>
  <c r="D394" i="4462"/>
  <c r="E394" i="4462"/>
  <c r="F394" i="4462"/>
  <c r="G394" i="4462"/>
  <c r="H394" i="4462"/>
  <c r="I394" i="4462"/>
  <c r="J394" i="4462"/>
  <c r="K394" i="4462"/>
  <c r="L394" i="4462"/>
  <c r="M394" i="4462"/>
  <c r="N394" i="4462"/>
  <c r="O394" i="4462"/>
  <c r="P394" i="4462"/>
  <c r="Q394" i="4462"/>
  <c r="R394" i="4462"/>
  <c r="S394" i="4462"/>
  <c r="T394" i="4462"/>
  <c r="U394" i="4462"/>
  <c r="V394" i="4462"/>
  <c r="W394" i="4462"/>
  <c r="X394" i="4462"/>
  <c r="Y394" i="4462"/>
  <c r="Z394" i="4462"/>
  <c r="AA394" i="4462"/>
  <c r="AB394" i="4462"/>
  <c r="AC394" i="4462"/>
  <c r="AD394" i="4462"/>
  <c r="AE394" i="4462"/>
  <c r="AF394" i="4462"/>
  <c r="AG394" i="4462"/>
  <c r="AH394" i="4462"/>
  <c r="AI394" i="4462"/>
  <c r="AJ394" i="4462"/>
  <c r="AK394" i="4462"/>
  <c r="AL394" i="4462"/>
  <c r="AM394" i="4462"/>
  <c r="AN394" i="4462"/>
  <c r="AO394" i="4462"/>
  <c r="AP394" i="4462"/>
  <c r="AQ394" i="4462"/>
  <c r="AR394" i="4462"/>
  <c r="AS394" i="4462"/>
  <c r="AT394" i="4462"/>
  <c r="AU394" i="4462"/>
  <c r="AV394" i="4462"/>
  <c r="AW394" i="4462"/>
  <c r="AX394" i="4462"/>
  <c r="AY394" i="4462"/>
  <c r="AZ394" i="4462"/>
  <c r="BA394" i="4462"/>
  <c r="BB394" i="4462"/>
  <c r="BC394" i="4462"/>
  <c r="BD394" i="4462"/>
  <c r="A395" i="4462"/>
  <c r="B395" i="4462"/>
  <c r="C395" i="4462"/>
  <c r="D395" i="4462"/>
  <c r="E395" i="4462"/>
  <c r="F395" i="4462"/>
  <c r="G395" i="4462"/>
  <c r="H395" i="4462"/>
  <c r="I395" i="4462"/>
  <c r="J395" i="4462"/>
  <c r="K395" i="4462"/>
  <c r="L395" i="4462"/>
  <c r="M395" i="4462"/>
  <c r="N395" i="4462"/>
  <c r="O395" i="4462"/>
  <c r="P395" i="4462"/>
  <c r="Q395" i="4462"/>
  <c r="R395" i="4462"/>
  <c r="S395" i="4462"/>
  <c r="T395" i="4462"/>
  <c r="U395" i="4462"/>
  <c r="V395" i="4462"/>
  <c r="W395" i="4462"/>
  <c r="X395" i="4462"/>
  <c r="Y395" i="4462"/>
  <c r="Z395" i="4462"/>
  <c r="AA395" i="4462"/>
  <c r="AB395" i="4462"/>
  <c r="AC395" i="4462"/>
  <c r="AD395" i="4462"/>
  <c r="AE395" i="4462"/>
  <c r="AF395" i="4462"/>
  <c r="AG395" i="4462"/>
  <c r="AH395" i="4462"/>
  <c r="AI395" i="4462"/>
  <c r="AJ395" i="4462"/>
  <c r="AK395" i="4462"/>
  <c r="AL395" i="4462"/>
  <c r="AM395" i="4462"/>
  <c r="AN395" i="4462"/>
  <c r="AO395" i="4462"/>
  <c r="AP395" i="4462"/>
  <c r="AQ395" i="4462"/>
  <c r="AR395" i="4462"/>
  <c r="AS395" i="4462"/>
  <c r="AT395" i="4462"/>
  <c r="AU395" i="4462"/>
  <c r="AV395" i="4462"/>
  <c r="AW395" i="4462"/>
  <c r="AX395" i="4462"/>
  <c r="AY395" i="4462"/>
  <c r="AZ395" i="4462"/>
  <c r="BA395" i="4462"/>
  <c r="BB395" i="4462"/>
  <c r="BC395" i="4462"/>
  <c r="BD395" i="4462"/>
  <c r="A396" i="4462"/>
  <c r="B396" i="4462"/>
  <c r="C396" i="4462"/>
  <c r="D396" i="4462"/>
  <c r="E396" i="4462"/>
  <c r="F396" i="4462"/>
  <c r="G396" i="4462"/>
  <c r="H396" i="4462"/>
  <c r="I396" i="4462"/>
  <c r="J396" i="4462"/>
  <c r="K396" i="4462"/>
  <c r="L396" i="4462"/>
  <c r="M396" i="4462"/>
  <c r="N396" i="4462"/>
  <c r="O396" i="4462"/>
  <c r="P396" i="4462"/>
  <c r="Q396" i="4462"/>
  <c r="R396" i="4462"/>
  <c r="S396" i="4462"/>
  <c r="T396" i="4462"/>
  <c r="U396" i="4462"/>
  <c r="V396" i="4462"/>
  <c r="W396" i="4462"/>
  <c r="X396" i="4462"/>
  <c r="Y396" i="4462"/>
  <c r="Z396" i="4462"/>
  <c r="AA396" i="4462"/>
  <c r="AB396" i="4462"/>
  <c r="AC396" i="4462"/>
  <c r="AD396" i="4462"/>
  <c r="AE396" i="4462"/>
  <c r="AF396" i="4462"/>
  <c r="AG396" i="4462"/>
  <c r="AH396" i="4462"/>
  <c r="AI396" i="4462"/>
  <c r="AJ396" i="4462"/>
  <c r="AK396" i="4462"/>
  <c r="AL396" i="4462"/>
  <c r="AM396" i="4462"/>
  <c r="AN396" i="4462"/>
  <c r="AO396" i="4462"/>
  <c r="AP396" i="4462"/>
  <c r="AQ396" i="4462"/>
  <c r="AR396" i="4462"/>
  <c r="AS396" i="4462"/>
  <c r="AT396" i="4462"/>
  <c r="AU396" i="4462"/>
  <c r="AV396" i="4462"/>
  <c r="AW396" i="4462"/>
  <c r="AX396" i="4462"/>
  <c r="AY396" i="4462"/>
  <c r="AZ396" i="4462"/>
  <c r="BA396" i="4462"/>
  <c r="BB396" i="4462"/>
  <c r="BC396" i="4462"/>
  <c r="BD396" i="4462"/>
  <c r="A397" i="4462"/>
  <c r="B397" i="4462"/>
  <c r="C397" i="4462"/>
  <c r="D397" i="4462"/>
  <c r="E397" i="4462"/>
  <c r="F397" i="4462"/>
  <c r="G397" i="4462"/>
  <c r="H397" i="4462"/>
  <c r="I397" i="4462"/>
  <c r="J397" i="4462"/>
  <c r="K397" i="4462"/>
  <c r="L397" i="4462"/>
  <c r="M397" i="4462"/>
  <c r="N397" i="4462"/>
  <c r="O397" i="4462"/>
  <c r="P397" i="4462"/>
  <c r="Q397" i="4462"/>
  <c r="R397" i="4462"/>
  <c r="S397" i="4462"/>
  <c r="T397" i="4462"/>
  <c r="U397" i="4462"/>
  <c r="V397" i="4462"/>
  <c r="W397" i="4462"/>
  <c r="X397" i="4462"/>
  <c r="Y397" i="4462"/>
  <c r="Z397" i="4462"/>
  <c r="AA397" i="4462"/>
  <c r="AB397" i="4462"/>
  <c r="AC397" i="4462"/>
  <c r="AD397" i="4462"/>
  <c r="AE397" i="4462"/>
  <c r="AF397" i="4462"/>
  <c r="AG397" i="4462"/>
  <c r="AH397" i="4462"/>
  <c r="AI397" i="4462"/>
  <c r="AJ397" i="4462"/>
  <c r="AK397" i="4462"/>
  <c r="AL397" i="4462"/>
  <c r="AM397" i="4462"/>
  <c r="AN397" i="4462"/>
  <c r="AO397" i="4462"/>
  <c r="AP397" i="4462"/>
  <c r="AQ397" i="4462"/>
  <c r="AR397" i="4462"/>
  <c r="AS397" i="4462"/>
  <c r="AT397" i="4462"/>
  <c r="AU397" i="4462"/>
  <c r="AV397" i="4462"/>
  <c r="AW397" i="4462"/>
  <c r="AX397" i="4462"/>
  <c r="AY397" i="4462"/>
  <c r="AZ397" i="4462"/>
  <c r="BA397" i="4462"/>
  <c r="BB397" i="4462"/>
  <c r="BC397" i="4462"/>
  <c r="BD397" i="4462"/>
  <c r="A398" i="4462"/>
  <c r="B398" i="4462"/>
  <c r="C398" i="4462"/>
  <c r="D398" i="4462"/>
  <c r="E398" i="4462"/>
  <c r="F398" i="4462"/>
  <c r="G398" i="4462"/>
  <c r="H398" i="4462"/>
  <c r="I398" i="4462"/>
  <c r="J398" i="4462"/>
  <c r="K398" i="4462"/>
  <c r="L398" i="4462"/>
  <c r="M398" i="4462"/>
  <c r="N398" i="4462"/>
  <c r="O398" i="4462"/>
  <c r="P398" i="4462"/>
  <c r="Q398" i="4462"/>
  <c r="R398" i="4462"/>
  <c r="S398" i="4462"/>
  <c r="T398" i="4462"/>
  <c r="U398" i="4462"/>
  <c r="V398" i="4462"/>
  <c r="W398" i="4462"/>
  <c r="X398" i="4462"/>
  <c r="Y398" i="4462"/>
  <c r="Z398" i="4462"/>
  <c r="AA398" i="4462"/>
  <c r="AB398" i="4462"/>
  <c r="AC398" i="4462"/>
  <c r="AD398" i="4462"/>
  <c r="AE398" i="4462"/>
  <c r="AF398" i="4462"/>
  <c r="AG398" i="4462"/>
  <c r="AH398" i="4462"/>
  <c r="AI398" i="4462"/>
  <c r="AJ398" i="4462"/>
  <c r="AK398" i="4462"/>
  <c r="AL398" i="4462"/>
  <c r="AM398" i="4462"/>
  <c r="AN398" i="4462"/>
  <c r="AO398" i="4462"/>
  <c r="AP398" i="4462"/>
  <c r="AQ398" i="4462"/>
  <c r="AR398" i="4462"/>
  <c r="AS398" i="4462"/>
  <c r="AT398" i="4462"/>
  <c r="AU398" i="4462"/>
  <c r="AV398" i="4462"/>
  <c r="AW398" i="4462"/>
  <c r="AX398" i="4462"/>
  <c r="AY398" i="4462"/>
  <c r="AZ398" i="4462"/>
  <c r="BA398" i="4462"/>
  <c r="BB398" i="4462"/>
  <c r="BC398" i="4462"/>
  <c r="BD398" i="4462"/>
  <c r="A399" i="4462"/>
  <c r="B399" i="4462"/>
  <c r="C399" i="4462"/>
  <c r="D399" i="4462"/>
  <c r="E399" i="4462"/>
  <c r="F399" i="4462"/>
  <c r="G399" i="4462"/>
  <c r="H399" i="4462"/>
  <c r="I399" i="4462"/>
  <c r="J399" i="4462"/>
  <c r="K399" i="4462"/>
  <c r="L399" i="4462"/>
  <c r="M399" i="4462"/>
  <c r="N399" i="4462"/>
  <c r="O399" i="4462"/>
  <c r="P399" i="4462"/>
  <c r="Q399" i="4462"/>
  <c r="R399" i="4462"/>
  <c r="S399" i="4462"/>
  <c r="T399" i="4462"/>
  <c r="U399" i="4462"/>
  <c r="V399" i="4462"/>
  <c r="W399" i="4462"/>
  <c r="X399" i="4462"/>
  <c r="Y399" i="4462"/>
  <c r="Z399" i="4462"/>
  <c r="AA399" i="4462"/>
  <c r="AB399" i="4462"/>
  <c r="AC399" i="4462"/>
  <c r="AD399" i="4462"/>
  <c r="AE399" i="4462"/>
  <c r="AF399" i="4462"/>
  <c r="AG399" i="4462"/>
  <c r="AH399" i="4462"/>
  <c r="AI399" i="4462"/>
  <c r="AJ399" i="4462"/>
  <c r="AK399" i="4462"/>
  <c r="AL399" i="4462"/>
  <c r="AM399" i="4462"/>
  <c r="AN399" i="4462"/>
  <c r="AO399" i="4462"/>
  <c r="AP399" i="4462"/>
  <c r="AQ399" i="4462"/>
  <c r="AR399" i="4462"/>
  <c r="AS399" i="4462"/>
  <c r="AT399" i="4462"/>
  <c r="AU399" i="4462"/>
  <c r="AV399" i="4462"/>
  <c r="AW399" i="4462"/>
  <c r="AX399" i="4462"/>
  <c r="AY399" i="4462"/>
  <c r="AZ399" i="4462"/>
  <c r="BA399" i="4462"/>
  <c r="BB399" i="4462"/>
  <c r="BC399" i="4462"/>
  <c r="BD399" i="4462"/>
  <c r="A400" i="4462"/>
  <c r="B400" i="4462"/>
  <c r="C400" i="4462"/>
  <c r="D400" i="4462"/>
  <c r="E400" i="4462"/>
  <c r="F400" i="4462"/>
  <c r="G400" i="4462"/>
  <c r="H400" i="4462"/>
  <c r="I400" i="4462"/>
  <c r="J400" i="4462"/>
  <c r="K400" i="4462"/>
  <c r="L400" i="4462"/>
  <c r="M400" i="4462"/>
  <c r="N400" i="4462"/>
  <c r="O400" i="4462"/>
  <c r="P400" i="4462"/>
  <c r="Q400" i="4462"/>
  <c r="R400" i="4462"/>
  <c r="S400" i="4462"/>
  <c r="T400" i="4462"/>
  <c r="U400" i="4462"/>
  <c r="V400" i="4462"/>
  <c r="W400" i="4462"/>
  <c r="X400" i="4462"/>
  <c r="Y400" i="4462"/>
  <c r="Z400" i="4462"/>
  <c r="AA400" i="4462"/>
  <c r="AB400" i="4462"/>
  <c r="AC400" i="4462"/>
  <c r="AD400" i="4462"/>
  <c r="AE400" i="4462"/>
  <c r="AF400" i="4462"/>
  <c r="AG400" i="4462"/>
  <c r="AH400" i="4462"/>
  <c r="AI400" i="4462"/>
  <c r="AJ400" i="4462"/>
  <c r="AK400" i="4462"/>
  <c r="AL400" i="4462"/>
  <c r="AM400" i="4462"/>
  <c r="AN400" i="4462"/>
  <c r="AO400" i="4462"/>
  <c r="AP400" i="4462"/>
  <c r="AQ400" i="4462"/>
  <c r="AR400" i="4462"/>
  <c r="AS400" i="4462"/>
  <c r="AT400" i="4462"/>
  <c r="AU400" i="4462"/>
  <c r="AV400" i="4462"/>
  <c r="AW400" i="4462"/>
  <c r="AX400" i="4462"/>
  <c r="AY400" i="4462"/>
  <c r="AZ400" i="4462"/>
  <c r="BA400" i="4462"/>
  <c r="BB400" i="4462"/>
  <c r="BC400" i="4462"/>
  <c r="BD400" i="4462"/>
  <c r="A401" i="4462"/>
  <c r="B401" i="4462"/>
  <c r="C401" i="4462"/>
  <c r="D401" i="4462"/>
  <c r="E401" i="4462"/>
  <c r="F401" i="4462"/>
  <c r="G401" i="4462"/>
  <c r="H401" i="4462"/>
  <c r="I401" i="4462"/>
  <c r="J401" i="4462"/>
  <c r="K401" i="4462"/>
  <c r="L401" i="4462"/>
  <c r="M401" i="4462"/>
  <c r="N401" i="4462"/>
  <c r="O401" i="4462"/>
  <c r="P401" i="4462"/>
  <c r="Q401" i="4462"/>
  <c r="R401" i="4462"/>
  <c r="S401" i="4462"/>
  <c r="T401" i="4462"/>
  <c r="U401" i="4462"/>
  <c r="V401" i="4462"/>
  <c r="W401" i="4462"/>
  <c r="X401" i="4462"/>
  <c r="Y401" i="4462"/>
  <c r="Z401" i="4462"/>
  <c r="AA401" i="4462"/>
  <c r="AB401" i="4462"/>
  <c r="AC401" i="4462"/>
  <c r="AD401" i="4462"/>
  <c r="AE401" i="4462"/>
  <c r="AF401" i="4462"/>
  <c r="AG401" i="4462"/>
  <c r="AH401" i="4462"/>
  <c r="AI401" i="4462"/>
  <c r="AJ401" i="4462"/>
  <c r="AK401" i="4462"/>
  <c r="AL401" i="4462"/>
  <c r="AM401" i="4462"/>
  <c r="AN401" i="4462"/>
  <c r="AO401" i="4462"/>
  <c r="AP401" i="4462"/>
  <c r="AQ401" i="4462"/>
  <c r="AR401" i="4462"/>
  <c r="AS401" i="4462"/>
  <c r="AT401" i="4462"/>
  <c r="AU401" i="4462"/>
  <c r="AV401" i="4462"/>
  <c r="AW401" i="4462"/>
  <c r="AX401" i="4462"/>
  <c r="AY401" i="4462"/>
  <c r="AZ401" i="4462"/>
  <c r="BA401" i="4462"/>
  <c r="BB401" i="4462"/>
  <c r="BC401" i="4462"/>
  <c r="BD401" i="4462"/>
  <c r="A402" i="4462"/>
  <c r="B402" i="4462"/>
  <c r="C402" i="4462"/>
  <c r="D402" i="4462"/>
  <c r="E402" i="4462"/>
  <c r="F402" i="4462"/>
  <c r="G402" i="4462"/>
  <c r="H402" i="4462"/>
  <c r="I402" i="4462"/>
  <c r="J402" i="4462"/>
  <c r="K402" i="4462"/>
  <c r="L402" i="4462"/>
  <c r="M402" i="4462"/>
  <c r="N402" i="4462"/>
  <c r="O402" i="4462"/>
  <c r="P402" i="4462"/>
  <c r="Q402" i="4462"/>
  <c r="R402" i="4462"/>
  <c r="S402" i="4462"/>
  <c r="T402" i="4462"/>
  <c r="U402" i="4462"/>
  <c r="V402" i="4462"/>
  <c r="W402" i="4462"/>
  <c r="X402" i="4462"/>
  <c r="Y402" i="4462"/>
  <c r="Z402" i="4462"/>
  <c r="AA402" i="4462"/>
  <c r="AB402" i="4462"/>
  <c r="AC402" i="4462"/>
  <c r="AD402" i="4462"/>
  <c r="AE402" i="4462"/>
  <c r="AF402" i="4462"/>
  <c r="AG402" i="4462"/>
  <c r="AH402" i="4462"/>
  <c r="AI402" i="4462"/>
  <c r="AJ402" i="4462"/>
  <c r="AK402" i="4462"/>
  <c r="AL402" i="4462"/>
  <c r="AM402" i="4462"/>
  <c r="AN402" i="4462"/>
  <c r="AO402" i="4462"/>
  <c r="AP402" i="4462"/>
  <c r="AQ402" i="4462"/>
  <c r="AR402" i="4462"/>
  <c r="AS402" i="4462"/>
  <c r="AT402" i="4462"/>
  <c r="AU402" i="4462"/>
  <c r="AV402" i="4462"/>
  <c r="AW402" i="4462"/>
  <c r="AX402" i="4462"/>
  <c r="AY402" i="4462"/>
  <c r="AZ402" i="4462"/>
  <c r="BA402" i="4462"/>
  <c r="BB402" i="4462"/>
  <c r="BC402" i="4462"/>
  <c r="BD402" i="4462"/>
  <c r="A403" i="4462"/>
  <c r="B403" i="4462"/>
  <c r="C403" i="4462"/>
  <c r="D403" i="4462"/>
  <c r="E403" i="4462"/>
  <c r="F403" i="4462"/>
  <c r="G403" i="4462"/>
  <c r="H403" i="4462"/>
  <c r="I403" i="4462"/>
  <c r="J403" i="4462"/>
  <c r="K403" i="4462"/>
  <c r="L403" i="4462"/>
  <c r="M403" i="4462"/>
  <c r="N403" i="4462"/>
  <c r="O403" i="4462"/>
  <c r="P403" i="4462"/>
  <c r="Q403" i="4462"/>
  <c r="R403" i="4462"/>
  <c r="S403" i="4462"/>
  <c r="T403" i="4462"/>
  <c r="U403" i="4462"/>
  <c r="V403" i="4462"/>
  <c r="W403" i="4462"/>
  <c r="X403" i="4462"/>
  <c r="Y403" i="4462"/>
  <c r="Z403" i="4462"/>
  <c r="AA403" i="4462"/>
  <c r="AB403" i="4462"/>
  <c r="AC403" i="4462"/>
  <c r="AD403" i="4462"/>
  <c r="AE403" i="4462"/>
  <c r="AF403" i="4462"/>
  <c r="AG403" i="4462"/>
  <c r="AH403" i="4462"/>
  <c r="AI403" i="4462"/>
  <c r="AJ403" i="4462"/>
  <c r="AK403" i="4462"/>
  <c r="AL403" i="4462"/>
  <c r="AM403" i="4462"/>
  <c r="AN403" i="4462"/>
  <c r="AO403" i="4462"/>
  <c r="AP403" i="4462"/>
  <c r="AQ403" i="4462"/>
  <c r="AR403" i="4462"/>
  <c r="AS403" i="4462"/>
  <c r="AT403" i="4462"/>
  <c r="AU403" i="4462"/>
  <c r="AV403" i="4462"/>
  <c r="AW403" i="4462"/>
  <c r="AX403" i="4462"/>
  <c r="AY403" i="4462"/>
  <c r="AZ403" i="4462"/>
  <c r="BA403" i="4462"/>
  <c r="BB403" i="4462"/>
  <c r="BC403" i="4462"/>
  <c r="BD403" i="4462"/>
  <c r="A404" i="4462"/>
  <c r="B404" i="4462"/>
  <c r="C404" i="4462"/>
  <c r="D404" i="4462"/>
  <c r="E404" i="4462"/>
  <c r="F404" i="4462"/>
  <c r="G404" i="4462"/>
  <c r="H404" i="4462"/>
  <c r="I404" i="4462"/>
  <c r="J404" i="4462"/>
  <c r="K404" i="4462"/>
  <c r="L404" i="4462"/>
  <c r="M404" i="4462"/>
  <c r="N404" i="4462"/>
  <c r="O404" i="4462"/>
  <c r="P404" i="4462"/>
  <c r="Q404" i="4462"/>
  <c r="R404" i="4462"/>
  <c r="S404" i="4462"/>
  <c r="T404" i="4462"/>
  <c r="U404" i="4462"/>
  <c r="V404" i="4462"/>
  <c r="W404" i="4462"/>
  <c r="X404" i="4462"/>
  <c r="Y404" i="4462"/>
  <c r="Z404" i="4462"/>
  <c r="AA404" i="4462"/>
  <c r="AB404" i="4462"/>
  <c r="AC404" i="4462"/>
  <c r="AD404" i="4462"/>
  <c r="AE404" i="4462"/>
  <c r="AF404" i="4462"/>
  <c r="AG404" i="4462"/>
  <c r="AH404" i="4462"/>
  <c r="AI404" i="4462"/>
  <c r="AJ404" i="4462"/>
  <c r="AK404" i="4462"/>
  <c r="AL404" i="4462"/>
  <c r="AM404" i="4462"/>
  <c r="AN404" i="4462"/>
  <c r="AO404" i="4462"/>
  <c r="AP404" i="4462"/>
  <c r="AQ404" i="4462"/>
  <c r="AR404" i="4462"/>
  <c r="AS404" i="4462"/>
  <c r="AT404" i="4462"/>
  <c r="AU404" i="4462"/>
  <c r="AV404" i="4462"/>
  <c r="AW404" i="4462"/>
  <c r="AX404" i="4462"/>
  <c r="AY404" i="4462"/>
  <c r="AZ404" i="4462"/>
  <c r="BA404" i="4462"/>
  <c r="BB404" i="4462"/>
  <c r="BC404" i="4462"/>
  <c r="BD404" i="4462"/>
  <c r="A405" i="4462"/>
  <c r="B405" i="4462"/>
  <c r="C405" i="4462"/>
  <c r="D405" i="4462"/>
  <c r="E405" i="4462"/>
  <c r="F405" i="4462"/>
  <c r="G405" i="4462"/>
  <c r="H405" i="4462"/>
  <c r="I405" i="4462"/>
  <c r="J405" i="4462"/>
  <c r="K405" i="4462"/>
  <c r="L405" i="4462"/>
  <c r="M405" i="4462"/>
  <c r="N405" i="4462"/>
  <c r="O405" i="4462"/>
  <c r="P405" i="4462"/>
  <c r="Q405" i="4462"/>
  <c r="R405" i="4462"/>
  <c r="S405" i="4462"/>
  <c r="T405" i="4462"/>
  <c r="U405" i="4462"/>
  <c r="V405" i="4462"/>
  <c r="W405" i="4462"/>
  <c r="X405" i="4462"/>
  <c r="Y405" i="4462"/>
  <c r="Z405" i="4462"/>
  <c r="AA405" i="4462"/>
  <c r="AB405" i="4462"/>
  <c r="AC405" i="4462"/>
  <c r="AD405" i="4462"/>
  <c r="AE405" i="4462"/>
  <c r="AF405" i="4462"/>
  <c r="AG405" i="4462"/>
  <c r="AH405" i="4462"/>
  <c r="AI405" i="4462"/>
  <c r="AJ405" i="4462"/>
  <c r="AK405" i="4462"/>
  <c r="AL405" i="4462"/>
  <c r="AM405" i="4462"/>
  <c r="AN405" i="4462"/>
  <c r="AO405" i="4462"/>
  <c r="AP405" i="4462"/>
  <c r="AQ405" i="4462"/>
  <c r="AR405" i="4462"/>
  <c r="AS405" i="4462"/>
  <c r="AT405" i="4462"/>
  <c r="AU405" i="4462"/>
  <c r="AV405" i="4462"/>
  <c r="AW405" i="4462"/>
  <c r="AX405" i="4462"/>
  <c r="AY405" i="4462"/>
  <c r="AZ405" i="4462"/>
  <c r="BA405" i="4462"/>
  <c r="BB405" i="4462"/>
  <c r="BC405" i="4462"/>
  <c r="BD405" i="4462"/>
  <c r="A406" i="4462"/>
  <c r="B406" i="4462"/>
  <c r="C406" i="4462"/>
  <c r="D406" i="4462"/>
  <c r="E406" i="4462"/>
  <c r="F406" i="4462"/>
  <c r="G406" i="4462"/>
  <c r="H406" i="4462"/>
  <c r="I406" i="4462"/>
  <c r="J406" i="4462"/>
  <c r="K406" i="4462"/>
  <c r="L406" i="4462"/>
  <c r="M406" i="4462"/>
  <c r="N406" i="4462"/>
  <c r="O406" i="4462"/>
  <c r="P406" i="4462"/>
  <c r="Q406" i="4462"/>
  <c r="R406" i="4462"/>
  <c r="S406" i="4462"/>
  <c r="T406" i="4462"/>
  <c r="U406" i="4462"/>
  <c r="V406" i="4462"/>
  <c r="W406" i="4462"/>
  <c r="X406" i="4462"/>
  <c r="Y406" i="4462"/>
  <c r="Z406" i="4462"/>
  <c r="AA406" i="4462"/>
  <c r="AB406" i="4462"/>
  <c r="AC406" i="4462"/>
  <c r="AD406" i="4462"/>
  <c r="AE406" i="4462"/>
  <c r="AF406" i="4462"/>
  <c r="AG406" i="4462"/>
  <c r="AH406" i="4462"/>
  <c r="AI406" i="4462"/>
  <c r="AJ406" i="4462"/>
  <c r="AK406" i="4462"/>
  <c r="AL406" i="4462"/>
  <c r="AM406" i="4462"/>
  <c r="AN406" i="4462"/>
  <c r="AO406" i="4462"/>
  <c r="AP406" i="4462"/>
  <c r="AQ406" i="4462"/>
  <c r="AR406" i="4462"/>
  <c r="AS406" i="4462"/>
  <c r="AT406" i="4462"/>
  <c r="AU406" i="4462"/>
  <c r="AV406" i="4462"/>
  <c r="AW406" i="4462"/>
  <c r="AX406" i="4462"/>
  <c r="AY406" i="4462"/>
  <c r="AZ406" i="4462"/>
  <c r="BA406" i="4462"/>
  <c r="BB406" i="4462"/>
  <c r="BC406" i="4462"/>
  <c r="BD406" i="4462"/>
  <c r="A407" i="4462"/>
  <c r="B407" i="4462"/>
  <c r="C407" i="4462"/>
  <c r="D407" i="4462"/>
  <c r="E407" i="4462"/>
  <c r="F407" i="4462"/>
  <c r="G407" i="4462"/>
  <c r="H407" i="4462"/>
  <c r="I407" i="4462"/>
  <c r="J407" i="4462"/>
  <c r="K407" i="4462"/>
  <c r="L407" i="4462"/>
  <c r="M407" i="4462"/>
  <c r="N407" i="4462"/>
  <c r="O407" i="4462"/>
  <c r="P407" i="4462"/>
  <c r="Q407" i="4462"/>
  <c r="R407" i="4462"/>
  <c r="S407" i="4462"/>
  <c r="T407" i="4462"/>
  <c r="U407" i="4462"/>
  <c r="V407" i="4462"/>
  <c r="W407" i="4462"/>
  <c r="X407" i="4462"/>
  <c r="Y407" i="4462"/>
  <c r="Z407" i="4462"/>
  <c r="AA407" i="4462"/>
  <c r="AB407" i="4462"/>
  <c r="AC407" i="4462"/>
  <c r="AD407" i="4462"/>
  <c r="AE407" i="4462"/>
  <c r="AF407" i="4462"/>
  <c r="AG407" i="4462"/>
  <c r="AH407" i="4462"/>
  <c r="AI407" i="4462"/>
  <c r="AJ407" i="4462"/>
  <c r="AK407" i="4462"/>
  <c r="AL407" i="4462"/>
  <c r="AM407" i="4462"/>
  <c r="AN407" i="4462"/>
  <c r="AO407" i="4462"/>
  <c r="AP407" i="4462"/>
  <c r="AQ407" i="4462"/>
  <c r="AR407" i="4462"/>
  <c r="AS407" i="4462"/>
  <c r="AT407" i="4462"/>
  <c r="AU407" i="4462"/>
  <c r="AV407" i="4462"/>
  <c r="AW407" i="4462"/>
  <c r="AX407" i="4462"/>
  <c r="AY407" i="4462"/>
  <c r="AZ407" i="4462"/>
  <c r="BA407" i="4462"/>
  <c r="BB407" i="4462"/>
  <c r="BC407" i="4462"/>
  <c r="BD407" i="4462"/>
  <c r="A408" i="4462"/>
  <c r="B408" i="4462"/>
  <c r="C408" i="4462"/>
  <c r="D408" i="4462"/>
  <c r="E408" i="4462"/>
  <c r="F408" i="4462"/>
  <c r="G408" i="4462"/>
  <c r="H408" i="4462"/>
  <c r="I408" i="4462"/>
  <c r="J408" i="4462"/>
  <c r="K408" i="4462"/>
  <c r="L408" i="4462"/>
  <c r="M408" i="4462"/>
  <c r="N408" i="4462"/>
  <c r="O408" i="4462"/>
  <c r="P408" i="4462"/>
  <c r="Q408" i="4462"/>
  <c r="R408" i="4462"/>
  <c r="S408" i="4462"/>
  <c r="T408" i="4462"/>
  <c r="U408" i="4462"/>
  <c r="V408" i="4462"/>
  <c r="W408" i="4462"/>
  <c r="X408" i="4462"/>
  <c r="Y408" i="4462"/>
  <c r="Z408" i="4462"/>
  <c r="AA408" i="4462"/>
  <c r="AB408" i="4462"/>
  <c r="AC408" i="4462"/>
  <c r="AD408" i="4462"/>
  <c r="AE408" i="4462"/>
  <c r="AF408" i="4462"/>
  <c r="AG408" i="4462"/>
  <c r="AH408" i="4462"/>
  <c r="AI408" i="4462"/>
  <c r="AJ408" i="4462"/>
  <c r="AK408" i="4462"/>
  <c r="AL408" i="4462"/>
  <c r="AM408" i="4462"/>
  <c r="AN408" i="4462"/>
  <c r="AO408" i="4462"/>
  <c r="AP408" i="4462"/>
  <c r="AQ408" i="4462"/>
  <c r="AR408" i="4462"/>
  <c r="AS408" i="4462"/>
  <c r="AT408" i="4462"/>
  <c r="AU408" i="4462"/>
  <c r="AV408" i="4462"/>
  <c r="AW408" i="4462"/>
  <c r="AX408" i="4462"/>
  <c r="AY408" i="4462"/>
  <c r="AZ408" i="4462"/>
  <c r="BA408" i="4462"/>
  <c r="BB408" i="4462"/>
  <c r="BC408" i="4462"/>
  <c r="BD408" i="4462"/>
  <c r="A409" i="4462"/>
  <c r="B409" i="4462"/>
  <c r="C409" i="4462"/>
  <c r="D409" i="4462"/>
  <c r="E409" i="4462"/>
  <c r="F409" i="4462"/>
  <c r="G409" i="4462"/>
  <c r="H409" i="4462"/>
  <c r="I409" i="4462"/>
  <c r="J409" i="4462"/>
  <c r="K409" i="4462"/>
  <c r="L409" i="4462"/>
  <c r="M409" i="4462"/>
  <c r="N409" i="4462"/>
  <c r="O409" i="4462"/>
  <c r="P409" i="4462"/>
  <c r="Q409" i="4462"/>
  <c r="R409" i="4462"/>
  <c r="S409" i="4462"/>
  <c r="T409" i="4462"/>
  <c r="U409" i="4462"/>
  <c r="V409" i="4462"/>
  <c r="W409" i="4462"/>
  <c r="X409" i="4462"/>
  <c r="Y409" i="4462"/>
  <c r="Z409" i="4462"/>
  <c r="AA409" i="4462"/>
  <c r="AB409" i="4462"/>
  <c r="AC409" i="4462"/>
  <c r="AD409" i="4462"/>
  <c r="AE409" i="4462"/>
  <c r="AF409" i="4462"/>
  <c r="AG409" i="4462"/>
  <c r="AH409" i="4462"/>
  <c r="AI409" i="4462"/>
  <c r="AJ409" i="4462"/>
  <c r="AK409" i="4462"/>
  <c r="AL409" i="4462"/>
  <c r="AM409" i="4462"/>
  <c r="AN409" i="4462"/>
  <c r="AO409" i="4462"/>
  <c r="AP409" i="4462"/>
  <c r="AQ409" i="4462"/>
  <c r="AR409" i="4462"/>
  <c r="AS409" i="4462"/>
  <c r="AT409" i="4462"/>
  <c r="AU409" i="4462"/>
  <c r="AV409" i="4462"/>
  <c r="AW409" i="4462"/>
  <c r="AX409" i="4462"/>
  <c r="AY409" i="4462"/>
  <c r="AZ409" i="4462"/>
  <c r="BA409" i="4462"/>
  <c r="BB409" i="4462"/>
  <c r="BC409" i="4462"/>
  <c r="BD409" i="4462"/>
  <c r="A410" i="4462"/>
  <c r="B410" i="4462"/>
  <c r="C410" i="4462"/>
  <c r="D410" i="4462"/>
  <c r="E410" i="4462"/>
  <c r="F410" i="4462"/>
  <c r="G410" i="4462"/>
  <c r="H410" i="4462"/>
  <c r="I410" i="4462"/>
  <c r="J410" i="4462"/>
  <c r="K410" i="4462"/>
  <c r="L410" i="4462"/>
  <c r="M410" i="4462"/>
  <c r="N410" i="4462"/>
  <c r="O410" i="4462"/>
  <c r="P410" i="4462"/>
  <c r="Q410" i="4462"/>
  <c r="R410" i="4462"/>
  <c r="S410" i="4462"/>
  <c r="T410" i="4462"/>
  <c r="U410" i="4462"/>
  <c r="V410" i="4462"/>
  <c r="W410" i="4462"/>
  <c r="X410" i="4462"/>
  <c r="Y410" i="4462"/>
  <c r="Z410" i="4462"/>
  <c r="AA410" i="4462"/>
  <c r="AB410" i="4462"/>
  <c r="AC410" i="4462"/>
  <c r="AD410" i="4462"/>
  <c r="AE410" i="4462"/>
  <c r="AF410" i="4462"/>
  <c r="AG410" i="4462"/>
  <c r="AH410" i="4462"/>
  <c r="AI410" i="4462"/>
  <c r="AJ410" i="4462"/>
  <c r="AK410" i="4462"/>
  <c r="AL410" i="4462"/>
  <c r="AM410" i="4462"/>
  <c r="AN410" i="4462"/>
  <c r="AO410" i="4462"/>
  <c r="AP410" i="4462"/>
  <c r="AQ410" i="4462"/>
  <c r="AR410" i="4462"/>
  <c r="AS410" i="4462"/>
  <c r="AT410" i="4462"/>
  <c r="AU410" i="4462"/>
  <c r="AV410" i="4462"/>
  <c r="AW410" i="4462"/>
  <c r="AX410" i="4462"/>
  <c r="AY410" i="4462"/>
  <c r="AZ410" i="4462"/>
  <c r="BA410" i="4462"/>
  <c r="BB410" i="4462"/>
  <c r="BC410" i="4462"/>
  <c r="BD410" i="4462"/>
  <c r="A411" i="4462"/>
  <c r="B411" i="4462"/>
  <c r="C411" i="4462"/>
  <c r="D411" i="4462"/>
  <c r="E411" i="4462"/>
  <c r="F411" i="4462"/>
  <c r="G411" i="4462"/>
  <c r="H411" i="4462"/>
  <c r="I411" i="4462"/>
  <c r="J411" i="4462"/>
  <c r="K411" i="4462"/>
  <c r="L411" i="4462"/>
  <c r="M411" i="4462"/>
  <c r="N411" i="4462"/>
  <c r="O411" i="4462"/>
  <c r="P411" i="4462"/>
  <c r="Q411" i="4462"/>
  <c r="R411" i="4462"/>
  <c r="S411" i="4462"/>
  <c r="T411" i="4462"/>
  <c r="U411" i="4462"/>
  <c r="V411" i="4462"/>
  <c r="W411" i="4462"/>
  <c r="X411" i="4462"/>
  <c r="Y411" i="4462"/>
  <c r="Z411" i="4462"/>
  <c r="AA411" i="4462"/>
  <c r="AB411" i="4462"/>
  <c r="AC411" i="4462"/>
  <c r="AD411" i="4462"/>
  <c r="AE411" i="4462"/>
  <c r="AF411" i="4462"/>
  <c r="AG411" i="4462"/>
  <c r="AH411" i="4462"/>
  <c r="AI411" i="4462"/>
  <c r="AJ411" i="4462"/>
  <c r="AK411" i="4462"/>
  <c r="AL411" i="4462"/>
  <c r="AM411" i="4462"/>
  <c r="AN411" i="4462"/>
  <c r="AO411" i="4462"/>
  <c r="AP411" i="4462"/>
  <c r="AQ411" i="4462"/>
  <c r="AR411" i="4462"/>
  <c r="AS411" i="4462"/>
  <c r="AT411" i="4462"/>
  <c r="AU411" i="4462"/>
  <c r="AV411" i="4462"/>
  <c r="AW411" i="4462"/>
  <c r="AX411" i="4462"/>
  <c r="AY411" i="4462"/>
  <c r="AZ411" i="4462"/>
  <c r="BA411" i="4462"/>
  <c r="BB411" i="4462"/>
  <c r="BC411" i="4462"/>
  <c r="BD411" i="4462"/>
  <c r="A412" i="4462"/>
  <c r="B412" i="4462"/>
  <c r="C412" i="4462"/>
  <c r="D412" i="4462"/>
  <c r="E412" i="4462"/>
  <c r="F412" i="4462"/>
  <c r="G412" i="4462"/>
  <c r="H412" i="4462"/>
  <c r="I412" i="4462"/>
  <c r="J412" i="4462"/>
  <c r="K412" i="4462"/>
  <c r="L412" i="4462"/>
  <c r="M412" i="4462"/>
  <c r="N412" i="4462"/>
  <c r="O412" i="4462"/>
  <c r="P412" i="4462"/>
  <c r="Q412" i="4462"/>
  <c r="R412" i="4462"/>
  <c r="S412" i="4462"/>
  <c r="T412" i="4462"/>
  <c r="U412" i="4462"/>
  <c r="V412" i="4462"/>
  <c r="W412" i="4462"/>
  <c r="X412" i="4462"/>
  <c r="Y412" i="4462"/>
  <c r="Z412" i="4462"/>
  <c r="AA412" i="4462"/>
  <c r="AB412" i="4462"/>
  <c r="AC412" i="4462"/>
  <c r="AD412" i="4462"/>
  <c r="AE412" i="4462"/>
  <c r="AF412" i="4462"/>
  <c r="AG412" i="4462"/>
  <c r="AH412" i="4462"/>
  <c r="AI412" i="4462"/>
  <c r="AJ412" i="4462"/>
  <c r="AK412" i="4462"/>
  <c r="AL412" i="4462"/>
  <c r="AM412" i="4462"/>
  <c r="AN412" i="4462"/>
  <c r="AO412" i="4462"/>
  <c r="AP412" i="4462"/>
  <c r="AQ412" i="4462"/>
  <c r="AR412" i="4462"/>
  <c r="AS412" i="4462"/>
  <c r="AT412" i="4462"/>
  <c r="AU412" i="4462"/>
  <c r="AV412" i="4462"/>
  <c r="AW412" i="4462"/>
  <c r="AX412" i="4462"/>
  <c r="AY412" i="4462"/>
  <c r="AZ412" i="4462"/>
  <c r="BA412" i="4462"/>
  <c r="BB412" i="4462"/>
  <c r="BC412" i="4462"/>
  <c r="BD412" i="4462"/>
  <c r="A413" i="4462"/>
  <c r="B413" i="4462"/>
  <c r="C413" i="4462"/>
  <c r="D413" i="4462"/>
  <c r="E413" i="4462"/>
  <c r="F413" i="4462"/>
  <c r="G413" i="4462"/>
  <c r="H413" i="4462"/>
  <c r="I413" i="4462"/>
  <c r="J413" i="4462"/>
  <c r="K413" i="4462"/>
  <c r="L413" i="4462"/>
  <c r="M413" i="4462"/>
  <c r="N413" i="4462"/>
  <c r="O413" i="4462"/>
  <c r="P413" i="4462"/>
  <c r="Q413" i="4462"/>
  <c r="R413" i="4462"/>
  <c r="S413" i="4462"/>
  <c r="T413" i="4462"/>
  <c r="U413" i="4462"/>
  <c r="V413" i="4462"/>
  <c r="W413" i="4462"/>
  <c r="X413" i="4462"/>
  <c r="Y413" i="4462"/>
  <c r="Z413" i="4462"/>
  <c r="AA413" i="4462"/>
  <c r="AB413" i="4462"/>
  <c r="AC413" i="4462"/>
  <c r="AD413" i="4462"/>
  <c r="AE413" i="4462"/>
  <c r="AF413" i="4462"/>
  <c r="AG413" i="4462"/>
  <c r="AH413" i="4462"/>
  <c r="AI413" i="4462"/>
  <c r="AJ413" i="4462"/>
  <c r="AK413" i="4462"/>
  <c r="AL413" i="4462"/>
  <c r="AM413" i="4462"/>
  <c r="AN413" i="4462"/>
  <c r="AO413" i="4462"/>
  <c r="AP413" i="4462"/>
  <c r="AQ413" i="4462"/>
  <c r="AR413" i="4462"/>
  <c r="AS413" i="4462"/>
  <c r="AT413" i="4462"/>
  <c r="AU413" i="4462"/>
  <c r="AV413" i="4462"/>
  <c r="AW413" i="4462"/>
  <c r="AX413" i="4462"/>
  <c r="AY413" i="4462"/>
  <c r="AZ413" i="4462"/>
  <c r="BA413" i="4462"/>
  <c r="BB413" i="4462"/>
  <c r="BC413" i="4462"/>
  <c r="BD413" i="4462"/>
  <c r="A414" i="4462"/>
  <c r="B414" i="4462"/>
  <c r="C414" i="4462"/>
  <c r="D414" i="4462"/>
  <c r="E414" i="4462"/>
  <c r="F414" i="4462"/>
  <c r="G414" i="4462"/>
  <c r="H414" i="4462"/>
  <c r="I414" i="4462"/>
  <c r="J414" i="4462"/>
  <c r="K414" i="4462"/>
  <c r="L414" i="4462"/>
  <c r="M414" i="4462"/>
  <c r="N414" i="4462"/>
  <c r="O414" i="4462"/>
  <c r="P414" i="4462"/>
  <c r="Q414" i="4462"/>
  <c r="R414" i="4462"/>
  <c r="S414" i="4462"/>
  <c r="T414" i="4462"/>
  <c r="U414" i="4462"/>
  <c r="V414" i="4462"/>
  <c r="W414" i="4462"/>
  <c r="X414" i="4462"/>
  <c r="Y414" i="4462"/>
  <c r="Z414" i="4462"/>
  <c r="AA414" i="4462"/>
  <c r="AB414" i="4462"/>
  <c r="AC414" i="4462"/>
  <c r="AD414" i="4462"/>
  <c r="AE414" i="4462"/>
  <c r="AF414" i="4462"/>
  <c r="AG414" i="4462"/>
  <c r="AH414" i="4462"/>
  <c r="AI414" i="4462"/>
  <c r="AJ414" i="4462"/>
  <c r="AK414" i="4462"/>
  <c r="AL414" i="4462"/>
  <c r="AM414" i="4462"/>
  <c r="AN414" i="4462"/>
  <c r="AO414" i="4462"/>
  <c r="AP414" i="4462"/>
  <c r="AQ414" i="4462"/>
  <c r="AR414" i="4462"/>
  <c r="AS414" i="4462"/>
  <c r="AT414" i="4462"/>
  <c r="AU414" i="4462"/>
  <c r="AV414" i="4462"/>
  <c r="AW414" i="4462"/>
  <c r="AX414" i="4462"/>
  <c r="AY414" i="4462"/>
  <c r="AZ414" i="4462"/>
  <c r="BA414" i="4462"/>
  <c r="BB414" i="4462"/>
  <c r="BC414" i="4462"/>
  <c r="BD414" i="4462"/>
  <c r="A415" i="4462"/>
  <c r="B415" i="4462"/>
  <c r="C415" i="4462"/>
  <c r="D415" i="4462"/>
  <c r="E415" i="4462"/>
  <c r="F415" i="4462"/>
  <c r="G415" i="4462"/>
  <c r="H415" i="4462"/>
  <c r="I415" i="4462"/>
  <c r="J415" i="4462"/>
  <c r="K415" i="4462"/>
  <c r="L415" i="4462"/>
  <c r="M415" i="4462"/>
  <c r="N415" i="4462"/>
  <c r="O415" i="4462"/>
  <c r="P415" i="4462"/>
  <c r="Q415" i="4462"/>
  <c r="R415" i="4462"/>
  <c r="S415" i="4462"/>
  <c r="T415" i="4462"/>
  <c r="U415" i="4462"/>
  <c r="V415" i="4462"/>
  <c r="W415" i="4462"/>
  <c r="X415" i="4462"/>
  <c r="Y415" i="4462"/>
  <c r="Z415" i="4462"/>
  <c r="AA415" i="4462"/>
  <c r="AB415" i="4462"/>
  <c r="AC415" i="4462"/>
  <c r="AD415" i="4462"/>
  <c r="AE415" i="4462"/>
  <c r="AF415" i="4462"/>
  <c r="AG415" i="4462"/>
  <c r="AH415" i="4462"/>
  <c r="AI415" i="4462"/>
  <c r="AJ415" i="4462"/>
  <c r="AK415" i="4462"/>
  <c r="AL415" i="4462"/>
  <c r="AM415" i="4462"/>
  <c r="AN415" i="4462"/>
  <c r="AO415" i="4462"/>
  <c r="AP415" i="4462"/>
  <c r="AQ415" i="4462"/>
  <c r="AR415" i="4462"/>
  <c r="AS415" i="4462"/>
  <c r="AT415" i="4462"/>
  <c r="AU415" i="4462"/>
  <c r="AV415" i="4462"/>
  <c r="AW415" i="4462"/>
  <c r="AX415" i="4462"/>
  <c r="AY415" i="4462"/>
  <c r="AZ415" i="4462"/>
  <c r="BA415" i="4462"/>
  <c r="BB415" i="4462"/>
  <c r="BC415" i="4462"/>
  <c r="BD415" i="4462"/>
  <c r="A416" i="4462"/>
  <c r="B416" i="4462"/>
  <c r="C416" i="4462"/>
  <c r="D416" i="4462"/>
  <c r="E416" i="4462"/>
  <c r="F416" i="4462"/>
  <c r="G416" i="4462"/>
  <c r="H416" i="4462"/>
  <c r="I416" i="4462"/>
  <c r="J416" i="4462"/>
  <c r="K416" i="4462"/>
  <c r="L416" i="4462"/>
  <c r="M416" i="4462"/>
  <c r="N416" i="4462"/>
  <c r="O416" i="4462"/>
  <c r="P416" i="4462"/>
  <c r="Q416" i="4462"/>
  <c r="R416" i="4462"/>
  <c r="S416" i="4462"/>
  <c r="T416" i="4462"/>
  <c r="U416" i="4462"/>
  <c r="V416" i="4462"/>
  <c r="W416" i="4462"/>
  <c r="X416" i="4462"/>
  <c r="Y416" i="4462"/>
  <c r="Z416" i="4462"/>
  <c r="AA416" i="4462"/>
  <c r="AB416" i="4462"/>
  <c r="AC416" i="4462"/>
  <c r="AD416" i="4462"/>
  <c r="AE416" i="4462"/>
  <c r="AF416" i="4462"/>
  <c r="AG416" i="4462"/>
  <c r="AH416" i="4462"/>
  <c r="AI416" i="4462"/>
  <c r="AJ416" i="4462"/>
  <c r="AK416" i="4462"/>
  <c r="AL416" i="4462"/>
  <c r="AM416" i="4462"/>
  <c r="AN416" i="4462"/>
  <c r="AO416" i="4462"/>
  <c r="AP416" i="4462"/>
  <c r="AQ416" i="4462"/>
  <c r="AR416" i="4462"/>
  <c r="AS416" i="4462"/>
  <c r="AT416" i="4462"/>
  <c r="AU416" i="4462"/>
  <c r="AV416" i="4462"/>
  <c r="AW416" i="4462"/>
  <c r="AX416" i="4462"/>
  <c r="AY416" i="4462"/>
  <c r="AZ416" i="4462"/>
  <c r="BA416" i="4462"/>
  <c r="BB416" i="4462"/>
  <c r="BC416" i="4462"/>
  <c r="BD416" i="4462"/>
  <c r="A417" i="4462"/>
  <c r="B417" i="4462"/>
  <c r="C417" i="4462"/>
  <c r="D417" i="4462"/>
  <c r="E417" i="4462"/>
  <c r="F417" i="4462"/>
  <c r="G417" i="4462"/>
  <c r="H417" i="4462"/>
  <c r="I417" i="4462"/>
  <c r="J417" i="4462"/>
  <c r="K417" i="4462"/>
  <c r="L417" i="4462"/>
  <c r="M417" i="4462"/>
  <c r="N417" i="4462"/>
  <c r="O417" i="4462"/>
  <c r="P417" i="4462"/>
  <c r="Q417" i="4462"/>
  <c r="R417" i="4462"/>
  <c r="S417" i="4462"/>
  <c r="T417" i="4462"/>
  <c r="U417" i="4462"/>
  <c r="V417" i="4462"/>
  <c r="W417" i="4462"/>
  <c r="X417" i="4462"/>
  <c r="Y417" i="4462"/>
  <c r="Z417" i="4462"/>
  <c r="AA417" i="4462"/>
  <c r="AB417" i="4462"/>
  <c r="AC417" i="4462"/>
  <c r="AD417" i="4462"/>
  <c r="AE417" i="4462"/>
  <c r="AF417" i="4462"/>
  <c r="AG417" i="4462"/>
  <c r="AH417" i="4462"/>
  <c r="AI417" i="4462"/>
  <c r="AJ417" i="4462"/>
  <c r="AK417" i="4462"/>
  <c r="AL417" i="4462"/>
  <c r="AM417" i="4462"/>
  <c r="AN417" i="4462"/>
  <c r="AO417" i="4462"/>
  <c r="AP417" i="4462"/>
  <c r="AQ417" i="4462"/>
  <c r="AR417" i="4462"/>
  <c r="AS417" i="4462"/>
  <c r="AT417" i="4462"/>
  <c r="AU417" i="4462"/>
  <c r="AV417" i="4462"/>
  <c r="AW417" i="4462"/>
  <c r="AX417" i="4462"/>
  <c r="AY417" i="4462"/>
  <c r="AZ417" i="4462"/>
  <c r="BA417" i="4462"/>
  <c r="BB417" i="4462"/>
  <c r="BC417" i="4462"/>
  <c r="BD417" i="4462"/>
  <c r="A418" i="4462"/>
  <c r="B418" i="4462"/>
  <c r="C418" i="4462"/>
  <c r="D418" i="4462"/>
  <c r="E418" i="4462"/>
  <c r="F418" i="4462"/>
  <c r="G418" i="4462"/>
  <c r="H418" i="4462"/>
  <c r="I418" i="4462"/>
  <c r="J418" i="4462"/>
  <c r="K418" i="4462"/>
  <c r="L418" i="4462"/>
  <c r="M418" i="4462"/>
  <c r="N418" i="4462"/>
  <c r="O418" i="4462"/>
  <c r="P418" i="4462"/>
  <c r="Q418" i="4462"/>
  <c r="R418" i="4462"/>
  <c r="S418" i="4462"/>
  <c r="T418" i="4462"/>
  <c r="U418" i="4462"/>
  <c r="V418" i="4462"/>
  <c r="W418" i="4462"/>
  <c r="X418" i="4462"/>
  <c r="Y418" i="4462"/>
  <c r="Z418" i="4462"/>
  <c r="AA418" i="4462"/>
  <c r="AB418" i="4462"/>
  <c r="AC418" i="4462"/>
  <c r="AD418" i="4462"/>
  <c r="AE418" i="4462"/>
  <c r="AF418" i="4462"/>
  <c r="AG418" i="4462"/>
  <c r="AH418" i="4462"/>
  <c r="AI418" i="4462"/>
  <c r="AJ418" i="4462"/>
  <c r="AK418" i="4462"/>
  <c r="AL418" i="4462"/>
  <c r="AM418" i="4462"/>
  <c r="AN418" i="4462"/>
  <c r="AO418" i="4462"/>
  <c r="AP418" i="4462"/>
  <c r="AQ418" i="4462"/>
  <c r="AR418" i="4462"/>
  <c r="AS418" i="4462"/>
  <c r="AT418" i="4462"/>
  <c r="AU418" i="4462"/>
  <c r="AV418" i="4462"/>
  <c r="AW418" i="4462"/>
  <c r="AX418" i="4462"/>
  <c r="AY418" i="4462"/>
  <c r="AZ418" i="4462"/>
  <c r="BA418" i="4462"/>
  <c r="BB418" i="4462"/>
  <c r="BC418" i="4462"/>
  <c r="BD418" i="4462"/>
  <c r="A419" i="4462"/>
  <c r="B419" i="4462"/>
  <c r="C419" i="4462"/>
  <c r="D419" i="4462"/>
  <c r="E419" i="4462"/>
  <c r="F419" i="4462"/>
  <c r="G419" i="4462"/>
  <c r="H419" i="4462"/>
  <c r="I419" i="4462"/>
  <c r="J419" i="4462"/>
  <c r="K419" i="4462"/>
  <c r="L419" i="4462"/>
  <c r="M419" i="4462"/>
  <c r="N419" i="4462"/>
  <c r="O419" i="4462"/>
  <c r="P419" i="4462"/>
  <c r="Q419" i="4462"/>
  <c r="R419" i="4462"/>
  <c r="S419" i="4462"/>
  <c r="T419" i="4462"/>
  <c r="U419" i="4462"/>
  <c r="V419" i="4462"/>
  <c r="W419" i="4462"/>
  <c r="X419" i="4462"/>
  <c r="Y419" i="4462"/>
  <c r="Z419" i="4462"/>
  <c r="AA419" i="4462"/>
  <c r="AB419" i="4462"/>
  <c r="AC419" i="4462"/>
  <c r="AD419" i="4462"/>
  <c r="AE419" i="4462"/>
  <c r="AF419" i="4462"/>
  <c r="AG419" i="4462"/>
  <c r="AH419" i="4462"/>
  <c r="AI419" i="4462"/>
  <c r="AJ419" i="4462"/>
  <c r="AK419" i="4462"/>
  <c r="AL419" i="4462"/>
  <c r="AM419" i="4462"/>
  <c r="AN419" i="4462"/>
  <c r="AO419" i="4462"/>
  <c r="AP419" i="4462"/>
  <c r="AQ419" i="4462"/>
  <c r="AR419" i="4462"/>
  <c r="AS419" i="4462"/>
  <c r="AT419" i="4462"/>
  <c r="AU419" i="4462"/>
  <c r="AV419" i="4462"/>
  <c r="AW419" i="4462"/>
  <c r="AX419" i="4462"/>
  <c r="AY419" i="4462"/>
  <c r="AZ419" i="4462"/>
  <c r="BA419" i="4462"/>
  <c r="BB419" i="4462"/>
  <c r="BC419" i="4462"/>
  <c r="BD419" i="4462"/>
  <c r="A420" i="4462"/>
  <c r="B420" i="4462"/>
  <c r="C420" i="4462"/>
  <c r="D420" i="4462"/>
  <c r="E420" i="4462"/>
  <c r="F420" i="4462"/>
  <c r="G420" i="4462"/>
  <c r="H420" i="4462"/>
  <c r="I420" i="4462"/>
  <c r="J420" i="4462"/>
  <c r="K420" i="4462"/>
  <c r="L420" i="4462"/>
  <c r="M420" i="4462"/>
  <c r="N420" i="4462"/>
  <c r="O420" i="4462"/>
  <c r="P420" i="4462"/>
  <c r="Q420" i="4462"/>
  <c r="R420" i="4462"/>
  <c r="S420" i="4462"/>
  <c r="T420" i="4462"/>
  <c r="U420" i="4462"/>
  <c r="V420" i="4462"/>
  <c r="W420" i="4462"/>
  <c r="X420" i="4462"/>
  <c r="Y420" i="4462"/>
  <c r="Z420" i="4462"/>
  <c r="AA420" i="4462"/>
  <c r="AB420" i="4462"/>
  <c r="AC420" i="4462"/>
  <c r="AD420" i="4462"/>
  <c r="AE420" i="4462"/>
  <c r="AF420" i="4462"/>
  <c r="AG420" i="4462"/>
  <c r="AH420" i="4462"/>
  <c r="AI420" i="4462"/>
  <c r="AJ420" i="4462"/>
  <c r="AK420" i="4462"/>
  <c r="AL420" i="4462"/>
  <c r="AM420" i="4462"/>
  <c r="AN420" i="4462"/>
  <c r="AO420" i="4462"/>
  <c r="AP420" i="4462"/>
  <c r="AQ420" i="4462"/>
  <c r="AR420" i="4462"/>
  <c r="AS420" i="4462"/>
  <c r="AT420" i="4462"/>
  <c r="AU420" i="4462"/>
  <c r="AV420" i="4462"/>
  <c r="AW420" i="4462"/>
  <c r="AX420" i="4462"/>
  <c r="AY420" i="4462"/>
  <c r="AZ420" i="4462"/>
  <c r="BA420" i="4462"/>
  <c r="BB420" i="4462"/>
  <c r="BC420" i="4462"/>
  <c r="BD420" i="4462"/>
  <c r="A421" i="4462"/>
  <c r="B421" i="4462"/>
  <c r="C421" i="4462"/>
  <c r="D421" i="4462"/>
  <c r="E421" i="4462"/>
  <c r="F421" i="4462"/>
  <c r="G421" i="4462"/>
  <c r="H421" i="4462"/>
  <c r="I421" i="4462"/>
  <c r="J421" i="4462"/>
  <c r="K421" i="4462"/>
  <c r="L421" i="4462"/>
  <c r="M421" i="4462"/>
  <c r="N421" i="4462"/>
  <c r="O421" i="4462"/>
  <c r="P421" i="4462"/>
  <c r="Q421" i="4462"/>
  <c r="R421" i="4462"/>
  <c r="S421" i="4462"/>
  <c r="T421" i="4462"/>
  <c r="U421" i="4462"/>
  <c r="V421" i="4462"/>
  <c r="W421" i="4462"/>
  <c r="X421" i="4462"/>
  <c r="Y421" i="4462"/>
  <c r="Z421" i="4462"/>
  <c r="AA421" i="4462"/>
  <c r="AB421" i="4462"/>
  <c r="AC421" i="4462"/>
  <c r="AD421" i="4462"/>
  <c r="AE421" i="4462"/>
  <c r="AF421" i="4462"/>
  <c r="AG421" i="4462"/>
  <c r="AH421" i="4462"/>
  <c r="AI421" i="4462"/>
  <c r="AJ421" i="4462"/>
  <c r="AK421" i="4462"/>
  <c r="AL421" i="4462"/>
  <c r="AM421" i="4462"/>
  <c r="AN421" i="4462"/>
  <c r="AO421" i="4462"/>
  <c r="AP421" i="4462"/>
  <c r="AQ421" i="4462"/>
  <c r="AR421" i="4462"/>
  <c r="AS421" i="4462"/>
  <c r="AT421" i="4462"/>
  <c r="AU421" i="4462"/>
  <c r="AV421" i="4462"/>
  <c r="AW421" i="4462"/>
  <c r="AX421" i="4462"/>
  <c r="AY421" i="4462"/>
  <c r="AZ421" i="4462"/>
  <c r="BA421" i="4462"/>
  <c r="BB421" i="4462"/>
  <c r="BC421" i="4462"/>
  <c r="BD421" i="4462"/>
  <c r="A422" i="4462"/>
  <c r="B422" i="4462"/>
  <c r="C422" i="4462"/>
  <c r="D422" i="4462"/>
  <c r="E422" i="4462"/>
  <c r="F422" i="4462"/>
  <c r="G422" i="4462"/>
  <c r="H422" i="4462"/>
  <c r="I422" i="4462"/>
  <c r="J422" i="4462"/>
  <c r="K422" i="4462"/>
  <c r="L422" i="4462"/>
  <c r="M422" i="4462"/>
  <c r="N422" i="4462"/>
  <c r="O422" i="4462"/>
  <c r="P422" i="4462"/>
  <c r="Q422" i="4462"/>
  <c r="R422" i="4462"/>
  <c r="S422" i="4462"/>
  <c r="T422" i="4462"/>
  <c r="U422" i="4462"/>
  <c r="V422" i="4462"/>
  <c r="W422" i="4462"/>
  <c r="X422" i="4462"/>
  <c r="Y422" i="4462"/>
  <c r="Z422" i="4462"/>
  <c r="AA422" i="4462"/>
  <c r="AB422" i="4462"/>
  <c r="AC422" i="4462"/>
  <c r="AD422" i="4462"/>
  <c r="AE422" i="4462"/>
  <c r="AF422" i="4462"/>
  <c r="AG422" i="4462"/>
  <c r="AH422" i="4462"/>
  <c r="AI422" i="4462"/>
  <c r="AJ422" i="4462"/>
  <c r="AK422" i="4462"/>
  <c r="AL422" i="4462"/>
  <c r="AM422" i="4462"/>
  <c r="AN422" i="4462"/>
  <c r="AO422" i="4462"/>
  <c r="AP422" i="4462"/>
  <c r="AQ422" i="4462"/>
  <c r="AR422" i="4462"/>
  <c r="AS422" i="4462"/>
  <c r="AT422" i="4462"/>
  <c r="AU422" i="4462"/>
  <c r="AV422" i="4462"/>
  <c r="AW422" i="4462"/>
  <c r="AX422" i="4462"/>
  <c r="AY422" i="4462"/>
  <c r="AZ422" i="4462"/>
  <c r="BA422" i="4462"/>
  <c r="BB422" i="4462"/>
  <c r="BC422" i="4462"/>
  <c r="BD422" i="4462"/>
  <c r="A423" i="4462"/>
  <c r="B423" i="4462"/>
  <c r="C423" i="4462"/>
  <c r="D423" i="4462"/>
  <c r="E423" i="4462"/>
  <c r="F423" i="4462"/>
  <c r="G423" i="4462"/>
  <c r="H423" i="4462"/>
  <c r="I423" i="4462"/>
  <c r="J423" i="4462"/>
  <c r="K423" i="4462"/>
  <c r="L423" i="4462"/>
  <c r="M423" i="4462"/>
  <c r="N423" i="4462"/>
  <c r="O423" i="4462"/>
  <c r="P423" i="4462"/>
  <c r="Q423" i="4462"/>
  <c r="R423" i="4462"/>
  <c r="S423" i="4462"/>
  <c r="T423" i="4462"/>
  <c r="U423" i="4462"/>
  <c r="V423" i="4462"/>
  <c r="W423" i="4462"/>
  <c r="X423" i="4462"/>
  <c r="Y423" i="4462"/>
  <c r="Z423" i="4462"/>
  <c r="AA423" i="4462"/>
  <c r="AB423" i="4462"/>
  <c r="AC423" i="4462"/>
  <c r="AD423" i="4462"/>
  <c r="AE423" i="4462"/>
  <c r="AF423" i="4462"/>
  <c r="AG423" i="4462"/>
  <c r="AH423" i="4462"/>
  <c r="AI423" i="4462"/>
  <c r="AJ423" i="4462"/>
  <c r="AK423" i="4462"/>
  <c r="AL423" i="4462"/>
  <c r="AM423" i="4462"/>
  <c r="AN423" i="4462"/>
  <c r="AO423" i="4462"/>
  <c r="AP423" i="4462"/>
  <c r="AQ423" i="4462"/>
  <c r="AR423" i="4462"/>
  <c r="AS423" i="4462"/>
  <c r="AT423" i="4462"/>
  <c r="AU423" i="4462"/>
  <c r="AV423" i="4462"/>
  <c r="AW423" i="4462"/>
  <c r="AX423" i="4462"/>
  <c r="AY423" i="4462"/>
  <c r="AZ423" i="4462"/>
  <c r="BA423" i="4462"/>
  <c r="BB423" i="4462"/>
  <c r="BC423" i="4462"/>
  <c r="BD423" i="4462"/>
  <c r="A424" i="4462"/>
  <c r="B424" i="4462"/>
  <c r="C424" i="4462"/>
  <c r="D424" i="4462"/>
  <c r="E424" i="4462"/>
  <c r="F424" i="4462"/>
  <c r="G424" i="4462"/>
  <c r="H424" i="4462"/>
  <c r="I424" i="4462"/>
  <c r="J424" i="4462"/>
  <c r="K424" i="4462"/>
  <c r="L424" i="4462"/>
  <c r="M424" i="4462"/>
  <c r="N424" i="4462"/>
  <c r="O424" i="4462"/>
  <c r="P424" i="4462"/>
  <c r="Q424" i="4462"/>
  <c r="R424" i="4462"/>
  <c r="S424" i="4462"/>
  <c r="T424" i="4462"/>
  <c r="U424" i="4462"/>
  <c r="V424" i="4462"/>
  <c r="W424" i="4462"/>
  <c r="X424" i="4462"/>
  <c r="Y424" i="4462"/>
  <c r="Z424" i="4462"/>
  <c r="AA424" i="4462"/>
  <c r="AB424" i="4462"/>
  <c r="AC424" i="4462"/>
  <c r="AD424" i="4462"/>
  <c r="AE424" i="4462"/>
  <c r="AF424" i="4462"/>
  <c r="AG424" i="4462"/>
  <c r="AH424" i="4462"/>
  <c r="AI424" i="4462"/>
  <c r="AJ424" i="4462"/>
  <c r="AK424" i="4462"/>
  <c r="AL424" i="4462"/>
  <c r="AM424" i="4462"/>
  <c r="AN424" i="4462"/>
  <c r="AO424" i="4462"/>
  <c r="AP424" i="4462"/>
  <c r="AQ424" i="4462"/>
  <c r="AR424" i="4462"/>
  <c r="AS424" i="4462"/>
  <c r="AT424" i="4462"/>
  <c r="AU424" i="4462"/>
  <c r="AV424" i="4462"/>
  <c r="AW424" i="4462"/>
  <c r="AX424" i="4462"/>
  <c r="AY424" i="4462"/>
  <c r="AZ424" i="4462"/>
  <c r="BA424" i="4462"/>
  <c r="BB424" i="4462"/>
  <c r="BC424" i="4462"/>
  <c r="BD424" i="4462"/>
  <c r="A425" i="4462"/>
  <c r="B425" i="4462"/>
  <c r="C425" i="4462"/>
  <c r="D425" i="4462"/>
  <c r="E425" i="4462"/>
  <c r="F425" i="4462"/>
  <c r="G425" i="4462"/>
  <c r="H425" i="4462"/>
  <c r="I425" i="4462"/>
  <c r="J425" i="4462"/>
  <c r="K425" i="4462"/>
  <c r="L425" i="4462"/>
  <c r="M425" i="4462"/>
  <c r="N425" i="4462"/>
  <c r="O425" i="4462"/>
  <c r="P425" i="4462"/>
  <c r="Q425" i="4462"/>
  <c r="R425" i="4462"/>
  <c r="S425" i="4462"/>
  <c r="T425" i="4462"/>
  <c r="U425" i="4462"/>
  <c r="V425" i="4462"/>
  <c r="W425" i="4462"/>
  <c r="X425" i="4462"/>
  <c r="Y425" i="4462"/>
  <c r="Z425" i="4462"/>
  <c r="AA425" i="4462"/>
  <c r="AB425" i="4462"/>
  <c r="AC425" i="4462"/>
  <c r="AD425" i="4462"/>
  <c r="AE425" i="4462"/>
  <c r="AF425" i="4462"/>
  <c r="AG425" i="4462"/>
  <c r="AH425" i="4462"/>
  <c r="AI425" i="4462"/>
  <c r="AJ425" i="4462"/>
  <c r="AK425" i="4462"/>
  <c r="AL425" i="4462"/>
  <c r="AM425" i="4462"/>
  <c r="AN425" i="4462"/>
  <c r="AO425" i="4462"/>
  <c r="AP425" i="4462"/>
  <c r="AQ425" i="4462"/>
  <c r="AR425" i="4462"/>
  <c r="AS425" i="4462"/>
  <c r="AT425" i="4462"/>
  <c r="AU425" i="4462"/>
  <c r="AV425" i="4462"/>
  <c r="AW425" i="4462"/>
  <c r="AX425" i="4462"/>
  <c r="AY425" i="4462"/>
  <c r="AZ425" i="4462"/>
  <c r="BA425" i="4462"/>
  <c r="BB425" i="4462"/>
  <c r="BC425" i="4462"/>
  <c r="BD425" i="4462"/>
  <c r="A426" i="4462"/>
  <c r="B426" i="4462"/>
  <c r="C426" i="4462"/>
  <c r="D426" i="4462"/>
  <c r="E426" i="4462"/>
  <c r="F426" i="4462"/>
  <c r="G426" i="4462"/>
  <c r="H426" i="4462"/>
  <c r="I426" i="4462"/>
  <c r="J426" i="4462"/>
  <c r="K426" i="4462"/>
  <c r="L426" i="4462"/>
  <c r="M426" i="4462"/>
  <c r="N426" i="4462"/>
  <c r="O426" i="4462"/>
  <c r="P426" i="4462"/>
  <c r="Q426" i="4462"/>
  <c r="R426" i="4462"/>
  <c r="S426" i="4462"/>
  <c r="T426" i="4462"/>
  <c r="U426" i="4462"/>
  <c r="V426" i="4462"/>
  <c r="W426" i="4462"/>
  <c r="X426" i="4462"/>
  <c r="Y426" i="4462"/>
  <c r="Z426" i="4462"/>
  <c r="AA426" i="4462"/>
  <c r="AB426" i="4462"/>
  <c r="AC426" i="4462"/>
  <c r="AD426" i="4462"/>
  <c r="AE426" i="4462"/>
  <c r="AF426" i="4462"/>
  <c r="AG426" i="4462"/>
  <c r="AH426" i="4462"/>
  <c r="AI426" i="4462"/>
  <c r="AJ426" i="4462"/>
  <c r="AK426" i="4462"/>
  <c r="AL426" i="4462"/>
  <c r="AM426" i="4462"/>
  <c r="AN426" i="4462"/>
  <c r="AO426" i="4462"/>
  <c r="AP426" i="4462"/>
  <c r="AQ426" i="4462"/>
  <c r="AR426" i="4462"/>
  <c r="AS426" i="4462"/>
  <c r="AT426" i="4462"/>
  <c r="AU426" i="4462"/>
  <c r="AV426" i="4462"/>
  <c r="AW426" i="4462"/>
  <c r="AX426" i="4462"/>
  <c r="AY426" i="4462"/>
  <c r="AZ426" i="4462"/>
  <c r="BA426" i="4462"/>
  <c r="BB426" i="4462"/>
  <c r="BC426" i="4462"/>
  <c r="BD426" i="4462"/>
  <c r="A427" i="4462"/>
  <c r="B427" i="4462"/>
  <c r="C427" i="4462"/>
  <c r="D427" i="4462"/>
  <c r="E427" i="4462"/>
  <c r="F427" i="4462"/>
  <c r="G427" i="4462"/>
  <c r="H427" i="4462"/>
  <c r="I427" i="4462"/>
  <c r="J427" i="4462"/>
  <c r="K427" i="4462"/>
  <c r="L427" i="4462"/>
  <c r="M427" i="4462"/>
  <c r="N427" i="4462"/>
  <c r="O427" i="4462"/>
  <c r="P427" i="4462"/>
  <c r="Q427" i="4462"/>
  <c r="R427" i="4462"/>
  <c r="S427" i="4462"/>
  <c r="T427" i="4462"/>
  <c r="U427" i="4462"/>
  <c r="V427" i="4462"/>
  <c r="W427" i="4462"/>
  <c r="X427" i="4462"/>
  <c r="Y427" i="4462"/>
  <c r="Z427" i="4462"/>
  <c r="AA427" i="4462"/>
  <c r="AB427" i="4462"/>
  <c r="AC427" i="4462"/>
  <c r="AD427" i="4462"/>
  <c r="AE427" i="4462"/>
  <c r="AF427" i="4462"/>
  <c r="AG427" i="4462"/>
  <c r="AH427" i="4462"/>
  <c r="AI427" i="4462"/>
  <c r="AJ427" i="4462"/>
  <c r="AK427" i="4462"/>
  <c r="AL427" i="4462"/>
  <c r="AM427" i="4462"/>
  <c r="AN427" i="4462"/>
  <c r="AO427" i="4462"/>
  <c r="AP427" i="4462"/>
  <c r="AQ427" i="4462"/>
  <c r="AR427" i="4462"/>
  <c r="AS427" i="4462"/>
  <c r="AT427" i="4462"/>
  <c r="AU427" i="4462"/>
  <c r="AV427" i="4462"/>
  <c r="AW427" i="4462"/>
  <c r="AX427" i="4462"/>
  <c r="AY427" i="4462"/>
  <c r="AZ427" i="4462"/>
  <c r="BA427" i="4462"/>
  <c r="BB427" i="4462"/>
  <c r="BC427" i="4462"/>
  <c r="BD427" i="4462"/>
  <c r="A428" i="4462"/>
  <c r="B428" i="4462"/>
  <c r="C428" i="4462"/>
  <c r="D428" i="4462"/>
  <c r="E428" i="4462"/>
  <c r="F428" i="4462"/>
  <c r="G428" i="4462"/>
  <c r="H428" i="4462"/>
  <c r="I428" i="4462"/>
  <c r="J428" i="4462"/>
  <c r="K428" i="4462"/>
  <c r="L428" i="4462"/>
  <c r="M428" i="4462"/>
  <c r="N428" i="4462"/>
  <c r="O428" i="4462"/>
  <c r="P428" i="4462"/>
  <c r="Q428" i="4462"/>
  <c r="R428" i="4462"/>
  <c r="S428" i="4462"/>
  <c r="T428" i="4462"/>
  <c r="U428" i="4462"/>
  <c r="V428" i="4462"/>
  <c r="W428" i="4462"/>
  <c r="X428" i="4462"/>
  <c r="Y428" i="4462"/>
  <c r="Z428" i="4462"/>
  <c r="AA428" i="4462"/>
  <c r="AB428" i="4462"/>
  <c r="AC428" i="4462"/>
  <c r="AD428" i="4462"/>
  <c r="AE428" i="4462"/>
  <c r="AF428" i="4462"/>
  <c r="AG428" i="4462"/>
  <c r="AH428" i="4462"/>
  <c r="AI428" i="4462"/>
  <c r="AJ428" i="4462"/>
  <c r="AK428" i="4462"/>
  <c r="AL428" i="4462"/>
  <c r="AM428" i="4462"/>
  <c r="AN428" i="4462"/>
  <c r="AO428" i="4462"/>
  <c r="AP428" i="4462"/>
  <c r="AQ428" i="4462"/>
  <c r="AR428" i="4462"/>
  <c r="AS428" i="4462"/>
  <c r="AT428" i="4462"/>
  <c r="AU428" i="4462"/>
  <c r="AV428" i="4462"/>
  <c r="AW428" i="4462"/>
  <c r="AX428" i="4462"/>
  <c r="AY428" i="4462"/>
  <c r="AZ428" i="4462"/>
  <c r="BA428" i="4462"/>
  <c r="BB428" i="4462"/>
  <c r="BC428" i="4462"/>
  <c r="BD428" i="4462"/>
  <c r="A429" i="4462"/>
  <c r="B429" i="4462"/>
  <c r="C429" i="4462"/>
  <c r="D429" i="4462"/>
  <c r="E429" i="4462"/>
  <c r="F429" i="4462"/>
  <c r="G429" i="4462"/>
  <c r="H429" i="4462"/>
  <c r="I429" i="4462"/>
  <c r="J429" i="4462"/>
  <c r="K429" i="4462"/>
  <c r="L429" i="4462"/>
  <c r="M429" i="4462"/>
  <c r="N429" i="4462"/>
  <c r="O429" i="4462"/>
  <c r="P429" i="4462"/>
  <c r="Q429" i="4462"/>
  <c r="R429" i="4462"/>
  <c r="S429" i="4462"/>
  <c r="T429" i="4462"/>
  <c r="U429" i="4462"/>
  <c r="V429" i="4462"/>
  <c r="W429" i="4462"/>
  <c r="X429" i="4462"/>
  <c r="Y429" i="4462"/>
  <c r="Z429" i="4462"/>
  <c r="AA429" i="4462"/>
  <c r="AB429" i="4462"/>
  <c r="AC429" i="4462"/>
  <c r="AD429" i="4462"/>
  <c r="AE429" i="4462"/>
  <c r="AF429" i="4462"/>
  <c r="AG429" i="4462"/>
  <c r="AH429" i="4462"/>
  <c r="AI429" i="4462"/>
  <c r="AJ429" i="4462"/>
  <c r="AK429" i="4462"/>
  <c r="AL429" i="4462"/>
  <c r="AM429" i="4462"/>
  <c r="AN429" i="4462"/>
  <c r="AO429" i="4462"/>
  <c r="AP429" i="4462"/>
  <c r="AQ429" i="4462"/>
  <c r="AR429" i="4462"/>
  <c r="AS429" i="4462"/>
  <c r="AT429" i="4462"/>
  <c r="AU429" i="4462"/>
  <c r="AV429" i="4462"/>
  <c r="AW429" i="4462"/>
  <c r="AX429" i="4462"/>
  <c r="AY429" i="4462"/>
  <c r="AZ429" i="4462"/>
  <c r="BA429" i="4462"/>
  <c r="BB429" i="4462"/>
  <c r="BC429" i="4462"/>
  <c r="BD429" i="4462"/>
  <c r="A430" i="4462"/>
  <c r="B430" i="4462"/>
  <c r="C430" i="4462"/>
  <c r="D430" i="4462"/>
  <c r="E430" i="4462"/>
  <c r="F430" i="4462"/>
  <c r="G430" i="4462"/>
  <c r="H430" i="4462"/>
  <c r="I430" i="4462"/>
  <c r="J430" i="4462"/>
  <c r="K430" i="4462"/>
  <c r="L430" i="4462"/>
  <c r="M430" i="4462"/>
  <c r="N430" i="4462"/>
  <c r="O430" i="4462"/>
  <c r="P430" i="4462"/>
  <c r="Q430" i="4462"/>
  <c r="R430" i="4462"/>
  <c r="S430" i="4462"/>
  <c r="T430" i="4462"/>
  <c r="U430" i="4462"/>
  <c r="V430" i="4462"/>
  <c r="W430" i="4462"/>
  <c r="X430" i="4462"/>
  <c r="Y430" i="4462"/>
  <c r="Z430" i="4462"/>
  <c r="AA430" i="4462"/>
  <c r="AB430" i="4462"/>
  <c r="AC430" i="4462"/>
  <c r="AD430" i="4462"/>
  <c r="AE430" i="4462"/>
  <c r="AF430" i="4462"/>
  <c r="AG430" i="4462"/>
  <c r="AH430" i="4462"/>
  <c r="AI430" i="4462"/>
  <c r="AJ430" i="4462"/>
  <c r="AK430" i="4462"/>
  <c r="AL430" i="4462"/>
  <c r="AM430" i="4462"/>
  <c r="AN430" i="4462"/>
  <c r="AO430" i="4462"/>
  <c r="AP430" i="4462"/>
  <c r="AQ430" i="4462"/>
  <c r="AR430" i="4462"/>
  <c r="AS430" i="4462"/>
  <c r="AT430" i="4462"/>
  <c r="AU430" i="4462"/>
  <c r="AV430" i="4462"/>
  <c r="AW430" i="4462"/>
  <c r="AX430" i="4462"/>
  <c r="AY430" i="4462"/>
  <c r="AZ430" i="4462"/>
  <c r="BA430" i="4462"/>
  <c r="BB430" i="4462"/>
  <c r="BC430" i="4462"/>
  <c r="BD430" i="4462"/>
  <c r="A431" i="4462"/>
  <c r="B431" i="4462"/>
  <c r="C431" i="4462"/>
  <c r="D431" i="4462"/>
  <c r="E431" i="4462"/>
  <c r="F431" i="4462"/>
  <c r="G431" i="4462"/>
  <c r="H431" i="4462"/>
  <c r="I431" i="4462"/>
  <c r="J431" i="4462"/>
  <c r="K431" i="4462"/>
  <c r="L431" i="4462"/>
  <c r="M431" i="4462"/>
  <c r="N431" i="4462"/>
  <c r="O431" i="4462"/>
  <c r="P431" i="4462"/>
  <c r="Q431" i="4462"/>
  <c r="R431" i="4462"/>
  <c r="S431" i="4462"/>
  <c r="T431" i="4462"/>
  <c r="U431" i="4462"/>
  <c r="V431" i="4462"/>
  <c r="W431" i="4462"/>
  <c r="X431" i="4462"/>
  <c r="Y431" i="4462"/>
  <c r="Z431" i="4462"/>
  <c r="AA431" i="4462"/>
  <c r="AB431" i="4462"/>
  <c r="AC431" i="4462"/>
  <c r="AD431" i="4462"/>
  <c r="AE431" i="4462"/>
  <c r="AF431" i="4462"/>
  <c r="AG431" i="4462"/>
  <c r="AH431" i="4462"/>
  <c r="AI431" i="4462"/>
  <c r="AJ431" i="4462"/>
  <c r="AK431" i="4462"/>
  <c r="AL431" i="4462"/>
  <c r="AM431" i="4462"/>
  <c r="AN431" i="4462"/>
  <c r="AO431" i="4462"/>
  <c r="AP431" i="4462"/>
  <c r="AQ431" i="4462"/>
  <c r="AR431" i="4462"/>
  <c r="AS431" i="4462"/>
  <c r="AT431" i="4462"/>
  <c r="AU431" i="4462"/>
  <c r="AV431" i="4462"/>
  <c r="AW431" i="4462"/>
  <c r="AX431" i="4462"/>
  <c r="AY431" i="4462"/>
  <c r="AZ431" i="4462"/>
  <c r="BA431" i="4462"/>
  <c r="BB431" i="4462"/>
  <c r="BC431" i="4462"/>
  <c r="BD431" i="4462"/>
  <c r="A432" i="4462"/>
  <c r="B432" i="4462"/>
  <c r="C432" i="4462"/>
  <c r="D432" i="4462"/>
  <c r="E432" i="4462"/>
  <c r="F432" i="4462"/>
  <c r="G432" i="4462"/>
  <c r="H432" i="4462"/>
  <c r="I432" i="4462"/>
  <c r="J432" i="4462"/>
  <c r="K432" i="4462"/>
  <c r="L432" i="4462"/>
  <c r="M432" i="4462"/>
  <c r="N432" i="4462"/>
  <c r="O432" i="4462"/>
  <c r="P432" i="4462"/>
  <c r="Q432" i="4462"/>
  <c r="R432" i="4462"/>
  <c r="S432" i="4462"/>
  <c r="T432" i="4462"/>
  <c r="U432" i="4462"/>
  <c r="V432" i="4462"/>
  <c r="W432" i="4462"/>
  <c r="X432" i="4462"/>
  <c r="Y432" i="4462"/>
  <c r="Z432" i="4462"/>
  <c r="AA432" i="4462"/>
  <c r="AB432" i="4462"/>
  <c r="AC432" i="4462"/>
  <c r="AD432" i="4462"/>
  <c r="AE432" i="4462"/>
  <c r="AF432" i="4462"/>
  <c r="AG432" i="4462"/>
  <c r="AH432" i="4462"/>
  <c r="AI432" i="4462"/>
  <c r="AJ432" i="4462"/>
  <c r="AK432" i="4462"/>
  <c r="AL432" i="4462"/>
  <c r="AM432" i="4462"/>
  <c r="AN432" i="4462"/>
  <c r="AO432" i="4462"/>
  <c r="AP432" i="4462"/>
  <c r="AQ432" i="4462"/>
  <c r="AR432" i="4462"/>
  <c r="AS432" i="4462"/>
  <c r="AT432" i="4462"/>
  <c r="AU432" i="4462"/>
  <c r="AV432" i="4462"/>
  <c r="AW432" i="4462"/>
  <c r="AX432" i="4462"/>
  <c r="AY432" i="4462"/>
  <c r="AZ432" i="4462"/>
  <c r="BA432" i="4462"/>
  <c r="BB432" i="4462"/>
  <c r="BC432" i="4462"/>
  <c r="BD432" i="4462"/>
  <c r="A433" i="4462"/>
  <c r="B433" i="4462"/>
  <c r="C433" i="4462"/>
  <c r="D433" i="4462"/>
  <c r="E433" i="4462"/>
  <c r="F433" i="4462"/>
  <c r="G433" i="4462"/>
  <c r="H433" i="4462"/>
  <c r="I433" i="4462"/>
  <c r="J433" i="4462"/>
  <c r="K433" i="4462"/>
  <c r="L433" i="4462"/>
  <c r="M433" i="4462"/>
  <c r="N433" i="4462"/>
  <c r="O433" i="4462"/>
  <c r="P433" i="4462"/>
  <c r="Q433" i="4462"/>
  <c r="R433" i="4462"/>
  <c r="S433" i="4462"/>
  <c r="T433" i="4462"/>
  <c r="U433" i="4462"/>
  <c r="V433" i="4462"/>
  <c r="W433" i="4462"/>
  <c r="X433" i="4462"/>
  <c r="Y433" i="4462"/>
  <c r="Z433" i="4462"/>
  <c r="AA433" i="4462"/>
  <c r="AB433" i="4462"/>
  <c r="AC433" i="4462"/>
  <c r="AD433" i="4462"/>
  <c r="AE433" i="4462"/>
  <c r="AF433" i="4462"/>
  <c r="AG433" i="4462"/>
  <c r="AH433" i="4462"/>
  <c r="AI433" i="4462"/>
  <c r="AJ433" i="4462"/>
  <c r="AK433" i="4462"/>
  <c r="AL433" i="4462"/>
  <c r="AM433" i="4462"/>
  <c r="AN433" i="4462"/>
  <c r="AO433" i="4462"/>
  <c r="AP433" i="4462"/>
  <c r="AQ433" i="4462"/>
  <c r="AR433" i="4462"/>
  <c r="AS433" i="4462"/>
  <c r="AT433" i="4462"/>
  <c r="AU433" i="4462"/>
  <c r="AV433" i="4462"/>
  <c r="AW433" i="4462"/>
  <c r="AX433" i="4462"/>
  <c r="AY433" i="4462"/>
  <c r="AZ433" i="4462"/>
  <c r="BA433" i="4462"/>
  <c r="BB433" i="4462"/>
  <c r="BC433" i="4462"/>
  <c r="BD433" i="4462"/>
  <c r="A434" i="4462"/>
  <c r="B434" i="4462"/>
  <c r="C434" i="4462"/>
  <c r="D434" i="4462"/>
  <c r="E434" i="4462"/>
  <c r="F434" i="4462"/>
  <c r="G434" i="4462"/>
  <c r="H434" i="4462"/>
  <c r="I434" i="4462"/>
  <c r="J434" i="4462"/>
  <c r="K434" i="4462"/>
  <c r="L434" i="4462"/>
  <c r="M434" i="4462"/>
  <c r="N434" i="4462"/>
  <c r="O434" i="4462"/>
  <c r="P434" i="4462"/>
  <c r="Q434" i="4462"/>
  <c r="R434" i="4462"/>
  <c r="S434" i="4462"/>
  <c r="T434" i="4462"/>
  <c r="U434" i="4462"/>
  <c r="V434" i="4462"/>
  <c r="W434" i="4462"/>
  <c r="X434" i="4462"/>
  <c r="Y434" i="4462"/>
  <c r="Z434" i="4462"/>
  <c r="AA434" i="4462"/>
  <c r="AB434" i="4462"/>
  <c r="AC434" i="4462"/>
  <c r="AD434" i="4462"/>
  <c r="AE434" i="4462"/>
  <c r="AF434" i="4462"/>
  <c r="AG434" i="4462"/>
  <c r="AH434" i="4462"/>
  <c r="AI434" i="4462"/>
  <c r="AJ434" i="4462"/>
  <c r="AK434" i="4462"/>
  <c r="AL434" i="4462"/>
  <c r="AM434" i="4462"/>
  <c r="AN434" i="4462"/>
  <c r="AO434" i="4462"/>
  <c r="AP434" i="4462"/>
  <c r="AQ434" i="4462"/>
  <c r="AR434" i="4462"/>
  <c r="AS434" i="4462"/>
  <c r="AT434" i="4462"/>
  <c r="AU434" i="4462"/>
  <c r="AV434" i="4462"/>
  <c r="AW434" i="4462"/>
  <c r="AX434" i="4462"/>
  <c r="AY434" i="4462"/>
  <c r="AZ434" i="4462"/>
  <c r="BA434" i="4462"/>
  <c r="BB434" i="4462"/>
  <c r="BC434" i="4462"/>
  <c r="BD434" i="4462"/>
  <c r="A435" i="4462"/>
  <c r="B435" i="4462"/>
  <c r="C435" i="4462"/>
  <c r="D435" i="4462"/>
  <c r="E435" i="4462"/>
  <c r="F435" i="4462"/>
  <c r="G435" i="4462"/>
  <c r="H435" i="4462"/>
  <c r="I435" i="4462"/>
  <c r="J435" i="4462"/>
  <c r="K435" i="4462"/>
  <c r="L435" i="4462"/>
  <c r="M435" i="4462"/>
  <c r="N435" i="4462"/>
  <c r="O435" i="4462"/>
  <c r="P435" i="4462"/>
  <c r="Q435" i="4462"/>
  <c r="R435" i="4462"/>
  <c r="S435" i="4462"/>
  <c r="T435" i="4462"/>
  <c r="U435" i="4462"/>
  <c r="V435" i="4462"/>
  <c r="W435" i="4462"/>
  <c r="X435" i="4462"/>
  <c r="Y435" i="4462"/>
  <c r="Z435" i="4462"/>
  <c r="AA435" i="4462"/>
  <c r="AB435" i="4462"/>
  <c r="AC435" i="4462"/>
  <c r="AD435" i="4462"/>
  <c r="AE435" i="4462"/>
  <c r="AF435" i="4462"/>
  <c r="AG435" i="4462"/>
  <c r="AH435" i="4462"/>
  <c r="AI435" i="4462"/>
  <c r="AJ435" i="4462"/>
  <c r="AK435" i="4462"/>
  <c r="AL435" i="4462"/>
  <c r="AM435" i="4462"/>
  <c r="AN435" i="4462"/>
  <c r="AO435" i="4462"/>
  <c r="AP435" i="4462"/>
  <c r="AQ435" i="4462"/>
  <c r="AR435" i="4462"/>
  <c r="AS435" i="4462"/>
  <c r="AT435" i="4462"/>
  <c r="AU435" i="4462"/>
  <c r="AV435" i="4462"/>
  <c r="AW435" i="4462"/>
  <c r="AX435" i="4462"/>
  <c r="AY435" i="4462"/>
  <c r="AZ435" i="4462"/>
  <c r="BA435" i="4462"/>
  <c r="BB435" i="4462"/>
  <c r="BC435" i="4462"/>
  <c r="BD435" i="4462"/>
  <c r="A436" i="4462"/>
  <c r="B436" i="4462"/>
  <c r="C436" i="4462"/>
  <c r="D436" i="4462"/>
  <c r="E436" i="4462"/>
  <c r="F436" i="4462"/>
  <c r="G436" i="4462"/>
  <c r="H436" i="4462"/>
  <c r="I436" i="4462"/>
  <c r="J436" i="4462"/>
  <c r="K436" i="4462"/>
  <c r="L436" i="4462"/>
  <c r="M436" i="4462"/>
  <c r="N436" i="4462"/>
  <c r="O436" i="4462"/>
  <c r="P436" i="4462"/>
  <c r="Q436" i="4462"/>
  <c r="R436" i="4462"/>
  <c r="S436" i="4462"/>
  <c r="T436" i="4462"/>
  <c r="U436" i="4462"/>
  <c r="V436" i="4462"/>
  <c r="W436" i="4462"/>
  <c r="X436" i="4462"/>
  <c r="Y436" i="4462"/>
  <c r="Z436" i="4462"/>
  <c r="AA436" i="4462"/>
  <c r="AB436" i="4462"/>
  <c r="AC436" i="4462"/>
  <c r="AD436" i="4462"/>
  <c r="AE436" i="4462"/>
  <c r="AF436" i="4462"/>
  <c r="AG436" i="4462"/>
  <c r="AH436" i="4462"/>
  <c r="AI436" i="4462"/>
  <c r="AJ436" i="4462"/>
  <c r="AK436" i="4462"/>
  <c r="AL436" i="4462"/>
  <c r="AM436" i="4462"/>
  <c r="AN436" i="4462"/>
  <c r="AO436" i="4462"/>
  <c r="AP436" i="4462"/>
  <c r="AQ436" i="4462"/>
  <c r="AR436" i="4462"/>
  <c r="AS436" i="4462"/>
  <c r="AT436" i="4462"/>
  <c r="AU436" i="4462"/>
  <c r="AV436" i="4462"/>
  <c r="AW436" i="4462"/>
  <c r="AX436" i="4462"/>
  <c r="AY436" i="4462"/>
  <c r="AZ436" i="4462"/>
  <c r="BA436" i="4462"/>
  <c r="BB436" i="4462"/>
  <c r="BC436" i="4462"/>
  <c r="BD436" i="4462"/>
  <c r="A437" i="4462"/>
  <c r="B437" i="4462"/>
  <c r="C437" i="4462"/>
  <c r="D437" i="4462"/>
  <c r="E437" i="4462"/>
  <c r="F437" i="4462"/>
  <c r="G437" i="4462"/>
  <c r="H437" i="4462"/>
  <c r="I437" i="4462"/>
  <c r="J437" i="4462"/>
  <c r="K437" i="4462"/>
  <c r="L437" i="4462"/>
  <c r="M437" i="4462"/>
  <c r="N437" i="4462"/>
  <c r="O437" i="4462"/>
  <c r="P437" i="4462"/>
  <c r="Q437" i="4462"/>
  <c r="R437" i="4462"/>
  <c r="S437" i="4462"/>
  <c r="T437" i="4462"/>
  <c r="U437" i="4462"/>
  <c r="V437" i="4462"/>
  <c r="W437" i="4462"/>
  <c r="X437" i="4462"/>
  <c r="Y437" i="4462"/>
  <c r="Z437" i="4462"/>
  <c r="AA437" i="4462"/>
  <c r="AB437" i="4462"/>
  <c r="AC437" i="4462"/>
  <c r="AD437" i="4462"/>
  <c r="AE437" i="4462"/>
  <c r="AF437" i="4462"/>
  <c r="AG437" i="4462"/>
  <c r="AH437" i="4462"/>
  <c r="AI437" i="4462"/>
  <c r="AJ437" i="4462"/>
  <c r="AK437" i="4462"/>
  <c r="AL437" i="4462"/>
  <c r="AM437" i="4462"/>
  <c r="AN437" i="4462"/>
  <c r="AO437" i="4462"/>
  <c r="AP437" i="4462"/>
  <c r="AQ437" i="4462"/>
  <c r="AR437" i="4462"/>
  <c r="AS437" i="4462"/>
  <c r="AT437" i="4462"/>
  <c r="AU437" i="4462"/>
  <c r="AV437" i="4462"/>
  <c r="AW437" i="4462"/>
  <c r="AX437" i="4462"/>
  <c r="AY437" i="4462"/>
  <c r="AZ437" i="4462"/>
  <c r="BA437" i="4462"/>
  <c r="BB437" i="4462"/>
  <c r="BC437" i="4462"/>
  <c r="BD437" i="4462"/>
  <c r="A438" i="4462"/>
  <c r="B438" i="4462"/>
  <c r="C438" i="4462"/>
  <c r="D438" i="4462"/>
  <c r="E438" i="4462"/>
  <c r="F438" i="4462"/>
  <c r="G438" i="4462"/>
  <c r="H438" i="4462"/>
  <c r="I438" i="4462"/>
  <c r="J438" i="4462"/>
  <c r="K438" i="4462"/>
  <c r="L438" i="4462"/>
  <c r="M438" i="4462"/>
  <c r="N438" i="4462"/>
  <c r="O438" i="4462"/>
  <c r="P438" i="4462"/>
  <c r="Q438" i="4462"/>
  <c r="R438" i="4462"/>
  <c r="S438" i="4462"/>
  <c r="T438" i="4462"/>
  <c r="U438" i="4462"/>
  <c r="V438" i="4462"/>
  <c r="W438" i="4462"/>
  <c r="X438" i="4462"/>
  <c r="Y438" i="4462"/>
  <c r="Z438" i="4462"/>
  <c r="AA438" i="4462"/>
  <c r="AB438" i="4462"/>
  <c r="AC438" i="4462"/>
  <c r="AD438" i="4462"/>
  <c r="AE438" i="4462"/>
  <c r="AF438" i="4462"/>
  <c r="AG438" i="4462"/>
  <c r="AH438" i="4462"/>
  <c r="AI438" i="4462"/>
  <c r="AJ438" i="4462"/>
  <c r="AK438" i="4462"/>
  <c r="AL438" i="4462"/>
  <c r="AM438" i="4462"/>
  <c r="AN438" i="4462"/>
  <c r="AO438" i="4462"/>
  <c r="AP438" i="4462"/>
  <c r="AQ438" i="4462"/>
  <c r="AR438" i="4462"/>
  <c r="AS438" i="4462"/>
  <c r="AT438" i="4462"/>
  <c r="AU438" i="4462"/>
  <c r="AV438" i="4462"/>
  <c r="AW438" i="4462"/>
  <c r="AX438" i="4462"/>
  <c r="AY438" i="4462"/>
  <c r="AZ438" i="4462"/>
  <c r="BA438" i="4462"/>
  <c r="BB438" i="4462"/>
  <c r="BC438" i="4462"/>
  <c r="BD438" i="4462"/>
  <c r="A439" i="4462"/>
  <c r="B439" i="4462"/>
  <c r="C439" i="4462"/>
  <c r="D439" i="4462"/>
  <c r="E439" i="4462"/>
  <c r="F439" i="4462"/>
  <c r="G439" i="4462"/>
  <c r="H439" i="4462"/>
  <c r="I439" i="4462"/>
  <c r="J439" i="4462"/>
  <c r="K439" i="4462"/>
  <c r="L439" i="4462"/>
  <c r="M439" i="4462"/>
  <c r="N439" i="4462"/>
  <c r="O439" i="4462"/>
  <c r="P439" i="4462"/>
  <c r="Q439" i="4462"/>
  <c r="R439" i="4462"/>
  <c r="S439" i="4462"/>
  <c r="T439" i="4462"/>
  <c r="U439" i="4462"/>
  <c r="V439" i="4462"/>
  <c r="W439" i="4462"/>
  <c r="X439" i="4462"/>
  <c r="Y439" i="4462"/>
  <c r="Z439" i="4462"/>
  <c r="AA439" i="4462"/>
  <c r="AB439" i="4462"/>
  <c r="AC439" i="4462"/>
  <c r="AD439" i="4462"/>
  <c r="AE439" i="4462"/>
  <c r="AF439" i="4462"/>
  <c r="AG439" i="4462"/>
  <c r="AH439" i="4462"/>
  <c r="AI439" i="4462"/>
  <c r="AJ439" i="4462"/>
  <c r="AK439" i="4462"/>
  <c r="AL439" i="4462"/>
  <c r="AM439" i="4462"/>
  <c r="AN439" i="4462"/>
  <c r="AO439" i="4462"/>
  <c r="AP439" i="4462"/>
  <c r="AQ439" i="4462"/>
  <c r="AR439" i="4462"/>
  <c r="AS439" i="4462"/>
  <c r="AT439" i="4462"/>
  <c r="AU439" i="4462"/>
  <c r="AV439" i="4462"/>
  <c r="AW439" i="4462"/>
  <c r="AX439" i="4462"/>
  <c r="AY439" i="4462"/>
  <c r="AZ439" i="4462"/>
  <c r="BA439" i="4462"/>
  <c r="BB439" i="4462"/>
  <c r="BC439" i="4462"/>
  <c r="BD439" i="4462"/>
  <c r="A440" i="4462"/>
  <c r="B440" i="4462"/>
  <c r="C440" i="4462"/>
  <c r="D440" i="4462"/>
  <c r="E440" i="4462"/>
  <c r="F440" i="4462"/>
  <c r="G440" i="4462"/>
  <c r="H440" i="4462"/>
  <c r="I440" i="4462"/>
  <c r="J440" i="4462"/>
  <c r="K440" i="4462"/>
  <c r="L440" i="4462"/>
  <c r="M440" i="4462"/>
  <c r="N440" i="4462"/>
  <c r="O440" i="4462"/>
  <c r="P440" i="4462"/>
  <c r="Q440" i="4462"/>
  <c r="R440" i="4462"/>
  <c r="S440" i="4462"/>
  <c r="T440" i="4462"/>
  <c r="U440" i="4462"/>
  <c r="V440" i="4462"/>
  <c r="W440" i="4462"/>
  <c r="X440" i="4462"/>
  <c r="Y440" i="4462"/>
  <c r="Z440" i="4462"/>
  <c r="AA440" i="4462"/>
  <c r="AB440" i="4462"/>
  <c r="AC440" i="4462"/>
  <c r="AD440" i="4462"/>
  <c r="AE440" i="4462"/>
  <c r="AF440" i="4462"/>
  <c r="AG440" i="4462"/>
  <c r="AH440" i="4462"/>
  <c r="AI440" i="4462"/>
  <c r="AJ440" i="4462"/>
  <c r="AK440" i="4462"/>
  <c r="AL440" i="4462"/>
  <c r="AM440" i="4462"/>
  <c r="AN440" i="4462"/>
  <c r="AO440" i="4462"/>
  <c r="AP440" i="4462"/>
  <c r="AQ440" i="4462"/>
  <c r="AR440" i="4462"/>
  <c r="AS440" i="4462"/>
  <c r="AT440" i="4462"/>
  <c r="AU440" i="4462"/>
  <c r="AV440" i="4462"/>
  <c r="AW440" i="4462"/>
  <c r="AX440" i="4462"/>
  <c r="AY440" i="4462"/>
  <c r="AZ440" i="4462"/>
  <c r="BA440" i="4462"/>
  <c r="BB440" i="4462"/>
  <c r="BC440" i="4462"/>
  <c r="BD440" i="4462"/>
  <c r="A441" i="4462"/>
  <c r="B441" i="4462"/>
  <c r="C441" i="4462"/>
  <c r="D441" i="4462"/>
  <c r="E441" i="4462"/>
  <c r="F441" i="4462"/>
  <c r="G441" i="4462"/>
  <c r="H441" i="4462"/>
  <c r="I441" i="4462"/>
  <c r="J441" i="4462"/>
  <c r="K441" i="4462"/>
  <c r="L441" i="4462"/>
  <c r="M441" i="4462"/>
  <c r="N441" i="4462"/>
  <c r="O441" i="4462"/>
  <c r="P441" i="4462"/>
  <c r="Q441" i="4462"/>
  <c r="R441" i="4462"/>
  <c r="S441" i="4462"/>
  <c r="T441" i="4462"/>
  <c r="U441" i="4462"/>
  <c r="V441" i="4462"/>
  <c r="W441" i="4462"/>
  <c r="X441" i="4462"/>
  <c r="Y441" i="4462"/>
  <c r="Z441" i="4462"/>
  <c r="AA441" i="4462"/>
  <c r="AB441" i="4462"/>
  <c r="AC441" i="4462"/>
  <c r="AD441" i="4462"/>
  <c r="AE441" i="4462"/>
  <c r="AF441" i="4462"/>
  <c r="AG441" i="4462"/>
  <c r="AH441" i="4462"/>
  <c r="AI441" i="4462"/>
  <c r="AJ441" i="4462"/>
  <c r="AK441" i="4462"/>
  <c r="AL441" i="4462"/>
  <c r="AM441" i="4462"/>
  <c r="AN441" i="4462"/>
  <c r="AO441" i="4462"/>
  <c r="AP441" i="4462"/>
  <c r="AQ441" i="4462"/>
  <c r="AR441" i="4462"/>
  <c r="AS441" i="4462"/>
  <c r="AT441" i="4462"/>
  <c r="AU441" i="4462"/>
  <c r="AV441" i="4462"/>
  <c r="AW441" i="4462"/>
  <c r="AX441" i="4462"/>
  <c r="AY441" i="4462"/>
  <c r="AZ441" i="4462"/>
  <c r="BA441" i="4462"/>
  <c r="BB441" i="4462"/>
  <c r="BC441" i="4462"/>
  <c r="BD441" i="4462"/>
  <c r="A442" i="4462"/>
  <c r="B442" i="4462"/>
  <c r="C442" i="4462"/>
  <c r="D442" i="4462"/>
  <c r="E442" i="4462"/>
  <c r="F442" i="4462"/>
  <c r="G442" i="4462"/>
  <c r="H442" i="4462"/>
  <c r="I442" i="4462"/>
  <c r="J442" i="4462"/>
  <c r="K442" i="4462"/>
  <c r="L442" i="4462"/>
  <c r="M442" i="4462"/>
  <c r="N442" i="4462"/>
  <c r="O442" i="4462"/>
  <c r="P442" i="4462"/>
  <c r="Q442" i="4462"/>
  <c r="R442" i="4462"/>
  <c r="S442" i="4462"/>
  <c r="T442" i="4462"/>
  <c r="U442" i="4462"/>
  <c r="V442" i="4462"/>
  <c r="W442" i="4462"/>
  <c r="X442" i="4462"/>
  <c r="Y442" i="4462"/>
  <c r="Z442" i="4462"/>
  <c r="AA442" i="4462"/>
  <c r="AB442" i="4462"/>
  <c r="AC442" i="4462"/>
  <c r="AD442" i="4462"/>
  <c r="AE442" i="4462"/>
  <c r="AF442" i="4462"/>
  <c r="AG442" i="4462"/>
  <c r="AH442" i="4462"/>
  <c r="AI442" i="4462"/>
  <c r="AJ442" i="4462"/>
  <c r="AK442" i="4462"/>
  <c r="AL442" i="4462"/>
  <c r="AM442" i="4462"/>
  <c r="AN442" i="4462"/>
  <c r="AO442" i="4462"/>
  <c r="AP442" i="4462"/>
  <c r="AQ442" i="4462"/>
  <c r="AR442" i="4462"/>
  <c r="AS442" i="4462"/>
  <c r="AT442" i="4462"/>
  <c r="AU442" i="4462"/>
  <c r="AV442" i="4462"/>
  <c r="AW442" i="4462"/>
  <c r="AX442" i="4462"/>
  <c r="AY442" i="4462"/>
  <c r="AZ442" i="4462"/>
  <c r="BA442" i="4462"/>
  <c r="BB442" i="4462"/>
  <c r="BC442" i="4462"/>
  <c r="BD442" i="4462"/>
  <c r="A443" i="4462"/>
  <c r="B443" i="4462"/>
  <c r="C443" i="4462"/>
  <c r="D443" i="4462"/>
  <c r="E443" i="4462"/>
  <c r="F443" i="4462"/>
  <c r="G443" i="4462"/>
  <c r="H443" i="4462"/>
  <c r="I443" i="4462"/>
  <c r="J443" i="4462"/>
  <c r="K443" i="4462"/>
  <c r="L443" i="4462"/>
  <c r="M443" i="4462"/>
  <c r="N443" i="4462"/>
  <c r="O443" i="4462"/>
  <c r="P443" i="4462"/>
  <c r="Q443" i="4462"/>
  <c r="R443" i="4462"/>
  <c r="S443" i="4462"/>
  <c r="T443" i="4462"/>
  <c r="U443" i="4462"/>
  <c r="V443" i="4462"/>
  <c r="W443" i="4462"/>
  <c r="X443" i="4462"/>
  <c r="Y443" i="4462"/>
  <c r="Z443" i="4462"/>
  <c r="AA443" i="4462"/>
  <c r="AB443" i="4462"/>
  <c r="AC443" i="4462"/>
  <c r="AD443" i="4462"/>
  <c r="AE443" i="4462"/>
  <c r="AF443" i="4462"/>
  <c r="AG443" i="4462"/>
  <c r="AH443" i="4462"/>
  <c r="AI443" i="4462"/>
  <c r="AJ443" i="4462"/>
  <c r="AK443" i="4462"/>
  <c r="AL443" i="4462"/>
  <c r="AM443" i="4462"/>
  <c r="AN443" i="4462"/>
  <c r="AO443" i="4462"/>
  <c r="AP443" i="4462"/>
  <c r="AQ443" i="4462"/>
  <c r="AR443" i="4462"/>
  <c r="AS443" i="4462"/>
  <c r="AT443" i="4462"/>
  <c r="AU443" i="4462"/>
  <c r="AV443" i="4462"/>
  <c r="AW443" i="4462"/>
  <c r="AX443" i="4462"/>
  <c r="AY443" i="4462"/>
  <c r="AZ443" i="4462"/>
  <c r="BA443" i="4462"/>
  <c r="BB443" i="4462"/>
  <c r="BC443" i="4462"/>
  <c r="BD443" i="4462"/>
  <c r="A444" i="4462"/>
  <c r="B444" i="4462"/>
  <c r="C444" i="4462"/>
  <c r="D444" i="4462"/>
  <c r="E444" i="4462"/>
  <c r="F444" i="4462"/>
  <c r="G444" i="4462"/>
  <c r="H444" i="4462"/>
  <c r="I444" i="4462"/>
  <c r="J444" i="4462"/>
  <c r="K444" i="4462"/>
  <c r="L444" i="4462"/>
  <c r="M444" i="4462"/>
  <c r="N444" i="4462"/>
  <c r="O444" i="4462"/>
  <c r="P444" i="4462"/>
  <c r="Q444" i="4462"/>
  <c r="R444" i="4462"/>
  <c r="S444" i="4462"/>
  <c r="T444" i="4462"/>
  <c r="U444" i="4462"/>
  <c r="V444" i="4462"/>
  <c r="W444" i="4462"/>
  <c r="X444" i="4462"/>
  <c r="Y444" i="4462"/>
  <c r="Z444" i="4462"/>
  <c r="AA444" i="4462"/>
  <c r="AB444" i="4462"/>
  <c r="AC444" i="4462"/>
  <c r="AD444" i="4462"/>
  <c r="AE444" i="4462"/>
  <c r="AF444" i="4462"/>
  <c r="AG444" i="4462"/>
  <c r="AH444" i="4462"/>
  <c r="AI444" i="4462"/>
  <c r="AJ444" i="4462"/>
  <c r="AK444" i="4462"/>
  <c r="AL444" i="4462"/>
  <c r="AM444" i="4462"/>
  <c r="AN444" i="4462"/>
  <c r="AO444" i="4462"/>
  <c r="AP444" i="4462"/>
  <c r="AQ444" i="4462"/>
  <c r="AR444" i="4462"/>
  <c r="AS444" i="4462"/>
  <c r="AT444" i="4462"/>
  <c r="AU444" i="4462"/>
  <c r="AV444" i="4462"/>
  <c r="AW444" i="4462"/>
  <c r="AX444" i="4462"/>
  <c r="AY444" i="4462"/>
  <c r="AZ444" i="4462"/>
  <c r="BA444" i="4462"/>
  <c r="BB444" i="4462"/>
  <c r="BC444" i="4462"/>
  <c r="BD444" i="4462"/>
  <c r="A445" i="4462"/>
  <c r="B445" i="4462"/>
  <c r="C445" i="4462"/>
  <c r="D445" i="4462"/>
  <c r="E445" i="4462"/>
  <c r="F445" i="4462"/>
  <c r="G445" i="4462"/>
  <c r="H445" i="4462"/>
  <c r="I445" i="4462"/>
  <c r="J445" i="4462"/>
  <c r="K445" i="4462"/>
  <c r="L445" i="4462"/>
  <c r="M445" i="4462"/>
  <c r="N445" i="4462"/>
  <c r="O445" i="4462"/>
  <c r="P445" i="4462"/>
  <c r="Q445" i="4462"/>
  <c r="R445" i="4462"/>
  <c r="S445" i="4462"/>
  <c r="T445" i="4462"/>
  <c r="U445" i="4462"/>
  <c r="V445" i="4462"/>
  <c r="W445" i="4462"/>
  <c r="X445" i="4462"/>
  <c r="Y445" i="4462"/>
  <c r="Z445" i="4462"/>
  <c r="AA445" i="4462"/>
  <c r="AB445" i="4462"/>
  <c r="AC445" i="4462"/>
  <c r="AD445" i="4462"/>
  <c r="AE445" i="4462"/>
  <c r="AF445" i="4462"/>
  <c r="AG445" i="4462"/>
  <c r="AH445" i="4462"/>
  <c r="AI445" i="4462"/>
  <c r="AJ445" i="4462"/>
  <c r="AK445" i="4462"/>
  <c r="AL445" i="4462"/>
  <c r="AM445" i="4462"/>
  <c r="AN445" i="4462"/>
  <c r="AO445" i="4462"/>
  <c r="AP445" i="4462"/>
  <c r="AQ445" i="4462"/>
  <c r="AR445" i="4462"/>
  <c r="AS445" i="4462"/>
  <c r="AT445" i="4462"/>
  <c r="AU445" i="4462"/>
  <c r="AV445" i="4462"/>
  <c r="AW445" i="4462"/>
  <c r="AX445" i="4462"/>
  <c r="AY445" i="4462"/>
  <c r="AZ445" i="4462"/>
  <c r="BA445" i="4462"/>
  <c r="BB445" i="4462"/>
  <c r="BC445" i="4462"/>
  <c r="BD445" i="4462"/>
  <c r="A446" i="4462"/>
  <c r="B446" i="4462"/>
  <c r="C446" i="4462"/>
  <c r="D446" i="4462"/>
  <c r="E446" i="4462"/>
  <c r="F446" i="4462"/>
  <c r="G446" i="4462"/>
  <c r="H446" i="4462"/>
  <c r="I446" i="4462"/>
  <c r="J446" i="4462"/>
  <c r="K446" i="4462"/>
  <c r="L446" i="4462"/>
  <c r="M446" i="4462"/>
  <c r="N446" i="4462"/>
  <c r="O446" i="4462"/>
  <c r="P446" i="4462"/>
  <c r="Q446" i="4462"/>
  <c r="R446" i="4462"/>
  <c r="S446" i="4462"/>
  <c r="T446" i="4462"/>
  <c r="U446" i="4462"/>
  <c r="V446" i="4462"/>
  <c r="W446" i="4462"/>
  <c r="X446" i="4462"/>
  <c r="Y446" i="4462"/>
  <c r="Z446" i="4462"/>
  <c r="AA446" i="4462"/>
  <c r="AB446" i="4462"/>
  <c r="AC446" i="4462"/>
  <c r="AD446" i="4462"/>
  <c r="AE446" i="4462"/>
  <c r="AF446" i="4462"/>
  <c r="AG446" i="4462"/>
  <c r="AH446" i="4462"/>
  <c r="AI446" i="4462"/>
  <c r="AJ446" i="4462"/>
  <c r="AK446" i="4462"/>
  <c r="AL446" i="4462"/>
  <c r="AM446" i="4462"/>
  <c r="AN446" i="4462"/>
  <c r="AO446" i="4462"/>
  <c r="AP446" i="4462"/>
  <c r="AQ446" i="4462"/>
  <c r="AR446" i="4462"/>
  <c r="AS446" i="4462"/>
  <c r="AT446" i="4462"/>
  <c r="AU446" i="4462"/>
  <c r="AV446" i="4462"/>
  <c r="AW446" i="4462"/>
  <c r="AX446" i="4462"/>
  <c r="AY446" i="4462"/>
  <c r="AZ446" i="4462"/>
  <c r="BA446" i="4462"/>
  <c r="BB446" i="4462"/>
  <c r="BC446" i="4462"/>
  <c r="BD446" i="4462"/>
  <c r="A447" i="4462"/>
  <c r="B447" i="4462"/>
  <c r="C447" i="4462"/>
  <c r="D447" i="4462"/>
  <c r="E447" i="4462"/>
  <c r="F447" i="4462"/>
  <c r="G447" i="4462"/>
  <c r="H447" i="4462"/>
  <c r="I447" i="4462"/>
  <c r="J447" i="4462"/>
  <c r="K447" i="4462"/>
  <c r="L447" i="4462"/>
  <c r="M447" i="4462"/>
  <c r="N447" i="4462"/>
  <c r="O447" i="4462"/>
  <c r="P447" i="4462"/>
  <c r="Q447" i="4462"/>
  <c r="R447" i="4462"/>
  <c r="S447" i="4462"/>
  <c r="T447" i="4462"/>
  <c r="U447" i="4462"/>
  <c r="V447" i="4462"/>
  <c r="W447" i="4462"/>
  <c r="X447" i="4462"/>
  <c r="Y447" i="4462"/>
  <c r="Z447" i="4462"/>
  <c r="AA447" i="4462"/>
  <c r="AB447" i="4462"/>
  <c r="AC447" i="4462"/>
  <c r="AD447" i="4462"/>
  <c r="AE447" i="4462"/>
  <c r="AF447" i="4462"/>
  <c r="AG447" i="4462"/>
  <c r="AH447" i="4462"/>
  <c r="AI447" i="4462"/>
  <c r="AJ447" i="4462"/>
  <c r="AK447" i="4462"/>
  <c r="AL447" i="4462"/>
  <c r="AM447" i="4462"/>
  <c r="AN447" i="4462"/>
  <c r="AO447" i="4462"/>
  <c r="AP447" i="4462"/>
  <c r="AQ447" i="4462"/>
  <c r="AR447" i="4462"/>
  <c r="AS447" i="4462"/>
  <c r="AT447" i="4462"/>
  <c r="AU447" i="4462"/>
  <c r="AV447" i="4462"/>
  <c r="AW447" i="4462"/>
  <c r="AX447" i="4462"/>
  <c r="AY447" i="4462"/>
  <c r="AZ447" i="4462"/>
  <c r="BA447" i="4462"/>
  <c r="BB447" i="4462"/>
  <c r="BC447" i="4462"/>
  <c r="BD447" i="4462"/>
  <c r="A448" i="4462"/>
  <c r="B448" i="4462"/>
  <c r="C448" i="4462"/>
  <c r="D448" i="4462"/>
  <c r="E448" i="4462"/>
  <c r="F448" i="4462"/>
  <c r="G448" i="4462"/>
  <c r="H448" i="4462"/>
  <c r="I448" i="4462"/>
  <c r="J448" i="4462"/>
  <c r="K448" i="4462"/>
  <c r="L448" i="4462"/>
  <c r="M448" i="4462"/>
  <c r="N448" i="4462"/>
  <c r="O448" i="4462"/>
  <c r="P448" i="4462"/>
  <c r="Q448" i="4462"/>
  <c r="R448" i="4462"/>
  <c r="S448" i="4462"/>
  <c r="T448" i="4462"/>
  <c r="U448" i="4462"/>
  <c r="V448" i="4462"/>
  <c r="W448" i="4462"/>
  <c r="X448" i="4462"/>
  <c r="Y448" i="4462"/>
  <c r="Z448" i="4462"/>
  <c r="AA448" i="4462"/>
  <c r="AB448" i="4462"/>
  <c r="AC448" i="4462"/>
  <c r="AD448" i="4462"/>
  <c r="AE448" i="4462"/>
  <c r="AF448" i="4462"/>
  <c r="AG448" i="4462"/>
  <c r="AH448" i="4462"/>
  <c r="AI448" i="4462"/>
  <c r="AJ448" i="4462"/>
  <c r="AK448" i="4462"/>
  <c r="AL448" i="4462"/>
  <c r="AM448" i="4462"/>
  <c r="AN448" i="4462"/>
  <c r="AO448" i="4462"/>
  <c r="AP448" i="4462"/>
  <c r="AQ448" i="4462"/>
  <c r="AR448" i="4462"/>
  <c r="AS448" i="4462"/>
  <c r="AT448" i="4462"/>
  <c r="AU448" i="4462"/>
  <c r="AV448" i="4462"/>
  <c r="AW448" i="4462"/>
  <c r="AX448" i="4462"/>
  <c r="AY448" i="4462"/>
  <c r="AZ448" i="4462"/>
  <c r="BA448" i="4462"/>
  <c r="BB448" i="4462"/>
  <c r="BC448" i="4462"/>
  <c r="BD448" i="4462"/>
  <c r="A449" i="4462"/>
  <c r="B449" i="4462"/>
  <c r="C449" i="4462"/>
  <c r="D449" i="4462"/>
  <c r="E449" i="4462"/>
  <c r="F449" i="4462"/>
  <c r="G449" i="4462"/>
  <c r="H449" i="4462"/>
  <c r="I449" i="4462"/>
  <c r="J449" i="4462"/>
  <c r="K449" i="4462"/>
  <c r="L449" i="4462"/>
  <c r="M449" i="4462"/>
  <c r="N449" i="4462"/>
  <c r="O449" i="4462"/>
  <c r="P449" i="4462"/>
  <c r="Q449" i="4462"/>
  <c r="R449" i="4462"/>
  <c r="S449" i="4462"/>
  <c r="T449" i="4462"/>
  <c r="U449" i="4462"/>
  <c r="V449" i="4462"/>
  <c r="W449" i="4462"/>
  <c r="X449" i="4462"/>
  <c r="Y449" i="4462"/>
  <c r="Z449" i="4462"/>
  <c r="AA449" i="4462"/>
  <c r="AB449" i="4462"/>
  <c r="AC449" i="4462"/>
  <c r="AD449" i="4462"/>
  <c r="AE449" i="4462"/>
  <c r="AF449" i="4462"/>
  <c r="AG449" i="4462"/>
  <c r="AH449" i="4462"/>
  <c r="AI449" i="4462"/>
  <c r="AJ449" i="4462"/>
  <c r="AK449" i="4462"/>
  <c r="AL449" i="4462"/>
  <c r="AM449" i="4462"/>
  <c r="AN449" i="4462"/>
  <c r="AO449" i="4462"/>
  <c r="AP449" i="4462"/>
  <c r="AQ449" i="4462"/>
  <c r="AR449" i="4462"/>
  <c r="AS449" i="4462"/>
  <c r="AT449" i="4462"/>
  <c r="AU449" i="4462"/>
  <c r="AV449" i="4462"/>
  <c r="AW449" i="4462"/>
  <c r="AX449" i="4462"/>
  <c r="AY449" i="4462"/>
  <c r="AZ449" i="4462"/>
  <c r="BA449" i="4462"/>
  <c r="BB449" i="4462"/>
  <c r="BC449" i="4462"/>
  <c r="BD449" i="4462"/>
  <c r="A450" i="4462"/>
  <c r="B450" i="4462"/>
  <c r="C450" i="4462"/>
  <c r="D450" i="4462"/>
  <c r="E450" i="4462"/>
  <c r="F450" i="4462"/>
  <c r="G450" i="4462"/>
  <c r="H450" i="4462"/>
  <c r="I450" i="4462"/>
  <c r="J450" i="4462"/>
  <c r="K450" i="4462"/>
  <c r="L450" i="4462"/>
  <c r="M450" i="4462"/>
  <c r="N450" i="4462"/>
  <c r="O450" i="4462"/>
  <c r="P450" i="4462"/>
  <c r="Q450" i="4462"/>
  <c r="R450" i="4462"/>
  <c r="S450" i="4462"/>
  <c r="T450" i="4462"/>
  <c r="U450" i="4462"/>
  <c r="V450" i="4462"/>
  <c r="W450" i="4462"/>
  <c r="X450" i="4462"/>
  <c r="Y450" i="4462"/>
  <c r="Z450" i="4462"/>
  <c r="AA450" i="4462"/>
  <c r="AB450" i="4462"/>
  <c r="AC450" i="4462"/>
  <c r="AD450" i="4462"/>
  <c r="AE450" i="4462"/>
  <c r="AF450" i="4462"/>
  <c r="AG450" i="4462"/>
  <c r="AH450" i="4462"/>
  <c r="AI450" i="4462"/>
  <c r="AJ450" i="4462"/>
  <c r="AK450" i="4462"/>
  <c r="AL450" i="4462"/>
  <c r="AM450" i="4462"/>
  <c r="AN450" i="4462"/>
  <c r="AO450" i="4462"/>
  <c r="AP450" i="4462"/>
  <c r="AQ450" i="4462"/>
  <c r="AR450" i="4462"/>
  <c r="AS450" i="4462"/>
  <c r="AT450" i="4462"/>
  <c r="AU450" i="4462"/>
  <c r="AV450" i="4462"/>
  <c r="AW450" i="4462"/>
  <c r="AX450" i="4462"/>
  <c r="AY450" i="4462"/>
  <c r="AZ450" i="4462"/>
  <c r="BA450" i="4462"/>
  <c r="BB450" i="4462"/>
  <c r="BC450" i="4462"/>
  <c r="BD450" i="4462"/>
  <c r="A451" i="4462"/>
  <c r="B451" i="4462"/>
  <c r="C451" i="4462"/>
  <c r="D451" i="4462"/>
  <c r="E451" i="4462"/>
  <c r="F451" i="4462"/>
  <c r="G451" i="4462"/>
  <c r="H451" i="4462"/>
  <c r="I451" i="4462"/>
  <c r="J451" i="4462"/>
  <c r="K451" i="4462"/>
  <c r="L451" i="4462"/>
  <c r="M451" i="4462"/>
  <c r="N451" i="4462"/>
  <c r="O451" i="4462"/>
  <c r="P451" i="4462"/>
  <c r="Q451" i="4462"/>
  <c r="R451" i="4462"/>
  <c r="S451" i="4462"/>
  <c r="T451" i="4462"/>
  <c r="U451" i="4462"/>
  <c r="V451" i="4462"/>
  <c r="W451" i="4462"/>
  <c r="X451" i="4462"/>
  <c r="Y451" i="4462"/>
  <c r="Z451" i="4462"/>
  <c r="AA451" i="4462"/>
  <c r="AB451" i="4462"/>
  <c r="AC451" i="4462"/>
  <c r="AD451" i="4462"/>
  <c r="AE451" i="4462"/>
  <c r="AF451" i="4462"/>
  <c r="AG451" i="4462"/>
  <c r="AH451" i="4462"/>
  <c r="AI451" i="4462"/>
  <c r="AJ451" i="4462"/>
  <c r="AK451" i="4462"/>
  <c r="AL451" i="4462"/>
  <c r="AM451" i="4462"/>
  <c r="AN451" i="4462"/>
  <c r="AO451" i="4462"/>
  <c r="AP451" i="4462"/>
  <c r="AQ451" i="4462"/>
  <c r="AR451" i="4462"/>
  <c r="AS451" i="4462"/>
  <c r="AT451" i="4462"/>
  <c r="AU451" i="4462"/>
  <c r="AV451" i="4462"/>
  <c r="AW451" i="4462"/>
  <c r="AX451" i="4462"/>
  <c r="AY451" i="4462"/>
  <c r="AZ451" i="4462"/>
  <c r="BA451" i="4462"/>
  <c r="BB451" i="4462"/>
  <c r="BC451" i="4462"/>
  <c r="BD451" i="4462"/>
  <c r="A452" i="4462"/>
  <c r="B452" i="4462"/>
  <c r="C452" i="4462"/>
  <c r="D452" i="4462"/>
  <c r="E452" i="4462"/>
  <c r="F452" i="4462"/>
  <c r="G452" i="4462"/>
  <c r="H452" i="4462"/>
  <c r="I452" i="4462"/>
  <c r="J452" i="4462"/>
  <c r="K452" i="4462"/>
  <c r="L452" i="4462"/>
  <c r="M452" i="4462"/>
  <c r="N452" i="4462"/>
  <c r="O452" i="4462"/>
  <c r="P452" i="4462"/>
  <c r="Q452" i="4462"/>
  <c r="R452" i="4462"/>
  <c r="S452" i="4462"/>
  <c r="T452" i="4462"/>
  <c r="U452" i="4462"/>
  <c r="V452" i="4462"/>
  <c r="W452" i="4462"/>
  <c r="X452" i="4462"/>
  <c r="Y452" i="4462"/>
  <c r="Z452" i="4462"/>
  <c r="AA452" i="4462"/>
  <c r="AB452" i="4462"/>
  <c r="AC452" i="4462"/>
  <c r="AD452" i="4462"/>
  <c r="AE452" i="4462"/>
  <c r="AF452" i="4462"/>
  <c r="AG452" i="4462"/>
  <c r="AH452" i="4462"/>
  <c r="AI452" i="4462"/>
  <c r="AJ452" i="4462"/>
  <c r="AK452" i="4462"/>
  <c r="AL452" i="4462"/>
  <c r="AM452" i="4462"/>
  <c r="AN452" i="4462"/>
  <c r="AO452" i="4462"/>
  <c r="AP452" i="4462"/>
  <c r="AQ452" i="4462"/>
  <c r="AR452" i="4462"/>
  <c r="AS452" i="4462"/>
  <c r="AT452" i="4462"/>
  <c r="AU452" i="4462"/>
  <c r="AV452" i="4462"/>
  <c r="AW452" i="4462"/>
  <c r="AX452" i="4462"/>
  <c r="AY452" i="4462"/>
  <c r="AZ452" i="4462"/>
  <c r="BA452" i="4462"/>
  <c r="BB452" i="4462"/>
  <c r="BC452" i="4462"/>
  <c r="BD452" i="4462"/>
  <c r="A453" i="4462"/>
  <c r="B453" i="4462"/>
  <c r="C453" i="4462"/>
  <c r="D453" i="4462"/>
  <c r="E453" i="4462"/>
  <c r="F453" i="4462"/>
  <c r="G453" i="4462"/>
  <c r="H453" i="4462"/>
  <c r="I453" i="4462"/>
  <c r="J453" i="4462"/>
  <c r="K453" i="4462"/>
  <c r="L453" i="4462"/>
  <c r="M453" i="4462"/>
  <c r="N453" i="4462"/>
  <c r="O453" i="4462"/>
  <c r="P453" i="4462"/>
  <c r="Q453" i="4462"/>
  <c r="R453" i="4462"/>
  <c r="S453" i="4462"/>
  <c r="T453" i="4462"/>
  <c r="U453" i="4462"/>
  <c r="V453" i="4462"/>
  <c r="W453" i="4462"/>
  <c r="X453" i="4462"/>
  <c r="Y453" i="4462"/>
  <c r="Z453" i="4462"/>
  <c r="AA453" i="4462"/>
  <c r="AB453" i="4462"/>
  <c r="AC453" i="4462"/>
  <c r="AD453" i="4462"/>
  <c r="AE453" i="4462"/>
  <c r="AF453" i="4462"/>
  <c r="AG453" i="4462"/>
  <c r="AH453" i="4462"/>
  <c r="AI453" i="4462"/>
  <c r="AJ453" i="4462"/>
  <c r="AK453" i="4462"/>
  <c r="AL453" i="4462"/>
  <c r="AM453" i="4462"/>
  <c r="AN453" i="4462"/>
  <c r="AO453" i="4462"/>
  <c r="AP453" i="4462"/>
  <c r="AQ453" i="4462"/>
  <c r="AR453" i="4462"/>
  <c r="AS453" i="4462"/>
  <c r="AT453" i="4462"/>
  <c r="AU453" i="4462"/>
  <c r="AV453" i="4462"/>
  <c r="AW453" i="4462"/>
  <c r="AX453" i="4462"/>
  <c r="AY453" i="4462"/>
  <c r="AZ453" i="4462"/>
  <c r="BA453" i="4462"/>
  <c r="BB453" i="4462"/>
  <c r="BC453" i="4462"/>
  <c r="BD453" i="4462"/>
  <c r="A454" i="4462"/>
  <c r="B454" i="4462"/>
  <c r="C454" i="4462"/>
  <c r="D454" i="4462"/>
  <c r="E454" i="4462"/>
  <c r="F454" i="4462"/>
  <c r="G454" i="4462"/>
  <c r="H454" i="4462"/>
  <c r="I454" i="4462"/>
  <c r="J454" i="4462"/>
  <c r="K454" i="4462"/>
  <c r="L454" i="4462"/>
  <c r="M454" i="4462"/>
  <c r="N454" i="4462"/>
  <c r="O454" i="4462"/>
  <c r="P454" i="4462"/>
  <c r="Q454" i="4462"/>
  <c r="R454" i="4462"/>
  <c r="S454" i="4462"/>
  <c r="T454" i="4462"/>
  <c r="U454" i="4462"/>
  <c r="V454" i="4462"/>
  <c r="W454" i="4462"/>
  <c r="X454" i="4462"/>
  <c r="Y454" i="4462"/>
  <c r="Z454" i="4462"/>
  <c r="AA454" i="4462"/>
  <c r="AB454" i="4462"/>
  <c r="AC454" i="4462"/>
  <c r="AD454" i="4462"/>
  <c r="AE454" i="4462"/>
  <c r="AF454" i="4462"/>
  <c r="AG454" i="4462"/>
  <c r="AH454" i="4462"/>
  <c r="AI454" i="4462"/>
  <c r="AJ454" i="4462"/>
  <c r="AK454" i="4462"/>
  <c r="AL454" i="4462"/>
  <c r="AM454" i="4462"/>
  <c r="AN454" i="4462"/>
  <c r="AO454" i="4462"/>
  <c r="AP454" i="4462"/>
  <c r="AQ454" i="4462"/>
  <c r="AR454" i="4462"/>
  <c r="AS454" i="4462"/>
  <c r="AT454" i="4462"/>
  <c r="AU454" i="4462"/>
  <c r="AV454" i="4462"/>
  <c r="AW454" i="4462"/>
  <c r="AX454" i="4462"/>
  <c r="AY454" i="4462"/>
  <c r="AZ454" i="4462"/>
  <c r="BA454" i="4462"/>
  <c r="BB454" i="4462"/>
  <c r="BC454" i="4462"/>
  <c r="BD454" i="4462"/>
  <c r="A455" i="4462"/>
  <c r="B455" i="4462"/>
  <c r="C455" i="4462"/>
  <c r="D455" i="4462"/>
  <c r="E455" i="4462"/>
  <c r="F455" i="4462"/>
  <c r="G455" i="4462"/>
  <c r="H455" i="4462"/>
  <c r="I455" i="4462"/>
  <c r="J455" i="4462"/>
  <c r="K455" i="4462"/>
  <c r="L455" i="4462"/>
  <c r="M455" i="4462"/>
  <c r="N455" i="4462"/>
  <c r="O455" i="4462"/>
  <c r="P455" i="4462"/>
  <c r="Q455" i="4462"/>
  <c r="R455" i="4462"/>
  <c r="S455" i="4462"/>
  <c r="T455" i="4462"/>
  <c r="U455" i="4462"/>
  <c r="V455" i="4462"/>
  <c r="W455" i="4462"/>
  <c r="X455" i="4462"/>
  <c r="Y455" i="4462"/>
  <c r="Z455" i="4462"/>
  <c r="AA455" i="4462"/>
  <c r="AB455" i="4462"/>
  <c r="AC455" i="4462"/>
  <c r="AD455" i="4462"/>
  <c r="AE455" i="4462"/>
  <c r="AF455" i="4462"/>
  <c r="AG455" i="4462"/>
  <c r="AH455" i="4462"/>
  <c r="AI455" i="4462"/>
  <c r="AJ455" i="4462"/>
  <c r="AK455" i="4462"/>
  <c r="AL455" i="4462"/>
  <c r="AM455" i="4462"/>
  <c r="AN455" i="4462"/>
  <c r="AO455" i="4462"/>
  <c r="AP455" i="4462"/>
  <c r="AQ455" i="4462"/>
  <c r="AR455" i="4462"/>
  <c r="AS455" i="4462"/>
  <c r="AT455" i="4462"/>
  <c r="AU455" i="4462"/>
  <c r="AV455" i="4462"/>
  <c r="AW455" i="4462"/>
  <c r="AX455" i="4462"/>
  <c r="AY455" i="4462"/>
  <c r="AZ455" i="4462"/>
  <c r="BA455" i="4462"/>
  <c r="BB455" i="4462"/>
  <c r="BC455" i="4462"/>
  <c r="BD455" i="4462"/>
  <c r="A456" i="4462"/>
  <c r="B456" i="4462"/>
  <c r="C456" i="4462"/>
  <c r="D456" i="4462"/>
  <c r="E456" i="4462"/>
  <c r="F456" i="4462"/>
  <c r="G456" i="4462"/>
  <c r="H456" i="4462"/>
  <c r="I456" i="4462"/>
  <c r="J456" i="4462"/>
  <c r="K456" i="4462"/>
  <c r="L456" i="4462"/>
  <c r="M456" i="4462"/>
  <c r="N456" i="4462"/>
  <c r="O456" i="4462"/>
  <c r="P456" i="4462"/>
  <c r="Q456" i="4462"/>
  <c r="R456" i="4462"/>
  <c r="S456" i="4462"/>
  <c r="T456" i="4462"/>
  <c r="U456" i="4462"/>
  <c r="V456" i="4462"/>
  <c r="W456" i="4462"/>
  <c r="X456" i="4462"/>
  <c r="Y456" i="4462"/>
  <c r="Z456" i="4462"/>
  <c r="AA456" i="4462"/>
  <c r="AB456" i="4462"/>
  <c r="AC456" i="4462"/>
  <c r="AD456" i="4462"/>
  <c r="AE456" i="4462"/>
  <c r="AF456" i="4462"/>
  <c r="AG456" i="4462"/>
  <c r="AH456" i="4462"/>
  <c r="AI456" i="4462"/>
  <c r="AJ456" i="4462"/>
  <c r="AK456" i="4462"/>
  <c r="AL456" i="4462"/>
  <c r="AM456" i="4462"/>
  <c r="AN456" i="4462"/>
  <c r="AO456" i="4462"/>
  <c r="AP456" i="4462"/>
  <c r="AQ456" i="4462"/>
  <c r="AR456" i="4462"/>
  <c r="AS456" i="4462"/>
  <c r="AT456" i="4462"/>
  <c r="AU456" i="4462"/>
  <c r="AV456" i="4462"/>
  <c r="AW456" i="4462"/>
  <c r="AX456" i="4462"/>
  <c r="AY456" i="4462"/>
  <c r="AZ456" i="4462"/>
  <c r="BA456" i="4462"/>
  <c r="BB456" i="4462"/>
  <c r="BC456" i="4462"/>
  <c r="BD456" i="4462"/>
  <c r="A457" i="4462"/>
  <c r="B457" i="4462"/>
  <c r="C457" i="4462"/>
  <c r="D457" i="4462"/>
  <c r="E457" i="4462"/>
  <c r="F457" i="4462"/>
  <c r="G457" i="4462"/>
  <c r="H457" i="4462"/>
  <c r="I457" i="4462"/>
  <c r="J457" i="4462"/>
  <c r="K457" i="4462"/>
  <c r="L457" i="4462"/>
  <c r="M457" i="4462"/>
  <c r="N457" i="4462"/>
  <c r="O457" i="4462"/>
  <c r="P457" i="4462"/>
  <c r="Q457" i="4462"/>
  <c r="R457" i="4462"/>
  <c r="S457" i="4462"/>
  <c r="T457" i="4462"/>
  <c r="U457" i="4462"/>
  <c r="V457" i="4462"/>
  <c r="W457" i="4462"/>
  <c r="X457" i="4462"/>
  <c r="Y457" i="4462"/>
  <c r="Z457" i="4462"/>
  <c r="AA457" i="4462"/>
  <c r="AB457" i="4462"/>
  <c r="AC457" i="4462"/>
  <c r="AD457" i="4462"/>
  <c r="AE457" i="4462"/>
  <c r="AF457" i="4462"/>
  <c r="AG457" i="4462"/>
  <c r="AH457" i="4462"/>
  <c r="AI457" i="4462"/>
  <c r="AJ457" i="4462"/>
  <c r="AK457" i="4462"/>
  <c r="AL457" i="4462"/>
  <c r="AM457" i="4462"/>
  <c r="AN457" i="4462"/>
  <c r="AO457" i="4462"/>
  <c r="AP457" i="4462"/>
  <c r="AQ457" i="4462"/>
  <c r="AR457" i="4462"/>
  <c r="AS457" i="4462"/>
  <c r="AT457" i="4462"/>
  <c r="AU457" i="4462"/>
  <c r="AV457" i="4462"/>
  <c r="AW457" i="4462"/>
  <c r="AX457" i="4462"/>
  <c r="AY457" i="4462"/>
  <c r="AZ457" i="4462"/>
  <c r="BA457" i="4462"/>
  <c r="BB457" i="4462"/>
  <c r="BC457" i="4462"/>
  <c r="BD457" i="4462"/>
  <c r="A458" i="4462"/>
  <c r="B458" i="4462"/>
  <c r="C458" i="4462"/>
  <c r="D458" i="4462"/>
  <c r="E458" i="4462"/>
  <c r="F458" i="4462"/>
  <c r="G458" i="4462"/>
  <c r="H458" i="4462"/>
  <c r="I458" i="4462"/>
  <c r="J458" i="4462"/>
  <c r="K458" i="4462"/>
  <c r="L458" i="4462"/>
  <c r="M458" i="4462"/>
  <c r="N458" i="4462"/>
  <c r="O458" i="4462"/>
  <c r="P458" i="4462"/>
  <c r="Q458" i="4462"/>
  <c r="R458" i="4462"/>
  <c r="S458" i="4462"/>
  <c r="T458" i="4462"/>
  <c r="U458" i="4462"/>
  <c r="V458" i="4462"/>
  <c r="W458" i="4462"/>
  <c r="X458" i="4462"/>
  <c r="Y458" i="4462"/>
  <c r="Z458" i="4462"/>
  <c r="AA458" i="4462"/>
  <c r="AB458" i="4462"/>
  <c r="AC458" i="4462"/>
  <c r="AD458" i="4462"/>
  <c r="AE458" i="4462"/>
  <c r="AF458" i="4462"/>
  <c r="AG458" i="4462"/>
  <c r="AH458" i="4462"/>
  <c r="AI458" i="4462"/>
  <c r="AJ458" i="4462"/>
  <c r="AK458" i="4462"/>
  <c r="AL458" i="4462"/>
  <c r="AM458" i="4462"/>
  <c r="AN458" i="4462"/>
  <c r="AO458" i="4462"/>
  <c r="AP458" i="4462"/>
  <c r="AQ458" i="4462"/>
  <c r="AR458" i="4462"/>
  <c r="AS458" i="4462"/>
  <c r="AT458" i="4462"/>
  <c r="AU458" i="4462"/>
  <c r="AV458" i="4462"/>
  <c r="AW458" i="4462"/>
  <c r="AX458" i="4462"/>
  <c r="AY458" i="4462"/>
  <c r="AZ458" i="4462"/>
  <c r="BA458" i="4462"/>
  <c r="BB458" i="4462"/>
  <c r="BC458" i="4462"/>
  <c r="BD458" i="4462"/>
  <c r="A459" i="4462"/>
  <c r="B459" i="4462"/>
  <c r="C459" i="4462"/>
  <c r="D459" i="4462"/>
  <c r="E459" i="4462"/>
  <c r="F459" i="4462"/>
  <c r="G459" i="4462"/>
  <c r="H459" i="4462"/>
  <c r="I459" i="4462"/>
  <c r="J459" i="4462"/>
  <c r="K459" i="4462"/>
  <c r="L459" i="4462"/>
  <c r="M459" i="4462"/>
  <c r="N459" i="4462"/>
  <c r="O459" i="4462"/>
  <c r="P459" i="4462"/>
  <c r="Q459" i="4462"/>
  <c r="R459" i="4462"/>
  <c r="S459" i="4462"/>
  <c r="T459" i="4462"/>
  <c r="U459" i="4462"/>
  <c r="V459" i="4462"/>
  <c r="W459" i="4462"/>
  <c r="X459" i="4462"/>
  <c r="Y459" i="4462"/>
  <c r="Z459" i="4462"/>
  <c r="AA459" i="4462"/>
  <c r="AB459" i="4462"/>
  <c r="AC459" i="4462"/>
  <c r="AD459" i="4462"/>
  <c r="AE459" i="4462"/>
  <c r="AF459" i="4462"/>
  <c r="AG459" i="4462"/>
  <c r="AH459" i="4462"/>
  <c r="AI459" i="4462"/>
  <c r="AJ459" i="4462"/>
  <c r="AK459" i="4462"/>
  <c r="AL459" i="4462"/>
  <c r="AM459" i="4462"/>
  <c r="AN459" i="4462"/>
  <c r="AO459" i="4462"/>
  <c r="AP459" i="4462"/>
  <c r="AQ459" i="4462"/>
  <c r="AR459" i="4462"/>
  <c r="AS459" i="4462"/>
  <c r="AT459" i="4462"/>
  <c r="AU459" i="4462"/>
  <c r="AV459" i="4462"/>
  <c r="AW459" i="4462"/>
  <c r="AX459" i="4462"/>
  <c r="AY459" i="4462"/>
  <c r="AZ459" i="4462"/>
  <c r="BA459" i="4462"/>
  <c r="BB459" i="4462"/>
  <c r="BC459" i="4462"/>
  <c r="BD459" i="4462"/>
  <c r="A460" i="4462"/>
  <c r="B460" i="4462"/>
  <c r="C460" i="4462"/>
  <c r="D460" i="4462"/>
  <c r="E460" i="4462"/>
  <c r="F460" i="4462"/>
  <c r="G460" i="4462"/>
  <c r="H460" i="4462"/>
  <c r="I460" i="4462"/>
  <c r="J460" i="4462"/>
  <c r="K460" i="4462"/>
  <c r="L460" i="4462"/>
  <c r="M460" i="4462"/>
  <c r="N460" i="4462"/>
  <c r="O460" i="4462"/>
  <c r="P460" i="4462"/>
  <c r="Q460" i="4462"/>
  <c r="R460" i="4462"/>
  <c r="S460" i="4462"/>
  <c r="T460" i="4462"/>
  <c r="U460" i="4462"/>
  <c r="V460" i="4462"/>
  <c r="W460" i="4462"/>
  <c r="X460" i="4462"/>
  <c r="Y460" i="4462"/>
  <c r="Z460" i="4462"/>
  <c r="AA460" i="4462"/>
  <c r="AB460" i="4462"/>
  <c r="AC460" i="4462"/>
  <c r="AD460" i="4462"/>
  <c r="AE460" i="4462"/>
  <c r="AF460" i="4462"/>
  <c r="AG460" i="4462"/>
  <c r="AH460" i="4462"/>
  <c r="AI460" i="4462"/>
  <c r="AJ460" i="4462"/>
  <c r="AK460" i="4462"/>
  <c r="AL460" i="4462"/>
  <c r="AM460" i="4462"/>
  <c r="AN460" i="4462"/>
  <c r="AO460" i="4462"/>
  <c r="AP460" i="4462"/>
  <c r="AQ460" i="4462"/>
  <c r="AR460" i="4462"/>
  <c r="AS460" i="4462"/>
  <c r="AT460" i="4462"/>
  <c r="AU460" i="4462"/>
  <c r="AV460" i="4462"/>
  <c r="AW460" i="4462"/>
  <c r="AX460" i="4462"/>
  <c r="AY460" i="4462"/>
  <c r="AZ460" i="4462"/>
  <c r="BA460" i="4462"/>
  <c r="BB460" i="4462"/>
  <c r="BC460" i="4462"/>
  <c r="BD460" i="4462"/>
  <c r="A461" i="4462"/>
  <c r="B461" i="4462"/>
  <c r="C461" i="4462"/>
  <c r="D461" i="4462"/>
  <c r="E461" i="4462"/>
  <c r="F461" i="4462"/>
  <c r="G461" i="4462"/>
  <c r="H461" i="4462"/>
  <c r="I461" i="4462"/>
  <c r="J461" i="4462"/>
  <c r="K461" i="4462"/>
  <c r="L461" i="4462"/>
  <c r="M461" i="4462"/>
  <c r="N461" i="4462"/>
  <c r="O461" i="4462"/>
  <c r="P461" i="4462"/>
  <c r="Q461" i="4462"/>
  <c r="R461" i="4462"/>
  <c r="S461" i="4462"/>
  <c r="T461" i="4462"/>
  <c r="U461" i="4462"/>
  <c r="V461" i="4462"/>
  <c r="W461" i="4462"/>
  <c r="X461" i="4462"/>
  <c r="Y461" i="4462"/>
  <c r="Z461" i="4462"/>
  <c r="AA461" i="4462"/>
  <c r="AB461" i="4462"/>
  <c r="AC461" i="4462"/>
  <c r="AD461" i="4462"/>
  <c r="AE461" i="4462"/>
  <c r="AF461" i="4462"/>
  <c r="AG461" i="4462"/>
  <c r="AH461" i="4462"/>
  <c r="AI461" i="4462"/>
  <c r="AJ461" i="4462"/>
  <c r="AK461" i="4462"/>
  <c r="AL461" i="4462"/>
  <c r="AM461" i="4462"/>
  <c r="AN461" i="4462"/>
  <c r="AO461" i="4462"/>
  <c r="AP461" i="4462"/>
  <c r="AQ461" i="4462"/>
  <c r="AR461" i="4462"/>
  <c r="AS461" i="4462"/>
  <c r="AT461" i="4462"/>
  <c r="AU461" i="4462"/>
  <c r="AV461" i="4462"/>
  <c r="AW461" i="4462"/>
  <c r="AX461" i="4462"/>
  <c r="AY461" i="4462"/>
  <c r="AZ461" i="4462"/>
  <c r="BA461" i="4462"/>
  <c r="BB461" i="4462"/>
  <c r="BC461" i="4462"/>
  <c r="BD461" i="4462"/>
  <c r="A462" i="4462"/>
  <c r="B462" i="4462"/>
  <c r="C462" i="4462"/>
  <c r="D462" i="4462"/>
  <c r="E462" i="4462"/>
  <c r="F462" i="4462"/>
  <c r="G462" i="4462"/>
  <c r="H462" i="4462"/>
  <c r="I462" i="4462"/>
  <c r="J462" i="4462"/>
  <c r="K462" i="4462"/>
  <c r="L462" i="4462"/>
  <c r="M462" i="4462"/>
  <c r="N462" i="4462"/>
  <c r="O462" i="4462"/>
  <c r="P462" i="4462"/>
  <c r="Q462" i="4462"/>
  <c r="R462" i="4462"/>
  <c r="S462" i="4462"/>
  <c r="T462" i="4462"/>
  <c r="U462" i="4462"/>
  <c r="V462" i="4462"/>
  <c r="W462" i="4462"/>
  <c r="X462" i="4462"/>
  <c r="Y462" i="4462"/>
  <c r="Z462" i="4462"/>
  <c r="AA462" i="4462"/>
  <c r="AB462" i="4462"/>
  <c r="AC462" i="4462"/>
  <c r="AD462" i="4462"/>
  <c r="AE462" i="4462"/>
  <c r="AF462" i="4462"/>
  <c r="AG462" i="4462"/>
  <c r="AH462" i="4462"/>
  <c r="AI462" i="4462"/>
  <c r="AJ462" i="4462"/>
  <c r="AK462" i="4462"/>
  <c r="AL462" i="4462"/>
  <c r="AM462" i="4462"/>
  <c r="AN462" i="4462"/>
  <c r="AO462" i="4462"/>
  <c r="AP462" i="4462"/>
  <c r="AQ462" i="4462"/>
  <c r="AR462" i="4462"/>
  <c r="AS462" i="4462"/>
  <c r="AT462" i="4462"/>
  <c r="AU462" i="4462"/>
  <c r="AV462" i="4462"/>
  <c r="AW462" i="4462"/>
  <c r="AX462" i="4462"/>
  <c r="AY462" i="4462"/>
  <c r="AZ462" i="4462"/>
  <c r="BA462" i="4462"/>
  <c r="BB462" i="4462"/>
  <c r="BC462" i="4462"/>
  <c r="BD462" i="4462"/>
  <c r="A463" i="4462"/>
  <c r="B463" i="4462"/>
  <c r="C463" i="4462"/>
  <c r="D463" i="4462"/>
  <c r="E463" i="4462"/>
  <c r="F463" i="4462"/>
  <c r="G463" i="4462"/>
  <c r="H463" i="4462"/>
  <c r="I463" i="4462"/>
  <c r="J463" i="4462"/>
  <c r="K463" i="4462"/>
  <c r="L463" i="4462"/>
  <c r="M463" i="4462"/>
  <c r="N463" i="4462"/>
  <c r="O463" i="4462"/>
  <c r="P463" i="4462"/>
  <c r="Q463" i="4462"/>
  <c r="R463" i="4462"/>
  <c r="S463" i="4462"/>
  <c r="T463" i="4462"/>
  <c r="U463" i="4462"/>
  <c r="V463" i="4462"/>
  <c r="W463" i="4462"/>
  <c r="X463" i="4462"/>
  <c r="Y463" i="4462"/>
  <c r="Z463" i="4462"/>
  <c r="AA463" i="4462"/>
  <c r="AB463" i="4462"/>
  <c r="AC463" i="4462"/>
  <c r="AD463" i="4462"/>
  <c r="AE463" i="4462"/>
  <c r="AF463" i="4462"/>
  <c r="AG463" i="4462"/>
  <c r="AH463" i="4462"/>
  <c r="AI463" i="4462"/>
  <c r="AJ463" i="4462"/>
  <c r="AK463" i="4462"/>
  <c r="AL463" i="4462"/>
  <c r="AM463" i="4462"/>
  <c r="AN463" i="4462"/>
  <c r="AO463" i="4462"/>
  <c r="AP463" i="4462"/>
  <c r="AQ463" i="4462"/>
  <c r="AR463" i="4462"/>
  <c r="AS463" i="4462"/>
  <c r="AT463" i="4462"/>
  <c r="AU463" i="4462"/>
  <c r="AV463" i="4462"/>
  <c r="AW463" i="4462"/>
  <c r="AX463" i="4462"/>
  <c r="AY463" i="4462"/>
  <c r="AZ463" i="4462"/>
  <c r="BA463" i="4462"/>
  <c r="BB463" i="4462"/>
  <c r="BC463" i="4462"/>
  <c r="BD463" i="4462"/>
  <c r="A464" i="4462"/>
  <c r="B464" i="4462"/>
  <c r="C464" i="4462"/>
  <c r="D464" i="4462"/>
  <c r="E464" i="4462"/>
  <c r="F464" i="4462"/>
  <c r="G464" i="4462"/>
  <c r="H464" i="4462"/>
  <c r="I464" i="4462"/>
  <c r="J464" i="4462"/>
  <c r="K464" i="4462"/>
  <c r="L464" i="4462"/>
  <c r="M464" i="4462"/>
  <c r="N464" i="4462"/>
  <c r="O464" i="4462"/>
  <c r="P464" i="4462"/>
  <c r="Q464" i="4462"/>
  <c r="R464" i="4462"/>
  <c r="S464" i="4462"/>
  <c r="T464" i="4462"/>
  <c r="U464" i="4462"/>
  <c r="V464" i="4462"/>
  <c r="W464" i="4462"/>
  <c r="X464" i="4462"/>
  <c r="Y464" i="4462"/>
  <c r="Z464" i="4462"/>
  <c r="AA464" i="4462"/>
  <c r="AB464" i="4462"/>
  <c r="AC464" i="4462"/>
  <c r="AD464" i="4462"/>
  <c r="AE464" i="4462"/>
  <c r="AF464" i="4462"/>
  <c r="AG464" i="4462"/>
  <c r="AH464" i="4462"/>
  <c r="AI464" i="4462"/>
  <c r="AJ464" i="4462"/>
  <c r="AK464" i="4462"/>
  <c r="AL464" i="4462"/>
  <c r="AM464" i="4462"/>
  <c r="AN464" i="4462"/>
  <c r="AO464" i="4462"/>
  <c r="AP464" i="4462"/>
  <c r="AQ464" i="4462"/>
  <c r="AR464" i="4462"/>
  <c r="AS464" i="4462"/>
  <c r="AT464" i="4462"/>
  <c r="AU464" i="4462"/>
  <c r="AV464" i="4462"/>
  <c r="AW464" i="4462"/>
  <c r="AX464" i="4462"/>
  <c r="AY464" i="4462"/>
  <c r="AZ464" i="4462"/>
  <c r="BA464" i="4462"/>
  <c r="BB464" i="4462"/>
  <c r="BC464" i="4462"/>
  <c r="BD464" i="4462"/>
  <c r="A465" i="4462"/>
  <c r="B465" i="4462"/>
  <c r="C465" i="4462"/>
  <c r="D465" i="4462"/>
  <c r="E465" i="4462"/>
  <c r="F465" i="4462"/>
  <c r="G465" i="4462"/>
  <c r="H465" i="4462"/>
  <c r="I465" i="4462"/>
  <c r="J465" i="4462"/>
  <c r="K465" i="4462"/>
  <c r="L465" i="4462"/>
  <c r="M465" i="4462"/>
  <c r="N465" i="4462"/>
  <c r="O465" i="4462"/>
  <c r="P465" i="4462"/>
  <c r="Q465" i="4462"/>
  <c r="R465" i="4462"/>
  <c r="S465" i="4462"/>
  <c r="T465" i="4462"/>
  <c r="U465" i="4462"/>
  <c r="V465" i="4462"/>
  <c r="W465" i="4462"/>
  <c r="X465" i="4462"/>
  <c r="Y465" i="4462"/>
  <c r="Z465" i="4462"/>
  <c r="AA465" i="4462"/>
  <c r="AB465" i="4462"/>
  <c r="AC465" i="4462"/>
  <c r="AD465" i="4462"/>
  <c r="AE465" i="4462"/>
  <c r="AF465" i="4462"/>
  <c r="AG465" i="4462"/>
  <c r="AH465" i="4462"/>
  <c r="AI465" i="4462"/>
  <c r="AJ465" i="4462"/>
  <c r="AK465" i="4462"/>
  <c r="AL465" i="4462"/>
  <c r="AM465" i="4462"/>
  <c r="AN465" i="4462"/>
  <c r="AO465" i="4462"/>
  <c r="AP465" i="4462"/>
  <c r="AQ465" i="4462"/>
  <c r="AR465" i="4462"/>
  <c r="AS465" i="4462"/>
  <c r="AT465" i="4462"/>
  <c r="AU465" i="4462"/>
  <c r="AV465" i="4462"/>
  <c r="AW465" i="4462"/>
  <c r="AX465" i="4462"/>
  <c r="AY465" i="4462"/>
  <c r="AZ465" i="4462"/>
  <c r="BA465" i="4462"/>
  <c r="BB465" i="4462"/>
  <c r="BC465" i="4462"/>
  <c r="BD465" i="4462"/>
  <c r="A466" i="4462"/>
  <c r="B466" i="4462"/>
  <c r="C466" i="4462"/>
  <c r="D466" i="4462"/>
  <c r="E466" i="4462"/>
  <c r="F466" i="4462"/>
  <c r="G466" i="4462"/>
  <c r="H466" i="4462"/>
  <c r="I466" i="4462"/>
  <c r="J466" i="4462"/>
  <c r="K466" i="4462"/>
  <c r="L466" i="4462"/>
  <c r="M466" i="4462"/>
  <c r="N466" i="4462"/>
  <c r="O466" i="4462"/>
  <c r="P466" i="4462"/>
  <c r="Q466" i="4462"/>
  <c r="R466" i="4462"/>
  <c r="S466" i="4462"/>
  <c r="T466" i="4462"/>
  <c r="U466" i="4462"/>
  <c r="V466" i="4462"/>
  <c r="W466" i="4462"/>
  <c r="X466" i="4462"/>
  <c r="Y466" i="4462"/>
  <c r="Z466" i="4462"/>
  <c r="AA466" i="4462"/>
  <c r="AB466" i="4462"/>
  <c r="AC466" i="4462"/>
  <c r="AD466" i="4462"/>
  <c r="AE466" i="4462"/>
  <c r="AF466" i="4462"/>
  <c r="AG466" i="4462"/>
  <c r="AH466" i="4462"/>
  <c r="AI466" i="4462"/>
  <c r="AJ466" i="4462"/>
  <c r="AK466" i="4462"/>
  <c r="AL466" i="4462"/>
  <c r="AM466" i="4462"/>
  <c r="AN466" i="4462"/>
  <c r="AO466" i="4462"/>
  <c r="AP466" i="4462"/>
  <c r="AQ466" i="4462"/>
  <c r="AR466" i="4462"/>
  <c r="AS466" i="4462"/>
  <c r="AT466" i="4462"/>
  <c r="AU466" i="4462"/>
  <c r="AV466" i="4462"/>
  <c r="AW466" i="4462"/>
  <c r="AX466" i="4462"/>
  <c r="AY466" i="4462"/>
  <c r="AZ466" i="4462"/>
  <c r="BA466" i="4462"/>
  <c r="BB466" i="4462"/>
  <c r="BC466" i="4462"/>
  <c r="BD466" i="4462"/>
  <c r="A467" i="4462"/>
  <c r="B467" i="4462"/>
  <c r="C467" i="4462"/>
  <c r="D467" i="4462"/>
  <c r="E467" i="4462"/>
  <c r="F467" i="4462"/>
  <c r="G467" i="4462"/>
  <c r="H467" i="4462"/>
  <c r="I467" i="4462"/>
  <c r="J467" i="4462"/>
  <c r="K467" i="4462"/>
  <c r="L467" i="4462"/>
  <c r="M467" i="4462"/>
  <c r="N467" i="4462"/>
  <c r="O467" i="4462"/>
  <c r="P467" i="4462"/>
  <c r="Q467" i="4462"/>
  <c r="R467" i="4462"/>
  <c r="S467" i="4462"/>
  <c r="T467" i="4462"/>
  <c r="U467" i="4462"/>
  <c r="V467" i="4462"/>
  <c r="W467" i="4462"/>
  <c r="X467" i="4462"/>
  <c r="Y467" i="4462"/>
  <c r="Z467" i="4462"/>
  <c r="AA467" i="4462"/>
  <c r="AB467" i="4462"/>
  <c r="AC467" i="4462"/>
  <c r="AD467" i="4462"/>
  <c r="AE467" i="4462"/>
  <c r="AF467" i="4462"/>
  <c r="AG467" i="4462"/>
  <c r="AH467" i="4462"/>
  <c r="AI467" i="4462"/>
  <c r="AJ467" i="4462"/>
  <c r="AK467" i="4462"/>
  <c r="AL467" i="4462"/>
  <c r="AM467" i="4462"/>
  <c r="AN467" i="4462"/>
  <c r="AO467" i="4462"/>
  <c r="AP467" i="4462"/>
  <c r="AQ467" i="4462"/>
  <c r="AR467" i="4462"/>
  <c r="AS467" i="4462"/>
  <c r="AT467" i="4462"/>
  <c r="AU467" i="4462"/>
  <c r="AV467" i="4462"/>
  <c r="AW467" i="4462"/>
  <c r="AX467" i="4462"/>
  <c r="AY467" i="4462"/>
  <c r="AZ467" i="4462"/>
  <c r="BA467" i="4462"/>
  <c r="BB467" i="4462"/>
  <c r="BC467" i="4462"/>
  <c r="BD467" i="4462"/>
  <c r="A468" i="4462"/>
  <c r="B468" i="4462"/>
  <c r="C468" i="4462"/>
  <c r="D468" i="4462"/>
  <c r="E468" i="4462"/>
  <c r="F468" i="4462"/>
  <c r="G468" i="4462"/>
  <c r="H468" i="4462"/>
  <c r="I468" i="4462"/>
  <c r="J468" i="4462"/>
  <c r="K468" i="4462"/>
  <c r="L468" i="4462"/>
  <c r="M468" i="4462"/>
  <c r="N468" i="4462"/>
  <c r="O468" i="4462"/>
  <c r="P468" i="4462"/>
  <c r="Q468" i="4462"/>
  <c r="R468" i="4462"/>
  <c r="S468" i="4462"/>
  <c r="T468" i="4462"/>
  <c r="U468" i="4462"/>
  <c r="V468" i="4462"/>
  <c r="W468" i="4462"/>
  <c r="X468" i="4462"/>
  <c r="Y468" i="4462"/>
  <c r="Z468" i="4462"/>
  <c r="AA468" i="4462"/>
  <c r="AB468" i="4462"/>
  <c r="AC468" i="4462"/>
  <c r="AD468" i="4462"/>
  <c r="AE468" i="4462"/>
  <c r="AF468" i="4462"/>
  <c r="AG468" i="4462"/>
  <c r="AH468" i="4462"/>
  <c r="AI468" i="4462"/>
  <c r="AJ468" i="4462"/>
  <c r="AK468" i="4462"/>
  <c r="AL468" i="4462"/>
  <c r="AM468" i="4462"/>
  <c r="AN468" i="4462"/>
  <c r="AO468" i="4462"/>
  <c r="AP468" i="4462"/>
  <c r="AQ468" i="4462"/>
  <c r="AR468" i="4462"/>
  <c r="AS468" i="4462"/>
  <c r="AT468" i="4462"/>
  <c r="AU468" i="4462"/>
  <c r="AV468" i="4462"/>
  <c r="AW468" i="4462"/>
  <c r="AX468" i="4462"/>
  <c r="AY468" i="4462"/>
  <c r="AZ468" i="4462"/>
  <c r="BA468" i="4462"/>
  <c r="BB468" i="4462"/>
  <c r="BC468" i="4462"/>
  <c r="BD468" i="4462"/>
  <c r="A469" i="4462"/>
  <c r="B469" i="4462"/>
  <c r="C469" i="4462"/>
  <c r="D469" i="4462"/>
  <c r="E469" i="4462"/>
  <c r="F469" i="4462"/>
  <c r="G469" i="4462"/>
  <c r="H469" i="4462"/>
  <c r="I469" i="4462"/>
  <c r="J469" i="4462"/>
  <c r="K469" i="4462"/>
  <c r="L469" i="4462"/>
  <c r="M469" i="4462"/>
  <c r="N469" i="4462"/>
  <c r="O469" i="4462"/>
  <c r="P469" i="4462"/>
  <c r="Q469" i="4462"/>
  <c r="R469" i="4462"/>
  <c r="S469" i="4462"/>
  <c r="T469" i="4462"/>
  <c r="U469" i="4462"/>
  <c r="V469" i="4462"/>
  <c r="W469" i="4462"/>
  <c r="X469" i="4462"/>
  <c r="Y469" i="4462"/>
  <c r="Z469" i="4462"/>
  <c r="AA469" i="4462"/>
  <c r="AB469" i="4462"/>
  <c r="AC469" i="4462"/>
  <c r="AD469" i="4462"/>
  <c r="AE469" i="4462"/>
  <c r="AF469" i="4462"/>
  <c r="AG469" i="4462"/>
  <c r="AH469" i="4462"/>
  <c r="AI469" i="4462"/>
  <c r="AJ469" i="4462"/>
  <c r="AK469" i="4462"/>
  <c r="AL469" i="4462"/>
  <c r="AM469" i="4462"/>
  <c r="AN469" i="4462"/>
  <c r="AO469" i="4462"/>
  <c r="AP469" i="4462"/>
  <c r="AQ469" i="4462"/>
  <c r="AR469" i="4462"/>
  <c r="AS469" i="4462"/>
  <c r="AT469" i="4462"/>
  <c r="AU469" i="4462"/>
  <c r="AV469" i="4462"/>
  <c r="AW469" i="4462"/>
  <c r="AX469" i="4462"/>
  <c r="AY469" i="4462"/>
  <c r="AZ469" i="4462"/>
  <c r="BA469" i="4462"/>
  <c r="BB469" i="4462"/>
  <c r="BC469" i="4462"/>
  <c r="BD469" i="4462"/>
  <c r="A470" i="4462"/>
  <c r="B470" i="4462"/>
  <c r="C470" i="4462"/>
  <c r="D470" i="4462"/>
  <c r="E470" i="4462"/>
  <c r="F470" i="4462"/>
  <c r="G470" i="4462"/>
  <c r="H470" i="4462"/>
  <c r="I470" i="4462"/>
  <c r="J470" i="4462"/>
  <c r="K470" i="4462"/>
  <c r="L470" i="4462"/>
  <c r="M470" i="4462"/>
  <c r="N470" i="4462"/>
  <c r="O470" i="4462"/>
  <c r="P470" i="4462"/>
  <c r="Q470" i="4462"/>
  <c r="R470" i="4462"/>
  <c r="S470" i="4462"/>
  <c r="T470" i="4462"/>
  <c r="U470" i="4462"/>
  <c r="V470" i="4462"/>
  <c r="W470" i="4462"/>
  <c r="X470" i="4462"/>
  <c r="Y470" i="4462"/>
  <c r="Z470" i="4462"/>
  <c r="AA470" i="4462"/>
  <c r="AB470" i="4462"/>
  <c r="AC470" i="4462"/>
  <c r="AD470" i="4462"/>
  <c r="AE470" i="4462"/>
  <c r="AF470" i="4462"/>
  <c r="AG470" i="4462"/>
  <c r="AH470" i="4462"/>
  <c r="AI470" i="4462"/>
  <c r="AJ470" i="4462"/>
  <c r="AK470" i="4462"/>
  <c r="AL470" i="4462"/>
  <c r="AM470" i="4462"/>
  <c r="AN470" i="4462"/>
  <c r="AO470" i="4462"/>
  <c r="AP470" i="4462"/>
  <c r="AQ470" i="4462"/>
  <c r="AR470" i="4462"/>
  <c r="AS470" i="4462"/>
  <c r="AT470" i="4462"/>
  <c r="AU470" i="4462"/>
  <c r="AV470" i="4462"/>
  <c r="AW470" i="4462"/>
  <c r="AX470" i="4462"/>
  <c r="AY470" i="4462"/>
  <c r="AZ470" i="4462"/>
  <c r="BA470" i="4462"/>
  <c r="BB470" i="4462"/>
  <c r="BC470" i="4462"/>
  <c r="BD470" i="4462"/>
  <c r="A471" i="4462"/>
  <c r="B471" i="4462"/>
  <c r="C471" i="4462"/>
  <c r="D471" i="4462"/>
  <c r="E471" i="4462"/>
  <c r="F471" i="4462"/>
  <c r="G471" i="4462"/>
  <c r="H471" i="4462"/>
  <c r="I471" i="4462"/>
  <c r="J471" i="4462"/>
  <c r="K471" i="4462"/>
  <c r="L471" i="4462"/>
  <c r="M471" i="4462"/>
  <c r="N471" i="4462"/>
  <c r="O471" i="4462"/>
  <c r="P471" i="4462"/>
  <c r="Q471" i="4462"/>
  <c r="R471" i="4462"/>
  <c r="S471" i="4462"/>
  <c r="T471" i="4462"/>
  <c r="U471" i="4462"/>
  <c r="V471" i="4462"/>
  <c r="W471" i="4462"/>
  <c r="X471" i="4462"/>
  <c r="Y471" i="4462"/>
  <c r="Z471" i="4462"/>
  <c r="AA471" i="4462"/>
  <c r="AB471" i="4462"/>
  <c r="AC471" i="4462"/>
  <c r="AD471" i="4462"/>
  <c r="AE471" i="4462"/>
  <c r="AF471" i="4462"/>
  <c r="AG471" i="4462"/>
  <c r="AH471" i="4462"/>
  <c r="AI471" i="4462"/>
  <c r="AJ471" i="4462"/>
  <c r="AK471" i="4462"/>
  <c r="AL471" i="4462"/>
  <c r="AM471" i="4462"/>
  <c r="AN471" i="4462"/>
  <c r="AO471" i="4462"/>
  <c r="AP471" i="4462"/>
  <c r="AQ471" i="4462"/>
  <c r="AR471" i="4462"/>
  <c r="AS471" i="4462"/>
  <c r="AT471" i="4462"/>
  <c r="AU471" i="4462"/>
  <c r="AV471" i="4462"/>
  <c r="AW471" i="4462"/>
  <c r="AX471" i="4462"/>
  <c r="AY471" i="4462"/>
  <c r="AZ471" i="4462"/>
  <c r="BA471" i="4462"/>
  <c r="BB471" i="4462"/>
  <c r="BC471" i="4462"/>
  <c r="BD471" i="4462"/>
  <c r="A472" i="4462"/>
  <c r="B472" i="4462"/>
  <c r="C472" i="4462"/>
  <c r="D472" i="4462"/>
  <c r="E472" i="4462"/>
  <c r="F472" i="4462"/>
  <c r="G472" i="4462"/>
  <c r="H472" i="4462"/>
  <c r="I472" i="4462"/>
  <c r="J472" i="4462"/>
  <c r="K472" i="4462"/>
  <c r="L472" i="4462"/>
  <c r="M472" i="4462"/>
  <c r="N472" i="4462"/>
  <c r="O472" i="4462"/>
  <c r="P472" i="4462"/>
  <c r="Q472" i="4462"/>
  <c r="R472" i="4462"/>
  <c r="S472" i="4462"/>
  <c r="T472" i="4462"/>
  <c r="U472" i="4462"/>
  <c r="V472" i="4462"/>
  <c r="W472" i="4462"/>
  <c r="X472" i="4462"/>
  <c r="Y472" i="4462"/>
  <c r="Z472" i="4462"/>
  <c r="AA472" i="4462"/>
  <c r="AB472" i="4462"/>
  <c r="AC472" i="4462"/>
  <c r="AD472" i="4462"/>
  <c r="AE472" i="4462"/>
  <c r="AF472" i="4462"/>
  <c r="AG472" i="4462"/>
  <c r="AH472" i="4462"/>
  <c r="AI472" i="4462"/>
  <c r="AJ472" i="4462"/>
  <c r="AK472" i="4462"/>
  <c r="AL472" i="4462"/>
  <c r="AM472" i="4462"/>
  <c r="AN472" i="4462"/>
  <c r="AO472" i="4462"/>
  <c r="AP472" i="4462"/>
  <c r="AQ472" i="4462"/>
  <c r="AR472" i="4462"/>
  <c r="AS472" i="4462"/>
  <c r="AT472" i="4462"/>
  <c r="AU472" i="4462"/>
  <c r="AV472" i="4462"/>
  <c r="AW472" i="4462"/>
  <c r="AX472" i="4462"/>
  <c r="AY472" i="4462"/>
  <c r="AZ472" i="4462"/>
  <c r="BA472" i="4462"/>
  <c r="BB472" i="4462"/>
  <c r="BC472" i="4462"/>
  <c r="BD472" i="4462"/>
  <c r="A473" i="4462"/>
  <c r="B473" i="4462"/>
  <c r="C473" i="4462"/>
  <c r="D473" i="4462"/>
  <c r="E473" i="4462"/>
  <c r="F473" i="4462"/>
  <c r="G473" i="4462"/>
  <c r="H473" i="4462"/>
  <c r="I473" i="4462"/>
  <c r="J473" i="4462"/>
  <c r="K473" i="4462"/>
  <c r="L473" i="4462"/>
  <c r="M473" i="4462"/>
  <c r="N473" i="4462"/>
  <c r="O473" i="4462"/>
  <c r="P473" i="4462"/>
  <c r="Q473" i="4462"/>
  <c r="R473" i="4462"/>
  <c r="S473" i="4462"/>
  <c r="T473" i="4462"/>
  <c r="U473" i="4462"/>
  <c r="V473" i="4462"/>
  <c r="W473" i="4462"/>
  <c r="X473" i="4462"/>
  <c r="Y473" i="4462"/>
  <c r="Z473" i="4462"/>
  <c r="AA473" i="4462"/>
  <c r="AB473" i="4462"/>
  <c r="AC473" i="4462"/>
  <c r="AD473" i="4462"/>
  <c r="AE473" i="4462"/>
  <c r="AF473" i="4462"/>
  <c r="AG473" i="4462"/>
  <c r="AH473" i="4462"/>
  <c r="AI473" i="4462"/>
  <c r="AJ473" i="4462"/>
  <c r="AK473" i="4462"/>
  <c r="AL473" i="4462"/>
  <c r="AM473" i="4462"/>
  <c r="AN473" i="4462"/>
  <c r="AO473" i="4462"/>
  <c r="AP473" i="4462"/>
  <c r="AQ473" i="4462"/>
  <c r="AR473" i="4462"/>
  <c r="AS473" i="4462"/>
  <c r="AT473" i="4462"/>
  <c r="AU473" i="4462"/>
  <c r="AV473" i="4462"/>
  <c r="AW473" i="4462"/>
  <c r="AX473" i="4462"/>
  <c r="AY473" i="4462"/>
  <c r="AZ473" i="4462"/>
  <c r="BA473" i="4462"/>
  <c r="BB473" i="4462"/>
  <c r="BC473" i="4462"/>
  <c r="BD473" i="4462"/>
  <c r="A474" i="4462"/>
  <c r="B474" i="4462"/>
  <c r="C474" i="4462"/>
  <c r="D474" i="4462"/>
  <c r="E474" i="4462"/>
  <c r="F474" i="4462"/>
  <c r="G474" i="4462"/>
  <c r="H474" i="4462"/>
  <c r="I474" i="4462"/>
  <c r="J474" i="4462"/>
  <c r="K474" i="4462"/>
  <c r="L474" i="4462"/>
  <c r="M474" i="4462"/>
  <c r="N474" i="4462"/>
  <c r="O474" i="4462"/>
  <c r="P474" i="4462"/>
  <c r="Q474" i="4462"/>
  <c r="R474" i="4462"/>
  <c r="S474" i="4462"/>
  <c r="T474" i="4462"/>
  <c r="U474" i="4462"/>
  <c r="V474" i="4462"/>
  <c r="W474" i="4462"/>
  <c r="X474" i="4462"/>
  <c r="Y474" i="4462"/>
  <c r="Z474" i="4462"/>
  <c r="AA474" i="4462"/>
  <c r="AB474" i="4462"/>
  <c r="AC474" i="4462"/>
  <c r="AD474" i="4462"/>
  <c r="AE474" i="4462"/>
  <c r="AF474" i="4462"/>
  <c r="AG474" i="4462"/>
  <c r="AH474" i="4462"/>
  <c r="AI474" i="4462"/>
  <c r="AJ474" i="4462"/>
  <c r="AK474" i="4462"/>
  <c r="AL474" i="4462"/>
  <c r="AM474" i="4462"/>
  <c r="AN474" i="4462"/>
  <c r="AO474" i="4462"/>
  <c r="AP474" i="4462"/>
  <c r="AQ474" i="4462"/>
  <c r="AR474" i="4462"/>
  <c r="AS474" i="4462"/>
  <c r="AT474" i="4462"/>
  <c r="AU474" i="4462"/>
  <c r="AV474" i="4462"/>
  <c r="AW474" i="4462"/>
  <c r="AX474" i="4462"/>
  <c r="AY474" i="4462"/>
  <c r="AZ474" i="4462"/>
  <c r="BA474" i="4462"/>
  <c r="BB474" i="4462"/>
  <c r="BC474" i="4462"/>
  <c r="BD474" i="4462"/>
  <c r="A475" i="4462"/>
  <c r="B475" i="4462"/>
  <c r="C475" i="4462"/>
  <c r="D475" i="4462"/>
  <c r="E475" i="4462"/>
  <c r="F475" i="4462"/>
  <c r="G475" i="4462"/>
  <c r="H475" i="4462"/>
  <c r="I475" i="4462"/>
  <c r="J475" i="4462"/>
  <c r="K475" i="4462"/>
  <c r="L475" i="4462"/>
  <c r="M475" i="4462"/>
  <c r="N475" i="4462"/>
  <c r="O475" i="4462"/>
  <c r="P475" i="4462"/>
  <c r="Q475" i="4462"/>
  <c r="R475" i="4462"/>
  <c r="S475" i="4462"/>
  <c r="T475" i="4462"/>
  <c r="U475" i="4462"/>
  <c r="V475" i="4462"/>
  <c r="W475" i="4462"/>
  <c r="X475" i="4462"/>
  <c r="Y475" i="4462"/>
  <c r="Z475" i="4462"/>
  <c r="AA475" i="4462"/>
  <c r="AB475" i="4462"/>
  <c r="AC475" i="4462"/>
  <c r="AD475" i="4462"/>
  <c r="AE475" i="4462"/>
  <c r="AF475" i="4462"/>
  <c r="AG475" i="4462"/>
  <c r="AH475" i="4462"/>
  <c r="AI475" i="4462"/>
  <c r="AJ475" i="4462"/>
  <c r="AK475" i="4462"/>
  <c r="AL475" i="4462"/>
  <c r="AM475" i="4462"/>
  <c r="AN475" i="4462"/>
  <c r="AO475" i="4462"/>
  <c r="AP475" i="4462"/>
  <c r="AQ475" i="4462"/>
  <c r="AR475" i="4462"/>
  <c r="AS475" i="4462"/>
  <c r="AT475" i="4462"/>
  <c r="AU475" i="4462"/>
  <c r="AV475" i="4462"/>
  <c r="AW475" i="4462"/>
  <c r="AX475" i="4462"/>
  <c r="AY475" i="4462"/>
  <c r="AZ475" i="4462"/>
  <c r="BA475" i="4462"/>
  <c r="BB475" i="4462"/>
  <c r="BC475" i="4462"/>
  <c r="BD475" i="4462"/>
  <c r="A476" i="4462"/>
  <c r="B476" i="4462"/>
  <c r="C476" i="4462"/>
  <c r="D476" i="4462"/>
  <c r="E476" i="4462"/>
  <c r="F476" i="4462"/>
  <c r="G476" i="4462"/>
  <c r="H476" i="4462"/>
  <c r="I476" i="4462"/>
  <c r="J476" i="4462"/>
  <c r="K476" i="4462"/>
  <c r="L476" i="4462"/>
  <c r="M476" i="4462"/>
  <c r="N476" i="4462"/>
  <c r="O476" i="4462"/>
  <c r="P476" i="4462"/>
  <c r="Q476" i="4462"/>
  <c r="R476" i="4462"/>
  <c r="S476" i="4462"/>
  <c r="T476" i="4462"/>
  <c r="U476" i="4462"/>
  <c r="V476" i="4462"/>
  <c r="W476" i="4462"/>
  <c r="X476" i="4462"/>
  <c r="Y476" i="4462"/>
  <c r="Z476" i="4462"/>
  <c r="AA476" i="4462"/>
  <c r="AB476" i="4462"/>
  <c r="AC476" i="4462"/>
  <c r="AD476" i="4462"/>
  <c r="AE476" i="4462"/>
  <c r="AF476" i="4462"/>
  <c r="AG476" i="4462"/>
  <c r="AH476" i="4462"/>
  <c r="AI476" i="4462"/>
  <c r="AJ476" i="4462"/>
  <c r="AK476" i="4462"/>
  <c r="AL476" i="4462"/>
  <c r="AM476" i="4462"/>
  <c r="AN476" i="4462"/>
  <c r="AO476" i="4462"/>
  <c r="AP476" i="4462"/>
  <c r="AQ476" i="4462"/>
  <c r="AR476" i="4462"/>
  <c r="AS476" i="4462"/>
  <c r="AT476" i="4462"/>
  <c r="AU476" i="4462"/>
  <c r="AV476" i="4462"/>
  <c r="AW476" i="4462"/>
  <c r="AX476" i="4462"/>
  <c r="AY476" i="4462"/>
  <c r="AZ476" i="4462"/>
  <c r="BA476" i="4462"/>
  <c r="BB476" i="4462"/>
  <c r="BC476" i="4462"/>
  <c r="BD476" i="4462"/>
  <c r="A477" i="4462"/>
  <c r="B477" i="4462"/>
  <c r="C477" i="4462"/>
  <c r="D477" i="4462"/>
  <c r="E477" i="4462"/>
  <c r="F477" i="4462"/>
  <c r="G477" i="4462"/>
  <c r="H477" i="4462"/>
  <c r="I477" i="4462"/>
  <c r="J477" i="4462"/>
  <c r="K477" i="4462"/>
  <c r="L477" i="4462"/>
  <c r="M477" i="4462"/>
  <c r="N477" i="4462"/>
  <c r="O477" i="4462"/>
  <c r="P477" i="4462"/>
  <c r="Q477" i="4462"/>
  <c r="R477" i="4462"/>
  <c r="S477" i="4462"/>
  <c r="T477" i="4462"/>
  <c r="U477" i="4462"/>
  <c r="V477" i="4462"/>
  <c r="W477" i="4462"/>
  <c r="X477" i="4462"/>
  <c r="Y477" i="4462"/>
  <c r="Z477" i="4462"/>
  <c r="AA477" i="4462"/>
  <c r="AB477" i="4462"/>
  <c r="AC477" i="4462"/>
  <c r="AD477" i="4462"/>
  <c r="AE477" i="4462"/>
  <c r="AF477" i="4462"/>
  <c r="AG477" i="4462"/>
  <c r="AH477" i="4462"/>
  <c r="AI477" i="4462"/>
  <c r="AJ477" i="4462"/>
  <c r="AK477" i="4462"/>
  <c r="AL477" i="4462"/>
  <c r="AM477" i="4462"/>
  <c r="AN477" i="4462"/>
  <c r="AO477" i="4462"/>
  <c r="AP477" i="4462"/>
  <c r="AQ477" i="4462"/>
  <c r="AR477" i="4462"/>
  <c r="AS477" i="4462"/>
  <c r="AT477" i="4462"/>
  <c r="AU477" i="4462"/>
  <c r="AV477" i="4462"/>
  <c r="AW477" i="4462"/>
  <c r="AX477" i="4462"/>
  <c r="AY477" i="4462"/>
  <c r="AZ477" i="4462"/>
  <c r="BA477" i="4462"/>
  <c r="BB477" i="4462"/>
  <c r="BC477" i="4462"/>
  <c r="BD477" i="4462"/>
  <c r="A478" i="4462"/>
  <c r="B478" i="4462"/>
  <c r="C478" i="4462"/>
  <c r="D478" i="4462"/>
  <c r="E478" i="4462"/>
  <c r="F478" i="4462"/>
  <c r="G478" i="4462"/>
  <c r="H478" i="4462"/>
  <c r="I478" i="4462"/>
  <c r="J478" i="4462"/>
  <c r="K478" i="4462"/>
  <c r="L478" i="4462"/>
  <c r="M478" i="4462"/>
  <c r="N478" i="4462"/>
  <c r="O478" i="4462"/>
  <c r="P478" i="4462"/>
  <c r="Q478" i="4462"/>
  <c r="R478" i="4462"/>
  <c r="S478" i="4462"/>
  <c r="T478" i="4462"/>
  <c r="U478" i="4462"/>
  <c r="V478" i="4462"/>
  <c r="W478" i="4462"/>
  <c r="X478" i="4462"/>
  <c r="Y478" i="4462"/>
  <c r="Z478" i="4462"/>
  <c r="AA478" i="4462"/>
  <c r="AB478" i="4462"/>
  <c r="AC478" i="4462"/>
  <c r="AD478" i="4462"/>
  <c r="AE478" i="4462"/>
  <c r="AF478" i="4462"/>
  <c r="AG478" i="4462"/>
  <c r="AH478" i="4462"/>
  <c r="AI478" i="4462"/>
  <c r="AJ478" i="4462"/>
  <c r="AK478" i="4462"/>
  <c r="AL478" i="4462"/>
  <c r="AM478" i="4462"/>
  <c r="AN478" i="4462"/>
  <c r="AO478" i="4462"/>
  <c r="AP478" i="4462"/>
  <c r="AQ478" i="4462"/>
  <c r="AR478" i="4462"/>
  <c r="AS478" i="4462"/>
  <c r="AT478" i="4462"/>
  <c r="AU478" i="4462"/>
  <c r="AV478" i="4462"/>
  <c r="AW478" i="4462"/>
  <c r="AX478" i="4462"/>
  <c r="AY478" i="4462"/>
  <c r="AZ478" i="4462"/>
  <c r="BA478" i="4462"/>
  <c r="BB478" i="4462"/>
  <c r="BC478" i="4462"/>
  <c r="BD478" i="4462"/>
  <c r="A479" i="4462"/>
  <c r="B479" i="4462"/>
  <c r="C479" i="4462"/>
  <c r="D479" i="4462"/>
  <c r="E479" i="4462"/>
  <c r="F479" i="4462"/>
  <c r="G479" i="4462"/>
  <c r="H479" i="4462"/>
  <c r="I479" i="4462"/>
  <c r="J479" i="4462"/>
  <c r="K479" i="4462"/>
  <c r="L479" i="4462"/>
  <c r="M479" i="4462"/>
  <c r="N479" i="4462"/>
  <c r="O479" i="4462"/>
  <c r="P479" i="4462"/>
  <c r="Q479" i="4462"/>
  <c r="R479" i="4462"/>
  <c r="S479" i="4462"/>
  <c r="T479" i="4462"/>
  <c r="U479" i="4462"/>
  <c r="V479" i="4462"/>
  <c r="W479" i="4462"/>
  <c r="X479" i="4462"/>
  <c r="Y479" i="4462"/>
  <c r="Z479" i="4462"/>
  <c r="AA479" i="4462"/>
  <c r="AB479" i="4462"/>
  <c r="AC479" i="4462"/>
  <c r="AD479" i="4462"/>
  <c r="AE479" i="4462"/>
  <c r="AF479" i="4462"/>
  <c r="AG479" i="4462"/>
  <c r="AH479" i="4462"/>
  <c r="AI479" i="4462"/>
  <c r="AJ479" i="4462"/>
  <c r="AK479" i="4462"/>
  <c r="AL479" i="4462"/>
  <c r="AM479" i="4462"/>
  <c r="AN479" i="4462"/>
  <c r="AO479" i="4462"/>
  <c r="AP479" i="4462"/>
  <c r="AQ479" i="4462"/>
  <c r="AR479" i="4462"/>
  <c r="AS479" i="4462"/>
  <c r="AT479" i="4462"/>
  <c r="AU479" i="4462"/>
  <c r="AV479" i="4462"/>
  <c r="AW479" i="4462"/>
  <c r="AX479" i="4462"/>
  <c r="AY479" i="4462"/>
  <c r="AZ479" i="4462"/>
  <c r="BA479" i="4462"/>
  <c r="BB479" i="4462"/>
  <c r="BC479" i="4462"/>
  <c r="BD479" i="4462"/>
  <c r="A480" i="4462"/>
  <c r="B480" i="4462"/>
  <c r="C480" i="4462"/>
  <c r="D480" i="4462"/>
  <c r="E480" i="4462"/>
  <c r="F480" i="4462"/>
  <c r="G480" i="4462"/>
  <c r="H480" i="4462"/>
  <c r="I480" i="4462"/>
  <c r="J480" i="4462"/>
  <c r="K480" i="4462"/>
  <c r="L480" i="4462"/>
  <c r="M480" i="4462"/>
  <c r="N480" i="4462"/>
  <c r="O480" i="4462"/>
  <c r="P480" i="4462"/>
  <c r="Q480" i="4462"/>
  <c r="R480" i="4462"/>
  <c r="S480" i="4462"/>
  <c r="T480" i="4462"/>
  <c r="U480" i="4462"/>
  <c r="V480" i="4462"/>
  <c r="W480" i="4462"/>
  <c r="X480" i="4462"/>
  <c r="Y480" i="4462"/>
  <c r="Z480" i="4462"/>
  <c r="AA480" i="4462"/>
  <c r="AB480" i="4462"/>
  <c r="AC480" i="4462"/>
  <c r="AD480" i="4462"/>
  <c r="AE480" i="4462"/>
  <c r="AF480" i="4462"/>
  <c r="AG480" i="4462"/>
  <c r="AH480" i="4462"/>
  <c r="AI480" i="4462"/>
  <c r="AJ480" i="4462"/>
  <c r="AK480" i="4462"/>
  <c r="AL480" i="4462"/>
  <c r="AM480" i="4462"/>
  <c r="AN480" i="4462"/>
  <c r="AO480" i="4462"/>
  <c r="AP480" i="4462"/>
  <c r="AQ480" i="4462"/>
  <c r="AR480" i="4462"/>
  <c r="AS480" i="4462"/>
  <c r="AT480" i="4462"/>
  <c r="AU480" i="4462"/>
  <c r="AV480" i="4462"/>
  <c r="AW480" i="4462"/>
  <c r="AX480" i="4462"/>
  <c r="AY480" i="4462"/>
  <c r="AZ480" i="4462"/>
  <c r="BA480" i="4462"/>
  <c r="BB480" i="4462"/>
  <c r="BC480" i="4462"/>
  <c r="BD480" i="4462"/>
  <c r="A481" i="4462"/>
  <c r="B481" i="4462"/>
  <c r="C481" i="4462"/>
  <c r="D481" i="4462"/>
  <c r="E481" i="4462"/>
  <c r="F481" i="4462"/>
  <c r="G481" i="4462"/>
  <c r="H481" i="4462"/>
  <c r="I481" i="4462"/>
  <c r="J481" i="4462"/>
  <c r="K481" i="4462"/>
  <c r="L481" i="4462"/>
  <c r="M481" i="4462"/>
  <c r="N481" i="4462"/>
  <c r="O481" i="4462"/>
  <c r="P481" i="4462"/>
  <c r="Q481" i="4462"/>
  <c r="R481" i="4462"/>
  <c r="S481" i="4462"/>
  <c r="T481" i="4462"/>
  <c r="U481" i="4462"/>
  <c r="V481" i="4462"/>
  <c r="W481" i="4462"/>
  <c r="X481" i="4462"/>
  <c r="Y481" i="4462"/>
  <c r="Z481" i="4462"/>
  <c r="AA481" i="4462"/>
  <c r="AB481" i="4462"/>
  <c r="AC481" i="4462"/>
  <c r="AD481" i="4462"/>
  <c r="AE481" i="4462"/>
  <c r="AF481" i="4462"/>
  <c r="AG481" i="4462"/>
  <c r="AH481" i="4462"/>
  <c r="AI481" i="4462"/>
  <c r="AJ481" i="4462"/>
  <c r="AK481" i="4462"/>
  <c r="AL481" i="4462"/>
  <c r="AM481" i="4462"/>
  <c r="AN481" i="4462"/>
  <c r="AO481" i="4462"/>
  <c r="AP481" i="4462"/>
  <c r="AQ481" i="4462"/>
  <c r="AR481" i="4462"/>
  <c r="AS481" i="4462"/>
  <c r="AT481" i="4462"/>
  <c r="AU481" i="4462"/>
  <c r="AV481" i="4462"/>
  <c r="AW481" i="4462"/>
  <c r="AX481" i="4462"/>
  <c r="AY481" i="4462"/>
  <c r="AZ481" i="4462"/>
  <c r="BA481" i="4462"/>
  <c r="BB481" i="4462"/>
  <c r="BC481" i="4462"/>
  <c r="BD481" i="4462"/>
  <c r="A482" i="4462"/>
  <c r="B482" i="4462"/>
  <c r="C482" i="4462"/>
  <c r="D482" i="4462"/>
  <c r="E482" i="4462"/>
  <c r="F482" i="4462"/>
  <c r="G482" i="4462"/>
  <c r="H482" i="4462"/>
  <c r="I482" i="4462"/>
  <c r="J482" i="4462"/>
  <c r="K482" i="4462"/>
  <c r="L482" i="4462"/>
  <c r="M482" i="4462"/>
  <c r="N482" i="4462"/>
  <c r="O482" i="4462"/>
  <c r="P482" i="4462"/>
  <c r="Q482" i="4462"/>
  <c r="R482" i="4462"/>
  <c r="S482" i="4462"/>
  <c r="T482" i="4462"/>
  <c r="U482" i="4462"/>
  <c r="V482" i="4462"/>
  <c r="W482" i="4462"/>
  <c r="X482" i="4462"/>
  <c r="Y482" i="4462"/>
  <c r="Z482" i="4462"/>
  <c r="AA482" i="4462"/>
  <c r="AB482" i="4462"/>
  <c r="AC482" i="4462"/>
  <c r="AD482" i="4462"/>
  <c r="AE482" i="4462"/>
  <c r="AF482" i="4462"/>
  <c r="AG482" i="4462"/>
  <c r="AH482" i="4462"/>
  <c r="AI482" i="4462"/>
  <c r="AJ482" i="4462"/>
  <c r="AK482" i="4462"/>
  <c r="AL482" i="4462"/>
  <c r="AM482" i="4462"/>
  <c r="AN482" i="4462"/>
  <c r="AO482" i="4462"/>
  <c r="AP482" i="4462"/>
  <c r="AQ482" i="4462"/>
  <c r="AR482" i="4462"/>
  <c r="AS482" i="4462"/>
  <c r="AT482" i="4462"/>
  <c r="AU482" i="4462"/>
  <c r="AV482" i="4462"/>
  <c r="AW482" i="4462"/>
  <c r="AX482" i="4462"/>
  <c r="AY482" i="4462"/>
  <c r="AZ482" i="4462"/>
  <c r="BA482" i="4462"/>
  <c r="BB482" i="4462"/>
  <c r="BC482" i="4462"/>
  <c r="BD482" i="4462"/>
  <c r="A483" i="4462"/>
  <c r="B483" i="4462"/>
  <c r="C483" i="4462"/>
  <c r="D483" i="4462"/>
  <c r="E483" i="4462"/>
  <c r="F483" i="4462"/>
  <c r="G483" i="4462"/>
  <c r="H483" i="4462"/>
  <c r="I483" i="4462"/>
  <c r="J483" i="4462"/>
  <c r="K483" i="4462"/>
  <c r="L483" i="4462"/>
  <c r="M483" i="4462"/>
  <c r="N483" i="4462"/>
  <c r="O483" i="4462"/>
  <c r="P483" i="4462"/>
  <c r="Q483" i="4462"/>
  <c r="R483" i="4462"/>
  <c r="S483" i="4462"/>
  <c r="T483" i="4462"/>
  <c r="U483" i="4462"/>
  <c r="V483" i="4462"/>
  <c r="W483" i="4462"/>
  <c r="X483" i="4462"/>
  <c r="Y483" i="4462"/>
  <c r="Z483" i="4462"/>
  <c r="AA483" i="4462"/>
  <c r="AB483" i="4462"/>
  <c r="AC483" i="4462"/>
  <c r="AD483" i="4462"/>
  <c r="AE483" i="4462"/>
  <c r="AF483" i="4462"/>
  <c r="AG483" i="4462"/>
  <c r="AH483" i="4462"/>
  <c r="AI483" i="4462"/>
  <c r="AJ483" i="4462"/>
  <c r="AK483" i="4462"/>
  <c r="AL483" i="4462"/>
  <c r="AM483" i="4462"/>
  <c r="AN483" i="4462"/>
  <c r="AO483" i="4462"/>
  <c r="AP483" i="4462"/>
  <c r="AQ483" i="4462"/>
  <c r="AR483" i="4462"/>
  <c r="AS483" i="4462"/>
  <c r="AT483" i="4462"/>
  <c r="AU483" i="4462"/>
  <c r="AV483" i="4462"/>
  <c r="AW483" i="4462"/>
  <c r="AX483" i="4462"/>
  <c r="AY483" i="4462"/>
  <c r="AZ483" i="4462"/>
  <c r="BA483" i="4462"/>
  <c r="BB483" i="4462"/>
  <c r="BC483" i="4462"/>
  <c r="BD483" i="4462"/>
  <c r="A484" i="4462"/>
  <c r="B484" i="4462"/>
  <c r="C484" i="4462"/>
  <c r="D484" i="4462"/>
  <c r="E484" i="4462"/>
  <c r="F484" i="4462"/>
  <c r="G484" i="4462"/>
  <c r="H484" i="4462"/>
  <c r="I484" i="4462"/>
  <c r="J484" i="4462"/>
  <c r="K484" i="4462"/>
  <c r="L484" i="4462"/>
  <c r="M484" i="4462"/>
  <c r="N484" i="4462"/>
  <c r="O484" i="4462"/>
  <c r="P484" i="4462"/>
  <c r="Q484" i="4462"/>
  <c r="R484" i="4462"/>
  <c r="S484" i="4462"/>
  <c r="T484" i="4462"/>
  <c r="U484" i="4462"/>
  <c r="V484" i="4462"/>
  <c r="W484" i="4462"/>
  <c r="X484" i="4462"/>
  <c r="Y484" i="4462"/>
  <c r="Z484" i="4462"/>
  <c r="AA484" i="4462"/>
  <c r="AB484" i="4462"/>
  <c r="AC484" i="4462"/>
  <c r="AD484" i="4462"/>
  <c r="AE484" i="4462"/>
  <c r="AF484" i="4462"/>
  <c r="AG484" i="4462"/>
  <c r="AH484" i="4462"/>
  <c r="AI484" i="4462"/>
  <c r="AJ484" i="4462"/>
  <c r="AK484" i="4462"/>
  <c r="AL484" i="4462"/>
  <c r="AM484" i="4462"/>
  <c r="AN484" i="4462"/>
  <c r="AO484" i="4462"/>
  <c r="AP484" i="4462"/>
  <c r="AQ484" i="4462"/>
  <c r="AR484" i="4462"/>
  <c r="AS484" i="4462"/>
  <c r="AT484" i="4462"/>
  <c r="AU484" i="4462"/>
  <c r="AV484" i="4462"/>
  <c r="AW484" i="4462"/>
  <c r="AX484" i="4462"/>
  <c r="AY484" i="4462"/>
  <c r="AZ484" i="4462"/>
  <c r="BA484" i="4462"/>
  <c r="BB484" i="4462"/>
  <c r="BC484" i="4462"/>
  <c r="BD484" i="4462"/>
  <c r="A485" i="4462"/>
  <c r="B485" i="4462"/>
  <c r="C485" i="4462"/>
  <c r="D485" i="4462"/>
  <c r="E485" i="4462"/>
  <c r="F485" i="4462"/>
  <c r="G485" i="4462"/>
  <c r="H485" i="4462"/>
  <c r="I485" i="4462"/>
  <c r="J485" i="4462"/>
  <c r="K485" i="4462"/>
  <c r="L485" i="4462"/>
  <c r="M485" i="4462"/>
  <c r="N485" i="4462"/>
  <c r="O485" i="4462"/>
  <c r="P485" i="4462"/>
  <c r="Q485" i="4462"/>
  <c r="R485" i="4462"/>
  <c r="S485" i="4462"/>
  <c r="T485" i="4462"/>
  <c r="U485" i="4462"/>
  <c r="V485" i="4462"/>
  <c r="W485" i="4462"/>
  <c r="X485" i="4462"/>
  <c r="Y485" i="4462"/>
  <c r="Z485" i="4462"/>
  <c r="AA485" i="4462"/>
  <c r="AB485" i="4462"/>
  <c r="AC485" i="4462"/>
  <c r="AD485" i="4462"/>
  <c r="AE485" i="4462"/>
  <c r="AF485" i="4462"/>
  <c r="AG485" i="4462"/>
  <c r="AH485" i="4462"/>
  <c r="AI485" i="4462"/>
  <c r="AJ485" i="4462"/>
  <c r="AK485" i="4462"/>
  <c r="AL485" i="4462"/>
  <c r="AM485" i="4462"/>
  <c r="AN485" i="4462"/>
  <c r="AO485" i="4462"/>
  <c r="AP485" i="4462"/>
  <c r="AQ485" i="4462"/>
  <c r="AR485" i="4462"/>
  <c r="AS485" i="4462"/>
  <c r="AT485" i="4462"/>
  <c r="AU485" i="4462"/>
  <c r="AV485" i="4462"/>
  <c r="AW485" i="4462"/>
  <c r="AX485" i="4462"/>
  <c r="AY485" i="4462"/>
  <c r="AZ485" i="4462"/>
  <c r="BA485" i="4462"/>
  <c r="BB485" i="4462"/>
  <c r="BC485" i="4462"/>
  <c r="BD485" i="4462"/>
  <c r="A486" i="4462"/>
  <c r="B486" i="4462"/>
  <c r="C486" i="4462"/>
  <c r="D486" i="4462"/>
  <c r="E486" i="4462"/>
  <c r="F486" i="4462"/>
  <c r="G486" i="4462"/>
  <c r="H486" i="4462"/>
  <c r="I486" i="4462"/>
  <c r="J486" i="4462"/>
  <c r="K486" i="4462"/>
  <c r="L486" i="4462"/>
  <c r="M486" i="4462"/>
  <c r="N486" i="4462"/>
  <c r="O486" i="4462"/>
  <c r="P486" i="4462"/>
  <c r="Q486" i="4462"/>
  <c r="R486" i="4462"/>
  <c r="S486" i="4462"/>
  <c r="T486" i="4462"/>
  <c r="U486" i="4462"/>
  <c r="V486" i="4462"/>
  <c r="W486" i="4462"/>
  <c r="X486" i="4462"/>
  <c r="Y486" i="4462"/>
  <c r="Z486" i="4462"/>
  <c r="AA486" i="4462"/>
  <c r="AB486" i="4462"/>
  <c r="AC486" i="4462"/>
  <c r="AD486" i="4462"/>
  <c r="AE486" i="4462"/>
  <c r="AF486" i="4462"/>
  <c r="AG486" i="4462"/>
  <c r="AH486" i="4462"/>
  <c r="AI486" i="4462"/>
  <c r="AJ486" i="4462"/>
  <c r="AK486" i="4462"/>
  <c r="AL486" i="4462"/>
  <c r="AM486" i="4462"/>
  <c r="AN486" i="4462"/>
  <c r="AO486" i="4462"/>
  <c r="AP486" i="4462"/>
  <c r="AQ486" i="4462"/>
  <c r="AR486" i="4462"/>
  <c r="AS486" i="4462"/>
  <c r="AT486" i="4462"/>
  <c r="AU486" i="4462"/>
  <c r="AV486" i="4462"/>
  <c r="AW486" i="4462"/>
  <c r="AX486" i="4462"/>
  <c r="AY486" i="4462"/>
  <c r="AZ486" i="4462"/>
  <c r="BA486" i="4462"/>
  <c r="BB486" i="4462"/>
  <c r="BC486" i="4462"/>
  <c r="BD486" i="4462"/>
  <c r="A487" i="4462"/>
  <c r="B487" i="4462"/>
  <c r="C487" i="4462"/>
  <c r="D487" i="4462"/>
  <c r="E487" i="4462"/>
  <c r="F487" i="4462"/>
  <c r="G487" i="4462"/>
  <c r="H487" i="4462"/>
  <c r="I487" i="4462"/>
  <c r="J487" i="4462"/>
  <c r="K487" i="4462"/>
  <c r="L487" i="4462"/>
  <c r="M487" i="4462"/>
  <c r="N487" i="4462"/>
  <c r="O487" i="4462"/>
  <c r="P487" i="4462"/>
  <c r="Q487" i="4462"/>
  <c r="R487" i="4462"/>
  <c r="S487" i="4462"/>
  <c r="T487" i="4462"/>
  <c r="U487" i="4462"/>
  <c r="V487" i="4462"/>
  <c r="W487" i="4462"/>
  <c r="X487" i="4462"/>
  <c r="Y487" i="4462"/>
  <c r="Z487" i="4462"/>
  <c r="AA487" i="4462"/>
  <c r="AB487" i="4462"/>
  <c r="AC487" i="4462"/>
  <c r="AD487" i="4462"/>
  <c r="AE487" i="4462"/>
  <c r="AF487" i="4462"/>
  <c r="AG487" i="4462"/>
  <c r="AH487" i="4462"/>
  <c r="AI487" i="4462"/>
  <c r="AJ487" i="4462"/>
  <c r="AK487" i="4462"/>
  <c r="AL487" i="4462"/>
  <c r="AM487" i="4462"/>
  <c r="AN487" i="4462"/>
  <c r="AO487" i="4462"/>
  <c r="AP487" i="4462"/>
  <c r="AQ487" i="4462"/>
  <c r="AR487" i="4462"/>
  <c r="AS487" i="4462"/>
  <c r="AT487" i="4462"/>
  <c r="AU487" i="4462"/>
  <c r="AV487" i="4462"/>
  <c r="AW487" i="4462"/>
  <c r="AX487" i="4462"/>
  <c r="AY487" i="4462"/>
  <c r="AZ487" i="4462"/>
  <c r="BA487" i="4462"/>
  <c r="BB487" i="4462"/>
  <c r="BC487" i="4462"/>
  <c r="BD487" i="4462"/>
  <c r="A488" i="4462"/>
  <c r="B488" i="4462"/>
  <c r="C488" i="4462"/>
  <c r="D488" i="4462"/>
  <c r="E488" i="4462"/>
  <c r="F488" i="4462"/>
  <c r="G488" i="4462"/>
  <c r="H488" i="4462"/>
  <c r="I488" i="4462"/>
  <c r="J488" i="4462"/>
  <c r="K488" i="4462"/>
  <c r="L488" i="4462"/>
  <c r="M488" i="4462"/>
  <c r="N488" i="4462"/>
  <c r="O488" i="4462"/>
  <c r="P488" i="4462"/>
  <c r="Q488" i="4462"/>
  <c r="R488" i="4462"/>
  <c r="S488" i="4462"/>
  <c r="T488" i="4462"/>
  <c r="U488" i="4462"/>
  <c r="V488" i="4462"/>
  <c r="W488" i="4462"/>
  <c r="X488" i="4462"/>
  <c r="Y488" i="4462"/>
  <c r="Z488" i="4462"/>
  <c r="AA488" i="4462"/>
  <c r="AB488" i="4462"/>
  <c r="AC488" i="4462"/>
  <c r="AD488" i="4462"/>
  <c r="AE488" i="4462"/>
  <c r="AF488" i="4462"/>
  <c r="AG488" i="4462"/>
  <c r="AH488" i="4462"/>
  <c r="AI488" i="4462"/>
  <c r="AJ488" i="4462"/>
  <c r="AK488" i="4462"/>
  <c r="AL488" i="4462"/>
  <c r="AM488" i="4462"/>
  <c r="AN488" i="4462"/>
  <c r="AO488" i="4462"/>
  <c r="AP488" i="4462"/>
  <c r="AQ488" i="4462"/>
  <c r="AR488" i="4462"/>
  <c r="AS488" i="4462"/>
  <c r="AT488" i="4462"/>
  <c r="AU488" i="4462"/>
  <c r="AV488" i="4462"/>
  <c r="AW488" i="4462"/>
  <c r="AX488" i="4462"/>
  <c r="AY488" i="4462"/>
  <c r="AZ488" i="4462"/>
  <c r="BA488" i="4462"/>
  <c r="BB488" i="4462"/>
  <c r="BC488" i="4462"/>
  <c r="BD488" i="4462"/>
  <c r="A489" i="4462"/>
  <c r="B489" i="4462"/>
  <c r="C489" i="4462"/>
  <c r="D489" i="4462"/>
  <c r="E489" i="4462"/>
  <c r="F489" i="4462"/>
  <c r="G489" i="4462"/>
  <c r="H489" i="4462"/>
  <c r="I489" i="4462"/>
  <c r="J489" i="4462"/>
  <c r="K489" i="4462"/>
  <c r="L489" i="4462"/>
  <c r="M489" i="4462"/>
  <c r="N489" i="4462"/>
  <c r="O489" i="4462"/>
  <c r="P489" i="4462"/>
  <c r="Q489" i="4462"/>
  <c r="R489" i="4462"/>
  <c r="S489" i="4462"/>
  <c r="T489" i="4462"/>
  <c r="U489" i="4462"/>
  <c r="V489" i="4462"/>
  <c r="W489" i="4462"/>
  <c r="X489" i="4462"/>
  <c r="Y489" i="4462"/>
  <c r="Z489" i="4462"/>
  <c r="AA489" i="4462"/>
  <c r="AB489" i="4462"/>
  <c r="AC489" i="4462"/>
  <c r="AD489" i="4462"/>
  <c r="AE489" i="4462"/>
  <c r="AF489" i="4462"/>
  <c r="AG489" i="4462"/>
  <c r="AH489" i="4462"/>
  <c r="AI489" i="4462"/>
  <c r="AJ489" i="4462"/>
  <c r="AK489" i="4462"/>
  <c r="AL489" i="4462"/>
  <c r="AM489" i="4462"/>
  <c r="AN489" i="4462"/>
  <c r="AO489" i="4462"/>
  <c r="AP489" i="4462"/>
  <c r="AQ489" i="4462"/>
  <c r="AR489" i="4462"/>
  <c r="AS489" i="4462"/>
  <c r="AT489" i="4462"/>
  <c r="AU489" i="4462"/>
  <c r="AV489" i="4462"/>
  <c r="AW489" i="4462"/>
  <c r="AX489" i="4462"/>
  <c r="AY489" i="4462"/>
  <c r="AZ489" i="4462"/>
  <c r="BA489" i="4462"/>
  <c r="BB489" i="4462"/>
  <c r="BC489" i="4462"/>
  <c r="BD489" i="4462"/>
  <c r="A490" i="4462"/>
  <c r="B490" i="4462"/>
  <c r="C490" i="4462"/>
  <c r="D490" i="4462"/>
  <c r="E490" i="4462"/>
  <c r="F490" i="4462"/>
  <c r="G490" i="4462"/>
  <c r="H490" i="4462"/>
  <c r="I490" i="4462"/>
  <c r="J490" i="4462"/>
  <c r="K490" i="4462"/>
  <c r="L490" i="4462"/>
  <c r="M490" i="4462"/>
  <c r="N490" i="4462"/>
  <c r="O490" i="4462"/>
  <c r="P490" i="4462"/>
  <c r="Q490" i="4462"/>
  <c r="R490" i="4462"/>
  <c r="S490" i="4462"/>
  <c r="T490" i="4462"/>
  <c r="U490" i="4462"/>
  <c r="V490" i="4462"/>
  <c r="W490" i="4462"/>
  <c r="X490" i="4462"/>
  <c r="Y490" i="4462"/>
  <c r="Z490" i="4462"/>
  <c r="AA490" i="4462"/>
  <c r="AB490" i="4462"/>
  <c r="AC490" i="4462"/>
  <c r="AD490" i="4462"/>
  <c r="AE490" i="4462"/>
  <c r="AF490" i="4462"/>
  <c r="AG490" i="4462"/>
  <c r="AH490" i="4462"/>
  <c r="AI490" i="4462"/>
  <c r="AJ490" i="4462"/>
  <c r="AK490" i="4462"/>
  <c r="AL490" i="4462"/>
  <c r="AM490" i="4462"/>
  <c r="AN490" i="4462"/>
  <c r="AO490" i="4462"/>
  <c r="AP490" i="4462"/>
  <c r="AQ490" i="4462"/>
  <c r="AR490" i="4462"/>
  <c r="AS490" i="4462"/>
  <c r="AT490" i="4462"/>
  <c r="AU490" i="4462"/>
  <c r="AV490" i="4462"/>
  <c r="AW490" i="4462"/>
  <c r="AX490" i="4462"/>
  <c r="AY490" i="4462"/>
  <c r="AZ490" i="4462"/>
  <c r="BA490" i="4462"/>
  <c r="BB490" i="4462"/>
  <c r="BC490" i="4462"/>
  <c r="BD490" i="4462"/>
  <c r="A491" i="4462"/>
  <c r="B491" i="4462"/>
  <c r="C491" i="4462"/>
  <c r="D491" i="4462"/>
  <c r="E491" i="4462"/>
  <c r="F491" i="4462"/>
  <c r="G491" i="4462"/>
  <c r="H491" i="4462"/>
  <c r="I491" i="4462"/>
  <c r="J491" i="4462"/>
  <c r="K491" i="4462"/>
  <c r="L491" i="4462"/>
  <c r="M491" i="4462"/>
  <c r="N491" i="4462"/>
  <c r="O491" i="4462"/>
  <c r="P491" i="4462"/>
  <c r="Q491" i="4462"/>
  <c r="R491" i="4462"/>
  <c r="S491" i="4462"/>
  <c r="T491" i="4462"/>
  <c r="U491" i="4462"/>
  <c r="V491" i="4462"/>
  <c r="W491" i="4462"/>
  <c r="X491" i="4462"/>
  <c r="Y491" i="4462"/>
  <c r="Z491" i="4462"/>
  <c r="AA491" i="4462"/>
  <c r="AB491" i="4462"/>
  <c r="AC491" i="4462"/>
  <c r="AD491" i="4462"/>
  <c r="AE491" i="4462"/>
  <c r="AF491" i="4462"/>
  <c r="AG491" i="4462"/>
  <c r="AH491" i="4462"/>
  <c r="AI491" i="4462"/>
  <c r="AJ491" i="4462"/>
  <c r="AK491" i="4462"/>
  <c r="AL491" i="4462"/>
  <c r="AM491" i="4462"/>
  <c r="AN491" i="4462"/>
  <c r="AO491" i="4462"/>
  <c r="AP491" i="4462"/>
  <c r="AQ491" i="4462"/>
  <c r="AR491" i="4462"/>
  <c r="AS491" i="4462"/>
  <c r="AT491" i="4462"/>
  <c r="AU491" i="4462"/>
  <c r="AV491" i="4462"/>
  <c r="AW491" i="4462"/>
  <c r="AX491" i="4462"/>
  <c r="AY491" i="4462"/>
  <c r="AZ491" i="4462"/>
  <c r="BA491" i="4462"/>
  <c r="BB491" i="4462"/>
  <c r="BC491" i="4462"/>
  <c r="BD491" i="4462"/>
  <c r="A492" i="4462"/>
  <c r="B492" i="4462"/>
  <c r="C492" i="4462"/>
  <c r="D492" i="4462"/>
  <c r="E492" i="4462"/>
  <c r="F492" i="4462"/>
  <c r="G492" i="4462"/>
  <c r="H492" i="4462"/>
  <c r="I492" i="4462"/>
  <c r="J492" i="4462"/>
  <c r="K492" i="4462"/>
  <c r="L492" i="4462"/>
  <c r="M492" i="4462"/>
  <c r="N492" i="4462"/>
  <c r="O492" i="4462"/>
  <c r="P492" i="4462"/>
  <c r="Q492" i="4462"/>
  <c r="R492" i="4462"/>
  <c r="S492" i="4462"/>
  <c r="T492" i="4462"/>
  <c r="U492" i="4462"/>
  <c r="V492" i="4462"/>
  <c r="W492" i="4462"/>
  <c r="X492" i="4462"/>
  <c r="Y492" i="4462"/>
  <c r="Z492" i="4462"/>
  <c r="AA492" i="4462"/>
  <c r="AB492" i="4462"/>
  <c r="AC492" i="4462"/>
  <c r="AD492" i="4462"/>
  <c r="AE492" i="4462"/>
  <c r="AF492" i="4462"/>
  <c r="AG492" i="4462"/>
  <c r="AH492" i="4462"/>
  <c r="AI492" i="4462"/>
  <c r="AJ492" i="4462"/>
  <c r="AK492" i="4462"/>
  <c r="AL492" i="4462"/>
  <c r="AM492" i="4462"/>
  <c r="AN492" i="4462"/>
  <c r="AO492" i="4462"/>
  <c r="AP492" i="4462"/>
  <c r="AQ492" i="4462"/>
  <c r="AR492" i="4462"/>
  <c r="AS492" i="4462"/>
  <c r="AT492" i="4462"/>
  <c r="AU492" i="4462"/>
  <c r="AV492" i="4462"/>
  <c r="AW492" i="4462"/>
  <c r="AX492" i="4462"/>
  <c r="AY492" i="4462"/>
  <c r="AZ492" i="4462"/>
  <c r="BA492" i="4462"/>
  <c r="BB492" i="4462"/>
  <c r="BC492" i="4462"/>
  <c r="BD492" i="4462"/>
  <c r="A493" i="4462"/>
  <c r="B493" i="4462"/>
  <c r="C493" i="4462"/>
  <c r="D493" i="4462"/>
  <c r="E493" i="4462"/>
  <c r="F493" i="4462"/>
  <c r="G493" i="4462"/>
  <c r="H493" i="4462"/>
  <c r="I493" i="4462"/>
  <c r="J493" i="4462"/>
  <c r="K493" i="4462"/>
  <c r="L493" i="4462"/>
  <c r="M493" i="4462"/>
  <c r="N493" i="4462"/>
  <c r="O493" i="4462"/>
  <c r="P493" i="4462"/>
  <c r="Q493" i="4462"/>
  <c r="R493" i="4462"/>
  <c r="S493" i="4462"/>
  <c r="T493" i="4462"/>
  <c r="U493" i="4462"/>
  <c r="V493" i="4462"/>
  <c r="W493" i="4462"/>
  <c r="X493" i="4462"/>
  <c r="Y493" i="4462"/>
  <c r="Z493" i="4462"/>
  <c r="AA493" i="4462"/>
  <c r="AB493" i="4462"/>
  <c r="AC493" i="4462"/>
  <c r="AD493" i="4462"/>
  <c r="AE493" i="4462"/>
  <c r="AF493" i="4462"/>
  <c r="AG493" i="4462"/>
  <c r="AH493" i="4462"/>
  <c r="AI493" i="4462"/>
  <c r="AJ493" i="4462"/>
  <c r="AK493" i="4462"/>
  <c r="AL493" i="4462"/>
  <c r="AM493" i="4462"/>
  <c r="AN493" i="4462"/>
  <c r="AO493" i="4462"/>
  <c r="AP493" i="4462"/>
  <c r="AQ493" i="4462"/>
  <c r="AR493" i="4462"/>
  <c r="AS493" i="4462"/>
  <c r="AT493" i="4462"/>
  <c r="AU493" i="4462"/>
  <c r="AV493" i="4462"/>
  <c r="AW493" i="4462"/>
  <c r="AX493" i="4462"/>
  <c r="AY493" i="4462"/>
  <c r="AZ493" i="4462"/>
  <c r="BA493" i="4462"/>
  <c r="BB493" i="4462"/>
  <c r="BC493" i="4462"/>
  <c r="BD493" i="4462"/>
  <c r="A494" i="4462"/>
  <c r="B494" i="4462"/>
  <c r="C494" i="4462"/>
  <c r="D494" i="4462"/>
  <c r="E494" i="4462"/>
  <c r="F494" i="4462"/>
  <c r="G494" i="4462"/>
  <c r="H494" i="4462"/>
  <c r="I494" i="4462"/>
  <c r="J494" i="4462"/>
  <c r="K494" i="4462"/>
  <c r="L494" i="4462"/>
  <c r="M494" i="4462"/>
  <c r="N494" i="4462"/>
  <c r="O494" i="4462"/>
  <c r="P494" i="4462"/>
  <c r="Q494" i="4462"/>
  <c r="R494" i="4462"/>
  <c r="S494" i="4462"/>
  <c r="T494" i="4462"/>
  <c r="U494" i="4462"/>
  <c r="V494" i="4462"/>
  <c r="W494" i="4462"/>
  <c r="X494" i="4462"/>
  <c r="Y494" i="4462"/>
  <c r="Z494" i="4462"/>
  <c r="AA494" i="4462"/>
  <c r="AB494" i="4462"/>
  <c r="AC494" i="4462"/>
  <c r="AD494" i="4462"/>
  <c r="AE494" i="4462"/>
  <c r="AF494" i="4462"/>
  <c r="AG494" i="4462"/>
  <c r="AH494" i="4462"/>
  <c r="AI494" i="4462"/>
  <c r="AJ494" i="4462"/>
  <c r="AK494" i="4462"/>
  <c r="AL494" i="4462"/>
  <c r="AM494" i="4462"/>
  <c r="AN494" i="4462"/>
  <c r="AO494" i="4462"/>
  <c r="AP494" i="4462"/>
  <c r="AQ494" i="4462"/>
  <c r="AR494" i="4462"/>
  <c r="AS494" i="4462"/>
  <c r="AT494" i="4462"/>
  <c r="AU494" i="4462"/>
  <c r="AV494" i="4462"/>
  <c r="AW494" i="4462"/>
  <c r="AX494" i="4462"/>
  <c r="AY494" i="4462"/>
  <c r="AZ494" i="4462"/>
  <c r="BA494" i="4462"/>
  <c r="BB494" i="4462"/>
  <c r="BC494" i="4462"/>
  <c r="BD494" i="4462"/>
  <c r="A495" i="4462"/>
  <c r="B495" i="4462"/>
  <c r="C495" i="4462"/>
  <c r="D495" i="4462"/>
  <c r="E495" i="4462"/>
  <c r="F495" i="4462"/>
  <c r="G495" i="4462"/>
  <c r="H495" i="4462"/>
  <c r="I495" i="4462"/>
  <c r="J495" i="4462"/>
  <c r="K495" i="4462"/>
  <c r="L495" i="4462"/>
  <c r="M495" i="4462"/>
  <c r="N495" i="4462"/>
  <c r="O495" i="4462"/>
  <c r="P495" i="4462"/>
  <c r="Q495" i="4462"/>
  <c r="R495" i="4462"/>
  <c r="S495" i="4462"/>
  <c r="T495" i="4462"/>
  <c r="U495" i="4462"/>
  <c r="V495" i="4462"/>
  <c r="W495" i="4462"/>
  <c r="X495" i="4462"/>
  <c r="Y495" i="4462"/>
  <c r="Z495" i="4462"/>
  <c r="AA495" i="4462"/>
  <c r="AB495" i="4462"/>
  <c r="AC495" i="4462"/>
  <c r="AD495" i="4462"/>
  <c r="AE495" i="4462"/>
  <c r="AF495" i="4462"/>
  <c r="AG495" i="4462"/>
  <c r="AH495" i="4462"/>
  <c r="AI495" i="4462"/>
  <c r="AJ495" i="4462"/>
  <c r="AK495" i="4462"/>
  <c r="AL495" i="4462"/>
  <c r="AM495" i="4462"/>
  <c r="AN495" i="4462"/>
  <c r="AO495" i="4462"/>
  <c r="AP495" i="4462"/>
  <c r="AQ495" i="4462"/>
  <c r="AR495" i="4462"/>
  <c r="AS495" i="4462"/>
  <c r="AT495" i="4462"/>
  <c r="AU495" i="4462"/>
  <c r="AV495" i="4462"/>
  <c r="AW495" i="4462"/>
  <c r="AX495" i="4462"/>
  <c r="AY495" i="4462"/>
  <c r="AZ495" i="4462"/>
  <c r="BA495" i="4462"/>
  <c r="BB495" i="4462"/>
  <c r="BC495" i="4462"/>
  <c r="BD495" i="4462"/>
  <c r="A496" i="4462"/>
  <c r="B496" i="4462"/>
  <c r="C496" i="4462"/>
  <c r="D496" i="4462"/>
  <c r="E496" i="4462"/>
  <c r="F496" i="4462"/>
  <c r="G496" i="4462"/>
  <c r="H496" i="4462"/>
  <c r="I496" i="4462"/>
  <c r="J496" i="4462"/>
  <c r="K496" i="4462"/>
  <c r="L496" i="4462"/>
  <c r="M496" i="4462"/>
  <c r="N496" i="4462"/>
  <c r="O496" i="4462"/>
  <c r="P496" i="4462"/>
  <c r="Q496" i="4462"/>
  <c r="R496" i="4462"/>
  <c r="S496" i="4462"/>
  <c r="T496" i="4462"/>
  <c r="U496" i="4462"/>
  <c r="V496" i="4462"/>
  <c r="W496" i="4462"/>
  <c r="X496" i="4462"/>
  <c r="Y496" i="4462"/>
  <c r="Z496" i="4462"/>
  <c r="AA496" i="4462"/>
  <c r="AB496" i="4462"/>
  <c r="AC496" i="4462"/>
  <c r="AD496" i="4462"/>
  <c r="AE496" i="4462"/>
  <c r="AF496" i="4462"/>
  <c r="AG496" i="4462"/>
  <c r="AH496" i="4462"/>
  <c r="AI496" i="4462"/>
  <c r="AJ496" i="4462"/>
  <c r="AK496" i="4462"/>
  <c r="AL496" i="4462"/>
  <c r="AM496" i="4462"/>
  <c r="AN496" i="4462"/>
  <c r="AO496" i="4462"/>
  <c r="AP496" i="4462"/>
  <c r="AQ496" i="4462"/>
  <c r="AR496" i="4462"/>
  <c r="AS496" i="4462"/>
  <c r="AT496" i="4462"/>
  <c r="AU496" i="4462"/>
  <c r="AV496" i="4462"/>
  <c r="AW496" i="4462"/>
  <c r="AX496" i="4462"/>
  <c r="AY496" i="4462"/>
  <c r="AZ496" i="4462"/>
  <c r="BA496" i="4462"/>
  <c r="BB496" i="4462"/>
  <c r="BC496" i="4462"/>
  <c r="BD496" i="4462"/>
  <c r="A497" i="4462"/>
  <c r="B497" i="4462"/>
  <c r="C497" i="4462"/>
  <c r="D497" i="4462"/>
  <c r="E497" i="4462"/>
  <c r="F497" i="4462"/>
  <c r="G497" i="4462"/>
  <c r="H497" i="4462"/>
  <c r="I497" i="4462"/>
  <c r="J497" i="4462"/>
  <c r="K497" i="4462"/>
  <c r="L497" i="4462"/>
  <c r="M497" i="4462"/>
  <c r="N497" i="4462"/>
  <c r="O497" i="4462"/>
  <c r="P497" i="4462"/>
  <c r="Q497" i="4462"/>
  <c r="R497" i="4462"/>
  <c r="S497" i="4462"/>
  <c r="T497" i="4462"/>
  <c r="U497" i="4462"/>
  <c r="V497" i="4462"/>
  <c r="W497" i="4462"/>
  <c r="X497" i="4462"/>
  <c r="Y497" i="4462"/>
  <c r="Z497" i="4462"/>
  <c r="AA497" i="4462"/>
  <c r="AB497" i="4462"/>
  <c r="AC497" i="4462"/>
  <c r="AD497" i="4462"/>
  <c r="AE497" i="4462"/>
  <c r="AF497" i="4462"/>
  <c r="AG497" i="4462"/>
  <c r="AH497" i="4462"/>
  <c r="AI497" i="4462"/>
  <c r="AJ497" i="4462"/>
  <c r="AK497" i="4462"/>
  <c r="AL497" i="4462"/>
  <c r="AM497" i="4462"/>
  <c r="AN497" i="4462"/>
  <c r="AO497" i="4462"/>
  <c r="AP497" i="4462"/>
  <c r="AQ497" i="4462"/>
  <c r="AR497" i="4462"/>
  <c r="AS497" i="4462"/>
  <c r="AT497" i="4462"/>
  <c r="AU497" i="4462"/>
  <c r="AV497" i="4462"/>
  <c r="AW497" i="4462"/>
  <c r="AX497" i="4462"/>
  <c r="AY497" i="4462"/>
  <c r="AZ497" i="4462"/>
  <c r="BA497" i="4462"/>
  <c r="BB497" i="4462"/>
  <c r="BC497" i="4462"/>
  <c r="BD497" i="4462"/>
  <c r="A498" i="4462"/>
  <c r="B498" i="4462"/>
  <c r="C498" i="4462"/>
  <c r="D498" i="4462"/>
  <c r="E498" i="4462"/>
  <c r="F498" i="4462"/>
  <c r="G498" i="4462"/>
  <c r="H498" i="4462"/>
  <c r="I498" i="4462"/>
  <c r="J498" i="4462"/>
  <c r="K498" i="4462"/>
  <c r="L498" i="4462"/>
  <c r="M498" i="4462"/>
  <c r="N498" i="4462"/>
  <c r="O498" i="4462"/>
  <c r="P498" i="4462"/>
  <c r="Q498" i="4462"/>
  <c r="R498" i="4462"/>
  <c r="S498" i="4462"/>
  <c r="T498" i="4462"/>
  <c r="U498" i="4462"/>
  <c r="V498" i="4462"/>
  <c r="W498" i="4462"/>
  <c r="X498" i="4462"/>
  <c r="Y498" i="4462"/>
  <c r="Z498" i="4462"/>
  <c r="AA498" i="4462"/>
  <c r="AB498" i="4462"/>
  <c r="AC498" i="4462"/>
  <c r="AD498" i="4462"/>
  <c r="AE498" i="4462"/>
  <c r="AF498" i="4462"/>
  <c r="AG498" i="4462"/>
  <c r="AH498" i="4462"/>
  <c r="AI498" i="4462"/>
  <c r="AJ498" i="4462"/>
  <c r="AK498" i="4462"/>
  <c r="AL498" i="4462"/>
  <c r="AM498" i="4462"/>
  <c r="AN498" i="4462"/>
  <c r="AO498" i="4462"/>
  <c r="AP498" i="4462"/>
  <c r="AQ498" i="4462"/>
  <c r="AR498" i="4462"/>
  <c r="AS498" i="4462"/>
  <c r="AT498" i="4462"/>
  <c r="AU498" i="4462"/>
  <c r="AV498" i="4462"/>
  <c r="AW498" i="4462"/>
  <c r="AX498" i="4462"/>
  <c r="AY498" i="4462"/>
  <c r="AZ498" i="4462"/>
  <c r="BA498" i="4462"/>
  <c r="BB498" i="4462"/>
  <c r="BC498" i="4462"/>
  <c r="BD498" i="4462"/>
  <c r="A499" i="4462"/>
  <c r="B499" i="4462"/>
  <c r="C499" i="4462"/>
  <c r="D499" i="4462"/>
  <c r="E499" i="4462"/>
  <c r="F499" i="4462"/>
  <c r="G499" i="4462"/>
  <c r="H499" i="4462"/>
  <c r="I499" i="4462"/>
  <c r="J499" i="4462"/>
  <c r="K499" i="4462"/>
  <c r="L499" i="4462"/>
  <c r="M499" i="4462"/>
  <c r="N499" i="4462"/>
  <c r="O499" i="4462"/>
  <c r="P499" i="4462"/>
  <c r="Q499" i="4462"/>
  <c r="R499" i="4462"/>
  <c r="S499" i="4462"/>
  <c r="T499" i="4462"/>
  <c r="U499" i="4462"/>
  <c r="V499" i="4462"/>
  <c r="W499" i="4462"/>
  <c r="X499" i="4462"/>
  <c r="Y499" i="4462"/>
  <c r="Z499" i="4462"/>
  <c r="AA499" i="4462"/>
  <c r="AB499" i="4462"/>
  <c r="AC499" i="4462"/>
  <c r="AD499" i="4462"/>
  <c r="AE499" i="4462"/>
  <c r="AF499" i="4462"/>
  <c r="AG499" i="4462"/>
  <c r="AH499" i="4462"/>
  <c r="AI499" i="4462"/>
  <c r="AJ499" i="4462"/>
  <c r="AK499" i="4462"/>
  <c r="AL499" i="4462"/>
  <c r="AM499" i="4462"/>
  <c r="AN499" i="4462"/>
  <c r="AO499" i="4462"/>
  <c r="AP499" i="4462"/>
  <c r="AQ499" i="4462"/>
  <c r="AR499" i="4462"/>
  <c r="AS499" i="4462"/>
  <c r="AT499" i="4462"/>
  <c r="AU499" i="4462"/>
  <c r="AV499" i="4462"/>
  <c r="AW499" i="4462"/>
  <c r="AX499" i="4462"/>
  <c r="AY499" i="4462"/>
  <c r="AZ499" i="4462"/>
  <c r="BA499" i="4462"/>
  <c r="BB499" i="4462"/>
  <c r="BC499" i="4462"/>
  <c r="BD499" i="4462"/>
  <c r="A500" i="4462"/>
  <c r="B500" i="4462"/>
  <c r="C500" i="4462"/>
  <c r="D500" i="4462"/>
  <c r="E500" i="4462"/>
  <c r="F500" i="4462"/>
  <c r="G500" i="4462"/>
  <c r="H500" i="4462"/>
  <c r="I500" i="4462"/>
  <c r="J500" i="4462"/>
  <c r="K500" i="4462"/>
  <c r="L500" i="4462"/>
  <c r="M500" i="4462"/>
  <c r="N500" i="4462"/>
  <c r="O500" i="4462"/>
  <c r="P500" i="4462"/>
  <c r="Q500" i="4462"/>
  <c r="R500" i="4462"/>
  <c r="S500" i="4462"/>
  <c r="T500" i="4462"/>
  <c r="U500" i="4462"/>
  <c r="V500" i="4462"/>
  <c r="W500" i="4462"/>
  <c r="X500" i="4462"/>
  <c r="Y500" i="4462"/>
  <c r="Z500" i="4462"/>
  <c r="AA500" i="4462"/>
  <c r="AB500" i="4462"/>
  <c r="AC500" i="4462"/>
  <c r="AD500" i="4462"/>
  <c r="AE500" i="4462"/>
  <c r="AF500" i="4462"/>
  <c r="AG500" i="4462"/>
  <c r="AH500" i="4462"/>
  <c r="AI500" i="4462"/>
  <c r="AJ500" i="4462"/>
  <c r="AK500" i="4462"/>
  <c r="AL500" i="4462"/>
  <c r="AM500" i="4462"/>
  <c r="AN500" i="4462"/>
  <c r="AO500" i="4462"/>
  <c r="AP500" i="4462"/>
  <c r="AQ500" i="4462"/>
  <c r="AR500" i="4462"/>
  <c r="AS500" i="4462"/>
  <c r="AT500" i="4462"/>
  <c r="AU500" i="4462"/>
  <c r="AV500" i="4462"/>
  <c r="AW500" i="4462"/>
  <c r="AX500" i="4462"/>
  <c r="AY500" i="4462"/>
  <c r="AZ500" i="4462"/>
  <c r="BA500" i="4462"/>
  <c r="BB500" i="4462"/>
  <c r="BC500" i="4462"/>
  <c r="BD500" i="4462"/>
  <c r="A501" i="4462"/>
  <c r="B501" i="4462"/>
  <c r="C501" i="4462"/>
  <c r="D501" i="4462"/>
  <c r="E501" i="4462"/>
  <c r="F501" i="4462"/>
  <c r="G501" i="4462"/>
  <c r="H501" i="4462"/>
  <c r="I501" i="4462"/>
  <c r="J501" i="4462"/>
  <c r="K501" i="4462"/>
  <c r="L501" i="4462"/>
  <c r="M501" i="4462"/>
  <c r="N501" i="4462"/>
  <c r="O501" i="4462"/>
  <c r="P501" i="4462"/>
  <c r="Q501" i="4462"/>
  <c r="R501" i="4462"/>
  <c r="S501" i="4462"/>
  <c r="T501" i="4462"/>
  <c r="U501" i="4462"/>
  <c r="V501" i="4462"/>
  <c r="W501" i="4462"/>
  <c r="X501" i="4462"/>
  <c r="Y501" i="4462"/>
  <c r="Z501" i="4462"/>
  <c r="AA501" i="4462"/>
  <c r="AB501" i="4462"/>
  <c r="AC501" i="4462"/>
  <c r="AD501" i="4462"/>
  <c r="AE501" i="4462"/>
  <c r="AF501" i="4462"/>
  <c r="AG501" i="4462"/>
  <c r="AH501" i="4462"/>
  <c r="AI501" i="4462"/>
  <c r="AJ501" i="4462"/>
  <c r="AK501" i="4462"/>
  <c r="AL501" i="4462"/>
  <c r="AM501" i="4462"/>
  <c r="AN501" i="4462"/>
  <c r="AO501" i="4462"/>
  <c r="AP501" i="4462"/>
  <c r="AQ501" i="4462"/>
  <c r="AR501" i="4462"/>
  <c r="AS501" i="4462"/>
  <c r="AT501" i="4462"/>
  <c r="AU501" i="4462"/>
  <c r="AV501" i="4462"/>
  <c r="AW501" i="4462"/>
  <c r="AX501" i="4462"/>
  <c r="AY501" i="4462"/>
  <c r="AZ501" i="4462"/>
  <c r="BA501" i="4462"/>
  <c r="BB501" i="4462"/>
  <c r="BC501" i="4462"/>
  <c r="BD501" i="4462"/>
  <c r="A502" i="4462"/>
  <c r="B502" i="4462"/>
  <c r="C502" i="4462"/>
  <c r="D502" i="4462"/>
  <c r="E502" i="4462"/>
  <c r="F502" i="4462"/>
  <c r="G502" i="4462"/>
  <c r="H502" i="4462"/>
  <c r="I502" i="4462"/>
  <c r="J502" i="4462"/>
  <c r="K502" i="4462"/>
  <c r="L502" i="4462"/>
  <c r="M502" i="4462"/>
  <c r="N502" i="4462"/>
  <c r="O502" i="4462"/>
  <c r="P502" i="4462"/>
  <c r="Q502" i="4462"/>
  <c r="R502" i="4462"/>
  <c r="S502" i="4462"/>
  <c r="T502" i="4462"/>
  <c r="U502" i="4462"/>
  <c r="V502" i="4462"/>
  <c r="W502" i="4462"/>
  <c r="X502" i="4462"/>
  <c r="Y502" i="4462"/>
  <c r="Z502" i="4462"/>
  <c r="AA502" i="4462"/>
  <c r="AB502" i="4462"/>
  <c r="AC502" i="4462"/>
  <c r="AD502" i="4462"/>
  <c r="AE502" i="4462"/>
  <c r="AF502" i="4462"/>
  <c r="AG502" i="4462"/>
  <c r="AH502" i="4462"/>
  <c r="AI502" i="4462"/>
  <c r="AJ502" i="4462"/>
  <c r="AK502" i="4462"/>
  <c r="AL502" i="4462"/>
  <c r="AM502" i="4462"/>
  <c r="AN502" i="4462"/>
  <c r="AO502" i="4462"/>
  <c r="AP502" i="4462"/>
  <c r="AQ502" i="4462"/>
  <c r="AR502" i="4462"/>
  <c r="AS502" i="4462"/>
  <c r="AT502" i="4462"/>
  <c r="AU502" i="4462"/>
  <c r="AV502" i="4462"/>
  <c r="AW502" i="4462"/>
  <c r="AX502" i="4462"/>
  <c r="AY502" i="4462"/>
  <c r="AZ502" i="4462"/>
  <c r="BA502" i="4462"/>
  <c r="BB502" i="4462"/>
  <c r="BC502" i="4462"/>
  <c r="BD502" i="4462"/>
  <c r="A503" i="4462"/>
  <c r="B503" i="4462"/>
  <c r="C503" i="4462"/>
  <c r="D503" i="4462"/>
  <c r="E503" i="4462"/>
  <c r="F503" i="4462"/>
  <c r="G503" i="4462"/>
  <c r="H503" i="4462"/>
  <c r="I503" i="4462"/>
  <c r="J503" i="4462"/>
  <c r="K503" i="4462"/>
  <c r="L503" i="4462"/>
  <c r="M503" i="4462"/>
  <c r="N503" i="4462"/>
  <c r="O503" i="4462"/>
  <c r="P503" i="4462"/>
  <c r="Q503" i="4462"/>
  <c r="R503" i="4462"/>
  <c r="S503" i="4462"/>
  <c r="T503" i="4462"/>
  <c r="U503" i="4462"/>
  <c r="V503" i="4462"/>
  <c r="W503" i="4462"/>
  <c r="X503" i="4462"/>
  <c r="Y503" i="4462"/>
  <c r="Z503" i="4462"/>
  <c r="AA503" i="4462"/>
  <c r="AB503" i="4462"/>
  <c r="AC503" i="4462"/>
  <c r="AD503" i="4462"/>
  <c r="AE503" i="4462"/>
  <c r="AF503" i="4462"/>
  <c r="AG503" i="4462"/>
  <c r="AH503" i="4462"/>
  <c r="AI503" i="4462"/>
  <c r="AJ503" i="4462"/>
  <c r="AK503" i="4462"/>
  <c r="AL503" i="4462"/>
  <c r="AM503" i="4462"/>
  <c r="AN503" i="4462"/>
  <c r="AO503" i="4462"/>
  <c r="AP503" i="4462"/>
  <c r="AQ503" i="4462"/>
  <c r="AR503" i="4462"/>
  <c r="AS503" i="4462"/>
  <c r="AT503" i="4462"/>
  <c r="AU503" i="4462"/>
  <c r="AV503" i="4462"/>
  <c r="AW503" i="4462"/>
  <c r="AX503" i="4462"/>
  <c r="AY503" i="4462"/>
  <c r="AZ503" i="4462"/>
  <c r="BA503" i="4462"/>
  <c r="BB503" i="4462"/>
  <c r="BC503" i="4462"/>
  <c r="BD503" i="4462"/>
  <c r="A504" i="4462"/>
  <c r="B504" i="4462"/>
  <c r="C504" i="4462"/>
  <c r="D504" i="4462"/>
  <c r="E504" i="4462"/>
  <c r="F504" i="4462"/>
  <c r="G504" i="4462"/>
  <c r="H504" i="4462"/>
  <c r="I504" i="4462"/>
  <c r="J504" i="4462"/>
  <c r="K504" i="4462"/>
  <c r="L504" i="4462"/>
  <c r="M504" i="4462"/>
  <c r="N504" i="4462"/>
  <c r="O504" i="4462"/>
  <c r="P504" i="4462"/>
  <c r="Q504" i="4462"/>
  <c r="R504" i="4462"/>
  <c r="S504" i="4462"/>
  <c r="T504" i="4462"/>
  <c r="U504" i="4462"/>
  <c r="V504" i="4462"/>
  <c r="W504" i="4462"/>
  <c r="X504" i="4462"/>
  <c r="Y504" i="4462"/>
  <c r="Z504" i="4462"/>
  <c r="AA504" i="4462"/>
  <c r="AB504" i="4462"/>
  <c r="AC504" i="4462"/>
  <c r="AD504" i="4462"/>
  <c r="AE504" i="4462"/>
  <c r="AF504" i="4462"/>
  <c r="AG504" i="4462"/>
  <c r="AH504" i="4462"/>
  <c r="AI504" i="4462"/>
  <c r="AJ504" i="4462"/>
  <c r="AK504" i="4462"/>
  <c r="AL504" i="4462"/>
  <c r="AM504" i="4462"/>
  <c r="AN504" i="4462"/>
  <c r="AO504" i="4462"/>
  <c r="AP504" i="4462"/>
  <c r="AQ504" i="4462"/>
  <c r="AR504" i="4462"/>
  <c r="AS504" i="4462"/>
  <c r="AT504" i="4462"/>
  <c r="AU504" i="4462"/>
  <c r="AV504" i="4462"/>
  <c r="AW504" i="4462"/>
  <c r="AX504" i="4462"/>
  <c r="AY504" i="4462"/>
  <c r="AZ504" i="4462"/>
  <c r="BA504" i="4462"/>
  <c r="BB504" i="4462"/>
  <c r="BC504" i="4462"/>
  <c r="BD504" i="4462"/>
  <c r="A505" i="4462"/>
  <c r="B505" i="4462"/>
  <c r="C505" i="4462"/>
  <c r="D505" i="4462"/>
  <c r="E505" i="4462"/>
  <c r="F505" i="4462"/>
  <c r="G505" i="4462"/>
  <c r="H505" i="4462"/>
  <c r="I505" i="4462"/>
  <c r="J505" i="4462"/>
  <c r="K505" i="4462"/>
  <c r="L505" i="4462"/>
  <c r="M505" i="4462"/>
  <c r="N505" i="4462"/>
  <c r="O505" i="4462"/>
  <c r="P505" i="4462"/>
  <c r="Q505" i="4462"/>
  <c r="R505" i="4462"/>
  <c r="S505" i="4462"/>
  <c r="T505" i="4462"/>
  <c r="U505" i="4462"/>
  <c r="V505" i="4462"/>
  <c r="W505" i="4462"/>
  <c r="X505" i="4462"/>
  <c r="Y505" i="4462"/>
  <c r="Z505" i="4462"/>
  <c r="AA505" i="4462"/>
  <c r="AB505" i="4462"/>
  <c r="AC505" i="4462"/>
  <c r="AD505" i="4462"/>
  <c r="AE505" i="4462"/>
  <c r="AF505" i="4462"/>
  <c r="AG505" i="4462"/>
  <c r="AH505" i="4462"/>
  <c r="AI505" i="4462"/>
  <c r="AJ505" i="4462"/>
  <c r="AK505" i="4462"/>
  <c r="AL505" i="4462"/>
  <c r="AM505" i="4462"/>
  <c r="AN505" i="4462"/>
  <c r="AO505" i="4462"/>
  <c r="AP505" i="4462"/>
  <c r="AQ505" i="4462"/>
  <c r="AR505" i="4462"/>
  <c r="AS505" i="4462"/>
  <c r="AT505" i="4462"/>
  <c r="AU505" i="4462"/>
  <c r="AV505" i="4462"/>
  <c r="AW505" i="4462"/>
  <c r="AX505" i="4462"/>
  <c r="AY505" i="4462"/>
  <c r="AZ505" i="4462"/>
  <c r="BA505" i="4462"/>
  <c r="BB505" i="4462"/>
  <c r="BC505" i="4462"/>
  <c r="BD505" i="4462"/>
  <c r="A506" i="4462"/>
  <c r="B506" i="4462"/>
  <c r="C506" i="4462"/>
  <c r="D506" i="4462"/>
  <c r="E506" i="4462"/>
  <c r="F506" i="4462"/>
  <c r="G506" i="4462"/>
  <c r="H506" i="4462"/>
  <c r="I506" i="4462"/>
  <c r="J506" i="4462"/>
  <c r="K506" i="4462"/>
  <c r="L506" i="4462"/>
  <c r="M506" i="4462"/>
  <c r="N506" i="4462"/>
  <c r="O506" i="4462"/>
  <c r="P506" i="4462"/>
  <c r="Q506" i="4462"/>
  <c r="R506" i="4462"/>
  <c r="S506" i="4462"/>
  <c r="T506" i="4462"/>
  <c r="U506" i="4462"/>
  <c r="V506" i="4462"/>
  <c r="W506" i="4462"/>
  <c r="X506" i="4462"/>
  <c r="Y506" i="4462"/>
  <c r="Z506" i="4462"/>
  <c r="AA506" i="4462"/>
  <c r="AB506" i="4462"/>
  <c r="AC506" i="4462"/>
  <c r="AD506" i="4462"/>
  <c r="AE506" i="4462"/>
  <c r="AF506" i="4462"/>
  <c r="AG506" i="4462"/>
  <c r="AH506" i="4462"/>
  <c r="AI506" i="4462"/>
  <c r="AJ506" i="4462"/>
  <c r="AK506" i="4462"/>
  <c r="AL506" i="4462"/>
  <c r="AM506" i="4462"/>
  <c r="AN506" i="4462"/>
  <c r="AO506" i="4462"/>
  <c r="AP506" i="4462"/>
  <c r="AQ506" i="4462"/>
  <c r="AR506" i="4462"/>
  <c r="AS506" i="4462"/>
  <c r="AT506" i="4462"/>
  <c r="AU506" i="4462"/>
  <c r="AV506" i="4462"/>
  <c r="AW506" i="4462"/>
  <c r="AX506" i="4462"/>
  <c r="AY506" i="4462"/>
  <c r="AZ506" i="4462"/>
  <c r="BA506" i="4462"/>
  <c r="BB506" i="4462"/>
  <c r="BC506" i="4462"/>
  <c r="BD506" i="4462"/>
  <c r="A507" i="4462"/>
  <c r="B507" i="4462"/>
  <c r="C507" i="4462"/>
  <c r="D507" i="4462"/>
  <c r="E507" i="4462"/>
  <c r="F507" i="4462"/>
  <c r="G507" i="4462"/>
  <c r="H507" i="4462"/>
  <c r="I507" i="4462"/>
  <c r="J507" i="4462"/>
  <c r="K507" i="4462"/>
  <c r="L507" i="4462"/>
  <c r="M507" i="4462"/>
  <c r="N507" i="4462"/>
  <c r="O507" i="4462"/>
  <c r="P507" i="4462"/>
  <c r="Q507" i="4462"/>
  <c r="R507" i="4462"/>
  <c r="S507" i="4462"/>
  <c r="T507" i="4462"/>
  <c r="U507" i="4462"/>
  <c r="V507" i="4462"/>
  <c r="W507" i="4462"/>
  <c r="X507" i="4462"/>
  <c r="Y507" i="4462"/>
  <c r="Z507" i="4462"/>
  <c r="AA507" i="4462"/>
  <c r="AB507" i="4462"/>
  <c r="AC507" i="4462"/>
  <c r="AD507" i="4462"/>
  <c r="AE507" i="4462"/>
  <c r="AF507" i="4462"/>
  <c r="AG507" i="4462"/>
  <c r="AH507" i="4462"/>
  <c r="AI507" i="4462"/>
  <c r="AJ507" i="4462"/>
  <c r="AK507" i="4462"/>
  <c r="AL507" i="4462"/>
  <c r="AM507" i="4462"/>
  <c r="AN507" i="4462"/>
  <c r="AO507" i="4462"/>
  <c r="AP507" i="4462"/>
  <c r="AQ507" i="4462"/>
  <c r="AR507" i="4462"/>
  <c r="AS507" i="4462"/>
  <c r="AT507" i="4462"/>
  <c r="AU507" i="4462"/>
  <c r="AV507" i="4462"/>
  <c r="AW507" i="4462"/>
  <c r="AX507" i="4462"/>
  <c r="AY507" i="4462"/>
  <c r="AZ507" i="4462"/>
  <c r="BA507" i="4462"/>
  <c r="BB507" i="4462"/>
  <c r="BC507" i="4462"/>
  <c r="BD507" i="4462"/>
  <c r="A508" i="4462"/>
  <c r="B508" i="4462"/>
  <c r="C508" i="4462"/>
  <c r="D508" i="4462"/>
  <c r="E508" i="4462"/>
  <c r="F508" i="4462"/>
  <c r="G508" i="4462"/>
  <c r="H508" i="4462"/>
  <c r="I508" i="4462"/>
  <c r="J508" i="4462"/>
  <c r="K508" i="4462"/>
  <c r="L508" i="4462"/>
  <c r="M508" i="4462"/>
  <c r="N508" i="4462"/>
  <c r="O508" i="4462"/>
  <c r="P508" i="4462"/>
  <c r="Q508" i="4462"/>
  <c r="R508" i="4462"/>
  <c r="S508" i="4462"/>
  <c r="T508" i="4462"/>
  <c r="U508" i="4462"/>
  <c r="V508" i="4462"/>
  <c r="W508" i="4462"/>
  <c r="X508" i="4462"/>
  <c r="Y508" i="4462"/>
  <c r="Z508" i="4462"/>
  <c r="AA508" i="4462"/>
  <c r="AB508" i="4462"/>
  <c r="AC508" i="4462"/>
  <c r="AD508" i="4462"/>
  <c r="AE508" i="4462"/>
  <c r="AF508" i="4462"/>
  <c r="AG508" i="4462"/>
  <c r="AH508" i="4462"/>
  <c r="AI508" i="4462"/>
  <c r="AJ508" i="4462"/>
  <c r="AK508" i="4462"/>
  <c r="AL508" i="4462"/>
  <c r="AM508" i="4462"/>
  <c r="AN508" i="4462"/>
  <c r="AO508" i="4462"/>
  <c r="AP508" i="4462"/>
  <c r="AQ508" i="4462"/>
  <c r="AR508" i="4462"/>
  <c r="AS508" i="4462"/>
  <c r="AT508" i="4462"/>
  <c r="AU508" i="4462"/>
  <c r="AV508" i="4462"/>
  <c r="AW508" i="4462"/>
  <c r="AX508" i="4462"/>
  <c r="AY508" i="4462"/>
  <c r="AZ508" i="4462"/>
  <c r="BA508" i="4462"/>
  <c r="BB508" i="4462"/>
  <c r="BC508" i="4462"/>
  <c r="BD508" i="4462"/>
  <c r="A509" i="4462"/>
  <c r="B509" i="4462"/>
  <c r="C509" i="4462"/>
  <c r="D509" i="4462"/>
  <c r="E509" i="4462"/>
  <c r="F509" i="4462"/>
  <c r="G509" i="4462"/>
  <c r="H509" i="4462"/>
  <c r="I509" i="4462"/>
  <c r="J509" i="4462"/>
  <c r="K509" i="4462"/>
  <c r="L509" i="4462"/>
  <c r="M509" i="4462"/>
  <c r="N509" i="4462"/>
  <c r="O509" i="4462"/>
  <c r="P509" i="4462"/>
  <c r="Q509" i="4462"/>
  <c r="R509" i="4462"/>
  <c r="S509" i="4462"/>
  <c r="T509" i="4462"/>
  <c r="U509" i="4462"/>
  <c r="V509" i="4462"/>
  <c r="W509" i="4462"/>
  <c r="X509" i="4462"/>
  <c r="Y509" i="4462"/>
  <c r="Z509" i="4462"/>
  <c r="AA509" i="4462"/>
  <c r="AB509" i="4462"/>
  <c r="AC509" i="4462"/>
  <c r="AD509" i="4462"/>
  <c r="AE509" i="4462"/>
  <c r="AF509" i="4462"/>
  <c r="AG509" i="4462"/>
  <c r="AH509" i="4462"/>
  <c r="AI509" i="4462"/>
  <c r="AJ509" i="4462"/>
  <c r="AK509" i="4462"/>
  <c r="AL509" i="4462"/>
  <c r="AM509" i="4462"/>
  <c r="AN509" i="4462"/>
  <c r="AO509" i="4462"/>
  <c r="AP509" i="4462"/>
  <c r="AQ509" i="4462"/>
  <c r="AR509" i="4462"/>
  <c r="AS509" i="4462"/>
  <c r="AT509" i="4462"/>
  <c r="AU509" i="4462"/>
  <c r="AV509" i="4462"/>
  <c r="AW509" i="4462"/>
  <c r="AX509" i="4462"/>
  <c r="AY509" i="4462"/>
  <c r="AZ509" i="4462"/>
  <c r="BA509" i="4462"/>
  <c r="BB509" i="4462"/>
  <c r="BC509" i="4462"/>
  <c r="BD509" i="4462"/>
  <c r="A510" i="4462"/>
  <c r="B510" i="4462"/>
  <c r="C510" i="4462"/>
  <c r="D510" i="4462"/>
  <c r="E510" i="4462"/>
  <c r="F510" i="4462"/>
  <c r="G510" i="4462"/>
  <c r="H510" i="4462"/>
  <c r="I510" i="4462"/>
  <c r="J510" i="4462"/>
  <c r="K510" i="4462"/>
  <c r="L510" i="4462"/>
  <c r="M510" i="4462"/>
  <c r="N510" i="4462"/>
  <c r="O510" i="4462"/>
  <c r="P510" i="4462"/>
  <c r="Q510" i="4462"/>
  <c r="R510" i="4462"/>
  <c r="S510" i="4462"/>
  <c r="T510" i="4462"/>
  <c r="U510" i="4462"/>
  <c r="V510" i="4462"/>
  <c r="W510" i="4462"/>
  <c r="X510" i="4462"/>
  <c r="Y510" i="4462"/>
  <c r="Z510" i="4462"/>
  <c r="AA510" i="4462"/>
  <c r="AB510" i="4462"/>
  <c r="AC510" i="4462"/>
  <c r="AD510" i="4462"/>
  <c r="AE510" i="4462"/>
  <c r="AF510" i="4462"/>
  <c r="AG510" i="4462"/>
  <c r="AH510" i="4462"/>
  <c r="AI510" i="4462"/>
  <c r="AJ510" i="4462"/>
  <c r="AK510" i="4462"/>
  <c r="AL510" i="4462"/>
  <c r="AM510" i="4462"/>
  <c r="AN510" i="4462"/>
  <c r="AO510" i="4462"/>
  <c r="AP510" i="4462"/>
  <c r="AQ510" i="4462"/>
  <c r="AR510" i="4462"/>
  <c r="AS510" i="4462"/>
  <c r="AT510" i="4462"/>
  <c r="AU510" i="4462"/>
  <c r="AV510" i="4462"/>
  <c r="AW510" i="4462"/>
  <c r="AX510" i="4462"/>
  <c r="AY510" i="4462"/>
  <c r="AZ510" i="4462"/>
  <c r="BA510" i="4462"/>
  <c r="BB510" i="4462"/>
  <c r="BC510" i="4462"/>
  <c r="BD510" i="4462"/>
  <c r="A511" i="4462"/>
  <c r="B511" i="4462"/>
  <c r="C511" i="4462"/>
  <c r="D511" i="4462"/>
  <c r="E511" i="4462"/>
  <c r="F511" i="4462"/>
  <c r="G511" i="4462"/>
  <c r="H511" i="4462"/>
  <c r="I511" i="4462"/>
  <c r="J511" i="4462"/>
  <c r="K511" i="4462"/>
  <c r="L511" i="4462"/>
  <c r="M511" i="4462"/>
  <c r="N511" i="4462"/>
  <c r="O511" i="4462"/>
  <c r="P511" i="4462"/>
  <c r="Q511" i="4462"/>
  <c r="R511" i="4462"/>
  <c r="S511" i="4462"/>
  <c r="T511" i="4462"/>
  <c r="U511" i="4462"/>
  <c r="V511" i="4462"/>
  <c r="W511" i="4462"/>
  <c r="X511" i="4462"/>
  <c r="Y511" i="4462"/>
  <c r="Z511" i="4462"/>
  <c r="AA511" i="4462"/>
  <c r="AB511" i="4462"/>
  <c r="AC511" i="4462"/>
  <c r="AD511" i="4462"/>
  <c r="AE511" i="4462"/>
  <c r="AF511" i="4462"/>
  <c r="AG511" i="4462"/>
  <c r="AH511" i="4462"/>
  <c r="AI511" i="4462"/>
  <c r="AJ511" i="4462"/>
  <c r="AK511" i="4462"/>
  <c r="AL511" i="4462"/>
  <c r="AM511" i="4462"/>
  <c r="AN511" i="4462"/>
  <c r="AO511" i="4462"/>
  <c r="AP511" i="4462"/>
  <c r="AQ511" i="4462"/>
  <c r="AR511" i="4462"/>
  <c r="AS511" i="4462"/>
  <c r="AT511" i="4462"/>
  <c r="AU511" i="4462"/>
  <c r="AV511" i="4462"/>
  <c r="AW511" i="4462"/>
  <c r="AX511" i="4462"/>
  <c r="AY511" i="4462"/>
  <c r="AZ511" i="4462"/>
  <c r="BA511" i="4462"/>
  <c r="BB511" i="4462"/>
  <c r="BC511" i="4462"/>
  <c r="BD511" i="4462"/>
  <c r="A512" i="4462"/>
  <c r="B512" i="4462"/>
  <c r="C512" i="4462"/>
  <c r="D512" i="4462"/>
  <c r="E512" i="4462"/>
  <c r="F512" i="4462"/>
  <c r="G512" i="4462"/>
  <c r="H512" i="4462"/>
  <c r="I512" i="4462"/>
  <c r="J512" i="4462"/>
  <c r="K512" i="4462"/>
  <c r="L512" i="4462"/>
  <c r="M512" i="4462"/>
  <c r="N512" i="4462"/>
  <c r="O512" i="4462"/>
  <c r="P512" i="4462"/>
  <c r="Q512" i="4462"/>
  <c r="R512" i="4462"/>
  <c r="S512" i="4462"/>
  <c r="T512" i="4462"/>
  <c r="U512" i="4462"/>
  <c r="V512" i="4462"/>
  <c r="W512" i="4462"/>
  <c r="X512" i="4462"/>
  <c r="Y512" i="4462"/>
  <c r="Z512" i="4462"/>
  <c r="AA512" i="4462"/>
  <c r="AB512" i="4462"/>
  <c r="AC512" i="4462"/>
  <c r="AD512" i="4462"/>
  <c r="AE512" i="4462"/>
  <c r="AF512" i="4462"/>
  <c r="AG512" i="4462"/>
  <c r="AH512" i="4462"/>
  <c r="AI512" i="4462"/>
  <c r="AJ512" i="4462"/>
  <c r="AK512" i="4462"/>
  <c r="AL512" i="4462"/>
  <c r="AM512" i="4462"/>
  <c r="AN512" i="4462"/>
  <c r="AO512" i="4462"/>
  <c r="AP512" i="4462"/>
  <c r="AQ512" i="4462"/>
  <c r="AR512" i="4462"/>
  <c r="AS512" i="4462"/>
  <c r="AT512" i="4462"/>
  <c r="AU512" i="4462"/>
  <c r="AV512" i="4462"/>
  <c r="AW512" i="4462"/>
  <c r="AX512" i="4462"/>
  <c r="AY512" i="4462"/>
  <c r="AZ512" i="4462"/>
  <c r="BA512" i="4462"/>
  <c r="BB512" i="4462"/>
  <c r="BC512" i="4462"/>
  <c r="BD512" i="4462"/>
  <c r="A513" i="4462"/>
  <c r="B513" i="4462"/>
  <c r="C513" i="4462"/>
  <c r="D513" i="4462"/>
  <c r="E513" i="4462"/>
  <c r="F513" i="4462"/>
  <c r="G513" i="4462"/>
  <c r="H513" i="4462"/>
  <c r="I513" i="4462"/>
  <c r="J513" i="4462"/>
  <c r="K513" i="4462"/>
  <c r="L513" i="4462"/>
  <c r="M513" i="4462"/>
  <c r="N513" i="4462"/>
  <c r="O513" i="4462"/>
  <c r="P513" i="4462"/>
  <c r="Q513" i="4462"/>
  <c r="R513" i="4462"/>
  <c r="S513" i="4462"/>
  <c r="T513" i="4462"/>
  <c r="U513" i="4462"/>
  <c r="V513" i="4462"/>
  <c r="W513" i="4462"/>
  <c r="X513" i="4462"/>
  <c r="Y513" i="4462"/>
  <c r="Z513" i="4462"/>
  <c r="AA513" i="4462"/>
  <c r="AB513" i="4462"/>
  <c r="AC513" i="4462"/>
  <c r="AD513" i="4462"/>
  <c r="AE513" i="4462"/>
  <c r="AF513" i="4462"/>
  <c r="AG513" i="4462"/>
  <c r="AH513" i="4462"/>
  <c r="AI513" i="4462"/>
  <c r="AJ513" i="4462"/>
  <c r="AK513" i="4462"/>
  <c r="AL513" i="4462"/>
  <c r="AM513" i="4462"/>
  <c r="AN513" i="4462"/>
  <c r="AO513" i="4462"/>
  <c r="AP513" i="4462"/>
  <c r="AQ513" i="4462"/>
  <c r="AR513" i="4462"/>
  <c r="AS513" i="4462"/>
  <c r="AT513" i="4462"/>
  <c r="AU513" i="4462"/>
  <c r="AV513" i="4462"/>
  <c r="AW513" i="4462"/>
  <c r="AX513" i="4462"/>
  <c r="AY513" i="4462"/>
  <c r="AZ513" i="4462"/>
  <c r="BA513" i="4462"/>
  <c r="BB513" i="4462"/>
  <c r="BC513" i="4462"/>
  <c r="BD513" i="4462"/>
  <c r="A514" i="4462"/>
  <c r="B514" i="4462"/>
  <c r="C514" i="4462"/>
  <c r="D514" i="4462"/>
  <c r="E514" i="4462"/>
  <c r="F514" i="4462"/>
  <c r="G514" i="4462"/>
  <c r="H514" i="4462"/>
  <c r="I514" i="4462"/>
  <c r="J514" i="4462"/>
  <c r="K514" i="4462"/>
  <c r="L514" i="4462"/>
  <c r="M514" i="4462"/>
  <c r="N514" i="4462"/>
  <c r="O514" i="4462"/>
  <c r="P514" i="4462"/>
  <c r="Q514" i="4462"/>
  <c r="R514" i="4462"/>
  <c r="S514" i="4462"/>
  <c r="T514" i="4462"/>
  <c r="U514" i="4462"/>
  <c r="V514" i="4462"/>
  <c r="W514" i="4462"/>
  <c r="X514" i="4462"/>
  <c r="Y514" i="4462"/>
  <c r="Z514" i="4462"/>
  <c r="AA514" i="4462"/>
  <c r="AB514" i="4462"/>
  <c r="AC514" i="4462"/>
  <c r="AD514" i="4462"/>
  <c r="AE514" i="4462"/>
  <c r="AF514" i="4462"/>
  <c r="AG514" i="4462"/>
  <c r="AH514" i="4462"/>
  <c r="AI514" i="4462"/>
  <c r="AJ514" i="4462"/>
  <c r="AK514" i="4462"/>
  <c r="AL514" i="4462"/>
  <c r="AM514" i="4462"/>
  <c r="AN514" i="4462"/>
  <c r="AO514" i="4462"/>
  <c r="AP514" i="4462"/>
  <c r="AQ514" i="4462"/>
  <c r="AR514" i="4462"/>
  <c r="AS514" i="4462"/>
  <c r="AT514" i="4462"/>
  <c r="AU514" i="4462"/>
  <c r="AV514" i="4462"/>
  <c r="AW514" i="4462"/>
  <c r="AX514" i="4462"/>
  <c r="AY514" i="4462"/>
  <c r="AZ514" i="4462"/>
  <c r="BA514" i="4462"/>
  <c r="BB514" i="4462"/>
  <c r="BC514" i="4462"/>
  <c r="BD514" i="4462"/>
  <c r="A515" i="4462"/>
  <c r="B515" i="4462"/>
  <c r="C515" i="4462"/>
  <c r="D515" i="4462"/>
  <c r="E515" i="4462"/>
  <c r="F515" i="4462"/>
  <c r="G515" i="4462"/>
  <c r="H515" i="4462"/>
  <c r="I515" i="4462"/>
  <c r="J515" i="4462"/>
  <c r="K515" i="4462"/>
  <c r="L515" i="4462"/>
  <c r="M515" i="4462"/>
  <c r="N515" i="4462"/>
  <c r="O515" i="4462"/>
  <c r="P515" i="4462"/>
  <c r="Q515" i="4462"/>
  <c r="R515" i="4462"/>
  <c r="S515" i="4462"/>
  <c r="T515" i="4462"/>
  <c r="U515" i="4462"/>
  <c r="V515" i="4462"/>
  <c r="W515" i="4462"/>
  <c r="X515" i="4462"/>
  <c r="Y515" i="4462"/>
  <c r="Z515" i="4462"/>
  <c r="AA515" i="4462"/>
  <c r="AB515" i="4462"/>
  <c r="AC515" i="4462"/>
  <c r="AD515" i="4462"/>
  <c r="AE515" i="4462"/>
  <c r="AF515" i="4462"/>
  <c r="AG515" i="4462"/>
  <c r="AH515" i="4462"/>
  <c r="AI515" i="4462"/>
  <c r="AJ515" i="4462"/>
  <c r="AK515" i="4462"/>
  <c r="AL515" i="4462"/>
  <c r="AM515" i="4462"/>
  <c r="AN515" i="4462"/>
  <c r="AO515" i="4462"/>
  <c r="AP515" i="4462"/>
  <c r="AQ515" i="4462"/>
  <c r="AR515" i="4462"/>
  <c r="AS515" i="4462"/>
  <c r="AT515" i="4462"/>
  <c r="AU515" i="4462"/>
  <c r="AV515" i="4462"/>
  <c r="AW515" i="4462"/>
  <c r="AX515" i="4462"/>
  <c r="AY515" i="4462"/>
  <c r="AZ515" i="4462"/>
  <c r="BA515" i="4462"/>
  <c r="BB515" i="4462"/>
  <c r="BC515" i="4462"/>
  <c r="BD515" i="4462"/>
  <c r="A516" i="4462"/>
  <c r="B516" i="4462"/>
  <c r="C516" i="4462"/>
  <c r="D516" i="4462"/>
  <c r="E516" i="4462"/>
  <c r="F516" i="4462"/>
  <c r="G516" i="4462"/>
  <c r="H516" i="4462"/>
  <c r="I516" i="4462"/>
  <c r="J516" i="4462"/>
  <c r="K516" i="4462"/>
  <c r="L516" i="4462"/>
  <c r="M516" i="4462"/>
  <c r="N516" i="4462"/>
  <c r="O516" i="4462"/>
  <c r="P516" i="4462"/>
  <c r="Q516" i="4462"/>
  <c r="R516" i="4462"/>
  <c r="S516" i="4462"/>
  <c r="T516" i="4462"/>
  <c r="U516" i="4462"/>
  <c r="V516" i="4462"/>
  <c r="W516" i="4462"/>
  <c r="X516" i="4462"/>
  <c r="Y516" i="4462"/>
  <c r="Z516" i="4462"/>
  <c r="AA516" i="4462"/>
  <c r="AB516" i="4462"/>
  <c r="AC516" i="4462"/>
  <c r="AD516" i="4462"/>
  <c r="AE516" i="4462"/>
  <c r="AF516" i="4462"/>
  <c r="AG516" i="4462"/>
  <c r="AH516" i="4462"/>
  <c r="AI516" i="4462"/>
  <c r="AJ516" i="4462"/>
  <c r="AK516" i="4462"/>
  <c r="AL516" i="4462"/>
  <c r="AM516" i="4462"/>
  <c r="AN516" i="4462"/>
  <c r="AO516" i="4462"/>
  <c r="AP516" i="4462"/>
  <c r="AQ516" i="4462"/>
  <c r="AR516" i="4462"/>
  <c r="AS516" i="4462"/>
  <c r="AT516" i="4462"/>
  <c r="AU516" i="4462"/>
  <c r="AV516" i="4462"/>
  <c r="AW516" i="4462"/>
  <c r="AX516" i="4462"/>
  <c r="AY516" i="4462"/>
  <c r="AZ516" i="4462"/>
  <c r="BA516" i="4462"/>
  <c r="BB516" i="4462"/>
  <c r="BC516" i="4462"/>
  <c r="BD516" i="4462"/>
  <c r="A517" i="4462"/>
  <c r="B517" i="4462"/>
  <c r="C517" i="4462"/>
  <c r="D517" i="4462"/>
  <c r="E517" i="4462"/>
  <c r="F517" i="4462"/>
  <c r="G517" i="4462"/>
  <c r="H517" i="4462"/>
  <c r="I517" i="4462"/>
  <c r="J517" i="4462"/>
  <c r="K517" i="4462"/>
  <c r="L517" i="4462"/>
  <c r="M517" i="4462"/>
  <c r="N517" i="4462"/>
  <c r="O517" i="4462"/>
  <c r="P517" i="4462"/>
  <c r="Q517" i="4462"/>
  <c r="R517" i="4462"/>
  <c r="S517" i="4462"/>
  <c r="T517" i="4462"/>
  <c r="U517" i="4462"/>
  <c r="V517" i="4462"/>
  <c r="W517" i="4462"/>
  <c r="X517" i="4462"/>
  <c r="Y517" i="4462"/>
  <c r="Z517" i="4462"/>
  <c r="AA517" i="4462"/>
  <c r="AB517" i="4462"/>
  <c r="AC517" i="4462"/>
  <c r="AD517" i="4462"/>
  <c r="AE517" i="4462"/>
  <c r="AF517" i="4462"/>
  <c r="AG517" i="4462"/>
  <c r="AH517" i="4462"/>
  <c r="AI517" i="4462"/>
  <c r="AJ517" i="4462"/>
  <c r="AK517" i="4462"/>
  <c r="AL517" i="4462"/>
  <c r="AM517" i="4462"/>
  <c r="AN517" i="4462"/>
  <c r="AO517" i="4462"/>
  <c r="AP517" i="4462"/>
  <c r="AQ517" i="4462"/>
  <c r="AR517" i="4462"/>
  <c r="AS517" i="4462"/>
  <c r="AT517" i="4462"/>
  <c r="AU517" i="4462"/>
  <c r="AV517" i="4462"/>
  <c r="AW517" i="4462"/>
  <c r="AX517" i="4462"/>
  <c r="AY517" i="4462"/>
  <c r="AZ517" i="4462"/>
  <c r="BA517" i="4462"/>
  <c r="BB517" i="4462"/>
  <c r="BC517" i="4462"/>
  <c r="BD517" i="4462"/>
  <c r="A518" i="4462"/>
  <c r="B518" i="4462"/>
  <c r="C518" i="4462"/>
  <c r="D518" i="4462"/>
  <c r="E518" i="4462"/>
  <c r="F518" i="4462"/>
  <c r="G518" i="4462"/>
  <c r="H518" i="4462"/>
  <c r="I518" i="4462"/>
  <c r="J518" i="4462"/>
  <c r="K518" i="4462"/>
  <c r="L518" i="4462"/>
  <c r="M518" i="4462"/>
  <c r="N518" i="4462"/>
  <c r="O518" i="4462"/>
  <c r="P518" i="4462"/>
  <c r="Q518" i="4462"/>
  <c r="R518" i="4462"/>
  <c r="S518" i="4462"/>
  <c r="T518" i="4462"/>
  <c r="U518" i="4462"/>
  <c r="V518" i="4462"/>
  <c r="W518" i="4462"/>
  <c r="X518" i="4462"/>
  <c r="Y518" i="4462"/>
  <c r="Z518" i="4462"/>
  <c r="AA518" i="4462"/>
  <c r="AB518" i="4462"/>
  <c r="AC518" i="4462"/>
  <c r="AD518" i="4462"/>
  <c r="AE518" i="4462"/>
  <c r="AF518" i="4462"/>
  <c r="AG518" i="4462"/>
  <c r="AH518" i="4462"/>
  <c r="AI518" i="4462"/>
  <c r="AJ518" i="4462"/>
  <c r="AK518" i="4462"/>
  <c r="AL518" i="4462"/>
  <c r="AM518" i="4462"/>
  <c r="AN518" i="4462"/>
  <c r="AO518" i="4462"/>
  <c r="AP518" i="4462"/>
  <c r="AQ518" i="4462"/>
  <c r="AR518" i="4462"/>
  <c r="AS518" i="4462"/>
  <c r="AT518" i="4462"/>
  <c r="AU518" i="4462"/>
  <c r="AV518" i="4462"/>
  <c r="AW518" i="4462"/>
  <c r="AX518" i="4462"/>
  <c r="AY518" i="4462"/>
  <c r="AZ518" i="4462"/>
  <c r="BA518" i="4462"/>
  <c r="BB518" i="4462"/>
  <c r="BC518" i="4462"/>
  <c r="BD518" i="4462"/>
  <c r="A519" i="4462"/>
  <c r="B519" i="4462"/>
  <c r="C519" i="4462"/>
  <c r="D519" i="4462"/>
  <c r="E519" i="4462"/>
  <c r="F519" i="4462"/>
  <c r="G519" i="4462"/>
  <c r="H519" i="4462"/>
  <c r="I519" i="4462"/>
  <c r="J519" i="4462"/>
  <c r="K519" i="4462"/>
  <c r="L519" i="4462"/>
  <c r="M519" i="4462"/>
  <c r="N519" i="4462"/>
  <c r="O519" i="4462"/>
  <c r="P519" i="4462"/>
  <c r="Q519" i="4462"/>
  <c r="R519" i="4462"/>
  <c r="S519" i="4462"/>
  <c r="T519" i="4462"/>
  <c r="U519" i="4462"/>
  <c r="V519" i="4462"/>
  <c r="W519" i="4462"/>
  <c r="X519" i="4462"/>
  <c r="Y519" i="4462"/>
  <c r="Z519" i="4462"/>
  <c r="AA519" i="4462"/>
  <c r="AB519" i="4462"/>
  <c r="AC519" i="4462"/>
  <c r="AD519" i="4462"/>
  <c r="AE519" i="4462"/>
  <c r="AF519" i="4462"/>
  <c r="AG519" i="4462"/>
  <c r="AH519" i="4462"/>
  <c r="AI519" i="4462"/>
  <c r="AJ519" i="4462"/>
  <c r="AK519" i="4462"/>
  <c r="AL519" i="4462"/>
  <c r="AM519" i="4462"/>
  <c r="AN519" i="4462"/>
  <c r="AO519" i="4462"/>
  <c r="AP519" i="4462"/>
  <c r="AQ519" i="4462"/>
  <c r="AR519" i="4462"/>
  <c r="AS519" i="4462"/>
  <c r="AT519" i="4462"/>
  <c r="AU519" i="4462"/>
  <c r="AV519" i="4462"/>
  <c r="AW519" i="4462"/>
  <c r="AX519" i="4462"/>
  <c r="AY519" i="4462"/>
  <c r="AZ519" i="4462"/>
  <c r="BA519" i="4462"/>
  <c r="BB519" i="4462"/>
  <c r="BC519" i="4462"/>
  <c r="BD519" i="4462"/>
  <c r="A520" i="4462"/>
  <c r="B520" i="4462"/>
  <c r="C520" i="4462"/>
  <c r="D520" i="4462"/>
  <c r="E520" i="4462"/>
  <c r="F520" i="4462"/>
  <c r="G520" i="4462"/>
  <c r="H520" i="4462"/>
  <c r="I520" i="4462"/>
  <c r="J520" i="4462"/>
  <c r="K520" i="4462"/>
  <c r="L520" i="4462"/>
  <c r="M520" i="4462"/>
  <c r="N520" i="4462"/>
  <c r="O520" i="4462"/>
  <c r="P520" i="4462"/>
  <c r="Q520" i="4462"/>
  <c r="R520" i="4462"/>
  <c r="S520" i="4462"/>
  <c r="T520" i="4462"/>
  <c r="U520" i="4462"/>
  <c r="V520" i="4462"/>
  <c r="W520" i="4462"/>
  <c r="X520" i="4462"/>
  <c r="Y520" i="4462"/>
  <c r="Z520" i="4462"/>
  <c r="AA520" i="4462"/>
  <c r="AB520" i="4462"/>
  <c r="AC520" i="4462"/>
  <c r="AD520" i="4462"/>
  <c r="AE520" i="4462"/>
  <c r="AF520" i="4462"/>
  <c r="AG520" i="4462"/>
  <c r="AH520" i="4462"/>
  <c r="AI520" i="4462"/>
  <c r="AJ520" i="4462"/>
  <c r="AK520" i="4462"/>
  <c r="AL520" i="4462"/>
  <c r="AM520" i="4462"/>
  <c r="AN520" i="4462"/>
  <c r="AO520" i="4462"/>
  <c r="AP520" i="4462"/>
  <c r="AQ520" i="4462"/>
  <c r="AR520" i="4462"/>
  <c r="AS520" i="4462"/>
  <c r="AT520" i="4462"/>
  <c r="AU520" i="4462"/>
  <c r="AV520" i="4462"/>
  <c r="AW520" i="4462"/>
  <c r="AX520" i="4462"/>
  <c r="AY520" i="4462"/>
  <c r="AZ520" i="4462"/>
  <c r="BA520" i="4462"/>
  <c r="BB520" i="4462"/>
  <c r="BC520" i="4462"/>
  <c r="BD520" i="4462"/>
  <c r="A521" i="4462"/>
  <c r="B521" i="4462"/>
  <c r="C521" i="4462"/>
  <c r="D521" i="4462"/>
  <c r="E521" i="4462"/>
  <c r="F521" i="4462"/>
  <c r="G521" i="4462"/>
  <c r="H521" i="4462"/>
  <c r="I521" i="4462"/>
  <c r="J521" i="4462"/>
  <c r="K521" i="4462"/>
  <c r="L521" i="4462"/>
  <c r="M521" i="4462"/>
  <c r="N521" i="4462"/>
  <c r="O521" i="4462"/>
  <c r="P521" i="4462"/>
  <c r="Q521" i="4462"/>
  <c r="R521" i="4462"/>
  <c r="S521" i="4462"/>
  <c r="T521" i="4462"/>
  <c r="U521" i="4462"/>
  <c r="V521" i="4462"/>
  <c r="W521" i="4462"/>
  <c r="X521" i="4462"/>
  <c r="Y521" i="4462"/>
  <c r="Z521" i="4462"/>
  <c r="AA521" i="4462"/>
  <c r="AB521" i="4462"/>
  <c r="AC521" i="4462"/>
  <c r="AD521" i="4462"/>
  <c r="AE521" i="4462"/>
  <c r="AF521" i="4462"/>
  <c r="AG521" i="4462"/>
  <c r="AH521" i="4462"/>
  <c r="AI521" i="4462"/>
  <c r="AJ521" i="4462"/>
  <c r="AK521" i="4462"/>
  <c r="AL521" i="4462"/>
  <c r="AM521" i="4462"/>
  <c r="AN521" i="4462"/>
  <c r="AO521" i="4462"/>
  <c r="AP521" i="4462"/>
  <c r="AQ521" i="4462"/>
  <c r="AR521" i="4462"/>
  <c r="AS521" i="4462"/>
  <c r="AT521" i="4462"/>
  <c r="AU521" i="4462"/>
  <c r="AV521" i="4462"/>
  <c r="AW521" i="4462"/>
  <c r="AX521" i="4462"/>
  <c r="AY521" i="4462"/>
  <c r="AZ521" i="4462"/>
  <c r="BA521" i="4462"/>
  <c r="BB521" i="4462"/>
  <c r="BC521" i="4462"/>
  <c r="BD521" i="4462"/>
  <c r="A522" i="4462"/>
  <c r="B522" i="4462"/>
  <c r="C522" i="4462"/>
  <c r="D522" i="4462"/>
  <c r="E522" i="4462"/>
  <c r="F522" i="4462"/>
  <c r="G522" i="4462"/>
  <c r="H522" i="4462"/>
  <c r="I522" i="4462"/>
  <c r="J522" i="4462"/>
  <c r="K522" i="4462"/>
  <c r="L522" i="4462"/>
  <c r="M522" i="4462"/>
  <c r="N522" i="4462"/>
  <c r="O522" i="4462"/>
  <c r="P522" i="4462"/>
  <c r="Q522" i="4462"/>
  <c r="R522" i="4462"/>
  <c r="S522" i="4462"/>
  <c r="T522" i="4462"/>
  <c r="U522" i="4462"/>
  <c r="V522" i="4462"/>
  <c r="W522" i="4462"/>
  <c r="X522" i="4462"/>
  <c r="Y522" i="4462"/>
  <c r="Z522" i="4462"/>
  <c r="AA522" i="4462"/>
  <c r="AB522" i="4462"/>
  <c r="AC522" i="4462"/>
  <c r="AD522" i="4462"/>
  <c r="AE522" i="4462"/>
  <c r="AF522" i="4462"/>
  <c r="AG522" i="4462"/>
  <c r="AH522" i="4462"/>
  <c r="AI522" i="4462"/>
  <c r="AJ522" i="4462"/>
  <c r="AK522" i="4462"/>
  <c r="AL522" i="4462"/>
  <c r="AM522" i="4462"/>
  <c r="AN522" i="4462"/>
  <c r="AO522" i="4462"/>
  <c r="AP522" i="4462"/>
  <c r="AQ522" i="4462"/>
  <c r="AR522" i="4462"/>
  <c r="AS522" i="4462"/>
  <c r="AT522" i="4462"/>
  <c r="AU522" i="4462"/>
  <c r="AV522" i="4462"/>
  <c r="AW522" i="4462"/>
  <c r="AX522" i="4462"/>
  <c r="AY522" i="4462"/>
  <c r="AZ522" i="4462"/>
  <c r="BA522" i="4462"/>
  <c r="BB522" i="4462"/>
  <c r="BC522" i="4462"/>
  <c r="BD522" i="4462"/>
  <c r="A523" i="4462"/>
  <c r="B523" i="4462"/>
  <c r="C523" i="4462"/>
  <c r="D523" i="4462"/>
  <c r="E523" i="4462"/>
  <c r="F523" i="4462"/>
  <c r="G523" i="4462"/>
  <c r="H523" i="4462"/>
  <c r="I523" i="4462"/>
  <c r="J523" i="4462"/>
  <c r="K523" i="4462"/>
  <c r="L523" i="4462"/>
  <c r="M523" i="4462"/>
  <c r="N523" i="4462"/>
  <c r="O523" i="4462"/>
  <c r="P523" i="4462"/>
  <c r="Q523" i="4462"/>
  <c r="R523" i="4462"/>
  <c r="S523" i="4462"/>
  <c r="T523" i="4462"/>
  <c r="U523" i="4462"/>
  <c r="V523" i="4462"/>
  <c r="W523" i="4462"/>
  <c r="X523" i="4462"/>
  <c r="Y523" i="4462"/>
  <c r="Z523" i="4462"/>
  <c r="AA523" i="4462"/>
  <c r="AB523" i="4462"/>
  <c r="AC523" i="4462"/>
  <c r="AD523" i="4462"/>
  <c r="AE523" i="4462"/>
  <c r="AF523" i="4462"/>
  <c r="AG523" i="4462"/>
  <c r="AH523" i="4462"/>
  <c r="AI523" i="4462"/>
  <c r="AJ523" i="4462"/>
  <c r="AK523" i="4462"/>
  <c r="AL523" i="4462"/>
  <c r="AM523" i="4462"/>
  <c r="AN523" i="4462"/>
  <c r="AO523" i="4462"/>
  <c r="AP523" i="4462"/>
  <c r="AQ523" i="4462"/>
  <c r="AR523" i="4462"/>
  <c r="AS523" i="4462"/>
  <c r="AT523" i="4462"/>
  <c r="AU523" i="4462"/>
  <c r="AV523" i="4462"/>
  <c r="AW523" i="4462"/>
  <c r="AX523" i="4462"/>
  <c r="AY523" i="4462"/>
  <c r="AZ523" i="4462"/>
  <c r="BA523" i="4462"/>
  <c r="BB523" i="4462"/>
  <c r="BC523" i="4462"/>
  <c r="BD523" i="4462"/>
  <c r="A524" i="4462"/>
  <c r="B524" i="4462"/>
  <c r="C524" i="4462"/>
  <c r="D524" i="4462"/>
  <c r="E524" i="4462"/>
  <c r="F524" i="4462"/>
  <c r="G524" i="4462"/>
  <c r="H524" i="4462"/>
  <c r="I524" i="4462"/>
  <c r="J524" i="4462"/>
  <c r="K524" i="4462"/>
  <c r="L524" i="4462"/>
  <c r="M524" i="4462"/>
  <c r="N524" i="4462"/>
  <c r="O524" i="4462"/>
  <c r="P524" i="4462"/>
  <c r="Q524" i="4462"/>
  <c r="R524" i="4462"/>
  <c r="S524" i="4462"/>
  <c r="T524" i="4462"/>
  <c r="U524" i="4462"/>
  <c r="V524" i="4462"/>
  <c r="W524" i="4462"/>
  <c r="X524" i="4462"/>
  <c r="Y524" i="4462"/>
  <c r="Z524" i="4462"/>
  <c r="AA524" i="4462"/>
  <c r="AB524" i="4462"/>
  <c r="AC524" i="4462"/>
  <c r="AD524" i="4462"/>
  <c r="AE524" i="4462"/>
  <c r="AF524" i="4462"/>
  <c r="AG524" i="4462"/>
  <c r="AH524" i="4462"/>
  <c r="AI524" i="4462"/>
  <c r="AJ524" i="4462"/>
  <c r="AK524" i="4462"/>
  <c r="AL524" i="4462"/>
  <c r="AM524" i="4462"/>
  <c r="AN524" i="4462"/>
  <c r="AO524" i="4462"/>
  <c r="AP524" i="4462"/>
  <c r="AQ524" i="4462"/>
  <c r="AR524" i="4462"/>
  <c r="AS524" i="4462"/>
  <c r="AT524" i="4462"/>
  <c r="AU524" i="4462"/>
  <c r="AV524" i="4462"/>
  <c r="AW524" i="4462"/>
  <c r="AX524" i="4462"/>
  <c r="AY524" i="4462"/>
  <c r="AZ524" i="4462"/>
  <c r="BA524" i="4462"/>
  <c r="BB524" i="4462"/>
  <c r="BC524" i="4462"/>
  <c r="BD524" i="4462"/>
  <c r="A525" i="4462"/>
  <c r="B525" i="4462"/>
  <c r="C525" i="4462"/>
  <c r="D525" i="4462"/>
  <c r="E525" i="4462"/>
  <c r="F525" i="4462"/>
  <c r="G525" i="4462"/>
  <c r="H525" i="4462"/>
  <c r="I525" i="4462"/>
  <c r="J525" i="4462"/>
  <c r="K525" i="4462"/>
  <c r="L525" i="4462"/>
  <c r="M525" i="4462"/>
  <c r="N525" i="4462"/>
  <c r="O525" i="4462"/>
  <c r="P525" i="4462"/>
  <c r="Q525" i="4462"/>
  <c r="R525" i="4462"/>
  <c r="S525" i="4462"/>
  <c r="T525" i="4462"/>
  <c r="U525" i="4462"/>
  <c r="V525" i="4462"/>
  <c r="W525" i="4462"/>
  <c r="X525" i="4462"/>
  <c r="Y525" i="4462"/>
  <c r="Z525" i="4462"/>
  <c r="AA525" i="4462"/>
  <c r="AB525" i="4462"/>
  <c r="AC525" i="4462"/>
  <c r="AD525" i="4462"/>
  <c r="AE525" i="4462"/>
  <c r="AF525" i="4462"/>
  <c r="AG525" i="4462"/>
  <c r="AH525" i="4462"/>
  <c r="AI525" i="4462"/>
  <c r="AJ525" i="4462"/>
  <c r="AK525" i="4462"/>
  <c r="AL525" i="4462"/>
  <c r="AM525" i="4462"/>
  <c r="AN525" i="4462"/>
  <c r="AO525" i="4462"/>
  <c r="AP525" i="4462"/>
  <c r="AQ525" i="4462"/>
  <c r="AR525" i="4462"/>
  <c r="AS525" i="4462"/>
  <c r="AT525" i="4462"/>
  <c r="AU525" i="4462"/>
  <c r="AV525" i="4462"/>
  <c r="AW525" i="4462"/>
  <c r="AX525" i="4462"/>
  <c r="AY525" i="4462"/>
  <c r="AZ525" i="4462"/>
  <c r="BA525" i="4462"/>
  <c r="BB525" i="4462"/>
  <c r="BC525" i="4462"/>
  <c r="BD525" i="4462"/>
  <c r="A526" i="4462"/>
  <c r="B526" i="4462"/>
  <c r="C526" i="4462"/>
  <c r="D526" i="4462"/>
  <c r="E526" i="4462"/>
  <c r="F526" i="4462"/>
  <c r="G526" i="4462"/>
  <c r="H526" i="4462"/>
  <c r="I526" i="4462"/>
  <c r="J526" i="4462"/>
  <c r="K526" i="4462"/>
  <c r="L526" i="4462"/>
  <c r="M526" i="4462"/>
  <c r="N526" i="4462"/>
  <c r="O526" i="4462"/>
  <c r="P526" i="4462"/>
  <c r="Q526" i="4462"/>
  <c r="R526" i="4462"/>
  <c r="S526" i="4462"/>
  <c r="T526" i="4462"/>
  <c r="U526" i="4462"/>
  <c r="V526" i="4462"/>
  <c r="W526" i="4462"/>
  <c r="X526" i="4462"/>
  <c r="Y526" i="4462"/>
  <c r="Z526" i="4462"/>
  <c r="AA526" i="4462"/>
  <c r="AB526" i="4462"/>
  <c r="AC526" i="4462"/>
  <c r="AD526" i="4462"/>
  <c r="AE526" i="4462"/>
  <c r="AF526" i="4462"/>
  <c r="AG526" i="4462"/>
  <c r="AH526" i="4462"/>
  <c r="AI526" i="4462"/>
  <c r="AJ526" i="4462"/>
  <c r="AK526" i="4462"/>
  <c r="AL526" i="4462"/>
  <c r="AM526" i="4462"/>
  <c r="AN526" i="4462"/>
  <c r="AO526" i="4462"/>
  <c r="AP526" i="4462"/>
  <c r="AQ526" i="4462"/>
  <c r="AR526" i="4462"/>
  <c r="AS526" i="4462"/>
  <c r="AT526" i="4462"/>
  <c r="AU526" i="4462"/>
  <c r="AV526" i="4462"/>
  <c r="AW526" i="4462"/>
  <c r="AX526" i="4462"/>
  <c r="AY526" i="4462"/>
  <c r="AZ526" i="4462"/>
  <c r="BA526" i="4462"/>
  <c r="BB526" i="4462"/>
  <c r="BC526" i="4462"/>
  <c r="BD526" i="4462"/>
  <c r="A527" i="4462"/>
  <c r="B527" i="4462"/>
  <c r="C527" i="4462"/>
  <c r="D527" i="4462"/>
  <c r="E527" i="4462"/>
  <c r="F527" i="4462"/>
  <c r="G527" i="4462"/>
  <c r="H527" i="4462"/>
  <c r="I527" i="4462"/>
  <c r="J527" i="4462"/>
  <c r="K527" i="4462"/>
  <c r="L527" i="4462"/>
  <c r="M527" i="4462"/>
  <c r="N527" i="4462"/>
  <c r="O527" i="4462"/>
  <c r="P527" i="4462"/>
  <c r="Q527" i="4462"/>
  <c r="R527" i="4462"/>
  <c r="S527" i="4462"/>
  <c r="T527" i="4462"/>
  <c r="U527" i="4462"/>
  <c r="V527" i="4462"/>
  <c r="W527" i="4462"/>
  <c r="X527" i="4462"/>
  <c r="Y527" i="4462"/>
  <c r="Z527" i="4462"/>
  <c r="AA527" i="4462"/>
  <c r="AB527" i="4462"/>
  <c r="AC527" i="4462"/>
  <c r="AD527" i="4462"/>
  <c r="AE527" i="4462"/>
  <c r="AF527" i="4462"/>
  <c r="AG527" i="4462"/>
  <c r="AH527" i="4462"/>
  <c r="AI527" i="4462"/>
  <c r="AJ527" i="4462"/>
  <c r="AK527" i="4462"/>
  <c r="AL527" i="4462"/>
  <c r="AM527" i="4462"/>
  <c r="AN527" i="4462"/>
  <c r="AO527" i="4462"/>
  <c r="AP527" i="4462"/>
  <c r="AQ527" i="4462"/>
  <c r="AR527" i="4462"/>
  <c r="AS527" i="4462"/>
  <c r="AT527" i="4462"/>
  <c r="AU527" i="4462"/>
  <c r="AV527" i="4462"/>
  <c r="AW527" i="4462"/>
  <c r="AX527" i="4462"/>
  <c r="AY527" i="4462"/>
  <c r="AZ527" i="4462"/>
  <c r="BA527" i="4462"/>
  <c r="BB527" i="4462"/>
  <c r="BC527" i="4462"/>
  <c r="BD527" i="4462"/>
  <c r="A528" i="4462"/>
  <c r="B528" i="4462"/>
  <c r="C528" i="4462"/>
  <c r="D528" i="4462"/>
  <c r="E528" i="4462"/>
  <c r="F528" i="4462"/>
  <c r="G528" i="4462"/>
  <c r="H528" i="4462"/>
  <c r="I528" i="4462"/>
  <c r="J528" i="4462"/>
  <c r="K528" i="4462"/>
  <c r="L528" i="4462"/>
  <c r="M528" i="4462"/>
  <c r="N528" i="4462"/>
  <c r="O528" i="4462"/>
  <c r="P528" i="4462"/>
  <c r="Q528" i="4462"/>
  <c r="R528" i="4462"/>
  <c r="S528" i="4462"/>
  <c r="T528" i="4462"/>
  <c r="U528" i="4462"/>
  <c r="V528" i="4462"/>
  <c r="W528" i="4462"/>
  <c r="X528" i="4462"/>
  <c r="Y528" i="4462"/>
  <c r="Z528" i="4462"/>
  <c r="AA528" i="4462"/>
  <c r="AB528" i="4462"/>
  <c r="AC528" i="4462"/>
  <c r="AD528" i="4462"/>
  <c r="AE528" i="4462"/>
  <c r="AF528" i="4462"/>
  <c r="AG528" i="4462"/>
  <c r="AH528" i="4462"/>
  <c r="AI528" i="4462"/>
  <c r="AJ528" i="4462"/>
  <c r="AK528" i="4462"/>
  <c r="AL528" i="4462"/>
  <c r="AM528" i="4462"/>
  <c r="AN528" i="4462"/>
  <c r="AO528" i="4462"/>
  <c r="AP528" i="4462"/>
  <c r="AQ528" i="4462"/>
  <c r="AR528" i="4462"/>
  <c r="AS528" i="4462"/>
  <c r="AT528" i="4462"/>
  <c r="AU528" i="4462"/>
  <c r="AV528" i="4462"/>
  <c r="AW528" i="4462"/>
  <c r="AX528" i="4462"/>
  <c r="AY528" i="4462"/>
  <c r="AZ528" i="4462"/>
  <c r="BA528" i="4462"/>
  <c r="BB528" i="4462"/>
  <c r="BC528" i="4462"/>
  <c r="BD528" i="4462"/>
  <c r="A529" i="4462"/>
  <c r="B529" i="4462"/>
  <c r="C529" i="4462"/>
  <c r="D529" i="4462"/>
  <c r="E529" i="4462"/>
  <c r="F529" i="4462"/>
  <c r="G529" i="4462"/>
  <c r="H529" i="4462"/>
  <c r="I529" i="4462"/>
  <c r="J529" i="4462"/>
  <c r="K529" i="4462"/>
  <c r="L529" i="4462"/>
  <c r="M529" i="4462"/>
  <c r="N529" i="4462"/>
  <c r="O529" i="4462"/>
  <c r="P529" i="4462"/>
  <c r="Q529" i="4462"/>
  <c r="R529" i="4462"/>
  <c r="S529" i="4462"/>
  <c r="T529" i="4462"/>
  <c r="U529" i="4462"/>
  <c r="V529" i="4462"/>
  <c r="W529" i="4462"/>
  <c r="X529" i="4462"/>
  <c r="Y529" i="4462"/>
  <c r="Z529" i="4462"/>
  <c r="AA529" i="4462"/>
  <c r="AB529" i="4462"/>
  <c r="AC529" i="4462"/>
  <c r="AD529" i="4462"/>
  <c r="AE529" i="4462"/>
  <c r="AF529" i="4462"/>
  <c r="AG529" i="4462"/>
  <c r="AH529" i="4462"/>
  <c r="AI529" i="4462"/>
  <c r="AJ529" i="4462"/>
  <c r="AK529" i="4462"/>
  <c r="AL529" i="4462"/>
  <c r="AM529" i="4462"/>
  <c r="AN529" i="4462"/>
  <c r="AO529" i="4462"/>
  <c r="AP529" i="4462"/>
  <c r="AQ529" i="4462"/>
  <c r="AR529" i="4462"/>
  <c r="AS529" i="4462"/>
  <c r="AT529" i="4462"/>
  <c r="AU529" i="4462"/>
  <c r="AV529" i="4462"/>
  <c r="AW529" i="4462"/>
  <c r="AX529" i="4462"/>
  <c r="AY529" i="4462"/>
  <c r="AZ529" i="4462"/>
  <c r="BA529" i="4462"/>
  <c r="BB529" i="4462"/>
  <c r="BC529" i="4462"/>
  <c r="BD529" i="4462"/>
  <c r="A530" i="4462"/>
  <c r="B530" i="4462"/>
  <c r="C530" i="4462"/>
  <c r="D530" i="4462"/>
  <c r="E530" i="4462"/>
  <c r="F530" i="4462"/>
  <c r="G530" i="4462"/>
  <c r="H530" i="4462"/>
  <c r="I530" i="4462"/>
  <c r="J530" i="4462"/>
  <c r="K530" i="4462"/>
  <c r="L530" i="4462"/>
  <c r="M530" i="4462"/>
  <c r="N530" i="4462"/>
  <c r="O530" i="4462"/>
  <c r="P530" i="4462"/>
  <c r="Q530" i="4462"/>
  <c r="R530" i="4462"/>
  <c r="S530" i="4462"/>
  <c r="T530" i="4462"/>
  <c r="U530" i="4462"/>
  <c r="V530" i="4462"/>
  <c r="W530" i="4462"/>
  <c r="X530" i="4462"/>
  <c r="Y530" i="4462"/>
  <c r="Z530" i="4462"/>
  <c r="AA530" i="4462"/>
  <c r="AB530" i="4462"/>
  <c r="AC530" i="4462"/>
  <c r="AD530" i="4462"/>
  <c r="AE530" i="4462"/>
  <c r="AF530" i="4462"/>
  <c r="AG530" i="4462"/>
  <c r="AH530" i="4462"/>
  <c r="AI530" i="4462"/>
  <c r="AJ530" i="4462"/>
  <c r="AK530" i="4462"/>
  <c r="AL530" i="4462"/>
  <c r="AM530" i="4462"/>
  <c r="AN530" i="4462"/>
  <c r="AO530" i="4462"/>
  <c r="AP530" i="4462"/>
  <c r="AQ530" i="4462"/>
  <c r="AR530" i="4462"/>
  <c r="AS530" i="4462"/>
  <c r="AT530" i="4462"/>
  <c r="AU530" i="4462"/>
  <c r="AV530" i="4462"/>
  <c r="AW530" i="4462"/>
  <c r="AX530" i="4462"/>
  <c r="AY530" i="4462"/>
  <c r="AZ530" i="4462"/>
  <c r="BA530" i="4462"/>
  <c r="BB530" i="4462"/>
  <c r="BC530" i="4462"/>
  <c r="BD530" i="4462"/>
  <c r="A531" i="4462"/>
  <c r="B531" i="4462"/>
  <c r="C531" i="4462"/>
  <c r="D531" i="4462"/>
  <c r="E531" i="4462"/>
  <c r="F531" i="4462"/>
  <c r="G531" i="4462"/>
  <c r="H531" i="4462"/>
  <c r="I531" i="4462"/>
  <c r="J531" i="4462"/>
  <c r="K531" i="4462"/>
  <c r="L531" i="4462"/>
  <c r="M531" i="4462"/>
  <c r="N531" i="4462"/>
  <c r="O531" i="4462"/>
  <c r="P531" i="4462"/>
  <c r="Q531" i="4462"/>
  <c r="R531" i="4462"/>
  <c r="S531" i="4462"/>
  <c r="T531" i="4462"/>
  <c r="U531" i="4462"/>
  <c r="V531" i="4462"/>
  <c r="W531" i="4462"/>
  <c r="X531" i="4462"/>
  <c r="Y531" i="4462"/>
  <c r="Z531" i="4462"/>
  <c r="AA531" i="4462"/>
  <c r="AB531" i="4462"/>
  <c r="AC531" i="4462"/>
  <c r="AD531" i="4462"/>
  <c r="AE531" i="4462"/>
  <c r="AF531" i="4462"/>
  <c r="AG531" i="4462"/>
  <c r="AH531" i="4462"/>
  <c r="AI531" i="4462"/>
  <c r="AJ531" i="4462"/>
  <c r="AK531" i="4462"/>
  <c r="AL531" i="4462"/>
  <c r="AM531" i="4462"/>
  <c r="AN531" i="4462"/>
  <c r="AO531" i="4462"/>
  <c r="AP531" i="4462"/>
  <c r="AQ531" i="4462"/>
  <c r="AR531" i="4462"/>
  <c r="AS531" i="4462"/>
  <c r="AT531" i="4462"/>
  <c r="AU531" i="4462"/>
  <c r="AV531" i="4462"/>
  <c r="AW531" i="4462"/>
  <c r="AX531" i="4462"/>
  <c r="AY531" i="4462"/>
  <c r="AZ531" i="4462"/>
  <c r="BA531" i="4462"/>
  <c r="BB531" i="4462"/>
  <c r="BC531" i="4462"/>
  <c r="BD531" i="4462"/>
  <c r="A532" i="4462"/>
  <c r="B532" i="4462"/>
  <c r="C532" i="4462"/>
  <c r="D532" i="4462"/>
  <c r="E532" i="4462"/>
  <c r="F532" i="4462"/>
  <c r="G532" i="4462"/>
  <c r="H532" i="4462"/>
  <c r="I532" i="4462"/>
  <c r="J532" i="4462"/>
  <c r="K532" i="4462"/>
  <c r="L532" i="4462"/>
  <c r="M532" i="4462"/>
  <c r="N532" i="4462"/>
  <c r="O532" i="4462"/>
  <c r="P532" i="4462"/>
  <c r="Q532" i="4462"/>
  <c r="R532" i="4462"/>
  <c r="S532" i="4462"/>
  <c r="T532" i="4462"/>
  <c r="U532" i="4462"/>
  <c r="V532" i="4462"/>
  <c r="W532" i="4462"/>
  <c r="X532" i="4462"/>
  <c r="Y532" i="4462"/>
  <c r="Z532" i="4462"/>
  <c r="AA532" i="4462"/>
  <c r="AB532" i="4462"/>
  <c r="AC532" i="4462"/>
  <c r="AD532" i="4462"/>
  <c r="AE532" i="4462"/>
  <c r="AF532" i="4462"/>
  <c r="AG532" i="4462"/>
  <c r="AH532" i="4462"/>
  <c r="AI532" i="4462"/>
  <c r="AJ532" i="4462"/>
  <c r="AK532" i="4462"/>
  <c r="AL532" i="4462"/>
  <c r="AM532" i="4462"/>
  <c r="AN532" i="4462"/>
  <c r="AO532" i="4462"/>
  <c r="AP532" i="4462"/>
  <c r="AQ532" i="4462"/>
  <c r="AR532" i="4462"/>
  <c r="AS532" i="4462"/>
  <c r="AT532" i="4462"/>
  <c r="AU532" i="4462"/>
  <c r="AV532" i="4462"/>
  <c r="AW532" i="4462"/>
  <c r="AX532" i="4462"/>
  <c r="AY532" i="4462"/>
  <c r="AZ532" i="4462"/>
  <c r="BA532" i="4462"/>
  <c r="BB532" i="4462"/>
  <c r="BC532" i="4462"/>
  <c r="BD532" i="4462"/>
  <c r="A533" i="4462"/>
  <c r="B533" i="4462"/>
  <c r="C533" i="4462"/>
  <c r="D533" i="4462"/>
  <c r="E533" i="4462"/>
  <c r="F533" i="4462"/>
  <c r="G533" i="4462"/>
  <c r="H533" i="4462"/>
  <c r="I533" i="4462"/>
  <c r="J533" i="4462"/>
  <c r="K533" i="4462"/>
  <c r="L533" i="4462"/>
  <c r="M533" i="4462"/>
  <c r="N533" i="4462"/>
  <c r="O533" i="4462"/>
  <c r="P533" i="4462"/>
  <c r="Q533" i="4462"/>
  <c r="R533" i="4462"/>
  <c r="S533" i="4462"/>
  <c r="T533" i="4462"/>
  <c r="U533" i="4462"/>
  <c r="V533" i="4462"/>
  <c r="W533" i="4462"/>
  <c r="X533" i="4462"/>
  <c r="Y533" i="4462"/>
  <c r="Z533" i="4462"/>
  <c r="AA533" i="4462"/>
  <c r="AB533" i="4462"/>
  <c r="AC533" i="4462"/>
  <c r="AD533" i="4462"/>
  <c r="AE533" i="4462"/>
  <c r="AF533" i="4462"/>
  <c r="AG533" i="4462"/>
  <c r="AH533" i="4462"/>
  <c r="AI533" i="4462"/>
  <c r="AJ533" i="4462"/>
  <c r="AK533" i="4462"/>
  <c r="AL533" i="4462"/>
  <c r="AM533" i="4462"/>
  <c r="AN533" i="4462"/>
  <c r="AO533" i="4462"/>
  <c r="AP533" i="4462"/>
  <c r="AQ533" i="4462"/>
  <c r="AR533" i="4462"/>
  <c r="AS533" i="4462"/>
  <c r="AT533" i="4462"/>
  <c r="AU533" i="4462"/>
  <c r="AV533" i="4462"/>
  <c r="AW533" i="4462"/>
  <c r="AX533" i="4462"/>
  <c r="AY533" i="4462"/>
  <c r="AZ533" i="4462"/>
  <c r="BA533" i="4462"/>
  <c r="BB533" i="4462"/>
  <c r="BC533" i="4462"/>
  <c r="BD533" i="4462"/>
  <c r="A534" i="4462"/>
  <c r="B534" i="4462"/>
  <c r="C534" i="4462"/>
  <c r="D534" i="4462"/>
  <c r="E534" i="4462"/>
  <c r="F534" i="4462"/>
  <c r="G534" i="4462"/>
  <c r="H534" i="4462"/>
  <c r="I534" i="4462"/>
  <c r="J534" i="4462"/>
  <c r="K534" i="4462"/>
  <c r="L534" i="4462"/>
  <c r="M534" i="4462"/>
  <c r="N534" i="4462"/>
  <c r="O534" i="4462"/>
  <c r="P534" i="4462"/>
  <c r="Q534" i="4462"/>
  <c r="R534" i="4462"/>
  <c r="S534" i="4462"/>
  <c r="T534" i="4462"/>
  <c r="U534" i="4462"/>
  <c r="V534" i="4462"/>
  <c r="W534" i="4462"/>
  <c r="X534" i="4462"/>
  <c r="Y534" i="4462"/>
  <c r="Z534" i="4462"/>
  <c r="AA534" i="4462"/>
  <c r="AB534" i="4462"/>
  <c r="AC534" i="4462"/>
  <c r="AD534" i="4462"/>
  <c r="AE534" i="4462"/>
  <c r="AF534" i="4462"/>
  <c r="AG534" i="4462"/>
  <c r="AH534" i="4462"/>
  <c r="AI534" i="4462"/>
  <c r="AJ534" i="4462"/>
  <c r="AK534" i="4462"/>
  <c r="AL534" i="4462"/>
  <c r="AM534" i="4462"/>
  <c r="AN534" i="4462"/>
  <c r="AO534" i="4462"/>
  <c r="AP534" i="4462"/>
  <c r="AQ534" i="4462"/>
  <c r="AR534" i="4462"/>
  <c r="AS534" i="4462"/>
  <c r="AT534" i="4462"/>
  <c r="AU534" i="4462"/>
  <c r="AV534" i="4462"/>
  <c r="AW534" i="4462"/>
  <c r="AX534" i="4462"/>
  <c r="AY534" i="4462"/>
  <c r="AZ534" i="4462"/>
  <c r="BA534" i="4462"/>
  <c r="BB534" i="4462"/>
  <c r="BC534" i="4462"/>
  <c r="BD534" i="4462"/>
  <c r="A535" i="4462"/>
  <c r="B535" i="4462"/>
  <c r="C535" i="4462"/>
  <c r="D535" i="4462"/>
  <c r="E535" i="4462"/>
  <c r="F535" i="4462"/>
  <c r="G535" i="4462"/>
  <c r="H535" i="4462"/>
  <c r="I535" i="4462"/>
  <c r="J535" i="4462"/>
  <c r="K535" i="4462"/>
  <c r="L535" i="4462"/>
  <c r="M535" i="4462"/>
  <c r="N535" i="4462"/>
  <c r="O535" i="4462"/>
  <c r="P535" i="4462"/>
  <c r="Q535" i="4462"/>
  <c r="R535" i="4462"/>
  <c r="S535" i="4462"/>
  <c r="T535" i="4462"/>
  <c r="U535" i="4462"/>
  <c r="V535" i="4462"/>
  <c r="W535" i="4462"/>
  <c r="X535" i="4462"/>
  <c r="Y535" i="4462"/>
  <c r="Z535" i="4462"/>
  <c r="AA535" i="4462"/>
  <c r="AB535" i="4462"/>
  <c r="AC535" i="4462"/>
  <c r="AD535" i="4462"/>
  <c r="AE535" i="4462"/>
  <c r="AF535" i="4462"/>
  <c r="AG535" i="4462"/>
  <c r="AH535" i="4462"/>
  <c r="AI535" i="4462"/>
  <c r="AJ535" i="4462"/>
  <c r="AK535" i="4462"/>
  <c r="AL535" i="4462"/>
  <c r="AM535" i="4462"/>
  <c r="AN535" i="4462"/>
  <c r="AO535" i="4462"/>
  <c r="AP535" i="4462"/>
  <c r="AQ535" i="4462"/>
  <c r="AR535" i="4462"/>
  <c r="AS535" i="4462"/>
  <c r="AT535" i="4462"/>
  <c r="AU535" i="4462"/>
  <c r="AV535" i="4462"/>
  <c r="AW535" i="4462"/>
  <c r="AX535" i="4462"/>
  <c r="AY535" i="4462"/>
  <c r="AZ535" i="4462"/>
  <c r="BA535" i="4462"/>
  <c r="BB535" i="4462"/>
  <c r="BC535" i="4462"/>
  <c r="BD535" i="4462"/>
  <c r="A536" i="4462"/>
  <c r="B536" i="4462"/>
  <c r="C536" i="4462"/>
  <c r="D536" i="4462"/>
  <c r="E536" i="4462"/>
  <c r="F536" i="4462"/>
  <c r="G536" i="4462"/>
  <c r="H536" i="4462"/>
  <c r="I536" i="4462"/>
  <c r="J536" i="4462"/>
  <c r="K536" i="4462"/>
  <c r="L536" i="4462"/>
  <c r="M536" i="4462"/>
  <c r="N536" i="4462"/>
  <c r="O536" i="4462"/>
  <c r="P536" i="4462"/>
  <c r="Q536" i="4462"/>
  <c r="R536" i="4462"/>
  <c r="S536" i="4462"/>
  <c r="T536" i="4462"/>
  <c r="U536" i="4462"/>
  <c r="V536" i="4462"/>
  <c r="W536" i="4462"/>
  <c r="X536" i="4462"/>
  <c r="Y536" i="4462"/>
  <c r="Z536" i="4462"/>
  <c r="AA536" i="4462"/>
  <c r="AB536" i="4462"/>
  <c r="AC536" i="4462"/>
  <c r="AD536" i="4462"/>
  <c r="AE536" i="4462"/>
  <c r="AF536" i="4462"/>
  <c r="AG536" i="4462"/>
  <c r="AH536" i="4462"/>
  <c r="AI536" i="4462"/>
  <c r="AJ536" i="4462"/>
  <c r="AK536" i="4462"/>
  <c r="AL536" i="4462"/>
  <c r="AM536" i="4462"/>
  <c r="AN536" i="4462"/>
  <c r="AO536" i="4462"/>
  <c r="AP536" i="4462"/>
  <c r="AQ536" i="4462"/>
  <c r="AR536" i="4462"/>
  <c r="AS536" i="4462"/>
  <c r="AT536" i="4462"/>
  <c r="AU536" i="4462"/>
  <c r="AV536" i="4462"/>
  <c r="AW536" i="4462"/>
  <c r="AX536" i="4462"/>
  <c r="AY536" i="4462"/>
  <c r="AZ536" i="4462"/>
  <c r="BA536" i="4462"/>
  <c r="BB536" i="4462"/>
  <c r="BC536" i="4462"/>
  <c r="BD536" i="4462"/>
  <c r="A537" i="4462"/>
  <c r="B537" i="4462"/>
  <c r="C537" i="4462"/>
  <c r="D537" i="4462"/>
  <c r="E537" i="4462"/>
  <c r="F537" i="4462"/>
  <c r="G537" i="4462"/>
  <c r="H537" i="4462"/>
  <c r="I537" i="4462"/>
  <c r="J537" i="4462"/>
  <c r="K537" i="4462"/>
  <c r="L537" i="4462"/>
  <c r="M537" i="4462"/>
  <c r="N537" i="4462"/>
  <c r="O537" i="4462"/>
  <c r="P537" i="4462"/>
  <c r="Q537" i="4462"/>
  <c r="R537" i="4462"/>
  <c r="S537" i="4462"/>
  <c r="T537" i="4462"/>
  <c r="U537" i="4462"/>
  <c r="V537" i="4462"/>
  <c r="W537" i="4462"/>
  <c r="X537" i="4462"/>
  <c r="Y537" i="4462"/>
  <c r="Z537" i="4462"/>
  <c r="AA537" i="4462"/>
  <c r="AB537" i="4462"/>
  <c r="AC537" i="4462"/>
  <c r="AD537" i="4462"/>
  <c r="AE537" i="4462"/>
  <c r="AF537" i="4462"/>
  <c r="AG537" i="4462"/>
  <c r="AH537" i="4462"/>
  <c r="AI537" i="4462"/>
  <c r="AJ537" i="4462"/>
  <c r="AK537" i="4462"/>
  <c r="AL537" i="4462"/>
  <c r="AM537" i="4462"/>
  <c r="AN537" i="4462"/>
  <c r="AO537" i="4462"/>
  <c r="AP537" i="4462"/>
  <c r="AQ537" i="4462"/>
  <c r="AR537" i="4462"/>
  <c r="AS537" i="4462"/>
  <c r="AT537" i="4462"/>
  <c r="AU537" i="4462"/>
  <c r="AV537" i="4462"/>
  <c r="AW537" i="4462"/>
  <c r="AX537" i="4462"/>
  <c r="AY537" i="4462"/>
  <c r="AZ537" i="4462"/>
  <c r="BA537" i="4462"/>
  <c r="BB537" i="4462"/>
  <c r="BC537" i="4462"/>
  <c r="BD537" i="4462"/>
  <c r="A538" i="4462"/>
  <c r="B538" i="4462"/>
  <c r="C538" i="4462"/>
  <c r="D538" i="4462"/>
  <c r="E538" i="4462"/>
  <c r="F538" i="4462"/>
  <c r="G538" i="4462"/>
  <c r="H538" i="4462"/>
  <c r="I538" i="4462"/>
  <c r="J538" i="4462"/>
  <c r="K538" i="4462"/>
  <c r="L538" i="4462"/>
  <c r="M538" i="4462"/>
  <c r="N538" i="4462"/>
  <c r="O538" i="4462"/>
  <c r="P538" i="4462"/>
  <c r="Q538" i="4462"/>
  <c r="R538" i="4462"/>
  <c r="S538" i="4462"/>
  <c r="T538" i="4462"/>
  <c r="U538" i="4462"/>
  <c r="V538" i="4462"/>
  <c r="W538" i="4462"/>
  <c r="X538" i="4462"/>
  <c r="Y538" i="4462"/>
  <c r="Z538" i="4462"/>
  <c r="AA538" i="4462"/>
  <c r="AB538" i="4462"/>
  <c r="AC538" i="4462"/>
  <c r="AD538" i="4462"/>
  <c r="AE538" i="4462"/>
  <c r="AF538" i="4462"/>
  <c r="AG538" i="4462"/>
  <c r="AH538" i="4462"/>
  <c r="AI538" i="4462"/>
  <c r="AJ538" i="4462"/>
  <c r="AK538" i="4462"/>
  <c r="AL538" i="4462"/>
  <c r="AM538" i="4462"/>
  <c r="AN538" i="4462"/>
  <c r="AO538" i="4462"/>
  <c r="AP538" i="4462"/>
  <c r="AQ538" i="4462"/>
  <c r="AR538" i="4462"/>
  <c r="AS538" i="4462"/>
  <c r="AT538" i="4462"/>
  <c r="AU538" i="4462"/>
  <c r="AV538" i="4462"/>
  <c r="AW538" i="4462"/>
  <c r="AX538" i="4462"/>
  <c r="AY538" i="4462"/>
  <c r="AZ538" i="4462"/>
  <c r="BA538" i="4462"/>
  <c r="BB538" i="4462"/>
  <c r="BC538" i="4462"/>
  <c r="BD538" i="4462"/>
  <c r="A539" i="4462"/>
  <c r="B539" i="4462"/>
  <c r="C539" i="4462"/>
  <c r="D539" i="4462"/>
  <c r="E539" i="4462"/>
  <c r="F539" i="4462"/>
  <c r="G539" i="4462"/>
  <c r="H539" i="4462"/>
  <c r="I539" i="4462"/>
  <c r="J539" i="4462"/>
  <c r="K539" i="4462"/>
  <c r="L539" i="4462"/>
  <c r="M539" i="4462"/>
  <c r="N539" i="4462"/>
  <c r="O539" i="4462"/>
  <c r="P539" i="4462"/>
  <c r="Q539" i="4462"/>
  <c r="R539" i="4462"/>
  <c r="S539" i="4462"/>
  <c r="T539" i="4462"/>
  <c r="U539" i="4462"/>
  <c r="V539" i="4462"/>
  <c r="W539" i="4462"/>
  <c r="X539" i="4462"/>
  <c r="Y539" i="4462"/>
  <c r="Z539" i="4462"/>
  <c r="AA539" i="4462"/>
  <c r="AB539" i="4462"/>
  <c r="AC539" i="4462"/>
  <c r="AD539" i="4462"/>
  <c r="AE539" i="4462"/>
  <c r="AF539" i="4462"/>
  <c r="AG539" i="4462"/>
  <c r="AH539" i="4462"/>
  <c r="AI539" i="4462"/>
  <c r="AJ539" i="4462"/>
  <c r="AK539" i="4462"/>
  <c r="AL539" i="4462"/>
  <c r="AM539" i="4462"/>
  <c r="AN539" i="4462"/>
  <c r="AO539" i="4462"/>
  <c r="AP539" i="4462"/>
  <c r="AQ539" i="4462"/>
  <c r="AR539" i="4462"/>
  <c r="AS539" i="4462"/>
  <c r="AT539" i="4462"/>
  <c r="AU539" i="4462"/>
  <c r="AV539" i="4462"/>
  <c r="AW539" i="4462"/>
  <c r="AX539" i="4462"/>
  <c r="AY539" i="4462"/>
  <c r="AZ539" i="4462"/>
  <c r="BA539" i="4462"/>
  <c r="BB539" i="4462"/>
  <c r="BC539" i="4462"/>
  <c r="BD539" i="4462"/>
  <c r="A540" i="4462"/>
  <c r="B540" i="4462"/>
  <c r="C540" i="4462"/>
  <c r="D540" i="4462"/>
  <c r="E540" i="4462"/>
  <c r="F540" i="4462"/>
  <c r="G540" i="4462"/>
  <c r="H540" i="4462"/>
  <c r="I540" i="4462"/>
  <c r="J540" i="4462"/>
  <c r="K540" i="4462"/>
  <c r="L540" i="4462"/>
  <c r="M540" i="4462"/>
  <c r="N540" i="4462"/>
  <c r="O540" i="4462"/>
  <c r="P540" i="4462"/>
  <c r="Q540" i="4462"/>
  <c r="R540" i="4462"/>
  <c r="S540" i="4462"/>
  <c r="T540" i="4462"/>
  <c r="U540" i="4462"/>
  <c r="V540" i="4462"/>
  <c r="W540" i="4462"/>
  <c r="X540" i="4462"/>
  <c r="Y540" i="4462"/>
  <c r="Z540" i="4462"/>
  <c r="AA540" i="4462"/>
  <c r="AB540" i="4462"/>
  <c r="AC540" i="4462"/>
  <c r="AD540" i="4462"/>
  <c r="AE540" i="4462"/>
  <c r="AF540" i="4462"/>
  <c r="AG540" i="4462"/>
  <c r="AH540" i="4462"/>
  <c r="AI540" i="4462"/>
  <c r="AJ540" i="4462"/>
  <c r="AK540" i="4462"/>
  <c r="AL540" i="4462"/>
  <c r="AM540" i="4462"/>
  <c r="AN540" i="4462"/>
  <c r="AO540" i="4462"/>
  <c r="AP540" i="4462"/>
  <c r="AQ540" i="4462"/>
  <c r="AR540" i="4462"/>
  <c r="AS540" i="4462"/>
  <c r="AT540" i="4462"/>
  <c r="AU540" i="4462"/>
  <c r="AV540" i="4462"/>
  <c r="AW540" i="4462"/>
  <c r="AX540" i="4462"/>
  <c r="AY540" i="4462"/>
  <c r="AZ540" i="4462"/>
  <c r="BA540" i="4462"/>
  <c r="BB540" i="4462"/>
  <c r="BC540" i="4462"/>
  <c r="BD540" i="4462"/>
  <c r="A541" i="4462"/>
  <c r="B541" i="4462"/>
  <c r="C541" i="4462"/>
  <c r="D541" i="4462"/>
  <c r="E541" i="4462"/>
  <c r="F541" i="4462"/>
  <c r="G541" i="4462"/>
  <c r="H541" i="4462"/>
  <c r="I541" i="4462"/>
  <c r="J541" i="4462"/>
  <c r="K541" i="4462"/>
  <c r="L541" i="4462"/>
  <c r="M541" i="4462"/>
  <c r="N541" i="4462"/>
  <c r="O541" i="4462"/>
  <c r="P541" i="4462"/>
  <c r="Q541" i="4462"/>
  <c r="R541" i="4462"/>
  <c r="S541" i="4462"/>
  <c r="T541" i="4462"/>
  <c r="U541" i="4462"/>
  <c r="V541" i="4462"/>
  <c r="W541" i="4462"/>
  <c r="X541" i="4462"/>
  <c r="Y541" i="4462"/>
  <c r="Z541" i="4462"/>
  <c r="AA541" i="4462"/>
  <c r="AB541" i="4462"/>
  <c r="AC541" i="4462"/>
  <c r="AD541" i="4462"/>
  <c r="AE541" i="4462"/>
  <c r="AF541" i="4462"/>
  <c r="AG541" i="4462"/>
  <c r="AH541" i="4462"/>
  <c r="AI541" i="4462"/>
  <c r="AJ541" i="4462"/>
  <c r="AK541" i="4462"/>
  <c r="AL541" i="4462"/>
  <c r="AM541" i="4462"/>
  <c r="AN541" i="4462"/>
  <c r="AO541" i="4462"/>
  <c r="AP541" i="4462"/>
  <c r="AQ541" i="4462"/>
  <c r="AR541" i="4462"/>
  <c r="AS541" i="4462"/>
  <c r="AT541" i="4462"/>
  <c r="AU541" i="4462"/>
  <c r="AV541" i="4462"/>
  <c r="AW541" i="4462"/>
  <c r="AX541" i="4462"/>
  <c r="AY541" i="4462"/>
  <c r="AZ541" i="4462"/>
  <c r="BA541" i="4462"/>
  <c r="BB541" i="4462"/>
  <c r="BC541" i="4462"/>
  <c r="BD541" i="4462"/>
  <c r="A542" i="4462"/>
  <c r="B542" i="4462"/>
  <c r="C542" i="4462"/>
  <c r="D542" i="4462"/>
  <c r="E542" i="4462"/>
  <c r="F542" i="4462"/>
  <c r="G542" i="4462"/>
  <c r="H542" i="4462"/>
  <c r="I542" i="4462"/>
  <c r="J542" i="4462"/>
  <c r="K542" i="4462"/>
  <c r="L542" i="4462"/>
  <c r="M542" i="4462"/>
  <c r="N542" i="4462"/>
  <c r="O542" i="4462"/>
  <c r="P542" i="4462"/>
  <c r="Q542" i="4462"/>
  <c r="R542" i="4462"/>
  <c r="S542" i="4462"/>
  <c r="T542" i="4462"/>
  <c r="U542" i="4462"/>
  <c r="V542" i="4462"/>
  <c r="W542" i="4462"/>
  <c r="X542" i="4462"/>
  <c r="Y542" i="4462"/>
  <c r="Z542" i="4462"/>
  <c r="AA542" i="4462"/>
  <c r="AB542" i="4462"/>
  <c r="AC542" i="4462"/>
  <c r="AD542" i="4462"/>
  <c r="AE542" i="4462"/>
  <c r="AF542" i="4462"/>
  <c r="AG542" i="4462"/>
  <c r="AH542" i="4462"/>
  <c r="AI542" i="4462"/>
  <c r="AJ542" i="4462"/>
  <c r="AK542" i="4462"/>
  <c r="AL542" i="4462"/>
  <c r="AM542" i="4462"/>
  <c r="AN542" i="4462"/>
  <c r="AO542" i="4462"/>
  <c r="AP542" i="4462"/>
  <c r="AQ542" i="4462"/>
  <c r="AR542" i="4462"/>
  <c r="AS542" i="4462"/>
  <c r="AT542" i="4462"/>
  <c r="AU542" i="4462"/>
  <c r="AV542" i="4462"/>
  <c r="AW542" i="4462"/>
  <c r="AX542" i="4462"/>
  <c r="AY542" i="4462"/>
  <c r="AZ542" i="4462"/>
  <c r="BA542" i="4462"/>
  <c r="BB542" i="4462"/>
  <c r="BC542" i="4462"/>
  <c r="BD542" i="4462"/>
  <c r="A543" i="4462"/>
  <c r="B543" i="4462"/>
  <c r="C543" i="4462"/>
  <c r="D543" i="4462"/>
  <c r="E543" i="4462"/>
  <c r="F543" i="4462"/>
  <c r="G543" i="4462"/>
  <c r="H543" i="4462"/>
  <c r="I543" i="4462"/>
  <c r="J543" i="4462"/>
  <c r="K543" i="4462"/>
  <c r="L543" i="4462"/>
  <c r="M543" i="4462"/>
  <c r="N543" i="4462"/>
  <c r="O543" i="4462"/>
  <c r="P543" i="4462"/>
  <c r="Q543" i="4462"/>
  <c r="R543" i="4462"/>
  <c r="S543" i="4462"/>
  <c r="T543" i="4462"/>
  <c r="U543" i="4462"/>
  <c r="V543" i="4462"/>
  <c r="W543" i="4462"/>
  <c r="X543" i="4462"/>
  <c r="Y543" i="4462"/>
  <c r="Z543" i="4462"/>
  <c r="AA543" i="4462"/>
  <c r="AB543" i="4462"/>
  <c r="AC543" i="4462"/>
  <c r="AD543" i="4462"/>
  <c r="AE543" i="4462"/>
  <c r="AF543" i="4462"/>
  <c r="AG543" i="4462"/>
  <c r="AH543" i="4462"/>
  <c r="AI543" i="4462"/>
  <c r="AJ543" i="4462"/>
  <c r="AK543" i="4462"/>
  <c r="AL543" i="4462"/>
  <c r="AM543" i="4462"/>
  <c r="AN543" i="4462"/>
  <c r="AO543" i="4462"/>
  <c r="AP543" i="4462"/>
  <c r="AQ543" i="4462"/>
  <c r="AR543" i="4462"/>
  <c r="AS543" i="4462"/>
  <c r="AT543" i="4462"/>
  <c r="AU543" i="4462"/>
  <c r="AV543" i="4462"/>
  <c r="AW543" i="4462"/>
  <c r="AX543" i="4462"/>
  <c r="AY543" i="4462"/>
  <c r="AZ543" i="4462"/>
  <c r="BA543" i="4462"/>
  <c r="BB543" i="4462"/>
  <c r="BC543" i="4462"/>
  <c r="BD543" i="4462"/>
  <c r="A544" i="4462"/>
  <c r="B544" i="4462"/>
  <c r="C544" i="4462"/>
  <c r="D544" i="4462"/>
  <c r="E544" i="4462"/>
  <c r="F544" i="4462"/>
  <c r="G544" i="4462"/>
  <c r="H544" i="4462"/>
  <c r="I544" i="4462"/>
  <c r="J544" i="4462"/>
  <c r="K544" i="4462"/>
  <c r="L544" i="4462"/>
  <c r="M544" i="4462"/>
  <c r="N544" i="4462"/>
  <c r="O544" i="4462"/>
  <c r="P544" i="4462"/>
  <c r="Q544" i="4462"/>
  <c r="R544" i="4462"/>
  <c r="S544" i="4462"/>
  <c r="T544" i="4462"/>
  <c r="U544" i="4462"/>
  <c r="V544" i="4462"/>
  <c r="W544" i="4462"/>
  <c r="X544" i="4462"/>
  <c r="Y544" i="4462"/>
  <c r="Z544" i="4462"/>
  <c r="AA544" i="4462"/>
  <c r="AB544" i="4462"/>
  <c r="AC544" i="4462"/>
  <c r="AD544" i="4462"/>
  <c r="AE544" i="4462"/>
  <c r="AF544" i="4462"/>
  <c r="AG544" i="4462"/>
  <c r="AH544" i="4462"/>
  <c r="AI544" i="4462"/>
  <c r="AJ544" i="4462"/>
  <c r="AK544" i="4462"/>
  <c r="AL544" i="4462"/>
  <c r="AM544" i="4462"/>
  <c r="AN544" i="4462"/>
  <c r="AO544" i="4462"/>
  <c r="AP544" i="4462"/>
  <c r="AQ544" i="4462"/>
  <c r="AR544" i="4462"/>
  <c r="AS544" i="4462"/>
  <c r="AT544" i="4462"/>
  <c r="AU544" i="4462"/>
  <c r="AV544" i="4462"/>
  <c r="AW544" i="4462"/>
  <c r="AX544" i="4462"/>
  <c r="AY544" i="4462"/>
  <c r="AZ544" i="4462"/>
  <c r="BA544" i="4462"/>
  <c r="BB544" i="4462"/>
  <c r="BC544" i="4462"/>
  <c r="BD544" i="4462"/>
  <c r="A545" i="4462"/>
  <c r="B545" i="4462"/>
  <c r="C545" i="4462"/>
  <c r="D545" i="4462"/>
  <c r="E545" i="4462"/>
  <c r="F545" i="4462"/>
  <c r="G545" i="4462"/>
  <c r="H545" i="4462"/>
  <c r="I545" i="4462"/>
  <c r="J545" i="4462"/>
  <c r="K545" i="4462"/>
  <c r="L545" i="4462"/>
  <c r="M545" i="4462"/>
  <c r="N545" i="4462"/>
  <c r="O545" i="4462"/>
  <c r="P545" i="4462"/>
  <c r="Q545" i="4462"/>
  <c r="R545" i="4462"/>
  <c r="S545" i="4462"/>
  <c r="T545" i="4462"/>
  <c r="U545" i="4462"/>
  <c r="V545" i="4462"/>
  <c r="W545" i="4462"/>
  <c r="X545" i="4462"/>
  <c r="Y545" i="4462"/>
  <c r="Z545" i="4462"/>
  <c r="AA545" i="4462"/>
  <c r="AB545" i="4462"/>
  <c r="AC545" i="4462"/>
  <c r="AD545" i="4462"/>
  <c r="AE545" i="4462"/>
  <c r="AF545" i="4462"/>
  <c r="AG545" i="4462"/>
  <c r="AH545" i="4462"/>
  <c r="AI545" i="4462"/>
  <c r="AJ545" i="4462"/>
  <c r="AK545" i="4462"/>
  <c r="AL545" i="4462"/>
  <c r="AM545" i="4462"/>
  <c r="AN545" i="4462"/>
  <c r="AO545" i="4462"/>
  <c r="AP545" i="4462"/>
  <c r="AQ545" i="4462"/>
  <c r="AR545" i="4462"/>
  <c r="AS545" i="4462"/>
  <c r="AT545" i="4462"/>
  <c r="AU545" i="4462"/>
  <c r="AV545" i="4462"/>
  <c r="AW545" i="4462"/>
  <c r="AX545" i="4462"/>
  <c r="AY545" i="4462"/>
  <c r="AZ545" i="4462"/>
  <c r="BA545" i="4462"/>
  <c r="BB545" i="4462"/>
  <c r="BC545" i="4462"/>
  <c r="BD545" i="4462"/>
  <c r="A546" i="4462"/>
  <c r="B546" i="4462"/>
  <c r="C546" i="4462"/>
  <c r="D546" i="4462"/>
  <c r="E546" i="4462"/>
  <c r="F546" i="4462"/>
  <c r="G546" i="4462"/>
  <c r="H546" i="4462"/>
  <c r="I546" i="4462"/>
  <c r="J546" i="4462"/>
  <c r="K546" i="4462"/>
  <c r="L546" i="4462"/>
  <c r="M546" i="4462"/>
  <c r="N546" i="4462"/>
  <c r="O546" i="4462"/>
  <c r="P546" i="4462"/>
  <c r="Q546" i="4462"/>
  <c r="R546" i="4462"/>
  <c r="S546" i="4462"/>
  <c r="T546" i="4462"/>
  <c r="U546" i="4462"/>
  <c r="V546" i="4462"/>
  <c r="W546" i="4462"/>
  <c r="X546" i="4462"/>
  <c r="Y546" i="4462"/>
  <c r="Z546" i="4462"/>
  <c r="AA546" i="4462"/>
  <c r="AB546" i="4462"/>
  <c r="AC546" i="4462"/>
  <c r="AD546" i="4462"/>
  <c r="AE546" i="4462"/>
  <c r="AF546" i="4462"/>
  <c r="AG546" i="4462"/>
  <c r="AH546" i="4462"/>
  <c r="AI546" i="4462"/>
  <c r="AJ546" i="4462"/>
  <c r="AK546" i="4462"/>
  <c r="AL546" i="4462"/>
  <c r="AM546" i="4462"/>
  <c r="AN546" i="4462"/>
  <c r="AO546" i="4462"/>
  <c r="AP546" i="4462"/>
  <c r="AQ546" i="4462"/>
  <c r="AR546" i="4462"/>
  <c r="AS546" i="4462"/>
  <c r="AT546" i="4462"/>
  <c r="AU546" i="4462"/>
  <c r="AV546" i="4462"/>
  <c r="AW546" i="4462"/>
  <c r="AX546" i="4462"/>
  <c r="AY546" i="4462"/>
  <c r="AZ546" i="4462"/>
  <c r="BA546" i="4462"/>
  <c r="BB546" i="4462"/>
  <c r="BC546" i="4462"/>
  <c r="BD546" i="4462"/>
  <c r="A547" i="4462"/>
  <c r="B547" i="4462"/>
  <c r="C547" i="4462"/>
  <c r="D547" i="4462"/>
  <c r="E547" i="4462"/>
  <c r="F547" i="4462"/>
  <c r="G547" i="4462"/>
  <c r="H547" i="4462"/>
  <c r="I547" i="4462"/>
  <c r="J547" i="4462"/>
  <c r="K547" i="4462"/>
  <c r="L547" i="4462"/>
  <c r="M547" i="4462"/>
  <c r="N547" i="4462"/>
  <c r="O547" i="4462"/>
  <c r="P547" i="4462"/>
  <c r="Q547" i="4462"/>
  <c r="R547" i="4462"/>
  <c r="S547" i="4462"/>
  <c r="T547" i="4462"/>
  <c r="U547" i="4462"/>
  <c r="V547" i="4462"/>
  <c r="W547" i="4462"/>
  <c r="X547" i="4462"/>
  <c r="Y547" i="4462"/>
  <c r="Z547" i="4462"/>
  <c r="AA547" i="4462"/>
  <c r="AB547" i="4462"/>
  <c r="AC547" i="4462"/>
  <c r="AD547" i="4462"/>
  <c r="AE547" i="4462"/>
  <c r="AF547" i="4462"/>
  <c r="AG547" i="4462"/>
  <c r="AH547" i="4462"/>
  <c r="AI547" i="4462"/>
  <c r="AJ547" i="4462"/>
  <c r="AK547" i="4462"/>
  <c r="AL547" i="4462"/>
  <c r="AM547" i="4462"/>
  <c r="AN547" i="4462"/>
  <c r="AO547" i="4462"/>
  <c r="AP547" i="4462"/>
  <c r="AQ547" i="4462"/>
  <c r="AR547" i="4462"/>
  <c r="AS547" i="4462"/>
  <c r="AT547" i="4462"/>
  <c r="AU547" i="4462"/>
  <c r="AV547" i="4462"/>
  <c r="AW547" i="4462"/>
  <c r="AX547" i="4462"/>
  <c r="AY547" i="4462"/>
  <c r="AZ547" i="4462"/>
  <c r="BA547" i="4462"/>
  <c r="BB547" i="4462"/>
  <c r="BC547" i="4462"/>
  <c r="BD547" i="4462"/>
  <c r="A548" i="4462"/>
  <c r="B548" i="4462"/>
  <c r="C548" i="4462"/>
  <c r="D548" i="4462"/>
  <c r="E548" i="4462"/>
  <c r="F548" i="4462"/>
  <c r="G548" i="4462"/>
  <c r="H548" i="4462"/>
  <c r="I548" i="4462"/>
  <c r="J548" i="4462"/>
  <c r="K548" i="4462"/>
  <c r="L548" i="4462"/>
  <c r="M548" i="4462"/>
  <c r="N548" i="4462"/>
  <c r="O548" i="4462"/>
  <c r="P548" i="4462"/>
  <c r="Q548" i="4462"/>
  <c r="R548" i="4462"/>
  <c r="S548" i="4462"/>
  <c r="T548" i="4462"/>
  <c r="U548" i="4462"/>
  <c r="V548" i="4462"/>
  <c r="W548" i="4462"/>
  <c r="X548" i="4462"/>
  <c r="Y548" i="4462"/>
  <c r="Z548" i="4462"/>
  <c r="AA548" i="4462"/>
  <c r="AB548" i="4462"/>
  <c r="AC548" i="4462"/>
  <c r="AD548" i="4462"/>
  <c r="AE548" i="4462"/>
  <c r="AF548" i="4462"/>
  <c r="AG548" i="4462"/>
  <c r="AH548" i="4462"/>
  <c r="AI548" i="4462"/>
  <c r="AJ548" i="4462"/>
  <c r="AK548" i="4462"/>
  <c r="AL548" i="4462"/>
  <c r="AM548" i="4462"/>
  <c r="AN548" i="4462"/>
  <c r="AO548" i="4462"/>
  <c r="AP548" i="4462"/>
  <c r="AQ548" i="4462"/>
  <c r="AR548" i="4462"/>
  <c r="AS548" i="4462"/>
  <c r="AT548" i="4462"/>
  <c r="AU548" i="4462"/>
  <c r="AV548" i="4462"/>
  <c r="AW548" i="4462"/>
  <c r="AX548" i="4462"/>
  <c r="AY548" i="4462"/>
  <c r="AZ548" i="4462"/>
  <c r="BA548" i="4462"/>
  <c r="BB548" i="4462"/>
  <c r="BC548" i="4462"/>
  <c r="BD548" i="4462"/>
  <c r="A549" i="4462"/>
  <c r="B549" i="4462"/>
  <c r="C549" i="4462"/>
  <c r="D549" i="4462"/>
  <c r="E549" i="4462"/>
  <c r="F549" i="4462"/>
  <c r="G549" i="4462"/>
  <c r="H549" i="4462"/>
  <c r="I549" i="4462"/>
  <c r="J549" i="4462"/>
  <c r="K549" i="4462"/>
  <c r="L549" i="4462"/>
  <c r="M549" i="4462"/>
  <c r="N549" i="4462"/>
  <c r="O549" i="4462"/>
  <c r="P549" i="4462"/>
  <c r="Q549" i="4462"/>
  <c r="R549" i="4462"/>
  <c r="S549" i="4462"/>
  <c r="T549" i="4462"/>
  <c r="U549" i="4462"/>
  <c r="V549" i="4462"/>
  <c r="W549" i="4462"/>
  <c r="X549" i="4462"/>
  <c r="Y549" i="4462"/>
  <c r="Z549" i="4462"/>
  <c r="AA549" i="4462"/>
  <c r="AB549" i="4462"/>
  <c r="AC549" i="4462"/>
  <c r="AD549" i="4462"/>
  <c r="AE549" i="4462"/>
  <c r="AF549" i="4462"/>
  <c r="AG549" i="4462"/>
  <c r="AH549" i="4462"/>
  <c r="AI549" i="4462"/>
  <c r="AJ549" i="4462"/>
  <c r="AK549" i="4462"/>
  <c r="AL549" i="4462"/>
  <c r="AM549" i="4462"/>
  <c r="AN549" i="4462"/>
  <c r="AO549" i="4462"/>
  <c r="AP549" i="4462"/>
  <c r="AQ549" i="4462"/>
  <c r="AR549" i="4462"/>
  <c r="AS549" i="4462"/>
  <c r="AT549" i="4462"/>
  <c r="AU549" i="4462"/>
  <c r="AV549" i="4462"/>
  <c r="AW549" i="4462"/>
  <c r="AX549" i="4462"/>
  <c r="AY549" i="4462"/>
  <c r="AZ549" i="4462"/>
  <c r="BA549" i="4462"/>
  <c r="BB549" i="4462"/>
  <c r="BC549" i="4462"/>
  <c r="BD549" i="4462"/>
  <c r="A550" i="4462"/>
  <c r="B550" i="4462"/>
  <c r="C550" i="4462"/>
  <c r="D550" i="4462"/>
  <c r="E550" i="4462"/>
  <c r="F550" i="4462"/>
  <c r="G550" i="4462"/>
  <c r="H550" i="4462"/>
  <c r="I550" i="4462"/>
  <c r="J550" i="4462"/>
  <c r="K550" i="4462"/>
  <c r="L550" i="4462"/>
  <c r="M550" i="4462"/>
  <c r="N550" i="4462"/>
  <c r="O550" i="4462"/>
  <c r="P550" i="4462"/>
  <c r="Q550" i="4462"/>
  <c r="R550" i="4462"/>
  <c r="S550" i="4462"/>
  <c r="T550" i="4462"/>
  <c r="U550" i="4462"/>
  <c r="V550" i="4462"/>
  <c r="W550" i="4462"/>
  <c r="X550" i="4462"/>
  <c r="Y550" i="4462"/>
  <c r="Z550" i="4462"/>
  <c r="AA550" i="4462"/>
  <c r="AB550" i="4462"/>
  <c r="AC550" i="4462"/>
  <c r="AD550" i="4462"/>
  <c r="AE550" i="4462"/>
  <c r="AF550" i="4462"/>
  <c r="AG550" i="4462"/>
  <c r="AH550" i="4462"/>
  <c r="AI550" i="4462"/>
  <c r="AJ550" i="4462"/>
  <c r="AK550" i="4462"/>
  <c r="AL550" i="4462"/>
  <c r="AM550" i="4462"/>
  <c r="AN550" i="4462"/>
  <c r="AO550" i="4462"/>
  <c r="AP550" i="4462"/>
  <c r="AQ550" i="4462"/>
  <c r="AR550" i="4462"/>
  <c r="AS550" i="4462"/>
  <c r="AT550" i="4462"/>
  <c r="AU550" i="4462"/>
  <c r="AV550" i="4462"/>
  <c r="AW550" i="4462"/>
  <c r="AX550" i="4462"/>
  <c r="AY550" i="4462"/>
  <c r="AZ550" i="4462"/>
  <c r="BA550" i="4462"/>
  <c r="BB550" i="4462"/>
  <c r="BC550" i="4462"/>
  <c r="BD550" i="4462"/>
  <c r="A551" i="4462"/>
  <c r="B551" i="4462"/>
  <c r="C551" i="4462"/>
  <c r="D551" i="4462"/>
  <c r="E551" i="4462"/>
  <c r="F551" i="4462"/>
  <c r="G551" i="4462"/>
  <c r="H551" i="4462"/>
  <c r="I551" i="4462"/>
  <c r="J551" i="4462"/>
  <c r="K551" i="4462"/>
  <c r="L551" i="4462"/>
  <c r="M551" i="4462"/>
  <c r="N551" i="4462"/>
  <c r="O551" i="4462"/>
  <c r="P551" i="4462"/>
  <c r="Q551" i="4462"/>
  <c r="R551" i="4462"/>
  <c r="S551" i="4462"/>
  <c r="T551" i="4462"/>
  <c r="U551" i="4462"/>
  <c r="V551" i="4462"/>
  <c r="W551" i="4462"/>
  <c r="X551" i="4462"/>
  <c r="Y551" i="4462"/>
  <c r="Z551" i="4462"/>
  <c r="AA551" i="4462"/>
  <c r="AB551" i="4462"/>
  <c r="AC551" i="4462"/>
  <c r="AD551" i="4462"/>
  <c r="AE551" i="4462"/>
  <c r="AF551" i="4462"/>
  <c r="AG551" i="4462"/>
  <c r="AH551" i="4462"/>
  <c r="AI551" i="4462"/>
  <c r="AJ551" i="4462"/>
  <c r="AK551" i="4462"/>
  <c r="AL551" i="4462"/>
  <c r="AM551" i="4462"/>
  <c r="AN551" i="4462"/>
  <c r="AO551" i="4462"/>
  <c r="AP551" i="4462"/>
  <c r="AQ551" i="4462"/>
  <c r="AR551" i="4462"/>
  <c r="AS551" i="4462"/>
  <c r="AT551" i="4462"/>
  <c r="AU551" i="4462"/>
  <c r="AV551" i="4462"/>
  <c r="AW551" i="4462"/>
  <c r="AX551" i="4462"/>
  <c r="AY551" i="4462"/>
  <c r="AZ551" i="4462"/>
  <c r="BA551" i="4462"/>
  <c r="BB551" i="4462"/>
  <c r="BC551" i="4462"/>
  <c r="BD551" i="4462"/>
  <c r="A552" i="4462"/>
  <c r="B552" i="4462"/>
  <c r="C552" i="4462"/>
  <c r="D552" i="4462"/>
  <c r="E552" i="4462"/>
  <c r="F552" i="4462"/>
  <c r="G552" i="4462"/>
  <c r="H552" i="4462"/>
  <c r="I552" i="4462"/>
  <c r="J552" i="4462"/>
  <c r="K552" i="4462"/>
  <c r="L552" i="4462"/>
  <c r="M552" i="4462"/>
  <c r="N552" i="4462"/>
  <c r="O552" i="4462"/>
  <c r="P552" i="4462"/>
  <c r="Q552" i="4462"/>
  <c r="R552" i="4462"/>
  <c r="S552" i="4462"/>
  <c r="T552" i="4462"/>
  <c r="U552" i="4462"/>
  <c r="V552" i="4462"/>
  <c r="W552" i="4462"/>
  <c r="X552" i="4462"/>
  <c r="Y552" i="4462"/>
  <c r="Z552" i="4462"/>
  <c r="AA552" i="4462"/>
  <c r="AB552" i="4462"/>
  <c r="AC552" i="4462"/>
  <c r="AD552" i="4462"/>
  <c r="AE552" i="4462"/>
  <c r="AF552" i="4462"/>
  <c r="AG552" i="4462"/>
  <c r="AH552" i="4462"/>
  <c r="AI552" i="4462"/>
  <c r="AJ552" i="4462"/>
  <c r="AK552" i="4462"/>
  <c r="AL552" i="4462"/>
  <c r="AM552" i="4462"/>
  <c r="AN552" i="4462"/>
  <c r="AO552" i="4462"/>
  <c r="AP552" i="4462"/>
  <c r="AQ552" i="4462"/>
  <c r="AR552" i="4462"/>
  <c r="AS552" i="4462"/>
  <c r="AT552" i="4462"/>
  <c r="AU552" i="4462"/>
  <c r="AV552" i="4462"/>
  <c r="AW552" i="4462"/>
  <c r="AX552" i="4462"/>
  <c r="AY552" i="4462"/>
  <c r="AZ552" i="4462"/>
  <c r="BA552" i="4462"/>
  <c r="BB552" i="4462"/>
  <c r="BC552" i="4462"/>
  <c r="BD552" i="4462"/>
  <c r="A553" i="4462"/>
  <c r="B553" i="4462"/>
  <c r="C553" i="4462"/>
  <c r="D553" i="4462"/>
  <c r="E553" i="4462"/>
  <c r="F553" i="4462"/>
  <c r="G553" i="4462"/>
  <c r="H553" i="4462"/>
  <c r="I553" i="4462"/>
  <c r="J553" i="4462"/>
  <c r="K553" i="4462"/>
  <c r="L553" i="4462"/>
  <c r="M553" i="4462"/>
  <c r="N553" i="4462"/>
  <c r="O553" i="4462"/>
  <c r="P553" i="4462"/>
  <c r="Q553" i="4462"/>
  <c r="R553" i="4462"/>
  <c r="S553" i="4462"/>
  <c r="T553" i="4462"/>
  <c r="U553" i="4462"/>
  <c r="V553" i="4462"/>
  <c r="W553" i="4462"/>
  <c r="X553" i="4462"/>
  <c r="Y553" i="4462"/>
  <c r="Z553" i="4462"/>
  <c r="AA553" i="4462"/>
  <c r="AB553" i="4462"/>
  <c r="AC553" i="4462"/>
  <c r="AD553" i="4462"/>
  <c r="AE553" i="4462"/>
  <c r="AF553" i="4462"/>
  <c r="AG553" i="4462"/>
  <c r="AH553" i="4462"/>
  <c r="AI553" i="4462"/>
  <c r="AJ553" i="4462"/>
  <c r="AK553" i="4462"/>
  <c r="AL553" i="4462"/>
  <c r="AM553" i="4462"/>
  <c r="AN553" i="4462"/>
  <c r="AO553" i="4462"/>
  <c r="AP553" i="4462"/>
  <c r="AQ553" i="4462"/>
  <c r="AR553" i="4462"/>
  <c r="AS553" i="4462"/>
  <c r="AT553" i="4462"/>
  <c r="AU553" i="4462"/>
  <c r="AV553" i="4462"/>
  <c r="AW553" i="4462"/>
  <c r="AX553" i="4462"/>
  <c r="AY553" i="4462"/>
  <c r="AZ553" i="4462"/>
  <c r="BA553" i="4462"/>
  <c r="BB553" i="4462"/>
  <c r="BC553" i="4462"/>
  <c r="BD553" i="4462"/>
  <c r="A554" i="4462"/>
  <c r="B554" i="4462"/>
  <c r="C554" i="4462"/>
  <c r="D554" i="4462"/>
  <c r="E554" i="4462"/>
  <c r="F554" i="4462"/>
  <c r="G554" i="4462"/>
  <c r="H554" i="4462"/>
  <c r="I554" i="4462"/>
  <c r="J554" i="4462"/>
  <c r="K554" i="4462"/>
  <c r="L554" i="4462"/>
  <c r="M554" i="4462"/>
  <c r="N554" i="4462"/>
  <c r="O554" i="4462"/>
  <c r="P554" i="4462"/>
  <c r="Q554" i="4462"/>
  <c r="R554" i="4462"/>
  <c r="S554" i="4462"/>
  <c r="T554" i="4462"/>
  <c r="U554" i="4462"/>
  <c r="V554" i="4462"/>
  <c r="W554" i="4462"/>
  <c r="X554" i="4462"/>
  <c r="Y554" i="4462"/>
  <c r="Z554" i="4462"/>
  <c r="AA554" i="4462"/>
  <c r="AB554" i="4462"/>
  <c r="AC554" i="4462"/>
  <c r="AD554" i="4462"/>
  <c r="AE554" i="4462"/>
  <c r="AF554" i="4462"/>
  <c r="AG554" i="4462"/>
  <c r="AH554" i="4462"/>
  <c r="AI554" i="4462"/>
  <c r="AJ554" i="4462"/>
  <c r="AK554" i="4462"/>
  <c r="AL554" i="4462"/>
  <c r="AM554" i="4462"/>
  <c r="AN554" i="4462"/>
  <c r="AO554" i="4462"/>
  <c r="AP554" i="4462"/>
  <c r="AQ554" i="4462"/>
  <c r="AR554" i="4462"/>
  <c r="AS554" i="4462"/>
  <c r="AT554" i="4462"/>
  <c r="AU554" i="4462"/>
  <c r="AV554" i="4462"/>
  <c r="AW554" i="4462"/>
  <c r="AX554" i="4462"/>
  <c r="AY554" i="4462"/>
  <c r="AZ554" i="4462"/>
  <c r="BA554" i="4462"/>
  <c r="BB554" i="4462"/>
  <c r="BC554" i="4462"/>
  <c r="BD554" i="4462"/>
  <c r="A555" i="4462"/>
  <c r="B555" i="4462"/>
  <c r="C555" i="4462"/>
  <c r="D555" i="4462"/>
  <c r="E555" i="4462"/>
  <c r="F555" i="4462"/>
  <c r="G555" i="4462"/>
  <c r="H555" i="4462"/>
  <c r="I555" i="4462"/>
  <c r="J555" i="4462"/>
  <c r="K555" i="4462"/>
  <c r="L555" i="4462"/>
  <c r="M555" i="4462"/>
  <c r="N555" i="4462"/>
  <c r="O555" i="4462"/>
  <c r="P555" i="4462"/>
  <c r="Q555" i="4462"/>
  <c r="R555" i="4462"/>
  <c r="S555" i="4462"/>
  <c r="T555" i="4462"/>
  <c r="U555" i="4462"/>
  <c r="V555" i="4462"/>
  <c r="W555" i="4462"/>
  <c r="X555" i="4462"/>
  <c r="Y555" i="4462"/>
  <c r="Z555" i="4462"/>
  <c r="AA555" i="4462"/>
  <c r="AB555" i="4462"/>
  <c r="AC555" i="4462"/>
  <c r="AD555" i="4462"/>
  <c r="AE555" i="4462"/>
  <c r="AF555" i="4462"/>
  <c r="AG555" i="4462"/>
  <c r="AH555" i="4462"/>
  <c r="AI555" i="4462"/>
  <c r="AJ555" i="4462"/>
  <c r="AK555" i="4462"/>
  <c r="AL555" i="4462"/>
  <c r="AM555" i="4462"/>
  <c r="AN555" i="4462"/>
  <c r="AO555" i="4462"/>
  <c r="AP555" i="4462"/>
  <c r="AQ555" i="4462"/>
  <c r="AR555" i="4462"/>
  <c r="AS555" i="4462"/>
  <c r="AT555" i="4462"/>
  <c r="AU555" i="4462"/>
  <c r="AV555" i="4462"/>
  <c r="AW555" i="4462"/>
  <c r="AX555" i="4462"/>
  <c r="AY555" i="4462"/>
  <c r="AZ555" i="4462"/>
  <c r="BA555" i="4462"/>
  <c r="BB555" i="4462"/>
  <c r="BC555" i="4462"/>
  <c r="BD555" i="4462"/>
  <c r="A556" i="4462"/>
  <c r="B556" i="4462"/>
  <c r="C556" i="4462"/>
  <c r="D556" i="4462"/>
  <c r="E556" i="4462"/>
  <c r="F556" i="4462"/>
  <c r="G556" i="4462"/>
  <c r="H556" i="4462"/>
  <c r="I556" i="4462"/>
  <c r="J556" i="4462"/>
  <c r="K556" i="4462"/>
  <c r="L556" i="4462"/>
  <c r="M556" i="4462"/>
  <c r="N556" i="4462"/>
  <c r="O556" i="4462"/>
  <c r="P556" i="4462"/>
  <c r="Q556" i="4462"/>
  <c r="R556" i="4462"/>
  <c r="S556" i="4462"/>
  <c r="T556" i="4462"/>
  <c r="U556" i="4462"/>
  <c r="V556" i="4462"/>
  <c r="W556" i="4462"/>
  <c r="X556" i="4462"/>
  <c r="Y556" i="4462"/>
  <c r="Z556" i="4462"/>
  <c r="AA556" i="4462"/>
  <c r="AB556" i="4462"/>
  <c r="AC556" i="4462"/>
  <c r="AD556" i="4462"/>
  <c r="AE556" i="4462"/>
  <c r="AF556" i="4462"/>
  <c r="AG556" i="4462"/>
  <c r="AH556" i="4462"/>
  <c r="AI556" i="4462"/>
  <c r="AJ556" i="4462"/>
  <c r="AK556" i="4462"/>
  <c r="AL556" i="4462"/>
  <c r="AM556" i="4462"/>
  <c r="AN556" i="4462"/>
  <c r="AO556" i="4462"/>
  <c r="AP556" i="4462"/>
  <c r="AQ556" i="4462"/>
  <c r="AR556" i="4462"/>
  <c r="AS556" i="4462"/>
  <c r="AT556" i="4462"/>
  <c r="AU556" i="4462"/>
  <c r="AV556" i="4462"/>
  <c r="AW556" i="4462"/>
  <c r="AX556" i="4462"/>
  <c r="AY556" i="4462"/>
  <c r="AZ556" i="4462"/>
  <c r="BA556" i="4462"/>
  <c r="BB556" i="4462"/>
  <c r="BC556" i="4462"/>
  <c r="BD556" i="4462"/>
  <c r="A557" i="4462"/>
  <c r="B557" i="4462"/>
  <c r="C557" i="4462"/>
  <c r="D557" i="4462"/>
  <c r="E557" i="4462"/>
  <c r="F557" i="4462"/>
  <c r="G557" i="4462"/>
  <c r="H557" i="4462"/>
  <c r="I557" i="4462"/>
  <c r="J557" i="4462"/>
  <c r="K557" i="4462"/>
  <c r="L557" i="4462"/>
  <c r="M557" i="4462"/>
  <c r="N557" i="4462"/>
  <c r="O557" i="4462"/>
  <c r="P557" i="4462"/>
  <c r="Q557" i="4462"/>
  <c r="R557" i="4462"/>
  <c r="S557" i="4462"/>
  <c r="T557" i="4462"/>
  <c r="U557" i="4462"/>
  <c r="V557" i="4462"/>
  <c r="W557" i="4462"/>
  <c r="X557" i="4462"/>
  <c r="Y557" i="4462"/>
  <c r="Z557" i="4462"/>
  <c r="AA557" i="4462"/>
  <c r="AB557" i="4462"/>
  <c r="AC557" i="4462"/>
  <c r="AD557" i="4462"/>
  <c r="AE557" i="4462"/>
  <c r="AF557" i="4462"/>
  <c r="AG557" i="4462"/>
  <c r="AH557" i="4462"/>
  <c r="AI557" i="4462"/>
  <c r="AJ557" i="4462"/>
  <c r="AK557" i="4462"/>
  <c r="AL557" i="4462"/>
  <c r="AM557" i="4462"/>
  <c r="AN557" i="4462"/>
  <c r="AO557" i="4462"/>
  <c r="AP557" i="4462"/>
  <c r="AQ557" i="4462"/>
  <c r="AR557" i="4462"/>
  <c r="AS557" i="4462"/>
  <c r="AT557" i="4462"/>
  <c r="AU557" i="4462"/>
  <c r="AV557" i="4462"/>
  <c r="AW557" i="4462"/>
  <c r="AX557" i="4462"/>
  <c r="AY557" i="4462"/>
  <c r="AZ557" i="4462"/>
  <c r="BA557" i="4462"/>
  <c r="BB557" i="4462"/>
  <c r="BC557" i="4462"/>
  <c r="BD557" i="4462"/>
  <c r="A558" i="4462"/>
  <c r="B558" i="4462"/>
  <c r="C558" i="4462"/>
  <c r="D558" i="4462"/>
  <c r="E558" i="4462"/>
  <c r="F558" i="4462"/>
  <c r="G558" i="4462"/>
  <c r="H558" i="4462"/>
  <c r="I558" i="4462"/>
  <c r="J558" i="4462"/>
  <c r="K558" i="4462"/>
  <c r="L558" i="4462"/>
  <c r="M558" i="4462"/>
  <c r="N558" i="4462"/>
  <c r="O558" i="4462"/>
  <c r="P558" i="4462"/>
  <c r="Q558" i="4462"/>
  <c r="R558" i="4462"/>
  <c r="S558" i="4462"/>
  <c r="T558" i="4462"/>
  <c r="U558" i="4462"/>
  <c r="V558" i="4462"/>
  <c r="W558" i="4462"/>
  <c r="X558" i="4462"/>
  <c r="Y558" i="4462"/>
  <c r="Z558" i="4462"/>
  <c r="AA558" i="4462"/>
  <c r="AB558" i="4462"/>
  <c r="AC558" i="4462"/>
  <c r="AD558" i="4462"/>
  <c r="AE558" i="4462"/>
  <c r="AF558" i="4462"/>
  <c r="AG558" i="4462"/>
  <c r="AH558" i="4462"/>
  <c r="AI558" i="4462"/>
  <c r="AJ558" i="4462"/>
  <c r="AK558" i="4462"/>
  <c r="AL558" i="4462"/>
  <c r="AM558" i="4462"/>
  <c r="AN558" i="4462"/>
  <c r="AO558" i="4462"/>
  <c r="AP558" i="4462"/>
  <c r="AQ558" i="4462"/>
  <c r="AR558" i="4462"/>
  <c r="AS558" i="4462"/>
  <c r="AT558" i="4462"/>
  <c r="AU558" i="4462"/>
  <c r="AV558" i="4462"/>
  <c r="AW558" i="4462"/>
  <c r="AX558" i="4462"/>
  <c r="AY558" i="4462"/>
  <c r="AZ558" i="4462"/>
  <c r="BA558" i="4462"/>
  <c r="BB558" i="4462"/>
  <c r="BC558" i="4462"/>
  <c r="BD558" i="4462"/>
  <c r="A559" i="4462"/>
  <c r="B559" i="4462"/>
  <c r="C559" i="4462"/>
  <c r="D559" i="4462"/>
  <c r="E559" i="4462"/>
  <c r="F559" i="4462"/>
  <c r="G559" i="4462"/>
  <c r="H559" i="4462"/>
  <c r="I559" i="4462"/>
  <c r="J559" i="4462"/>
  <c r="K559" i="4462"/>
  <c r="L559" i="4462"/>
  <c r="M559" i="4462"/>
  <c r="N559" i="4462"/>
  <c r="O559" i="4462"/>
  <c r="P559" i="4462"/>
  <c r="Q559" i="4462"/>
  <c r="R559" i="4462"/>
  <c r="S559" i="4462"/>
  <c r="T559" i="4462"/>
  <c r="U559" i="4462"/>
  <c r="V559" i="4462"/>
  <c r="W559" i="4462"/>
  <c r="X559" i="4462"/>
  <c r="Y559" i="4462"/>
  <c r="Z559" i="4462"/>
  <c r="AA559" i="4462"/>
  <c r="AB559" i="4462"/>
  <c r="AC559" i="4462"/>
  <c r="AD559" i="4462"/>
  <c r="AE559" i="4462"/>
  <c r="AF559" i="4462"/>
  <c r="AG559" i="4462"/>
  <c r="AH559" i="4462"/>
  <c r="AI559" i="4462"/>
  <c r="AJ559" i="4462"/>
  <c r="AK559" i="4462"/>
  <c r="AL559" i="4462"/>
  <c r="AM559" i="4462"/>
  <c r="AN559" i="4462"/>
  <c r="AO559" i="4462"/>
  <c r="AP559" i="4462"/>
  <c r="AQ559" i="4462"/>
  <c r="AR559" i="4462"/>
  <c r="AS559" i="4462"/>
  <c r="AT559" i="4462"/>
  <c r="AU559" i="4462"/>
  <c r="AV559" i="4462"/>
  <c r="AW559" i="4462"/>
  <c r="AX559" i="4462"/>
  <c r="AY559" i="4462"/>
  <c r="AZ559" i="4462"/>
  <c r="BA559" i="4462"/>
  <c r="BB559" i="4462"/>
  <c r="BC559" i="4462"/>
  <c r="BD559" i="4462"/>
  <c r="A560" i="4462"/>
  <c r="B560" i="4462"/>
  <c r="C560" i="4462"/>
  <c r="D560" i="4462"/>
  <c r="E560" i="4462"/>
  <c r="F560" i="4462"/>
  <c r="G560" i="4462"/>
  <c r="H560" i="4462"/>
  <c r="I560" i="4462"/>
  <c r="J560" i="4462"/>
  <c r="K560" i="4462"/>
  <c r="L560" i="4462"/>
  <c r="M560" i="4462"/>
  <c r="N560" i="4462"/>
  <c r="O560" i="4462"/>
  <c r="P560" i="4462"/>
  <c r="Q560" i="4462"/>
  <c r="R560" i="4462"/>
  <c r="S560" i="4462"/>
  <c r="T560" i="4462"/>
  <c r="U560" i="4462"/>
  <c r="V560" i="4462"/>
  <c r="W560" i="4462"/>
  <c r="X560" i="4462"/>
  <c r="Y560" i="4462"/>
  <c r="Z560" i="4462"/>
  <c r="AA560" i="4462"/>
  <c r="AB560" i="4462"/>
  <c r="AC560" i="4462"/>
  <c r="AD560" i="4462"/>
  <c r="AE560" i="4462"/>
  <c r="AF560" i="4462"/>
  <c r="AG560" i="4462"/>
  <c r="AH560" i="4462"/>
  <c r="AI560" i="4462"/>
  <c r="AJ560" i="4462"/>
  <c r="AK560" i="4462"/>
  <c r="AL560" i="4462"/>
  <c r="AM560" i="4462"/>
  <c r="AN560" i="4462"/>
  <c r="AO560" i="4462"/>
  <c r="AP560" i="4462"/>
  <c r="AQ560" i="4462"/>
  <c r="AR560" i="4462"/>
  <c r="AS560" i="4462"/>
  <c r="AT560" i="4462"/>
  <c r="AU560" i="4462"/>
  <c r="AV560" i="4462"/>
  <c r="AW560" i="4462"/>
  <c r="AX560" i="4462"/>
  <c r="AY560" i="4462"/>
  <c r="AZ560" i="4462"/>
  <c r="BA560" i="4462"/>
  <c r="BB560" i="4462"/>
  <c r="BC560" i="4462"/>
  <c r="BD560" i="4462"/>
  <c r="A561" i="4462"/>
  <c r="B561" i="4462"/>
  <c r="C561" i="4462"/>
  <c r="D561" i="4462"/>
  <c r="E561" i="4462"/>
  <c r="F561" i="4462"/>
  <c r="G561" i="4462"/>
  <c r="H561" i="4462"/>
  <c r="I561" i="4462"/>
  <c r="J561" i="4462"/>
  <c r="K561" i="4462"/>
  <c r="L561" i="4462"/>
  <c r="M561" i="4462"/>
  <c r="N561" i="4462"/>
  <c r="O561" i="4462"/>
  <c r="P561" i="4462"/>
  <c r="Q561" i="4462"/>
  <c r="R561" i="4462"/>
  <c r="S561" i="4462"/>
  <c r="T561" i="4462"/>
  <c r="U561" i="4462"/>
  <c r="V561" i="4462"/>
  <c r="W561" i="4462"/>
  <c r="X561" i="4462"/>
  <c r="Y561" i="4462"/>
  <c r="Z561" i="4462"/>
  <c r="AA561" i="4462"/>
  <c r="AB561" i="4462"/>
  <c r="AC561" i="4462"/>
  <c r="AD561" i="4462"/>
  <c r="AE561" i="4462"/>
  <c r="AF561" i="4462"/>
  <c r="AG561" i="4462"/>
  <c r="AH561" i="4462"/>
  <c r="AI561" i="4462"/>
  <c r="AJ561" i="4462"/>
  <c r="AK561" i="4462"/>
  <c r="AL561" i="4462"/>
  <c r="AM561" i="4462"/>
  <c r="AN561" i="4462"/>
  <c r="AO561" i="4462"/>
  <c r="AP561" i="4462"/>
  <c r="AQ561" i="4462"/>
  <c r="AR561" i="4462"/>
  <c r="AS561" i="4462"/>
  <c r="AT561" i="4462"/>
  <c r="AU561" i="4462"/>
  <c r="AV561" i="4462"/>
  <c r="AW561" i="4462"/>
  <c r="AX561" i="4462"/>
  <c r="AY561" i="4462"/>
  <c r="AZ561" i="4462"/>
  <c r="BA561" i="4462"/>
  <c r="BB561" i="4462"/>
  <c r="BC561" i="4462"/>
  <c r="BD561" i="4462"/>
  <c r="A562" i="4462"/>
  <c r="B562" i="4462"/>
  <c r="C562" i="4462"/>
  <c r="D562" i="4462"/>
  <c r="E562" i="4462"/>
  <c r="F562" i="4462"/>
  <c r="G562" i="4462"/>
  <c r="H562" i="4462"/>
  <c r="I562" i="4462"/>
  <c r="J562" i="4462"/>
  <c r="K562" i="4462"/>
  <c r="L562" i="4462"/>
  <c r="M562" i="4462"/>
  <c r="N562" i="4462"/>
  <c r="O562" i="4462"/>
  <c r="P562" i="4462"/>
  <c r="Q562" i="4462"/>
  <c r="R562" i="4462"/>
  <c r="S562" i="4462"/>
  <c r="T562" i="4462"/>
  <c r="U562" i="4462"/>
  <c r="V562" i="4462"/>
  <c r="W562" i="4462"/>
  <c r="X562" i="4462"/>
  <c r="Y562" i="4462"/>
  <c r="Z562" i="4462"/>
  <c r="AA562" i="4462"/>
  <c r="AB562" i="4462"/>
  <c r="AC562" i="4462"/>
  <c r="AD562" i="4462"/>
  <c r="AE562" i="4462"/>
  <c r="AF562" i="4462"/>
  <c r="AG562" i="4462"/>
  <c r="AH562" i="4462"/>
  <c r="AI562" i="4462"/>
  <c r="AJ562" i="4462"/>
  <c r="AK562" i="4462"/>
  <c r="AL562" i="4462"/>
  <c r="AM562" i="4462"/>
  <c r="AN562" i="4462"/>
  <c r="AO562" i="4462"/>
  <c r="AP562" i="4462"/>
  <c r="AQ562" i="4462"/>
  <c r="AR562" i="4462"/>
  <c r="AS562" i="4462"/>
  <c r="AT562" i="4462"/>
  <c r="AU562" i="4462"/>
  <c r="AV562" i="4462"/>
  <c r="AW562" i="4462"/>
  <c r="AX562" i="4462"/>
  <c r="AY562" i="4462"/>
  <c r="AZ562" i="4462"/>
  <c r="BA562" i="4462"/>
  <c r="BB562" i="4462"/>
  <c r="BC562" i="4462"/>
  <c r="BD562" i="4462"/>
  <c r="A563" i="4462"/>
  <c r="B563" i="4462"/>
  <c r="C563" i="4462"/>
  <c r="D563" i="4462"/>
  <c r="E563" i="4462"/>
  <c r="F563" i="4462"/>
  <c r="G563" i="4462"/>
  <c r="H563" i="4462"/>
  <c r="I563" i="4462"/>
  <c r="J563" i="4462"/>
  <c r="K563" i="4462"/>
  <c r="L563" i="4462"/>
  <c r="M563" i="4462"/>
  <c r="N563" i="4462"/>
  <c r="O563" i="4462"/>
  <c r="P563" i="4462"/>
  <c r="Q563" i="4462"/>
  <c r="R563" i="4462"/>
  <c r="S563" i="4462"/>
  <c r="T563" i="4462"/>
  <c r="U563" i="4462"/>
  <c r="V563" i="4462"/>
  <c r="W563" i="4462"/>
  <c r="X563" i="4462"/>
  <c r="Y563" i="4462"/>
  <c r="Z563" i="4462"/>
  <c r="AA563" i="4462"/>
  <c r="AB563" i="4462"/>
  <c r="AC563" i="4462"/>
  <c r="AD563" i="4462"/>
  <c r="AE563" i="4462"/>
  <c r="AF563" i="4462"/>
  <c r="AG563" i="4462"/>
  <c r="AH563" i="4462"/>
  <c r="AI563" i="4462"/>
  <c r="AJ563" i="4462"/>
  <c r="AK563" i="4462"/>
  <c r="AL563" i="4462"/>
  <c r="AM563" i="4462"/>
  <c r="AN563" i="4462"/>
  <c r="AO563" i="4462"/>
  <c r="AP563" i="4462"/>
  <c r="AQ563" i="4462"/>
  <c r="AR563" i="4462"/>
  <c r="AS563" i="4462"/>
  <c r="AT563" i="4462"/>
  <c r="AU563" i="4462"/>
  <c r="AV563" i="4462"/>
  <c r="AW563" i="4462"/>
  <c r="AX563" i="4462"/>
  <c r="AY563" i="4462"/>
  <c r="AZ563" i="4462"/>
  <c r="BA563" i="4462"/>
  <c r="BB563" i="4462"/>
  <c r="BC563" i="4462"/>
  <c r="BD563" i="4462"/>
  <c r="A564" i="4462"/>
  <c r="B564" i="4462"/>
  <c r="C564" i="4462"/>
  <c r="D564" i="4462"/>
  <c r="E564" i="4462"/>
  <c r="F564" i="4462"/>
  <c r="G564" i="4462"/>
  <c r="H564" i="4462"/>
  <c r="I564" i="4462"/>
  <c r="J564" i="4462"/>
  <c r="K564" i="4462"/>
  <c r="L564" i="4462"/>
  <c r="M564" i="4462"/>
  <c r="N564" i="4462"/>
  <c r="O564" i="4462"/>
  <c r="P564" i="4462"/>
  <c r="Q564" i="4462"/>
  <c r="R564" i="4462"/>
  <c r="S564" i="4462"/>
  <c r="T564" i="4462"/>
  <c r="U564" i="4462"/>
  <c r="V564" i="4462"/>
  <c r="W564" i="4462"/>
  <c r="X564" i="4462"/>
  <c r="Y564" i="4462"/>
  <c r="Z564" i="4462"/>
  <c r="AA564" i="4462"/>
  <c r="AB564" i="4462"/>
  <c r="AC564" i="4462"/>
  <c r="AD564" i="4462"/>
  <c r="AE564" i="4462"/>
  <c r="AF564" i="4462"/>
  <c r="AG564" i="4462"/>
  <c r="AH564" i="4462"/>
  <c r="AI564" i="4462"/>
  <c r="AJ564" i="4462"/>
  <c r="AK564" i="4462"/>
  <c r="AL564" i="4462"/>
  <c r="AM564" i="4462"/>
  <c r="AN564" i="4462"/>
  <c r="AO564" i="4462"/>
  <c r="AP564" i="4462"/>
  <c r="AQ564" i="4462"/>
  <c r="AR564" i="4462"/>
  <c r="AS564" i="4462"/>
  <c r="AT564" i="4462"/>
  <c r="AU564" i="4462"/>
  <c r="AV564" i="4462"/>
  <c r="AW564" i="4462"/>
  <c r="AX564" i="4462"/>
  <c r="AY564" i="4462"/>
  <c r="AZ564" i="4462"/>
  <c r="BA564" i="4462"/>
  <c r="BB564" i="4462"/>
  <c r="BC564" i="4462"/>
  <c r="BD564" i="4462"/>
  <c r="A565" i="4462"/>
  <c r="B565" i="4462"/>
  <c r="C565" i="4462"/>
  <c r="D565" i="4462"/>
  <c r="E565" i="4462"/>
  <c r="F565" i="4462"/>
  <c r="G565" i="4462"/>
  <c r="H565" i="4462"/>
  <c r="I565" i="4462"/>
  <c r="J565" i="4462"/>
  <c r="K565" i="4462"/>
  <c r="L565" i="4462"/>
  <c r="M565" i="4462"/>
  <c r="N565" i="4462"/>
  <c r="O565" i="4462"/>
  <c r="P565" i="4462"/>
  <c r="Q565" i="4462"/>
  <c r="R565" i="4462"/>
  <c r="S565" i="4462"/>
  <c r="T565" i="4462"/>
  <c r="U565" i="4462"/>
  <c r="V565" i="4462"/>
  <c r="W565" i="4462"/>
  <c r="X565" i="4462"/>
  <c r="Y565" i="4462"/>
  <c r="Z565" i="4462"/>
  <c r="AA565" i="4462"/>
  <c r="AB565" i="4462"/>
  <c r="AC565" i="4462"/>
  <c r="AD565" i="4462"/>
  <c r="AE565" i="4462"/>
  <c r="AF565" i="4462"/>
  <c r="AG565" i="4462"/>
  <c r="AH565" i="4462"/>
  <c r="AI565" i="4462"/>
  <c r="AJ565" i="4462"/>
  <c r="AK565" i="4462"/>
  <c r="AL565" i="4462"/>
  <c r="AM565" i="4462"/>
  <c r="AN565" i="4462"/>
  <c r="AO565" i="4462"/>
  <c r="AP565" i="4462"/>
  <c r="AQ565" i="4462"/>
  <c r="AR565" i="4462"/>
  <c r="AS565" i="4462"/>
  <c r="AT565" i="4462"/>
  <c r="AU565" i="4462"/>
  <c r="AV565" i="4462"/>
  <c r="AW565" i="4462"/>
  <c r="AX565" i="4462"/>
  <c r="AY565" i="4462"/>
  <c r="AZ565" i="4462"/>
  <c r="BA565" i="4462"/>
  <c r="BB565" i="4462"/>
  <c r="BC565" i="4462"/>
  <c r="BD565" i="4462"/>
  <c r="A566" i="4462"/>
  <c r="B566" i="4462"/>
  <c r="C566" i="4462"/>
  <c r="D566" i="4462"/>
  <c r="E566" i="4462"/>
  <c r="F566" i="4462"/>
  <c r="G566" i="4462"/>
  <c r="H566" i="4462"/>
  <c r="I566" i="4462"/>
  <c r="J566" i="4462"/>
  <c r="K566" i="4462"/>
  <c r="L566" i="4462"/>
  <c r="M566" i="4462"/>
  <c r="N566" i="4462"/>
  <c r="O566" i="4462"/>
  <c r="P566" i="4462"/>
  <c r="Q566" i="4462"/>
  <c r="R566" i="4462"/>
  <c r="S566" i="4462"/>
  <c r="T566" i="4462"/>
  <c r="U566" i="4462"/>
  <c r="V566" i="4462"/>
  <c r="W566" i="4462"/>
  <c r="X566" i="4462"/>
  <c r="Y566" i="4462"/>
  <c r="Z566" i="4462"/>
  <c r="AA566" i="4462"/>
  <c r="AB566" i="4462"/>
  <c r="AC566" i="4462"/>
  <c r="AD566" i="4462"/>
  <c r="AE566" i="4462"/>
  <c r="AF566" i="4462"/>
  <c r="AG566" i="4462"/>
  <c r="AH566" i="4462"/>
  <c r="AI566" i="4462"/>
  <c r="AJ566" i="4462"/>
  <c r="AK566" i="4462"/>
  <c r="AL566" i="4462"/>
  <c r="AM566" i="4462"/>
  <c r="AN566" i="4462"/>
  <c r="AO566" i="4462"/>
  <c r="AP566" i="4462"/>
  <c r="AQ566" i="4462"/>
  <c r="AR566" i="4462"/>
  <c r="AS566" i="4462"/>
  <c r="AT566" i="4462"/>
  <c r="AU566" i="4462"/>
  <c r="AV566" i="4462"/>
  <c r="AW566" i="4462"/>
  <c r="AX566" i="4462"/>
  <c r="AY566" i="4462"/>
  <c r="AZ566" i="4462"/>
  <c r="BA566" i="4462"/>
  <c r="BB566" i="4462"/>
  <c r="BC566" i="4462"/>
  <c r="BD566" i="4462"/>
  <c r="A567" i="4462"/>
  <c r="B567" i="4462"/>
  <c r="C567" i="4462"/>
  <c r="D567" i="4462"/>
  <c r="E567" i="4462"/>
  <c r="F567" i="4462"/>
  <c r="G567" i="4462"/>
  <c r="H567" i="4462"/>
  <c r="I567" i="4462"/>
  <c r="J567" i="4462"/>
  <c r="K567" i="4462"/>
  <c r="L567" i="4462"/>
  <c r="M567" i="4462"/>
  <c r="N567" i="4462"/>
  <c r="O567" i="4462"/>
  <c r="P567" i="4462"/>
  <c r="Q567" i="4462"/>
  <c r="R567" i="4462"/>
  <c r="S567" i="4462"/>
  <c r="T567" i="4462"/>
  <c r="U567" i="4462"/>
  <c r="V567" i="4462"/>
  <c r="W567" i="4462"/>
  <c r="X567" i="4462"/>
  <c r="Y567" i="4462"/>
  <c r="Z567" i="4462"/>
  <c r="AA567" i="4462"/>
  <c r="AB567" i="4462"/>
  <c r="AC567" i="4462"/>
  <c r="AD567" i="4462"/>
  <c r="AE567" i="4462"/>
  <c r="AF567" i="4462"/>
  <c r="AG567" i="4462"/>
  <c r="AH567" i="4462"/>
  <c r="AI567" i="4462"/>
  <c r="AJ567" i="4462"/>
  <c r="AK567" i="4462"/>
  <c r="AL567" i="4462"/>
  <c r="AM567" i="4462"/>
  <c r="AN567" i="4462"/>
  <c r="AO567" i="4462"/>
  <c r="AP567" i="4462"/>
  <c r="AQ567" i="4462"/>
  <c r="AR567" i="4462"/>
  <c r="AS567" i="4462"/>
  <c r="AT567" i="4462"/>
  <c r="AU567" i="4462"/>
  <c r="AV567" i="4462"/>
  <c r="AW567" i="4462"/>
  <c r="AX567" i="4462"/>
  <c r="AY567" i="4462"/>
  <c r="AZ567" i="4462"/>
  <c r="BA567" i="4462"/>
  <c r="BB567" i="4462"/>
  <c r="BC567" i="4462"/>
  <c r="BD567" i="4462"/>
  <c r="A568" i="4462"/>
  <c r="B568" i="4462"/>
  <c r="C568" i="4462"/>
  <c r="D568" i="4462"/>
  <c r="E568" i="4462"/>
  <c r="F568" i="4462"/>
  <c r="G568" i="4462"/>
  <c r="H568" i="4462"/>
  <c r="I568" i="4462"/>
  <c r="J568" i="4462"/>
  <c r="K568" i="4462"/>
  <c r="L568" i="4462"/>
  <c r="M568" i="4462"/>
  <c r="N568" i="4462"/>
  <c r="O568" i="4462"/>
  <c r="P568" i="4462"/>
  <c r="Q568" i="4462"/>
  <c r="R568" i="4462"/>
  <c r="S568" i="4462"/>
  <c r="T568" i="4462"/>
  <c r="U568" i="4462"/>
  <c r="V568" i="4462"/>
  <c r="W568" i="4462"/>
  <c r="X568" i="4462"/>
  <c r="Y568" i="4462"/>
  <c r="Z568" i="4462"/>
  <c r="AA568" i="4462"/>
  <c r="AB568" i="4462"/>
  <c r="AC568" i="4462"/>
  <c r="AD568" i="4462"/>
  <c r="AE568" i="4462"/>
  <c r="AF568" i="4462"/>
  <c r="AG568" i="4462"/>
  <c r="AH568" i="4462"/>
  <c r="AI568" i="4462"/>
  <c r="AJ568" i="4462"/>
  <c r="AK568" i="4462"/>
  <c r="AL568" i="4462"/>
  <c r="AM568" i="4462"/>
  <c r="AN568" i="4462"/>
  <c r="AO568" i="4462"/>
  <c r="AP568" i="4462"/>
  <c r="AQ568" i="4462"/>
  <c r="AR568" i="4462"/>
  <c r="AS568" i="4462"/>
  <c r="AT568" i="4462"/>
  <c r="AU568" i="4462"/>
  <c r="AV568" i="4462"/>
  <c r="AW568" i="4462"/>
  <c r="AX568" i="4462"/>
  <c r="AY568" i="4462"/>
  <c r="AZ568" i="4462"/>
  <c r="BA568" i="4462"/>
  <c r="BB568" i="4462"/>
  <c r="BC568" i="4462"/>
  <c r="BD568" i="4462"/>
  <c r="A569" i="4462"/>
  <c r="B569" i="4462"/>
  <c r="C569" i="4462"/>
  <c r="D569" i="4462"/>
  <c r="E569" i="4462"/>
  <c r="F569" i="4462"/>
  <c r="G569" i="4462"/>
  <c r="H569" i="4462"/>
  <c r="I569" i="4462"/>
  <c r="J569" i="4462"/>
  <c r="K569" i="4462"/>
  <c r="L569" i="4462"/>
  <c r="M569" i="4462"/>
  <c r="N569" i="4462"/>
  <c r="O569" i="4462"/>
  <c r="P569" i="4462"/>
  <c r="Q569" i="4462"/>
  <c r="R569" i="4462"/>
  <c r="S569" i="4462"/>
  <c r="T569" i="4462"/>
  <c r="U569" i="4462"/>
  <c r="V569" i="4462"/>
  <c r="W569" i="4462"/>
  <c r="X569" i="4462"/>
  <c r="Y569" i="4462"/>
  <c r="Z569" i="4462"/>
  <c r="AA569" i="4462"/>
  <c r="AB569" i="4462"/>
  <c r="AC569" i="4462"/>
  <c r="AD569" i="4462"/>
  <c r="AE569" i="4462"/>
  <c r="AF569" i="4462"/>
  <c r="AG569" i="4462"/>
  <c r="AH569" i="4462"/>
  <c r="AI569" i="4462"/>
  <c r="AJ569" i="4462"/>
  <c r="AK569" i="4462"/>
  <c r="AL569" i="4462"/>
  <c r="AM569" i="4462"/>
  <c r="AN569" i="4462"/>
  <c r="AO569" i="4462"/>
  <c r="AP569" i="4462"/>
  <c r="AQ569" i="4462"/>
  <c r="AR569" i="4462"/>
  <c r="AS569" i="4462"/>
  <c r="AT569" i="4462"/>
  <c r="AU569" i="4462"/>
  <c r="AV569" i="4462"/>
  <c r="AW569" i="4462"/>
  <c r="AX569" i="4462"/>
  <c r="AY569" i="4462"/>
  <c r="AZ569" i="4462"/>
  <c r="BA569" i="4462"/>
  <c r="BB569" i="4462"/>
  <c r="BC569" i="4462"/>
  <c r="BD569" i="4462"/>
  <c r="A570" i="4462"/>
  <c r="B570" i="4462"/>
  <c r="C570" i="4462"/>
  <c r="D570" i="4462"/>
  <c r="E570" i="4462"/>
  <c r="F570" i="4462"/>
  <c r="G570" i="4462"/>
  <c r="H570" i="4462"/>
  <c r="I570" i="4462"/>
  <c r="J570" i="4462"/>
  <c r="K570" i="4462"/>
  <c r="L570" i="4462"/>
  <c r="M570" i="4462"/>
  <c r="N570" i="4462"/>
  <c r="O570" i="4462"/>
  <c r="P570" i="4462"/>
  <c r="Q570" i="4462"/>
  <c r="R570" i="4462"/>
  <c r="S570" i="4462"/>
  <c r="T570" i="4462"/>
  <c r="U570" i="4462"/>
  <c r="V570" i="4462"/>
  <c r="W570" i="4462"/>
  <c r="X570" i="4462"/>
  <c r="Y570" i="4462"/>
  <c r="Z570" i="4462"/>
  <c r="AA570" i="4462"/>
  <c r="AB570" i="4462"/>
  <c r="AC570" i="4462"/>
  <c r="AD570" i="4462"/>
  <c r="AE570" i="4462"/>
  <c r="AF570" i="4462"/>
  <c r="AG570" i="4462"/>
  <c r="AH570" i="4462"/>
  <c r="AI570" i="4462"/>
  <c r="AJ570" i="4462"/>
  <c r="AK570" i="4462"/>
  <c r="AL570" i="4462"/>
  <c r="AM570" i="4462"/>
  <c r="AN570" i="4462"/>
  <c r="AO570" i="4462"/>
  <c r="AP570" i="4462"/>
  <c r="AQ570" i="4462"/>
  <c r="AR570" i="4462"/>
  <c r="AS570" i="4462"/>
  <c r="AT570" i="4462"/>
  <c r="AU570" i="4462"/>
  <c r="AV570" i="4462"/>
  <c r="AW570" i="4462"/>
  <c r="AX570" i="4462"/>
  <c r="AY570" i="4462"/>
  <c r="AZ570" i="4462"/>
  <c r="BA570" i="4462"/>
  <c r="BB570" i="4462"/>
  <c r="BC570" i="4462"/>
  <c r="BD570" i="4462"/>
  <c r="A571" i="4462"/>
  <c r="B571" i="4462"/>
  <c r="C571" i="4462"/>
  <c r="D571" i="4462"/>
  <c r="E571" i="4462"/>
  <c r="F571" i="4462"/>
  <c r="G571" i="4462"/>
  <c r="H571" i="4462"/>
  <c r="I571" i="4462"/>
  <c r="J571" i="4462"/>
  <c r="K571" i="4462"/>
  <c r="L571" i="4462"/>
  <c r="M571" i="4462"/>
  <c r="N571" i="4462"/>
  <c r="O571" i="4462"/>
  <c r="P571" i="4462"/>
  <c r="Q571" i="4462"/>
  <c r="R571" i="4462"/>
  <c r="S571" i="4462"/>
  <c r="T571" i="4462"/>
  <c r="U571" i="4462"/>
  <c r="V571" i="4462"/>
  <c r="W571" i="4462"/>
  <c r="X571" i="4462"/>
  <c r="Y571" i="4462"/>
  <c r="Z571" i="4462"/>
  <c r="AA571" i="4462"/>
  <c r="AB571" i="4462"/>
  <c r="AC571" i="4462"/>
  <c r="AD571" i="4462"/>
  <c r="AE571" i="4462"/>
  <c r="AF571" i="4462"/>
  <c r="AG571" i="4462"/>
  <c r="AH571" i="4462"/>
  <c r="AI571" i="4462"/>
  <c r="AJ571" i="4462"/>
  <c r="AK571" i="4462"/>
  <c r="AL571" i="4462"/>
  <c r="AM571" i="4462"/>
  <c r="AN571" i="4462"/>
  <c r="AO571" i="4462"/>
  <c r="AP571" i="4462"/>
  <c r="AQ571" i="4462"/>
  <c r="AR571" i="4462"/>
  <c r="AS571" i="4462"/>
  <c r="AT571" i="4462"/>
  <c r="AU571" i="4462"/>
  <c r="AV571" i="4462"/>
  <c r="AW571" i="4462"/>
  <c r="AX571" i="4462"/>
  <c r="AY571" i="4462"/>
  <c r="AZ571" i="4462"/>
  <c r="BA571" i="4462"/>
  <c r="BB571" i="4462"/>
  <c r="BC571" i="4462"/>
  <c r="BD571" i="4462"/>
  <c r="A572" i="4462"/>
  <c r="B572" i="4462"/>
  <c r="C572" i="4462"/>
  <c r="D572" i="4462"/>
  <c r="E572" i="4462"/>
  <c r="F572" i="4462"/>
  <c r="G572" i="4462"/>
  <c r="H572" i="4462"/>
  <c r="I572" i="4462"/>
  <c r="J572" i="4462"/>
  <c r="K572" i="4462"/>
  <c r="L572" i="4462"/>
  <c r="M572" i="4462"/>
  <c r="N572" i="4462"/>
  <c r="O572" i="4462"/>
  <c r="P572" i="4462"/>
  <c r="Q572" i="4462"/>
  <c r="R572" i="4462"/>
  <c r="S572" i="4462"/>
  <c r="T572" i="4462"/>
  <c r="U572" i="4462"/>
  <c r="V572" i="4462"/>
  <c r="W572" i="4462"/>
  <c r="X572" i="4462"/>
  <c r="Y572" i="4462"/>
  <c r="Z572" i="4462"/>
  <c r="AA572" i="4462"/>
  <c r="AB572" i="4462"/>
  <c r="AC572" i="4462"/>
  <c r="AD572" i="4462"/>
  <c r="AE572" i="4462"/>
  <c r="AF572" i="4462"/>
  <c r="AG572" i="4462"/>
  <c r="AH572" i="4462"/>
  <c r="AI572" i="4462"/>
  <c r="AJ572" i="4462"/>
  <c r="AK572" i="4462"/>
  <c r="AL572" i="4462"/>
  <c r="AM572" i="4462"/>
  <c r="AN572" i="4462"/>
  <c r="AO572" i="4462"/>
  <c r="AP572" i="4462"/>
  <c r="AQ572" i="4462"/>
  <c r="AR572" i="4462"/>
  <c r="AS572" i="4462"/>
  <c r="AT572" i="4462"/>
  <c r="AU572" i="4462"/>
  <c r="AV572" i="4462"/>
  <c r="AW572" i="4462"/>
  <c r="AX572" i="4462"/>
  <c r="AY572" i="4462"/>
  <c r="AZ572" i="4462"/>
  <c r="BA572" i="4462"/>
  <c r="BB572" i="4462"/>
  <c r="BC572" i="4462"/>
  <c r="BD572" i="4462"/>
  <c r="A573" i="4462"/>
  <c r="B573" i="4462"/>
  <c r="C573" i="4462"/>
  <c r="D573" i="4462"/>
  <c r="E573" i="4462"/>
  <c r="F573" i="4462"/>
  <c r="G573" i="4462"/>
  <c r="H573" i="4462"/>
  <c r="I573" i="4462"/>
  <c r="J573" i="4462"/>
  <c r="K573" i="4462"/>
  <c r="L573" i="4462"/>
  <c r="M573" i="4462"/>
  <c r="N573" i="4462"/>
  <c r="O573" i="4462"/>
  <c r="P573" i="4462"/>
  <c r="Q573" i="4462"/>
  <c r="R573" i="4462"/>
  <c r="S573" i="4462"/>
  <c r="T573" i="4462"/>
  <c r="U573" i="4462"/>
  <c r="V573" i="4462"/>
  <c r="W573" i="4462"/>
  <c r="X573" i="4462"/>
  <c r="Y573" i="4462"/>
  <c r="Z573" i="4462"/>
  <c r="AA573" i="4462"/>
  <c r="AB573" i="4462"/>
  <c r="AC573" i="4462"/>
  <c r="AD573" i="4462"/>
  <c r="AE573" i="4462"/>
  <c r="AF573" i="4462"/>
  <c r="AG573" i="4462"/>
  <c r="AH573" i="4462"/>
  <c r="AI573" i="4462"/>
  <c r="AJ573" i="4462"/>
  <c r="AK573" i="4462"/>
  <c r="AL573" i="4462"/>
  <c r="AM573" i="4462"/>
  <c r="AN573" i="4462"/>
  <c r="AO573" i="4462"/>
  <c r="AP573" i="4462"/>
  <c r="AQ573" i="4462"/>
  <c r="AR573" i="4462"/>
  <c r="AS573" i="4462"/>
  <c r="AT573" i="4462"/>
  <c r="AU573" i="4462"/>
  <c r="AV573" i="4462"/>
  <c r="AW573" i="4462"/>
  <c r="AX573" i="4462"/>
  <c r="AY573" i="4462"/>
  <c r="AZ573" i="4462"/>
  <c r="BA573" i="4462"/>
  <c r="BB573" i="4462"/>
  <c r="BC573" i="4462"/>
  <c r="BD573" i="4462"/>
  <c r="A574" i="4462"/>
  <c r="B574" i="4462"/>
  <c r="C574" i="4462"/>
  <c r="D574" i="4462"/>
  <c r="E574" i="4462"/>
  <c r="F574" i="4462"/>
  <c r="G574" i="4462"/>
  <c r="H574" i="4462"/>
  <c r="I574" i="4462"/>
  <c r="J574" i="4462"/>
  <c r="K574" i="4462"/>
  <c r="L574" i="4462"/>
  <c r="M574" i="4462"/>
  <c r="N574" i="4462"/>
  <c r="O574" i="4462"/>
  <c r="P574" i="4462"/>
  <c r="Q574" i="4462"/>
  <c r="R574" i="4462"/>
  <c r="S574" i="4462"/>
  <c r="T574" i="4462"/>
  <c r="U574" i="4462"/>
  <c r="V574" i="4462"/>
  <c r="W574" i="4462"/>
  <c r="X574" i="4462"/>
  <c r="Y574" i="4462"/>
  <c r="Z574" i="4462"/>
  <c r="AA574" i="4462"/>
  <c r="AB574" i="4462"/>
  <c r="AC574" i="4462"/>
  <c r="AD574" i="4462"/>
  <c r="AE574" i="4462"/>
  <c r="AF574" i="4462"/>
  <c r="AG574" i="4462"/>
  <c r="AH574" i="4462"/>
  <c r="AI574" i="4462"/>
  <c r="AJ574" i="4462"/>
  <c r="AK574" i="4462"/>
  <c r="AL574" i="4462"/>
  <c r="AM574" i="4462"/>
  <c r="AN574" i="4462"/>
  <c r="AO574" i="4462"/>
  <c r="AP574" i="4462"/>
  <c r="AQ574" i="4462"/>
  <c r="AR574" i="4462"/>
  <c r="AS574" i="4462"/>
  <c r="AT574" i="4462"/>
  <c r="AU574" i="4462"/>
  <c r="AV574" i="4462"/>
  <c r="AW574" i="4462"/>
  <c r="AX574" i="4462"/>
  <c r="AY574" i="4462"/>
  <c r="AZ574" i="4462"/>
  <c r="BA574" i="4462"/>
  <c r="BB574" i="4462"/>
  <c r="BC574" i="4462"/>
  <c r="BD574" i="4462"/>
  <c r="A575" i="4462"/>
  <c r="B575" i="4462"/>
  <c r="C575" i="4462"/>
  <c r="D575" i="4462"/>
  <c r="E575" i="4462"/>
  <c r="F575" i="4462"/>
  <c r="G575" i="4462"/>
  <c r="H575" i="4462"/>
  <c r="I575" i="4462"/>
  <c r="J575" i="4462"/>
  <c r="K575" i="4462"/>
  <c r="L575" i="4462"/>
  <c r="M575" i="4462"/>
  <c r="N575" i="4462"/>
  <c r="O575" i="4462"/>
  <c r="P575" i="4462"/>
  <c r="Q575" i="4462"/>
  <c r="R575" i="4462"/>
  <c r="S575" i="4462"/>
  <c r="T575" i="4462"/>
  <c r="U575" i="4462"/>
  <c r="V575" i="4462"/>
  <c r="W575" i="4462"/>
  <c r="X575" i="4462"/>
  <c r="Y575" i="4462"/>
  <c r="Z575" i="4462"/>
  <c r="AA575" i="4462"/>
  <c r="AB575" i="4462"/>
  <c r="AC575" i="4462"/>
  <c r="AD575" i="4462"/>
  <c r="AE575" i="4462"/>
  <c r="AF575" i="4462"/>
  <c r="AG575" i="4462"/>
  <c r="AH575" i="4462"/>
  <c r="AI575" i="4462"/>
  <c r="AJ575" i="4462"/>
  <c r="AK575" i="4462"/>
  <c r="AL575" i="4462"/>
  <c r="AM575" i="4462"/>
  <c r="AN575" i="4462"/>
  <c r="AO575" i="4462"/>
  <c r="AP575" i="4462"/>
  <c r="AQ575" i="4462"/>
  <c r="AR575" i="4462"/>
  <c r="AS575" i="4462"/>
  <c r="AT575" i="4462"/>
  <c r="AU575" i="4462"/>
  <c r="AV575" i="4462"/>
  <c r="AW575" i="4462"/>
  <c r="AX575" i="4462"/>
  <c r="AY575" i="4462"/>
  <c r="AZ575" i="4462"/>
  <c r="BA575" i="4462"/>
  <c r="BB575" i="4462"/>
  <c r="BC575" i="4462"/>
  <c r="BD575" i="4462"/>
  <c r="N6" i="4544"/>
  <c r="N7" i="4544"/>
  <c r="N8" i="4544"/>
  <c r="N9" i="4544"/>
  <c r="N10" i="4544"/>
  <c r="N11" i="4544"/>
  <c r="N12" i="4544"/>
  <c r="N13" i="4544"/>
  <c r="N14" i="4544"/>
  <c r="N15" i="4544"/>
  <c r="N16" i="4544"/>
  <c r="N17" i="4544"/>
  <c r="N5" i="4544"/>
  <c r="C18" i="4544"/>
  <c r="D18" i="4544"/>
  <c r="E18" i="4544"/>
  <c r="F18" i="4544"/>
  <c r="G18" i="4544"/>
  <c r="H18" i="4544"/>
  <c r="I18" i="4544"/>
  <c r="J18" i="4544"/>
  <c r="K18" i="4544"/>
  <c r="L18" i="4544"/>
  <c r="M18" i="4544"/>
  <c r="B18" i="4544"/>
  <c r="N18" i="4544" l="1"/>
  <c r="M56" i="4213"/>
  <c r="M57" i="4213" s="1"/>
  <c r="M53" i="4213"/>
  <c r="L11" i="4223" l="1"/>
  <c r="Q4" i="4462" l="1"/>
  <c r="W4" i="4462"/>
  <c r="Y4" i="4462"/>
  <c r="AB4" i="4462"/>
  <c r="A6" i="4462"/>
  <c r="B6" i="4462"/>
  <c r="C6" i="4462"/>
  <c r="D6" i="4462"/>
  <c r="E6" i="4462"/>
  <c r="F6" i="4462"/>
  <c r="G6" i="4462"/>
  <c r="H6" i="4462"/>
  <c r="I6" i="4462"/>
  <c r="J6" i="4462"/>
  <c r="K6" i="4462"/>
  <c r="L6" i="4462"/>
  <c r="M6" i="4462"/>
  <c r="N6" i="4462"/>
  <c r="O6" i="4462"/>
  <c r="P6" i="4462"/>
  <c r="Q6" i="4462"/>
  <c r="R6" i="4462"/>
  <c r="S6" i="4462"/>
  <c r="T6" i="4462"/>
  <c r="U6" i="4462"/>
  <c r="V6" i="4462"/>
  <c r="W6" i="4462"/>
  <c r="X6" i="4462"/>
  <c r="Y6" i="4462"/>
  <c r="Z6" i="4462"/>
  <c r="AA6" i="4462"/>
  <c r="AB6" i="4462"/>
  <c r="AC6" i="4462"/>
  <c r="AD6" i="4462"/>
  <c r="AE6" i="4462"/>
  <c r="AF6" i="4462"/>
  <c r="AG6" i="4462"/>
  <c r="AH6" i="4462"/>
  <c r="AI6" i="4462"/>
  <c r="AJ6" i="4462"/>
  <c r="AK6" i="4462"/>
  <c r="AL6" i="4462"/>
  <c r="AM6" i="4462"/>
  <c r="AN6" i="4462"/>
  <c r="AO6" i="4462"/>
  <c r="AP6" i="4462"/>
  <c r="AQ6" i="4462"/>
  <c r="AR6" i="4462"/>
  <c r="AS6" i="4462"/>
  <c r="AT6" i="4462"/>
  <c r="AU6" i="4462"/>
  <c r="AV6" i="4462"/>
  <c r="AW6" i="4462"/>
  <c r="AX6" i="4462"/>
  <c r="AY6" i="4462"/>
  <c r="AZ6" i="4462"/>
  <c r="BA6" i="4462"/>
  <c r="BB6" i="4462"/>
  <c r="BC6" i="4462"/>
  <c r="BD6" i="4462"/>
  <c r="D36" i="4189" l="1"/>
  <c r="D34" i="4189"/>
  <c r="H43" i="4224"/>
  <c r="C41" i="4189" l="1"/>
  <c r="D41" i="4189"/>
  <c r="E41" i="4189"/>
  <c r="F41" i="4189"/>
  <c r="G41" i="4189"/>
  <c r="B41" i="4189"/>
  <c r="B38" i="4189"/>
  <c r="D47" i="4189" l="1"/>
  <c r="J26" i="4189" l="1"/>
  <c r="K8" i="4189"/>
  <c r="I8" i="4189" s="1"/>
  <c r="K9" i="4189"/>
  <c r="I9" i="4189" s="1"/>
  <c r="K10" i="4189"/>
  <c r="I10" i="4189" s="1"/>
  <c r="K11" i="4189"/>
  <c r="I11" i="4189" s="1"/>
  <c r="K12" i="4189"/>
  <c r="I12" i="4189" s="1"/>
  <c r="K13" i="4189"/>
  <c r="I13" i="4189" s="1"/>
  <c r="K14" i="4189"/>
  <c r="I14" i="4189" s="1"/>
  <c r="K15" i="4189"/>
  <c r="I15" i="4189" s="1"/>
  <c r="K16" i="4189"/>
  <c r="I16" i="4189" s="1"/>
  <c r="K17" i="4189"/>
  <c r="K18" i="4189"/>
  <c r="I18" i="4189" s="1"/>
  <c r="K19" i="4189"/>
  <c r="I19" i="4189" s="1"/>
  <c r="K20" i="4189"/>
  <c r="I20" i="4189" s="1"/>
  <c r="K21" i="4189"/>
  <c r="I21" i="4189" s="1"/>
  <c r="K22" i="4189"/>
  <c r="I22" i="4189" s="1"/>
  <c r="K23" i="4189"/>
  <c r="I23" i="4189" s="1"/>
  <c r="K24" i="4189"/>
  <c r="I24" i="4189" s="1"/>
  <c r="K25" i="4189"/>
  <c r="I25" i="4189" s="1"/>
  <c r="D41" i="4196" l="1"/>
  <c r="B41" i="4196"/>
  <c r="C41" i="4196"/>
  <c r="H6" i="4314"/>
  <c r="H7" i="4314"/>
  <c r="H8" i="4314"/>
  <c r="H9" i="4314"/>
  <c r="H10" i="4314"/>
  <c r="H11" i="4314"/>
  <c r="H12" i="4314"/>
  <c r="H13" i="4314"/>
  <c r="H14" i="4314"/>
  <c r="H15" i="4314"/>
  <c r="H16" i="4314"/>
  <c r="H17" i="4314"/>
  <c r="H18" i="4314"/>
  <c r="H19" i="4314"/>
  <c r="H20" i="4314"/>
  <c r="H21" i="4314"/>
  <c r="H22" i="4314"/>
  <c r="H23" i="4314"/>
  <c r="H24" i="4314"/>
  <c r="H25" i="4314"/>
  <c r="H26" i="4314"/>
  <c r="H27" i="4314"/>
  <c r="H28" i="4314"/>
  <c r="H29" i="4314"/>
  <c r="H30" i="4314"/>
  <c r="H31" i="4314"/>
  <c r="H32" i="4314"/>
  <c r="H33" i="4314"/>
  <c r="H34" i="4314"/>
  <c r="H35" i="4314"/>
  <c r="H36" i="4314"/>
  <c r="H37" i="4314"/>
  <c r="H38" i="4314"/>
  <c r="H39" i="4314"/>
  <c r="H40" i="4314"/>
  <c r="H41" i="4314"/>
  <c r="H42" i="4314"/>
  <c r="H43" i="4314"/>
  <c r="H44" i="4314"/>
  <c r="H45" i="4314"/>
  <c r="H46" i="4314"/>
  <c r="H47" i="4314"/>
  <c r="H48" i="4314"/>
  <c r="H49" i="4314"/>
  <c r="H50" i="4314"/>
  <c r="H51" i="4314"/>
  <c r="H52" i="4314"/>
  <c r="H53" i="4314"/>
  <c r="H54" i="4314"/>
  <c r="H55" i="4314"/>
  <c r="H56" i="4314"/>
  <c r="H57" i="4314"/>
  <c r="H58" i="4314"/>
  <c r="H59" i="4314"/>
  <c r="H60" i="4314"/>
  <c r="H61" i="4314"/>
  <c r="H62" i="4314"/>
  <c r="H63" i="4314"/>
  <c r="H64" i="4314"/>
  <c r="H65" i="4314"/>
  <c r="D47" i="4196" l="1"/>
  <c r="C47" i="4196"/>
  <c r="G41" i="4196"/>
  <c r="E41" i="4196"/>
  <c r="F41" i="4196"/>
  <c r="B45" i="4196"/>
  <c r="L13" i="4196"/>
  <c r="L15" i="4196"/>
  <c r="L12" i="4196"/>
  <c r="J8" i="4196"/>
  <c r="H8" i="4196" s="1"/>
  <c r="J9" i="4196"/>
  <c r="H9" i="4196" s="1"/>
  <c r="J10" i="4196"/>
  <c r="J11" i="4196"/>
  <c r="H11" i="4196" s="1"/>
  <c r="J12" i="4196"/>
  <c r="J13" i="4196"/>
  <c r="H13" i="4196" s="1"/>
  <c r="J14" i="4196"/>
  <c r="H14" i="4196" s="1"/>
  <c r="J15" i="4196"/>
  <c r="H15" i="4196" s="1"/>
  <c r="J16" i="4196"/>
  <c r="H16" i="4196" s="1"/>
  <c r="J17" i="4196"/>
  <c r="H17" i="4196" s="1"/>
  <c r="J18" i="4196"/>
  <c r="H18" i="4196" s="1"/>
  <c r="J19" i="4196"/>
  <c r="J20" i="4196"/>
  <c r="H20" i="4196" s="1"/>
  <c r="J21" i="4196"/>
  <c r="H21" i="4196" s="1"/>
  <c r="J22" i="4196"/>
  <c r="H22" i="4196" s="1"/>
  <c r="J23" i="4196"/>
  <c r="H23" i="4196" s="1"/>
  <c r="J24" i="4196"/>
  <c r="H24" i="4196" s="1"/>
  <c r="J25" i="4196"/>
  <c r="H25" i="4196" s="1"/>
  <c r="J26" i="4196"/>
  <c r="H26" i="4196" s="1"/>
  <c r="J27" i="4196"/>
  <c r="H27" i="4196" s="1"/>
  <c r="J28" i="4196"/>
  <c r="H28" i="4196" s="1"/>
  <c r="I29" i="4196"/>
  <c r="M12" i="4196" l="1"/>
  <c r="H12" i="4196"/>
  <c r="M15" i="4196"/>
  <c r="M13" i="4196"/>
  <c r="H10" i="4196"/>
  <c r="I39" i="4196" l="1"/>
  <c r="J7" i="4196" l="1"/>
  <c r="J29" i="4196" s="1"/>
  <c r="K7" i="4189"/>
  <c r="I7" i="4189" l="1"/>
  <c r="I26" i="4189" s="1"/>
  <c r="K26" i="4189"/>
  <c r="H7" i="4196"/>
  <c r="H29" i="4196" s="1"/>
  <c r="M28" i="4196"/>
  <c r="H32" i="4196" l="1"/>
  <c r="H35" i="4196" s="1"/>
  <c r="N38" i="4196" s="1"/>
  <c r="J32" i="4196" l="1"/>
  <c r="I37" i="4196"/>
  <c r="J33" i="4196" l="1"/>
  <c r="K33" i="4196" s="1"/>
  <c r="K32" i="4196" l="1"/>
  <c r="K35" i="4196" s="1"/>
  <c r="F127" i="4314"/>
  <c r="C127" i="4314"/>
  <c r="G121" i="4314"/>
  <c r="G127" i="4314" s="1"/>
  <c r="E121" i="4314"/>
  <c r="E127" i="4314" s="1"/>
  <c r="D121" i="4314"/>
  <c r="D127" i="4314" s="1"/>
  <c r="H5" i="4314"/>
  <c r="H70" i="4314" l="1"/>
  <c r="D46" i="4223" l="1"/>
  <c r="D41" i="4223"/>
  <c r="D47" i="4223" s="1"/>
  <c r="C41" i="4223"/>
  <c r="E41" i="4223"/>
  <c r="F41" i="4223"/>
  <c r="G41" i="4223"/>
  <c r="B41" i="4223"/>
  <c r="B38" i="4223"/>
  <c r="I56" i="4213" l="1"/>
  <c r="I7" i="4213"/>
  <c r="I8" i="4213"/>
  <c r="I9" i="4213"/>
  <c r="I10" i="4213"/>
  <c r="I12" i="4213"/>
  <c r="I14" i="4213"/>
  <c r="I16" i="4213"/>
  <c r="I17" i="4213"/>
  <c r="I18" i="4213"/>
  <c r="I19" i="4213"/>
  <c r="I20" i="4213"/>
  <c r="I22" i="4213"/>
  <c r="I24" i="4213"/>
  <c r="I26" i="4213"/>
  <c r="I28" i="4213"/>
  <c r="I29" i="4213"/>
  <c r="I30" i="4213"/>
  <c r="I32" i="4213"/>
  <c r="I33" i="4213"/>
  <c r="I34" i="4213"/>
  <c r="I35" i="4213"/>
  <c r="I36" i="4213"/>
  <c r="I37" i="4213"/>
  <c r="I38" i="4213"/>
  <c r="I39" i="4213"/>
  <c r="I40" i="4213"/>
  <c r="I42" i="4213"/>
  <c r="I44" i="4213"/>
  <c r="I45" i="4213"/>
  <c r="I47" i="4213"/>
  <c r="I48" i="4213"/>
  <c r="I51" i="4213"/>
  <c r="I52" i="4213"/>
  <c r="I54" i="4213"/>
  <c r="I55" i="4213"/>
  <c r="I58" i="4213"/>
  <c r="I59" i="4213"/>
  <c r="I60" i="4213"/>
  <c r="I61" i="4213"/>
  <c r="I62" i="4213"/>
  <c r="I64" i="4213"/>
  <c r="I65" i="4213"/>
  <c r="I66" i="4213"/>
  <c r="I68" i="4213"/>
  <c r="I70" i="4213"/>
  <c r="I72" i="4213"/>
  <c r="I73" i="4213"/>
  <c r="G47" i="4223"/>
  <c r="C47" i="4223" l="1"/>
  <c r="B45" i="4223"/>
  <c r="I5" i="4213" l="1"/>
  <c r="I75" i="4213" s="1"/>
  <c r="I79" i="4213" s="1"/>
  <c r="H6" i="4123"/>
  <c r="H7" i="4123"/>
  <c r="H9" i="4123"/>
  <c r="H10" i="4123"/>
  <c r="H12" i="4123"/>
  <c r="H13" i="4123"/>
  <c r="H14" i="4123"/>
  <c r="H16" i="4123"/>
  <c r="H18" i="4123"/>
  <c r="H19" i="4123"/>
  <c r="H20" i="4123"/>
  <c r="H21" i="4123"/>
  <c r="H23" i="4123"/>
  <c r="H25" i="4123"/>
  <c r="H27" i="4123"/>
  <c r="H28" i="4123"/>
  <c r="H29" i="4123"/>
  <c r="H31" i="4123"/>
  <c r="H32" i="4123"/>
  <c r="H33" i="4123"/>
  <c r="H34" i="4123"/>
  <c r="H35" i="4123"/>
  <c r="H36" i="4123"/>
  <c r="H37" i="4123"/>
  <c r="H38" i="4123"/>
  <c r="H39" i="4123"/>
  <c r="H41" i="4123"/>
  <c r="H42" i="4123"/>
  <c r="H44" i="4123"/>
  <c r="H45" i="4123"/>
  <c r="H46" i="4123"/>
  <c r="H47" i="4123"/>
  <c r="H48" i="4123"/>
  <c r="H50" i="4123"/>
  <c r="H51" i="4123"/>
  <c r="H52" i="4123"/>
  <c r="H54" i="4123"/>
  <c r="H56" i="4123"/>
  <c r="H58" i="4123"/>
  <c r="H59" i="4123"/>
  <c r="H60" i="4123"/>
  <c r="H61" i="4123"/>
  <c r="H63" i="4123"/>
  <c r="H65" i="4123"/>
  <c r="H67" i="4123"/>
  <c r="H68" i="4123"/>
  <c r="H5" i="4123"/>
  <c r="I81" i="4213" l="1"/>
  <c r="K79" i="4213"/>
  <c r="K81" i="4213" s="1"/>
  <c r="K83" i="4213" s="1"/>
  <c r="H70" i="4123"/>
  <c r="Q31" i="4213"/>
  <c r="Q20" i="4213"/>
  <c r="Q14" i="4213"/>
  <c r="B45" i="4189" l="1"/>
  <c r="C45" i="4189" s="1"/>
  <c r="F127" i="4224" l="1"/>
  <c r="C127" i="4224"/>
  <c r="G121" i="4224"/>
  <c r="G127" i="4224" s="1"/>
  <c r="E121" i="4224"/>
  <c r="E127" i="4224" s="1"/>
  <c r="D121" i="4224"/>
  <c r="D127" i="4224" s="1"/>
  <c r="F45" i="4189" l="1"/>
  <c r="F127" i="4213" l="1"/>
  <c r="C127" i="4213"/>
  <c r="G121" i="4213"/>
  <c r="G127" i="4213" s="1"/>
  <c r="E121" i="4213"/>
  <c r="E127" i="4213" s="1"/>
  <c r="D121" i="4213"/>
  <c r="D127" i="4213" s="1"/>
  <c r="D45" i="4189" l="1"/>
  <c r="F127" i="4123" l="1"/>
  <c r="C127" i="4123"/>
  <c r="G121" i="4123"/>
  <c r="G127" i="4123" s="1"/>
  <c r="E121" i="4123"/>
  <c r="E127" i="4123" s="1"/>
  <c r="D121" i="4123"/>
  <c r="D127" i="4123" s="1"/>
  <c r="F127" i="4042" l="1"/>
  <c r="C127" i="4042"/>
  <c r="G121" i="4042"/>
  <c r="G127" i="4042" s="1"/>
  <c r="E121" i="4042"/>
  <c r="E127" i="4042" s="1"/>
  <c r="D121" i="4042"/>
  <c r="D127" i="4042" s="1"/>
</calcChain>
</file>

<file path=xl/sharedStrings.xml><?xml version="1.0" encoding="utf-8"?>
<sst xmlns="http://schemas.openxmlformats.org/spreadsheetml/2006/main" count="13560" uniqueCount="477">
  <si>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</si>
  <si>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</si>
  <si>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</si>
  <si>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</si>
  <si>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</si>
  <si>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</si>
  <si>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</si>
  <si>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</si>
  <si>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</si>
  <si>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</si>
  <si>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</si>
  <si>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</si>
  <si>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</si>
  <si>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</si>
  <si>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</si>
  <si>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</si>
  <si>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</si>
  <si>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</si>
  <si>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</si>
  <si>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</si>
  <si>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</si>
  <si>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</si>
  <si>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</si>
  <si>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</si>
  <si>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</si>
  <si>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</si>
  <si>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</si>
  <si>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</si>
  <si>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</si>
  <si>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</si>
  <si>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</si>
  <si>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</si>
  <si>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</si>
  <si>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</si>
  <si>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</si>
  <si>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</si>
  <si>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</si>
  <si>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</si>
  <si>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</si>
  <si>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</si>
  <si>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</si>
  <si>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</si>
  <si>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</si>
  <si>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</si>
  <si>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</si>
  <si>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</si>
  <si>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</si>
  <si>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</si>
  <si>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</si>
  <si>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</si>
  <si>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</si>
  <si>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</si>
  <si>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</si>
  <si>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</si>
  <si>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</si>
  <si>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</si>
  <si>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</si>
  <si>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</si>
  <si>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</si>
  <si>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</si>
  <si>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</si>
  <si>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</si>
  <si>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</si>
  <si>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</si>
  <si>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</si>
  <si>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</si>
  <si>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</si>
  <si>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</si>
  <si>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</si>
  <si>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</si>
  <si>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</si>
  <si>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</si>
  <si>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</si>
  <si>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</si>
  <si>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</si>
  <si>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</si>
  <si>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</si>
  <si>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</si>
  <si>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</si>
  <si>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บจก.เอสพีเอ็ม อาหารสัตว์</t>
  </si>
  <si>
    <t>WSWT2025800SM</t>
  </si>
  <si>
    <t>WSWT2025800</t>
  </si>
  <si>
    <t>ว</t>
  </si>
  <si>
    <t>WSWT2325650</t>
  </si>
  <si>
    <t>WSWT2625650</t>
  </si>
  <si>
    <t>บจก.เบทาโกร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</si>
  <si>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</si>
  <si>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</si>
  <si>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</si>
  <si>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</si>
  <si>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</si>
  <si>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</si>
  <si>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</si>
  <si>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</si>
  <si>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</si>
  <si>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</si>
  <si>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ผลรวมทั้งหมด</t>
  </si>
  <si>
    <t>บจก.ไทยธรรมดี</t>
  </si>
  <si>
    <t>ทอ</t>
  </si>
  <si>
    <t>WSWT2321112512551</t>
  </si>
  <si>
    <t>เส้นเทป</t>
  </si>
  <si>
    <t>จำนวน</t>
  </si>
  <si>
    <t>WRWT25800/WRWT25800</t>
  </si>
  <si>
    <t>WRWT25650/WRWT25650</t>
  </si>
  <si>
    <t>WRWT25850/WRWT25850</t>
  </si>
  <si>
    <t>WRWT21750/WRWT21750</t>
  </si>
  <si>
    <t>WRWT260850/WRWT25850</t>
  </si>
  <si>
    <t>บจก.เอพีเอ็ม อะโกร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</si>
  <si>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</si>
  <si>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</si>
  <si>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</si>
  <si>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บจก.แอมโก้เวท</t>
  </si>
  <si>
    <t>WSWT19251000SM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</si>
  <si>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</si>
  <si>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</si>
  <si>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</si>
  <si>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</si>
  <si>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</si>
  <si>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</si>
  <si>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</si>
  <si>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WSWT2121670SM</t>
  </si>
  <si>
    <t>WRWT21670/WRWT21670</t>
  </si>
  <si>
    <t>WRWT210670/WRWT21670</t>
  </si>
  <si>
    <t>มัด100</t>
  </si>
  <si>
    <t>ผึ้งเหลือง</t>
  </si>
  <si>
    <t>มาซูฟีด ซี041</t>
  </si>
  <si>
    <t>MK66-000701</t>
  </si>
  <si>
    <t>WSWT2825850</t>
  </si>
  <si>
    <t>ใบรับคำสั่งซื้อ</t>
  </si>
  <si>
    <t>WRWT160800/WRWT25800</t>
  </si>
  <si>
    <t>WSWT2125650</t>
  </si>
  <si>
    <t>เพอเฟคค์ 913</t>
  </si>
  <si>
    <t>รอส่ง</t>
  </si>
  <si>
    <t>WSWT1825800</t>
  </si>
  <si>
    <t xml:space="preserve"> / </t>
  </si>
  <si>
    <t>ประมาณการ</t>
  </si>
  <si>
    <t>บจก.เพรซิเดนท์ฟลาวมิลล์</t>
  </si>
  <si>
    <t>คุณธนนท์ อุทัยไพศาลวงศ์</t>
  </si>
  <si>
    <t>WSWT2025650</t>
  </si>
  <si>
    <t>บจก.อินเทคค์ โกลบอล</t>
  </si>
  <si>
    <t>ผลรวม ของ ค้างทอ</t>
  </si>
  <si>
    <t>ห่ออัดเบลแบน500</t>
  </si>
  <si>
    <t>Green for white sugar</t>
  </si>
  <si>
    <t>งานเคลือบ+ตัด</t>
  </si>
  <si>
    <t>Zhejiang UN</t>
  </si>
  <si>
    <t>เพอเฟคค์ 914</t>
  </si>
  <si>
    <t>P11</t>
  </si>
  <si>
    <t>บจก.ไทยร่วมใจน้ำมันพืช</t>
  </si>
  <si>
    <t>TRJ</t>
  </si>
  <si>
    <t>WRWT280850/WRWT25850</t>
  </si>
  <si>
    <t>ผลรวม ของ จำนวนส่ง</t>
  </si>
  <si>
    <t>(หลายรายการ)</t>
  </si>
  <si>
    <t>ผลรวม ของ ค้างตัด</t>
  </si>
  <si>
    <t>WSWT2025800SM ผลรวม</t>
  </si>
  <si>
    <t>ผลรวม ของ Stock</t>
  </si>
  <si>
    <t>1-16/7</t>
  </si>
  <si>
    <t>lส่ง</t>
  </si>
  <si>
    <t>Stock 16/7 บ่าย</t>
  </si>
  <si>
    <t>20700VN  20/7</t>
  </si>
  <si>
    <t>ผลรวม ของ ค้างพิมพ์</t>
  </si>
  <si>
    <t>Cap พิมพ์</t>
  </si>
  <si>
    <t>Cap ตัด</t>
  </si>
  <si>
    <t>Cap ทอ</t>
  </si>
  <si>
    <t>รวมส่ง+ค้างส่ง</t>
  </si>
  <si>
    <t>เบทาโกรส่งแล้ว</t>
  </si>
  <si>
    <t>คงเหลือ</t>
  </si>
  <si>
    <t>วันทงาน</t>
  </si>
  <si>
    <t>ส่วนต่างCapคงเหลือ</t>
  </si>
  <si>
    <t>WSWT1925800</t>
  </si>
  <si>
    <t>(ทั้งหมด)</t>
  </si>
  <si>
    <t>ผลรวม ของ ใช้</t>
  </si>
  <si>
    <t>บจก.หนองบัวฟีดมิลล์</t>
  </si>
  <si>
    <t>WSWT1921720</t>
  </si>
  <si>
    <t>WRWT21720/WRWT25800</t>
  </si>
  <si>
    <t>WRWT190720/WRWT25800</t>
  </si>
  <si>
    <t>Order+ส่ง</t>
  </si>
  <si>
    <t>สุบรรณ 777</t>
  </si>
  <si>
    <t>สุบรรณ 666</t>
  </si>
  <si>
    <t>MK67-001153</t>
  </si>
  <si>
    <t>บจก.กบินทร์อินทรีย์</t>
  </si>
  <si>
    <t>Order+ส่ง+ประมาณการ</t>
  </si>
  <si>
    <t>เฟิร์สคลาส 912</t>
  </si>
  <si>
    <t>MK67-001236</t>
  </si>
  <si>
    <t>ยูฟีด รวมไก่ วัว</t>
  </si>
  <si>
    <t>ลูกค้าสั่งผิดเอาไปส่งเดือน10</t>
  </si>
  <si>
    <t>300กระสอบ</t>
  </si>
  <si>
    <t>WSWT2121670SM ผลรวม</t>
  </si>
  <si>
    <t>MK67-001396</t>
  </si>
  <si>
    <t>นีโอ พี4</t>
  </si>
  <si>
    <t>ถุงทองแซนวิช</t>
  </si>
  <si>
    <t>WSWT2625650 ผลรวม</t>
  </si>
  <si>
    <t>WRWT251000/WRWT251000</t>
  </si>
  <si>
    <t>WRWT251000/WRYL251000</t>
  </si>
  <si>
    <t>MK67-001490</t>
  </si>
  <si>
    <t>เฟิร์สช้อย 903</t>
  </si>
  <si>
    <t>MK67-001532</t>
  </si>
  <si>
    <t>จับจีบ4"</t>
  </si>
  <si>
    <t xml:space="preserve">WSWT2625800 </t>
  </si>
  <si>
    <t>WRWT260800/WRWT25800</t>
  </si>
  <si>
    <t>ผึ้งชมพู</t>
  </si>
  <si>
    <t>WSWT2625800  ผลรวม</t>
  </si>
  <si>
    <t xml:space="preserve">  </t>
  </si>
  <si>
    <t>MK67-001642</t>
  </si>
  <si>
    <t>MK67-001643</t>
  </si>
  <si>
    <t>บจก.ไลม์มาสเตอร์</t>
  </si>
  <si>
    <t>LMC 25 kg</t>
  </si>
  <si>
    <t>ใบ</t>
  </si>
  <si>
    <t>เมตร</t>
  </si>
  <si>
    <t>วัน</t>
  </si>
  <si>
    <t>นีโอ พี3(เอส)</t>
  </si>
  <si>
    <t>ห้ามขาด-ห้ามเกิน</t>
  </si>
  <si>
    <t>บจก.ฟาร์เธอร์ส วิง ซัพพลาย</t>
  </si>
  <si>
    <t>vn</t>
  </si>
  <si>
    <t>WSWT2321750</t>
  </si>
  <si>
    <t>WRWT230750/WRWT21750</t>
  </si>
  <si>
    <t>ห้ามขาด-เกินได้5%</t>
  </si>
  <si>
    <t>พันธุ์ข้าว</t>
  </si>
  <si>
    <t>3/2---19/3 ลูกค้าแจ้งเลื่อน</t>
  </si>
  <si>
    <t>17/2---28/3 ลูกค้าแจ้งเลื่อน</t>
  </si>
  <si>
    <t>นีโอ พี4(เอส)</t>
  </si>
  <si>
    <t>นีโอ 05</t>
  </si>
  <si>
    <t>บจก.ซิเบลโก้(สบปราบ)</t>
  </si>
  <si>
    <t>ลูกค้าต้องการเคลือบใส แต่เปิดมาเคลือบด้าน</t>
  </si>
  <si>
    <t>ยอดส่ง  1/1/68 - 17/1/68</t>
  </si>
  <si>
    <t>เพอเฟคค์ 916</t>
  </si>
  <si>
    <t>เฟิร์สคลาส 902</t>
  </si>
  <si>
    <t>MK68-000093</t>
  </si>
  <si>
    <t>WSWT1921720 ผลรวม</t>
  </si>
  <si>
    <t>WSWT1925800 ผลรวม</t>
  </si>
  <si>
    <t>WSWT2025800 ผลรวม</t>
  </si>
  <si>
    <t>WSWT2325650 ผลรวม</t>
  </si>
  <si>
    <t>WSWT2825850 ผลรวม</t>
  </si>
  <si>
    <t>ยอดส่ง   1/2/68 - 17/2/68</t>
  </si>
  <si>
    <t>บจก.ซัน ซีเมนต์ โพรเซส</t>
  </si>
  <si>
    <t>WSWT1625800SM</t>
  </si>
  <si>
    <t>ลบสี 5040</t>
  </si>
  <si>
    <t>รถไฟ</t>
  </si>
  <si>
    <t>บจก.เอ็กเซลเล้นท์</t>
  </si>
  <si>
    <t>เพอเฟคค์ 000</t>
  </si>
  <si>
    <t>สุบรรณ 111</t>
  </si>
  <si>
    <t>MK68-000378</t>
  </si>
  <si>
    <t>วี-ฟีด วี 07</t>
  </si>
  <si>
    <t>MK68-000452</t>
  </si>
  <si>
    <t xml:space="preserve">SW 441 </t>
  </si>
  <si>
    <t>มีลบสี</t>
  </si>
  <si>
    <t>ยอดส่ง   1/4/68  - 12/4/68</t>
  </si>
  <si>
    <t>จับจีบ3.5"</t>
  </si>
  <si>
    <t>WSWT2125650 ผลรวม</t>
  </si>
  <si>
    <t>ดอกไม้แดง</t>
  </si>
  <si>
    <t>MK68-000609</t>
  </si>
  <si>
    <t>เพอเฟคค์103P โกลด์</t>
  </si>
  <si>
    <t>เฟิร์สช้อย 902</t>
  </si>
  <si>
    <t>เฟิร์สช้อย 911</t>
  </si>
  <si>
    <t>เพอเฟคค์ 902</t>
  </si>
  <si>
    <t>2/6---6/6</t>
  </si>
  <si>
    <t>MK68-000680</t>
  </si>
  <si>
    <t>MK68-000671</t>
  </si>
  <si>
    <t>MK68-000673</t>
  </si>
  <si>
    <t>MK68-000675</t>
  </si>
  <si>
    <t>บจก.เอ.เจ.ฟาร์ม่าแล็บ</t>
  </si>
  <si>
    <t>เบส-มิน</t>
  </si>
  <si>
    <t>ฟีล กู๊ด พี07</t>
  </si>
  <si>
    <t>ฟีล กู๊ด 802</t>
  </si>
  <si>
    <t>MK68-000693</t>
  </si>
  <si>
    <t>MK68-000694</t>
  </si>
  <si>
    <t>เคเอ็ม</t>
  </si>
  <si>
    <t>บะหมี่เตี๊ยว</t>
  </si>
  <si>
    <t>บจก.วีซีเอฟ</t>
  </si>
  <si>
    <t>เพอเฟคค์ 664HP</t>
  </si>
  <si>
    <t>MK68-000801</t>
  </si>
  <si>
    <t>บจก.ซันฟีด</t>
  </si>
  <si>
    <t>WSWT2025850</t>
  </si>
  <si>
    <t>WRWT25850/WRWT25800</t>
  </si>
  <si>
    <t>WRWT200850/WRWT25800</t>
  </si>
  <si>
    <t>MK68-000804</t>
  </si>
  <si>
    <t>BS</t>
  </si>
  <si>
    <t>พีมินเนอร์</t>
  </si>
  <si>
    <t>พี-มินเนอร์ นิวพลัส</t>
  </si>
  <si>
    <t>บจก.ซีแมน</t>
  </si>
  <si>
    <t>WSWT19251000SM ผลรวม</t>
  </si>
  <si>
    <t>บจก.บลูฟาโล่</t>
  </si>
  <si>
    <t>ปลาโลมาแดง</t>
  </si>
  <si>
    <t>ดอกไม้เขียว</t>
  </si>
  <si>
    <t>MK68-000868</t>
  </si>
  <si>
    <t>MK68-000877</t>
  </si>
  <si>
    <t>ยู-ฟีด รวมหมู</t>
  </si>
  <si>
    <t>WSWTFCL022325650</t>
  </si>
  <si>
    <t>รอส่ง รอลูกค้ามารับเอง</t>
  </si>
  <si>
    <t>ถุงเขียว</t>
  </si>
  <si>
    <t>HARD FLOUR</t>
  </si>
  <si>
    <t>FW-Y</t>
  </si>
  <si>
    <t>ดอกไม้ม่วง</t>
  </si>
  <si>
    <t>แต้มฟ้า</t>
  </si>
  <si>
    <t>หีบเพลงเหลือง</t>
  </si>
  <si>
    <t>WHOLE WHEAT</t>
  </si>
  <si>
    <t>MK68-000892</t>
  </si>
  <si>
    <t>มาซู ฟีดซี042</t>
  </si>
  <si>
    <t>MK68-000893</t>
  </si>
  <si>
    <t>มาซู ฟีดจี041</t>
  </si>
  <si>
    <t>300แบน</t>
  </si>
  <si>
    <t>MK68-000913</t>
  </si>
  <si>
    <t>KFM</t>
  </si>
  <si>
    <t>บจก.ซิเบลโก้(บางเลน)</t>
  </si>
  <si>
    <t>บจก.เอ็นบี ดิสทริบิวชั่น</t>
  </si>
  <si>
    <t>NB FISH 103L</t>
  </si>
  <si>
    <t>โบว์น้ำเงิน</t>
  </si>
  <si>
    <t>เพอเฟคค์ 912</t>
  </si>
  <si>
    <t>ห้ามเกิน-ขาดได้5%</t>
  </si>
  <si>
    <t>MK68-000961</t>
  </si>
  <si>
    <t>U-FEED U2(เอส)</t>
  </si>
  <si>
    <t>WSWT2025700</t>
  </si>
  <si>
    <t>U-GOAT14</t>
  </si>
  <si>
    <t>กัสโซ่ฟีด101-102</t>
  </si>
  <si>
    <t>P13</t>
  </si>
  <si>
    <t>โมโม่ 492</t>
  </si>
  <si>
    <t>ยูฟีด บี2</t>
  </si>
  <si>
    <t>ฟีล กู๊ด 893</t>
  </si>
  <si>
    <t>โมโม่ 4131</t>
  </si>
  <si>
    <t>โมโม่ 4132</t>
  </si>
  <si>
    <t>MK68-000990</t>
  </si>
  <si>
    <t>SW 441 PLUS</t>
  </si>
  <si>
    <t>โรงสีธัญญกิจ(ราชบุรี)</t>
  </si>
  <si>
    <t>WSWT23211125120SMFX</t>
  </si>
  <si>
    <t>บจก.แลบอินเตอร์</t>
  </si>
  <si>
    <t>WSWT23211125120SMFX ผลรวม</t>
  </si>
  <si>
    <t>MK68-000984</t>
  </si>
  <si>
    <t>MK68-000985</t>
  </si>
  <si>
    <t>โบว์แดง</t>
  </si>
  <si>
    <t>เพอเฟคค์ 102Sโกลด์</t>
  </si>
  <si>
    <t>MK68-000983</t>
  </si>
  <si>
    <t>เฟิร์สช้อย 913</t>
  </si>
  <si>
    <t>เพอเฟคค์ 911</t>
  </si>
  <si>
    <t>สุบรรณ 222</t>
  </si>
  <si>
    <t>เพอเฟคค 664</t>
  </si>
  <si>
    <t>1/9 8/9 15/9 22/9</t>
  </si>
  <si>
    <t>2/9 9/9 16/9 19/9 23/9 26/9</t>
  </si>
  <si>
    <t>MK68-000982</t>
  </si>
  <si>
    <t>MK68-000977</t>
  </si>
  <si>
    <t>MK68-000978</t>
  </si>
  <si>
    <t>คุณวัลภา เผ่าเต็ม</t>
  </si>
  <si>
    <t>WSWT2321750 ผลรวม</t>
  </si>
  <si>
    <t>WSWTFCL022325650 ผลรวม</t>
  </si>
  <si>
    <t>MK68-001011</t>
  </si>
  <si>
    <t>บจก.หนกองบัวฟีด</t>
  </si>
  <si>
    <t>MK68-001005</t>
  </si>
  <si>
    <t>MK68-001006</t>
  </si>
  <si>
    <t>MK68-001007</t>
  </si>
  <si>
    <t>MK68-001012</t>
  </si>
  <si>
    <t>MK68-001009</t>
  </si>
  <si>
    <t>MK68-001010</t>
  </si>
  <si>
    <t>WSWT2025650 ผลรวม</t>
  </si>
  <si>
    <t>MK68-001019</t>
  </si>
  <si>
    <t xml:space="preserve">บจก.กันยาวิ </t>
  </si>
  <si>
    <t>หมูแดง 002</t>
  </si>
  <si>
    <t>ขาด-เกินได้5%</t>
  </si>
  <si>
    <t>คุณปราสาท เจริญธรรมรักษา</t>
  </si>
  <si>
    <t>บจก.มารีนลีดเดอร์</t>
  </si>
  <si>
    <t>Rocky quick lime</t>
  </si>
  <si>
    <t>จับจีบ5"</t>
  </si>
  <si>
    <t>เวท-มิน</t>
  </si>
  <si>
    <t>รอลูกค้า</t>
  </si>
  <si>
    <t>MK68-001024</t>
  </si>
  <si>
    <t>เฟิร์สช้อย 915</t>
  </si>
  <si>
    <t>MK68-001026</t>
  </si>
  <si>
    <t>MK68-001029</t>
  </si>
  <si>
    <t>SPM 312</t>
  </si>
  <si>
    <t>MK68-001027</t>
  </si>
  <si>
    <t>MK68-001025</t>
  </si>
  <si>
    <t>เพอเฟคค์ 663</t>
  </si>
  <si>
    <t>MK68/001028</t>
  </si>
  <si>
    <t>มาซู ฟีดซี 0434</t>
  </si>
  <si>
    <t>สีผิดเบอร์280</t>
  </si>
  <si>
    <t>MK68-001023</t>
  </si>
  <si>
    <t>MK68-001031</t>
  </si>
  <si>
    <t>รวงข้าวส้ม</t>
  </si>
  <si>
    <t>กว้าง2</t>
  </si>
  <si>
    <t>ยาว2</t>
  </si>
  <si>
    <t>Stock2</t>
  </si>
  <si>
    <t>รายละเอียดสำหรับ ผลรวม ของ จำนวนส่ง - ประเภท: WSWT1925800, เลขที่ SO: MK66-000701, วันส่ง: 8/25/2025, ชื่อลูกค้า: 0 (+)</t>
  </si>
  <si>
    <t>พระอาทิตย์</t>
  </si>
  <si>
    <t xml:space="preserve">เป็นสายฟ้าตัดลง 2 ม้วน </t>
  </si>
  <si>
    <t>MK68-001030</t>
  </si>
  <si>
    <t>MK68-001032</t>
  </si>
  <si>
    <t>MK68-001041</t>
  </si>
  <si>
    <t>MK68-001045</t>
  </si>
  <si>
    <t>โบว์แดง 10กก.</t>
  </si>
  <si>
    <t>WSWT1625800</t>
  </si>
  <si>
    <t>MK68-001043</t>
  </si>
  <si>
    <t>PBKF-01-03</t>
  </si>
  <si>
    <t>บลูทีมแดง</t>
  </si>
  <si>
    <t>MK68-001044</t>
  </si>
  <si>
    <t>แต้มทอง</t>
  </si>
  <si>
    <t>แปดแต้มแดง</t>
  </si>
  <si>
    <t>กุ้งแดง</t>
  </si>
  <si>
    <t>MK68-001042</t>
  </si>
  <si>
    <t>สีไม่เหมือน</t>
  </si>
  <si>
    <t>MK68-001033</t>
  </si>
  <si>
    <t>นาโน 03</t>
  </si>
  <si>
    <t>MK68-001034</t>
  </si>
  <si>
    <t>นาโน 01</t>
  </si>
  <si>
    <t>MK68-001035</t>
  </si>
  <si>
    <t>นาโน 02</t>
  </si>
  <si>
    <t>MK68-001039</t>
  </si>
  <si>
    <t>MK68-001040</t>
  </si>
  <si>
    <t>ฟิล กู๊ด พี4</t>
  </si>
  <si>
    <t>แปดแต้มแดง 25กก.</t>
  </si>
  <si>
    <t>ชามแดง 25กก.</t>
  </si>
  <si>
    <t>MK68-001036</t>
  </si>
  <si>
    <t>โมโม่ 491</t>
  </si>
  <si>
    <t>MK68-001038</t>
  </si>
  <si>
    <t>MK68-001037</t>
  </si>
  <si>
    <t>โมโม่ 401</t>
  </si>
  <si>
    <t>โบว์น้ำเงิน 10กก</t>
  </si>
  <si>
    <t>โดนัทแฟนฉัน 10กก</t>
  </si>
  <si>
    <t>MK68-001049</t>
  </si>
  <si>
    <t>MK68-001048</t>
  </si>
  <si>
    <t>MK68-001046</t>
  </si>
  <si>
    <t>เครือข่ายพัฒนาข้าวและชาวนาไทย</t>
  </si>
  <si>
    <t>WSWT2325800</t>
  </si>
  <si>
    <t>WRWT25800/WRWT28750</t>
  </si>
  <si>
    <t>MK68-001051</t>
  </si>
  <si>
    <t>MK68-001052</t>
  </si>
  <si>
    <t>บจก.ยืนยงยิปซั่มปลาสเตอร์</t>
  </si>
  <si>
    <t>YUNGYONG</t>
  </si>
  <si>
    <t>WSWT1825800SM</t>
  </si>
  <si>
    <t>WRWT180800/WRWT25800</t>
  </si>
  <si>
    <t>MK68-001064</t>
  </si>
  <si>
    <t>MK68-001065</t>
  </si>
  <si>
    <t>MK68-001066</t>
  </si>
  <si>
    <t>MK68-001067</t>
  </si>
  <si>
    <t>ป้ายชื่อแถว</t>
  </si>
  <si>
    <t xml:space="preserve">ลบสี   </t>
  </si>
  <si>
    <t>น้องเอินโดนัท 10กก</t>
  </si>
  <si>
    <t>MK68-001068</t>
  </si>
  <si>
    <t>ลบสี</t>
  </si>
  <si>
    <t>VC100</t>
  </si>
  <si>
    <t>VC120</t>
  </si>
  <si>
    <t>VC181</t>
  </si>
  <si>
    <t>VC108</t>
  </si>
  <si>
    <t>VC193</t>
  </si>
  <si>
    <t>JET555</t>
  </si>
  <si>
    <t>ไลด์ฟีด 405</t>
  </si>
  <si>
    <t>SPEED PLUS 405ENG</t>
  </si>
  <si>
    <t>สีลอก3250จอดเครื่องรอสีใหม่</t>
  </si>
  <si>
    <t>YUENYONG</t>
  </si>
  <si>
    <t>MK68-001071</t>
  </si>
  <si>
    <t>MK68-001069</t>
  </si>
  <si>
    <t>MK68-001070</t>
  </si>
  <si>
    <t>บจก.เอเชี่ยนเคมิคัล</t>
  </si>
  <si>
    <t>เย็น 6/9</t>
  </si>
  <si>
    <t>MK68-001073</t>
  </si>
  <si>
    <t>บจก.ทีเจที เทรดเดอร์</t>
  </si>
  <si>
    <t>เอ็มเค 914</t>
  </si>
  <si>
    <t>MK68-001075</t>
  </si>
  <si>
    <t>ห่ออัดเบลแบน501</t>
  </si>
  <si>
    <t>MK68-001076</t>
  </si>
  <si>
    <t>เพอเฟคค์104 โกลด์</t>
  </si>
  <si>
    <t>WRWT25800/WRWT25650</t>
  </si>
  <si>
    <t>เฟิร์สช้อย 914</t>
  </si>
  <si>
    <t>เฟิร์สช้อย 912</t>
  </si>
  <si>
    <t>MK68-001072</t>
  </si>
  <si>
    <t>บจก.ทีเจที.เทรดเดอร์</t>
  </si>
  <si>
    <t>MK68-001074</t>
  </si>
  <si>
    <t>บจก.ทีพีเค แอ็บโซลูท สตาร์ช</t>
  </si>
  <si>
    <t>MASTER CHEF</t>
  </si>
  <si>
    <t xml:space="preserve">300กระสอบแบน  </t>
  </si>
  <si>
    <t>WSWT262575051</t>
  </si>
  <si>
    <t>ห้ามใช้เชือกฟาง</t>
  </si>
  <si>
    <t>MK68-001077</t>
  </si>
  <si>
    <t>ปลาโลมาเทา</t>
  </si>
  <si>
    <t>PDR250295</t>
  </si>
  <si>
    <t>ถุงเงิน</t>
  </si>
  <si>
    <t>PBKF2-01-03</t>
  </si>
  <si>
    <t>PDR250296</t>
  </si>
  <si>
    <t>แต้มแดง</t>
  </si>
  <si>
    <t>18/9  22/9</t>
  </si>
  <si>
    <t>มีน้ำหนักต่ำ รอผสม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</si>
</sst>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  <numFmt numFmtId="190" formatCode="_-* #,##0.0_-;\-* #,##0.0_-;_-* &quot;-&quot;??_-;_-@_-"/>
    <numFmt numFmtId="191" formatCode="_-* #,##0.0_-;\-* #,##0.0_-;_-* &quot;-&quot;?_-;_-@_-"/>
    <numFmt numFmtId="192" formatCode="0.000"/>
  </numFmts>
  <fonts count="2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  <font>
      <sz val="8"/>
      <color rgb="FF0000FF"/>
      <name val="Tahoma"/>
      <family val="2"/>
      <charset val="222"/>
      <scheme val="minor"/>
    </font>
    <font>
      <sz val="11"/>
      <color rgb="FF0000FF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9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0" fontId="0" fillId="0" borderId="0" xfId="0" pivotButton="1"/>
    <xf numFmtId="188" fontId="0" fillId="0" borderId="0" xfId="1" applyNumberFormat="1" applyFont="1"/>
    <xf numFmtId="188" fontId="0" fillId="0" borderId="0" xfId="0" applyNumberFormat="1"/>
    <xf numFmtId="43" fontId="0" fillId="0" borderId="0" xfId="0" applyNumberFormat="1"/>
    <xf numFmtId="0" fontId="25" fillId="35" borderId="0" xfId="0" applyFont="1" applyFill="1"/>
    <xf numFmtId="188" fontId="25" fillId="35" borderId="0" xfId="0" applyNumberFormat="1" applyFont="1" applyFill="1"/>
    <xf numFmtId="190" fontId="0" fillId="0" borderId="0" xfId="1" applyNumberFormat="1" applyFont="1"/>
    <xf numFmtId="0" fontId="0" fillId="0" borderId="0" xfId="0" applyAlignment="1">
      <alignment horizontal="right"/>
    </xf>
    <xf numFmtId="191" fontId="0" fillId="0" borderId="0" xfId="0" applyNumberFormat="1"/>
    <xf numFmtId="192" fontId="0" fillId="0" borderId="0" xfId="0" applyNumberFormat="1"/>
    <xf numFmtId="43" fontId="0" fillId="0" borderId="0" xfId="1" applyFont="1"/>
    <xf numFmtId="188" fontId="26" fillId="0" borderId="0" xfId="0" applyNumberFormat="1" applyFont="1"/>
    <xf numFmtId="188" fontId="18" fillId="36" borderId="0" xfId="0" applyNumberFormat="1" applyFont="1" applyFill="1"/>
    <xf numFmtId="0" fontId="18" fillId="36" borderId="0" xfId="0" applyFont="1" applyFill="1"/>
    <xf numFmtId="187" fontId="3" fillId="0" borderId="12" xfId="0" applyNumberFormat="1" applyFont="1" applyBorder="1" applyAlignment="1">
      <alignment vertical="center" wrapText="1"/>
    </xf>
    <xf numFmtId="0" fontId="20" fillId="0" borderId="0" xfId="0" applyFont="1"/>
    <xf numFmtId="14" fontId="0" fillId="0" borderId="0" xfId="0" applyNumberFormat="1"/>
    <xf numFmtId="188" fontId="0" fillId="35" borderId="0" xfId="0" applyNumberFormat="1" applyFill="1"/>
    <xf numFmtId="0" fontId="27" fillId="0" borderId="0" xfId="0" applyFont="1"/>
    <xf numFmtId="187" fontId="27" fillId="0" borderId="0" xfId="0" applyNumberFormat="1" applyFont="1"/>
    <xf numFmtId="0" fontId="27" fillId="0" borderId="1" xfId="0" applyFont="1" applyBorder="1"/>
    <xf numFmtId="187" fontId="27" fillId="0" borderId="1" xfId="0" applyNumberFormat="1" applyFont="1" applyBorder="1"/>
    <xf numFmtId="188" fontId="27" fillId="0" borderId="1" xfId="1" applyNumberFormat="1" applyFont="1" applyBorder="1"/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73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numFmt numFmtId="19" formatCode="d/m/yyyy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</dxfs>
  <tableStyles count="0" defaultTableStyle="TableStyleMedium9" defaultPivotStyle="PivotStyleLight16"/>
  <colors>
    <mruColors>
      <color rgb="FFFFFF00"/>
      <color rgb="FF0000FF"/>
      <color rgb="FFBCE292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3623;&#3634;&#3591;&#3649;&#3612;&#3609;&#3585;&#3634;&#3619;&#3612;&#3621;&#3636;&#3605;\&#3649;&#3612;&#3609;Update&#3619;&#3634;&#3618;&#3623;&#3633;&#360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2556"/>
      <sheetName val="หน้าผ้า"/>
      <sheetName val="งานสวมเดือน1"/>
      <sheetName val="NOTE2"/>
      <sheetName val="ส่งแล้ว"/>
      <sheetName val="รอแจ้ง"/>
      <sheetName val="SD-QA16"/>
      <sheetName val="สรุปorder"/>
      <sheetName val="ยอดรวมผ้ารายวัน"/>
      <sheetName val="สรุปเม็ด"/>
      <sheetName val="กทม"/>
      <sheetName val="เคอรี่"/>
      <sheetName val="Note"/>
      <sheetName val="CAP"/>
      <sheetName val="ชันฟีด"/>
      <sheetName val="Sheet2"/>
      <sheetName val="20sm"/>
      <sheetName val="Sheet1"/>
    </sheetNames>
    <sheetDataSet>
      <sheetData sheetId="0"/>
      <sheetData sheetId="1">
        <row r="12">
          <cell r="AR12">
            <v>44876</v>
          </cell>
        </row>
        <row r="13">
          <cell r="AC13">
            <v>44873</v>
          </cell>
          <cell r="AJ13">
            <v>44873</v>
          </cell>
          <cell r="AM13">
            <v>44876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Sheet1"/>
      <sheetName val="งานสวมเดือน2"/>
      <sheetName val="ส่งแล้ว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ยอดผลิตเดือน2 ส่ง เดือน 3"/>
      <sheetName val="เบทาโกร"/>
    </sheetNames>
    <sheetDataSet>
      <sheetData sheetId="0"/>
      <sheetData sheetId="1">
        <row r="15">
          <cell r="A15">
            <v>52</v>
          </cell>
          <cell r="B15">
            <v>0</v>
          </cell>
          <cell r="C15">
            <v>0</v>
          </cell>
          <cell r="E15">
            <v>0</v>
          </cell>
          <cell r="F15">
            <v>0</v>
          </cell>
          <cell r="G15">
            <v>12</v>
          </cell>
          <cell r="H15">
            <v>16</v>
          </cell>
          <cell r="I15" t="str">
            <v>ขาว</v>
          </cell>
          <cell r="J15">
            <v>0</v>
          </cell>
          <cell r="L15">
            <v>25</v>
          </cell>
          <cell r="M15" t="str">
            <v>±</v>
          </cell>
          <cell r="N15">
            <v>5</v>
          </cell>
          <cell r="R15">
            <v>0</v>
          </cell>
          <cell r="T15">
            <v>0</v>
          </cell>
          <cell r="U15">
            <v>0</v>
          </cell>
          <cell r="V15">
            <v>0</v>
          </cell>
          <cell r="X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G15">
            <v>0</v>
          </cell>
          <cell r="AI15" t="str">
            <v>ระบุในSD</v>
          </cell>
          <cell r="AJ15">
            <v>0</v>
          </cell>
          <cell r="AL15">
            <v>0</v>
          </cell>
          <cell r="AM15">
            <v>0</v>
          </cell>
          <cell r="AN15">
            <v>0</v>
          </cell>
          <cell r="AO15" t="str">
            <v>WSWT1221750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BZ15" t="str">
            <v>WRWT120750/WRWT21750</v>
          </cell>
          <cell r="CA15">
            <v>0</v>
          </cell>
          <cell r="DL15">
            <v>0</v>
          </cell>
          <cell r="DM15">
            <v>0</v>
          </cell>
          <cell r="DN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G15">
            <v>0</v>
          </cell>
          <cell r="EH15">
            <v>0</v>
          </cell>
          <cell r="EI15">
            <v>0</v>
          </cell>
        </row>
        <row r="16">
          <cell r="B16">
            <v>0</v>
          </cell>
          <cell r="C16"/>
          <cell r="E16"/>
          <cell r="F16"/>
          <cell r="G16">
            <v>14</v>
          </cell>
          <cell r="H16">
            <v>22</v>
          </cell>
          <cell r="I16" t="str">
            <v>ขาว</v>
          </cell>
          <cell r="J16"/>
          <cell r="L16">
            <v>36</v>
          </cell>
          <cell r="M16" t="str">
            <v>±</v>
          </cell>
          <cell r="N16">
            <v>5</v>
          </cell>
          <cell r="R16"/>
          <cell r="T16"/>
          <cell r="U16"/>
          <cell r="V16"/>
          <cell r="X16"/>
          <cell r="Z16"/>
          <cell r="AA16"/>
          <cell r="AB16"/>
          <cell r="AC16">
            <v>0</v>
          </cell>
          <cell r="AD16"/>
          <cell r="AG16"/>
          <cell r="AI16" t="str">
            <v>ระบุในSD</v>
          </cell>
          <cell r="AJ16"/>
          <cell r="AL16">
            <v>0</v>
          </cell>
          <cell r="AM16"/>
          <cell r="AN16">
            <v>0</v>
          </cell>
          <cell r="AO16" t="str">
            <v>WSWT1425800</v>
          </cell>
          <cell r="AQ16" t="e">
            <v>#REF!</v>
          </cell>
          <cell r="AR16" t="e">
            <v>#REF!</v>
          </cell>
          <cell r="AS16" t="e">
            <v>#REF!</v>
          </cell>
          <cell r="AT16" t="e">
            <v>#REF!</v>
          </cell>
          <cell r="AU16" t="e">
            <v>#REF!</v>
          </cell>
          <cell r="BZ16" t="str">
            <v>WRWT140800/WRWT25800</v>
          </cell>
          <cell r="CA16">
            <v>0</v>
          </cell>
          <cell r="DL16"/>
          <cell r="DM16" t="str">
            <v>Lead time</v>
          </cell>
          <cell r="DN16"/>
          <cell r="DP16"/>
          <cell r="DQ16"/>
          <cell r="DR16"/>
          <cell r="DS16"/>
          <cell r="DT16"/>
          <cell r="DU16"/>
          <cell r="DW16"/>
          <cell r="DX16"/>
          <cell r="DY16"/>
          <cell r="DZ16"/>
          <cell r="EA16"/>
          <cell r="EB16"/>
          <cell r="EC16"/>
          <cell r="ED16"/>
          <cell r="EG16"/>
          <cell r="EH16">
            <v>0</v>
          </cell>
          <cell r="EI16">
            <v>0</v>
          </cell>
        </row>
        <row r="17">
          <cell r="B17" t="str">
            <v>MK68-001041</v>
          </cell>
          <cell r="C17">
            <v>45896</v>
          </cell>
          <cell r="E17" t="str">
            <v>บจก.ซัน ซีเมนต์ โพรเซส</v>
          </cell>
          <cell r="F17" t="str">
            <v>พระอาทิตย์</v>
          </cell>
          <cell r="G17">
            <v>16</v>
          </cell>
          <cell r="H17">
            <v>25</v>
          </cell>
          <cell r="I17" t="str">
            <v>ขาว</v>
          </cell>
          <cell r="J17" t="str">
            <v>ใส</v>
          </cell>
          <cell r="L17">
            <v>50</v>
          </cell>
          <cell r="M17" t="str">
            <v>±</v>
          </cell>
          <cell r="N17">
            <v>5</v>
          </cell>
          <cell r="R17" t="str">
            <v>บิด</v>
          </cell>
          <cell r="T17">
            <v>19</v>
          </cell>
          <cell r="U17">
            <v>28</v>
          </cell>
          <cell r="V17">
            <v>40</v>
          </cell>
          <cell r="X17">
            <v>45908</v>
          </cell>
          <cell r="Z17" t="str">
            <v>500กระสอบ</v>
          </cell>
          <cell r="AA17">
            <v>5000</v>
          </cell>
          <cell r="AB17">
            <v>65.624642943999987</v>
          </cell>
          <cell r="AC17">
            <v>0</v>
          </cell>
          <cell r="AD17">
            <v>65.624642943999987</v>
          </cell>
          <cell r="AG17" t="str">
            <v>รอลูกค้า</v>
          </cell>
          <cell r="AI17"/>
          <cell r="AJ17">
            <v>0</v>
          </cell>
          <cell r="AL17">
            <v>5000</v>
          </cell>
          <cell r="AM17"/>
          <cell r="AN17">
            <v>5250</v>
          </cell>
          <cell r="AO17" t="str">
            <v>WSWT1625800SM</v>
          </cell>
          <cell r="AQ17">
            <v>3702.0499999999997</v>
          </cell>
          <cell r="AR17">
            <v>3702.0499999999997</v>
          </cell>
          <cell r="AS17">
            <v>0</v>
          </cell>
          <cell r="AT17">
            <v>0</v>
          </cell>
          <cell r="AU17">
            <v>3702.0499999999997</v>
          </cell>
          <cell r="BZ17" t="str">
            <v>WRWT25800/WRWT25800</v>
          </cell>
          <cell r="CA17">
            <v>0</v>
          </cell>
          <cell r="DL17" t="str">
            <v>P8</v>
          </cell>
          <cell r="DM17">
            <v>4</v>
          </cell>
          <cell r="DN17">
            <v>45908</v>
          </cell>
          <cell r="DP17">
            <v>45903</v>
          </cell>
          <cell r="DQ17">
            <v>45904</v>
          </cell>
          <cell r="DR17">
            <v>45898</v>
          </cell>
          <cell r="DS17">
            <v>45905</v>
          </cell>
          <cell r="DT17">
            <v>45906</v>
          </cell>
          <cell r="DU17">
            <v>45906</v>
          </cell>
          <cell r="DW17">
            <v>45907</v>
          </cell>
          <cell r="DX17"/>
          <cell r="DY17"/>
          <cell r="DZ17"/>
          <cell r="EA17"/>
          <cell r="EB17"/>
          <cell r="EC17" t="str">
            <v>งานเคลือบ+พิมพ์</v>
          </cell>
          <cell r="ED17" t="str">
            <v xml:space="preserve"> /</v>
          </cell>
          <cell r="EG17"/>
          <cell r="EH17"/>
          <cell r="EI17"/>
        </row>
        <row r="18">
          <cell r="B18">
            <v>0</v>
          </cell>
          <cell r="C18"/>
          <cell r="E18"/>
          <cell r="F18" t="str">
            <v xml:space="preserve"> </v>
          </cell>
          <cell r="G18">
            <v>16</v>
          </cell>
          <cell r="H18">
            <v>25</v>
          </cell>
          <cell r="I18" t="str">
            <v>ขาว</v>
          </cell>
          <cell r="J18"/>
          <cell r="L18">
            <v>45</v>
          </cell>
          <cell r="M18" t="str">
            <v>±</v>
          </cell>
          <cell r="N18">
            <v>5</v>
          </cell>
          <cell r="R18"/>
          <cell r="T18"/>
          <cell r="U18"/>
          <cell r="V18"/>
          <cell r="X18"/>
          <cell r="Z18"/>
          <cell r="AA18"/>
          <cell r="AB18"/>
          <cell r="AC18">
            <v>0</v>
          </cell>
          <cell r="AD18"/>
          <cell r="AG18"/>
          <cell r="AI18" t="str">
            <v>ระบุในSD</v>
          </cell>
          <cell r="AJ18"/>
          <cell r="AL18">
            <v>0</v>
          </cell>
          <cell r="AM18"/>
          <cell r="AN18">
            <v>0</v>
          </cell>
          <cell r="AO18" t="str">
            <v>WSWT1625800SM</v>
          </cell>
          <cell r="AQ18">
            <v>3702.0499999999997</v>
          </cell>
          <cell r="AR18">
            <v>3702.0499999999997</v>
          </cell>
          <cell r="AS18">
            <v>0</v>
          </cell>
          <cell r="AT18">
            <v>0</v>
          </cell>
          <cell r="AU18">
            <v>3702.0499999999997</v>
          </cell>
          <cell r="BZ18" t="str">
            <v>WRWT160800/WRWT25800</v>
          </cell>
          <cell r="CA18">
            <v>0</v>
          </cell>
          <cell r="DL18"/>
          <cell r="DM18" t="str">
            <v>Lead time</v>
          </cell>
          <cell r="DN18"/>
          <cell r="DP18"/>
          <cell r="DQ18"/>
          <cell r="DR18"/>
          <cell r="DS18"/>
          <cell r="DT18"/>
          <cell r="DU18"/>
          <cell r="DW18"/>
          <cell r="DX18"/>
          <cell r="DY18"/>
          <cell r="DZ18"/>
          <cell r="EA18"/>
          <cell r="EB18"/>
          <cell r="EC18"/>
          <cell r="ED18"/>
          <cell r="EG18"/>
          <cell r="EH18">
            <v>0</v>
          </cell>
          <cell r="EI18">
            <v>0</v>
          </cell>
        </row>
        <row r="19">
          <cell r="B19" t="str">
            <v>MK68-001045</v>
          </cell>
          <cell r="C19">
            <v>45897</v>
          </cell>
          <cell r="E19" t="str">
            <v>บจก.เคอรี่ฟลาวมิลล์</v>
          </cell>
          <cell r="F19" t="str">
            <v>โบว์น้ำเงิน 10กก</v>
          </cell>
          <cell r="G19">
            <v>16</v>
          </cell>
          <cell r="H19">
            <v>25</v>
          </cell>
          <cell r="I19" t="str">
            <v>ขาว</v>
          </cell>
          <cell r="J19"/>
          <cell r="L19">
            <v>45</v>
          </cell>
          <cell r="M19" t="str">
            <v>±</v>
          </cell>
          <cell r="N19">
            <v>5</v>
          </cell>
          <cell r="R19" t="str">
            <v>ไม่</v>
          </cell>
          <cell r="T19" t="str">
            <v>ไม่สวมถุงใน</v>
          </cell>
          <cell r="U19"/>
          <cell r="V19"/>
          <cell r="X19">
            <v>45909</v>
          </cell>
          <cell r="Z19" t="str">
            <v>ห่ออัดเบลแบน500</v>
          </cell>
          <cell r="AA19">
            <v>5000</v>
          </cell>
          <cell r="AB19">
            <v>0</v>
          </cell>
          <cell r="AC19">
            <v>0</v>
          </cell>
          <cell r="AD19">
            <v>0</v>
          </cell>
          <cell r="AG19"/>
          <cell r="AI19"/>
          <cell r="AJ19">
            <v>0</v>
          </cell>
          <cell r="AL19">
            <v>5000</v>
          </cell>
          <cell r="AM19">
            <v>5400</v>
          </cell>
          <cell r="AN19">
            <v>0</v>
          </cell>
          <cell r="AO19" t="str">
            <v>WSWT1625800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BZ19" t="str">
            <v>WRWT25800/WRWT25800</v>
          </cell>
          <cell r="CA19">
            <v>0</v>
          </cell>
          <cell r="DL19" t="str">
            <v>P7</v>
          </cell>
          <cell r="DM19">
            <v>2</v>
          </cell>
          <cell r="DN19">
            <v>45909</v>
          </cell>
          <cell r="DP19">
            <v>45904</v>
          </cell>
          <cell r="DQ19"/>
          <cell r="DR19">
            <v>45900</v>
          </cell>
          <cell r="DS19">
            <v>45907</v>
          </cell>
          <cell r="DT19">
            <v>45908</v>
          </cell>
          <cell r="DU19">
            <v>45908</v>
          </cell>
          <cell r="DW19"/>
          <cell r="DX19"/>
          <cell r="DY19"/>
          <cell r="DZ19"/>
          <cell r="EA19"/>
          <cell r="EB19"/>
          <cell r="EC19" t="str">
            <v>งานพิมพ์</v>
          </cell>
          <cell r="ED19" t="str">
            <v xml:space="preserve"> /</v>
          </cell>
          <cell r="EG19"/>
          <cell r="EH19"/>
          <cell r="EI19"/>
        </row>
        <row r="20">
          <cell r="B20" t="str">
            <v>MK68-001045</v>
          </cell>
          <cell r="C20">
            <v>45897</v>
          </cell>
          <cell r="E20" t="str">
            <v>บจก.เคอรี่ฟลาวมิลล์</v>
          </cell>
          <cell r="F20" t="str">
            <v>โดนัทแฟนฉัน 10กก</v>
          </cell>
          <cell r="G20">
            <v>16</v>
          </cell>
          <cell r="H20">
            <v>25</v>
          </cell>
          <cell r="I20" t="str">
            <v>ขาว</v>
          </cell>
          <cell r="J20"/>
          <cell r="L20">
            <v>45</v>
          </cell>
          <cell r="M20" t="str">
            <v>±</v>
          </cell>
          <cell r="N20">
            <v>5</v>
          </cell>
          <cell r="R20" t="str">
            <v>ไม่</v>
          </cell>
          <cell r="T20" t="str">
            <v>ไม่สวมถุงใน</v>
          </cell>
          <cell r="U20"/>
          <cell r="V20"/>
          <cell r="X20">
            <v>45909</v>
          </cell>
          <cell r="Z20" t="str">
            <v>ห่ออัดเบลแบน500</v>
          </cell>
          <cell r="AA20">
            <v>5000</v>
          </cell>
          <cell r="AB20">
            <v>0</v>
          </cell>
          <cell r="AC20">
            <v>0</v>
          </cell>
          <cell r="AD20">
            <v>0</v>
          </cell>
          <cell r="AG20"/>
          <cell r="AI20"/>
          <cell r="AJ20">
            <v>0</v>
          </cell>
          <cell r="AL20">
            <v>5000</v>
          </cell>
          <cell r="AM20">
            <v>5400</v>
          </cell>
          <cell r="AN20">
            <v>0</v>
          </cell>
          <cell r="AO20" t="str">
            <v>WSWT1625800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BZ20" t="str">
            <v>WRWT25800/WRWT25800</v>
          </cell>
          <cell r="CA20">
            <v>0</v>
          </cell>
          <cell r="DL20" t="str">
            <v>P7</v>
          </cell>
          <cell r="DM20">
            <v>2</v>
          </cell>
          <cell r="DN20">
            <v>45909</v>
          </cell>
          <cell r="DP20">
            <v>45904</v>
          </cell>
          <cell r="DQ20"/>
          <cell r="DR20">
            <v>45900</v>
          </cell>
          <cell r="DS20">
            <v>45907</v>
          </cell>
          <cell r="DT20">
            <v>45908</v>
          </cell>
          <cell r="DU20">
            <v>45908</v>
          </cell>
          <cell r="DW20"/>
          <cell r="DX20"/>
          <cell r="DY20"/>
          <cell r="DZ20"/>
          <cell r="EA20"/>
          <cell r="EB20"/>
          <cell r="EC20" t="str">
            <v>งานพิมพ์</v>
          </cell>
          <cell r="ED20" t="str">
            <v xml:space="preserve"> /</v>
          </cell>
          <cell r="EG20"/>
          <cell r="EH20"/>
          <cell r="EI20"/>
        </row>
        <row r="21">
          <cell r="B21" t="str">
            <v>MK68-001045</v>
          </cell>
          <cell r="C21">
            <v>45897</v>
          </cell>
          <cell r="E21" t="str">
            <v>บจก.เคอรี่ฟลาวมิลล์</v>
          </cell>
          <cell r="F21" t="str">
            <v>น้องเอินโดนัท 10กก</v>
          </cell>
          <cell r="G21">
            <v>16</v>
          </cell>
          <cell r="H21">
            <v>25</v>
          </cell>
          <cell r="I21" t="str">
            <v>ขาว</v>
          </cell>
          <cell r="J21"/>
          <cell r="L21">
            <v>45</v>
          </cell>
          <cell r="M21" t="str">
            <v>±</v>
          </cell>
          <cell r="N21">
            <v>5</v>
          </cell>
          <cell r="R21" t="str">
            <v>ไม่</v>
          </cell>
          <cell r="T21" t="str">
            <v>ไม่สวมถุงใน</v>
          </cell>
          <cell r="U21"/>
          <cell r="V21"/>
          <cell r="X21">
            <v>45925</v>
          </cell>
          <cell r="Z21" t="str">
            <v>ห่ออัดเบลแบน500</v>
          </cell>
          <cell r="AA21">
            <v>5000</v>
          </cell>
          <cell r="AB21">
            <v>0</v>
          </cell>
          <cell r="AC21">
            <v>0</v>
          </cell>
          <cell r="AD21">
            <v>0</v>
          </cell>
          <cell r="AG21"/>
          <cell r="AI21"/>
          <cell r="AJ21">
            <v>0</v>
          </cell>
          <cell r="AL21">
            <v>5000</v>
          </cell>
          <cell r="AM21"/>
          <cell r="AN21">
            <v>5250</v>
          </cell>
          <cell r="AO21" t="str">
            <v>WSWT1625800</v>
          </cell>
          <cell r="AQ21">
            <v>3702.0499999999997</v>
          </cell>
          <cell r="AR21">
            <v>682</v>
          </cell>
          <cell r="AS21">
            <v>3020.0499999999997</v>
          </cell>
          <cell r="AT21">
            <v>0</v>
          </cell>
          <cell r="AU21">
            <v>0</v>
          </cell>
          <cell r="BZ21" t="str">
            <v>WRWT25800/WRWT25800</v>
          </cell>
          <cell r="CA21">
            <v>184.69283555555555</v>
          </cell>
          <cell r="DL21" t="str">
            <v>P7</v>
          </cell>
          <cell r="DM21">
            <v>2</v>
          </cell>
          <cell r="DN21">
            <v>45925</v>
          </cell>
          <cell r="DP21">
            <v>45920</v>
          </cell>
          <cell r="DQ21"/>
          <cell r="DR21">
            <v>45916</v>
          </cell>
          <cell r="DS21">
            <v>45923</v>
          </cell>
          <cell r="DT21">
            <v>45924</v>
          </cell>
          <cell r="DU21">
            <v>45924</v>
          </cell>
          <cell r="DW21"/>
          <cell r="DX21"/>
          <cell r="DY21"/>
          <cell r="DZ21"/>
          <cell r="EA21"/>
          <cell r="EB21"/>
          <cell r="EC21" t="str">
            <v>งานพิมพ์</v>
          </cell>
          <cell r="ED21" t="str">
            <v>รอART</v>
          </cell>
          <cell r="EG21"/>
          <cell r="EH21"/>
          <cell r="EI21"/>
        </row>
        <row r="22">
          <cell r="B22">
            <v>0</v>
          </cell>
          <cell r="C22"/>
          <cell r="E22"/>
          <cell r="F22"/>
          <cell r="G22">
            <v>16</v>
          </cell>
          <cell r="H22">
            <v>25</v>
          </cell>
          <cell r="I22" t="str">
            <v>ขาว</v>
          </cell>
          <cell r="J22"/>
          <cell r="L22">
            <v>45</v>
          </cell>
          <cell r="M22" t="str">
            <v>±</v>
          </cell>
          <cell r="N22">
            <v>5</v>
          </cell>
          <cell r="R22"/>
          <cell r="T22"/>
          <cell r="U22"/>
          <cell r="V22"/>
          <cell r="X22"/>
          <cell r="Z22"/>
          <cell r="AA22"/>
          <cell r="AB22"/>
          <cell r="AC22">
            <v>0</v>
          </cell>
          <cell r="AD22"/>
          <cell r="AG22"/>
          <cell r="AI22" t="str">
            <v>ระบุในSD</v>
          </cell>
          <cell r="AJ22"/>
          <cell r="AL22">
            <v>0</v>
          </cell>
          <cell r="AM22"/>
          <cell r="AN22">
            <v>0</v>
          </cell>
          <cell r="AO22" t="str">
            <v>WSWT1625800</v>
          </cell>
          <cell r="AQ22">
            <v>3702.0499999999997</v>
          </cell>
          <cell r="AR22">
            <v>682</v>
          </cell>
          <cell r="AS22">
            <v>3020.0499999999997</v>
          </cell>
          <cell r="AT22">
            <v>0</v>
          </cell>
          <cell r="AU22">
            <v>0</v>
          </cell>
          <cell r="BZ22" t="str">
            <v>WRWT160800/WRWT25800</v>
          </cell>
          <cell r="CA22">
            <v>0</v>
          </cell>
          <cell r="DL22"/>
          <cell r="DM22" t="str">
            <v>Lead time</v>
          </cell>
          <cell r="DN22"/>
          <cell r="DP22"/>
          <cell r="DQ22"/>
          <cell r="DR22"/>
          <cell r="DS22"/>
          <cell r="DT22"/>
          <cell r="DU22"/>
          <cell r="DW22"/>
          <cell r="DX22"/>
          <cell r="DY22"/>
          <cell r="DZ22"/>
          <cell r="EA22"/>
          <cell r="EB22"/>
          <cell r="EC22"/>
          <cell r="ED22"/>
          <cell r="EG22"/>
          <cell r="EH22">
            <v>0</v>
          </cell>
          <cell r="EI22">
            <v>0</v>
          </cell>
        </row>
        <row r="23">
          <cell r="B23">
            <v>0</v>
          </cell>
          <cell r="C23"/>
          <cell r="E23"/>
          <cell r="F23"/>
          <cell r="G23">
            <v>16</v>
          </cell>
          <cell r="H23">
            <v>25</v>
          </cell>
          <cell r="I23"/>
          <cell r="J23"/>
          <cell r="L23">
            <v>47</v>
          </cell>
          <cell r="M23" t="str">
            <v>±</v>
          </cell>
          <cell r="N23">
            <v>5</v>
          </cell>
          <cell r="R23"/>
          <cell r="T23"/>
          <cell r="U23"/>
          <cell r="V23"/>
          <cell r="X23"/>
          <cell r="Z23"/>
          <cell r="AA23"/>
          <cell r="AB23"/>
          <cell r="AC23">
            <v>0</v>
          </cell>
          <cell r="AD23"/>
          <cell r="AG23"/>
          <cell r="AI23" t="str">
            <v>ระบุในSD</v>
          </cell>
          <cell r="AJ23"/>
          <cell r="AL23">
            <v>0</v>
          </cell>
          <cell r="AM23"/>
          <cell r="AN23">
            <v>0</v>
          </cell>
          <cell r="AO23" t="str">
            <v>WSWT1621720SMFX</v>
          </cell>
          <cell r="AQ23" t="e">
            <v>#REF!</v>
          </cell>
          <cell r="AR23" t="e">
            <v>#REF!</v>
          </cell>
          <cell r="AS23" t="e">
            <v>#REF!</v>
          </cell>
          <cell r="AT23" t="e">
            <v>#REF!</v>
          </cell>
          <cell r="AU23" t="e">
            <v>#REF!</v>
          </cell>
          <cell r="BZ23" t="str">
            <v>WRWT160720/WRWT21720</v>
          </cell>
          <cell r="CA23">
            <v>0</v>
          </cell>
          <cell r="DL23"/>
          <cell r="DM23"/>
          <cell r="DN23"/>
          <cell r="DP23"/>
          <cell r="DQ23"/>
          <cell r="DR23"/>
          <cell r="DS23"/>
          <cell r="DT23"/>
          <cell r="DU23"/>
          <cell r="DW23"/>
          <cell r="DX23"/>
          <cell r="DY23"/>
          <cell r="DZ23"/>
          <cell r="EA23"/>
          <cell r="EB23"/>
          <cell r="EC23"/>
          <cell r="ED23"/>
          <cell r="EG23"/>
          <cell r="EH23"/>
          <cell r="EI23"/>
        </row>
        <row r="24">
          <cell r="B24">
            <v>0</v>
          </cell>
          <cell r="C24"/>
          <cell r="E24"/>
          <cell r="F24"/>
          <cell r="G24">
            <v>17</v>
          </cell>
          <cell r="H24">
            <v>26</v>
          </cell>
          <cell r="I24"/>
          <cell r="J24"/>
          <cell r="L24">
            <v>48</v>
          </cell>
          <cell r="M24" t="str">
            <v>±</v>
          </cell>
          <cell r="N24">
            <v>5</v>
          </cell>
          <cell r="R24"/>
          <cell r="T24"/>
          <cell r="U24"/>
          <cell r="V24"/>
          <cell r="X24"/>
          <cell r="Z24"/>
          <cell r="AA24"/>
          <cell r="AB24"/>
          <cell r="AC24">
            <v>0</v>
          </cell>
          <cell r="AD24"/>
          <cell r="AG24"/>
          <cell r="AI24" t="str">
            <v>ระบุในSD</v>
          </cell>
          <cell r="AJ24"/>
          <cell r="AL24">
            <v>0</v>
          </cell>
          <cell r="AM24"/>
          <cell r="AN24">
            <v>0</v>
          </cell>
          <cell r="AO24" t="str">
            <v>WSWT1725800</v>
          </cell>
          <cell r="AQ24" t="e">
            <v>#REF!</v>
          </cell>
          <cell r="AR24" t="e">
            <v>#REF!</v>
          </cell>
          <cell r="AS24" t="e">
            <v>#REF!</v>
          </cell>
          <cell r="AT24" t="e">
            <v>#REF!</v>
          </cell>
          <cell r="AU24" t="e">
            <v>#REF!</v>
          </cell>
          <cell r="BZ24" t="str">
            <v>WRWT170800/WRWT25800</v>
          </cell>
          <cell r="CA24">
            <v>0</v>
          </cell>
          <cell r="DL24"/>
          <cell r="DM24"/>
          <cell r="DN24"/>
          <cell r="DP24"/>
          <cell r="DQ24"/>
          <cell r="DR24"/>
          <cell r="DS24"/>
          <cell r="DT24"/>
          <cell r="DU24"/>
          <cell r="DW24"/>
          <cell r="DX24"/>
          <cell r="DY24"/>
          <cell r="DZ24"/>
          <cell r="EA24"/>
          <cell r="EB24"/>
          <cell r="EC24"/>
          <cell r="ED24"/>
          <cell r="EG24"/>
          <cell r="EH24"/>
          <cell r="EI24"/>
        </row>
        <row r="25">
          <cell r="B25" t="str">
            <v>ประมาณการ</v>
          </cell>
          <cell r="C25" t="str">
            <v>ประมาณการ</v>
          </cell>
          <cell r="E25" t="str">
            <v>บจก.ฟาร์เธอร์ส วิง ซัพพลาย</v>
          </cell>
          <cell r="F25" t="str">
            <v>รถไฟ</v>
          </cell>
          <cell r="G25">
            <v>18</v>
          </cell>
          <cell r="H25">
            <v>30</v>
          </cell>
          <cell r="I25" t="str">
            <v>ขาว</v>
          </cell>
          <cell r="J25"/>
          <cell r="L25">
            <v>54</v>
          </cell>
          <cell r="M25" t="str">
            <v>±</v>
          </cell>
          <cell r="N25">
            <v>5</v>
          </cell>
          <cell r="R25" t="str">
            <v>บิด</v>
          </cell>
          <cell r="T25">
            <v>19</v>
          </cell>
          <cell r="U25">
            <v>33</v>
          </cell>
          <cell r="V25">
            <v>40</v>
          </cell>
          <cell r="X25" t="str">
            <v>รอแจ้ง</v>
          </cell>
          <cell r="Z25" t="str">
            <v>500กระสอบ</v>
          </cell>
          <cell r="AA25">
            <v>15000</v>
          </cell>
          <cell r="AB25">
            <v>232.02998755199997</v>
          </cell>
          <cell r="AC25">
            <v>0</v>
          </cell>
          <cell r="AD25">
            <v>232.02998755199997</v>
          </cell>
          <cell r="AG25"/>
          <cell r="AI25"/>
          <cell r="AJ25">
            <v>0</v>
          </cell>
          <cell r="AL25">
            <v>15000</v>
          </cell>
          <cell r="AM25"/>
          <cell r="AN25">
            <v>15750</v>
          </cell>
          <cell r="AO25" t="str">
            <v>WSWT1825800</v>
          </cell>
          <cell r="AQ25">
            <v>13201.65</v>
          </cell>
          <cell r="AR25">
            <v>2599</v>
          </cell>
          <cell r="AS25">
            <v>10602.65</v>
          </cell>
          <cell r="AT25">
            <v>0</v>
          </cell>
          <cell r="AU25">
            <v>0</v>
          </cell>
          <cell r="BZ25" t="str">
            <v>WRWT25800/WRWT25800</v>
          </cell>
          <cell r="CA25">
            <v>729.46232000000009</v>
          </cell>
          <cell r="DL25" t="str">
            <v>P9</v>
          </cell>
          <cell r="DM25">
            <v>3</v>
          </cell>
          <cell r="DN25" t="str">
            <v>รอแจ้ง</v>
          </cell>
          <cell r="DP25" t="e">
            <v>#VALUE!</v>
          </cell>
          <cell r="DQ25"/>
          <cell r="DR25" t="e">
            <v>#VALUE!</v>
          </cell>
          <cell r="DS25" t="e">
            <v>#VALUE!</v>
          </cell>
          <cell r="DT25" t="e">
            <v>#VALUE!</v>
          </cell>
          <cell r="DU25" t="e">
            <v>#VALUE!</v>
          </cell>
          <cell r="DW25" t="e">
            <v>#VALUE!</v>
          </cell>
          <cell r="DX25"/>
          <cell r="DY25"/>
          <cell r="DZ25"/>
          <cell r="EA25"/>
          <cell r="EB25"/>
          <cell r="EC25" t="str">
            <v>งานพิมพ์</v>
          </cell>
          <cell r="ED25" t="str">
            <v>รอART</v>
          </cell>
          <cell r="EG25"/>
          <cell r="EH25"/>
          <cell r="EI25"/>
        </row>
        <row r="26">
          <cell r="B26">
            <v>0</v>
          </cell>
          <cell r="C26"/>
          <cell r="E26" t="str">
            <v xml:space="preserve">  </v>
          </cell>
          <cell r="F26" t="str">
            <v xml:space="preserve"> </v>
          </cell>
          <cell r="G26">
            <v>18</v>
          </cell>
          <cell r="H26">
            <v>30</v>
          </cell>
          <cell r="I26" t="str">
            <v>ขาว</v>
          </cell>
          <cell r="J26"/>
          <cell r="L26">
            <v>54</v>
          </cell>
          <cell r="M26" t="str">
            <v>±</v>
          </cell>
          <cell r="N26">
            <v>5</v>
          </cell>
          <cell r="R26"/>
          <cell r="T26"/>
          <cell r="U26"/>
          <cell r="V26"/>
          <cell r="X26"/>
          <cell r="Z26"/>
          <cell r="AA26"/>
          <cell r="AB26">
            <v>0</v>
          </cell>
          <cell r="AC26">
            <v>0</v>
          </cell>
          <cell r="AD26"/>
          <cell r="AG26"/>
          <cell r="AI26" t="str">
            <v>ระบุในSD</v>
          </cell>
          <cell r="AJ26"/>
          <cell r="AL26">
            <v>0</v>
          </cell>
          <cell r="AM26"/>
          <cell r="AN26">
            <v>0</v>
          </cell>
          <cell r="AO26" t="str">
            <v>WSWT1825800</v>
          </cell>
          <cell r="AQ26">
            <v>13201.65</v>
          </cell>
          <cell r="AR26">
            <v>2599</v>
          </cell>
          <cell r="AS26">
            <v>10602.65</v>
          </cell>
          <cell r="AT26">
            <v>0</v>
          </cell>
          <cell r="AU26">
            <v>0</v>
          </cell>
          <cell r="BZ26" t="str">
            <v>WRWT25800/WRWT25800</v>
          </cell>
          <cell r="CA26">
            <v>0</v>
          </cell>
          <cell r="DL26"/>
          <cell r="DM26" t="str">
            <v>Lead time</v>
          </cell>
          <cell r="DN26"/>
          <cell r="DP26"/>
          <cell r="DQ26"/>
          <cell r="DR26"/>
          <cell r="DS26"/>
          <cell r="DT26"/>
          <cell r="DU26"/>
          <cell r="DW26"/>
          <cell r="DX26"/>
          <cell r="DY26"/>
          <cell r="DZ26"/>
          <cell r="EA26"/>
          <cell r="EB26"/>
          <cell r="EC26"/>
          <cell r="ED26"/>
          <cell r="EG26"/>
          <cell r="EH26">
            <v>0</v>
          </cell>
          <cell r="EI26">
            <v>0</v>
          </cell>
        </row>
        <row r="27">
          <cell r="B27" t="str">
            <v>MK68-001068</v>
          </cell>
          <cell r="C27">
            <v>45901</v>
          </cell>
          <cell r="E27" t="str">
            <v>บจก.ยืนยงยิปซั่มปลาสเตอร์</v>
          </cell>
          <cell r="F27" t="str">
            <v>YUENYONG</v>
          </cell>
          <cell r="G27">
            <v>18</v>
          </cell>
          <cell r="H27">
            <v>26</v>
          </cell>
          <cell r="I27" t="str">
            <v>ขาว</v>
          </cell>
          <cell r="J27" t="str">
            <v>ใส</v>
          </cell>
          <cell r="L27">
            <v>65</v>
          </cell>
          <cell r="M27" t="str">
            <v>±</v>
          </cell>
          <cell r="N27">
            <v>5</v>
          </cell>
          <cell r="R27" t="str">
            <v>บิด</v>
          </cell>
          <cell r="T27">
            <v>19</v>
          </cell>
          <cell r="U27">
            <v>29</v>
          </cell>
          <cell r="V27">
            <v>40</v>
          </cell>
          <cell r="X27">
            <v>45912</v>
          </cell>
          <cell r="Z27" t="str">
            <v>500กระสอบแบน</v>
          </cell>
          <cell r="AA27">
            <v>5000</v>
          </cell>
          <cell r="AB27">
            <v>67.968380191999998</v>
          </cell>
          <cell r="AC27">
            <v>0</v>
          </cell>
          <cell r="AD27">
            <v>67.968380191999998</v>
          </cell>
          <cell r="AG27"/>
          <cell r="AI27"/>
          <cell r="AJ27">
            <v>0</v>
          </cell>
          <cell r="AL27">
            <v>5000</v>
          </cell>
          <cell r="AM27"/>
          <cell r="AN27">
            <v>5250</v>
          </cell>
          <cell r="AO27" t="str">
            <v>WSWT1825800SM</v>
          </cell>
          <cell r="AQ27">
            <v>3841.7500000000005</v>
          </cell>
          <cell r="AR27">
            <v>3841.7500000000005</v>
          </cell>
          <cell r="AS27">
            <v>0</v>
          </cell>
          <cell r="AT27">
            <v>0</v>
          </cell>
          <cell r="AU27">
            <v>3841.7500000000005</v>
          </cell>
          <cell r="BZ27" t="str">
            <v>WRWT25800/WRWT25800</v>
          </cell>
          <cell r="CA27">
            <v>0</v>
          </cell>
          <cell r="DL27" t="str">
            <v>P8</v>
          </cell>
          <cell r="DM27">
            <v>4</v>
          </cell>
          <cell r="DN27">
            <v>45912</v>
          </cell>
          <cell r="DP27">
            <v>45907</v>
          </cell>
          <cell r="DQ27">
            <v>45908</v>
          </cell>
          <cell r="DR27">
            <v>45902</v>
          </cell>
          <cell r="DS27">
            <v>45909</v>
          </cell>
          <cell r="DT27">
            <v>45910</v>
          </cell>
          <cell r="DU27">
            <v>45910</v>
          </cell>
          <cell r="DW27">
            <v>45911</v>
          </cell>
          <cell r="DX27"/>
          <cell r="DY27"/>
          <cell r="DZ27"/>
          <cell r="EA27"/>
          <cell r="EB27"/>
          <cell r="EC27" t="str">
            <v>งานเคลือบ+พิมพ์</v>
          </cell>
          <cell r="ED27" t="str">
            <v xml:space="preserve"> /</v>
          </cell>
          <cell r="EG27"/>
          <cell r="EH27"/>
          <cell r="EI27"/>
        </row>
        <row r="28">
          <cell r="B28">
            <v>0</v>
          </cell>
          <cell r="C28"/>
          <cell r="E28"/>
          <cell r="F28" t="str">
            <v xml:space="preserve"> </v>
          </cell>
          <cell r="G28">
            <v>18</v>
          </cell>
          <cell r="H28">
            <v>25</v>
          </cell>
          <cell r="I28" t="str">
            <v>ขาว</v>
          </cell>
          <cell r="J28"/>
          <cell r="L28">
            <v>50</v>
          </cell>
          <cell r="M28" t="str">
            <v>±</v>
          </cell>
          <cell r="N28">
            <v>5</v>
          </cell>
          <cell r="R28"/>
          <cell r="T28"/>
          <cell r="U28"/>
          <cell r="V28"/>
          <cell r="X28"/>
          <cell r="Z28"/>
          <cell r="AA28"/>
          <cell r="AB28"/>
          <cell r="AC28">
            <v>0</v>
          </cell>
          <cell r="AD28"/>
          <cell r="AG28"/>
          <cell r="AI28" t="str">
            <v>ระบุในSD</v>
          </cell>
          <cell r="AJ28"/>
          <cell r="AL28">
            <v>0</v>
          </cell>
          <cell r="AM28"/>
          <cell r="AN28">
            <v>0</v>
          </cell>
          <cell r="AO28" t="str">
            <v>WSWT1825800SM</v>
          </cell>
          <cell r="AQ28">
            <v>3841.7500000000005</v>
          </cell>
          <cell r="AR28">
            <v>3841.7500000000005</v>
          </cell>
          <cell r="AS28">
            <v>0</v>
          </cell>
          <cell r="AT28">
            <v>0</v>
          </cell>
          <cell r="AU28">
            <v>3841.7500000000005</v>
          </cell>
          <cell r="BZ28" t="str">
            <v>WRWT180800/WRWT25800</v>
          </cell>
          <cell r="CA28">
            <v>0</v>
          </cell>
          <cell r="DL28"/>
          <cell r="DM28" t="str">
            <v>Lead time</v>
          </cell>
          <cell r="DN28"/>
          <cell r="DP28"/>
          <cell r="DQ28"/>
          <cell r="DR28"/>
          <cell r="DS28"/>
          <cell r="DT28"/>
          <cell r="DU28"/>
          <cell r="DW28"/>
          <cell r="DX28"/>
          <cell r="DY28"/>
          <cell r="DZ28"/>
          <cell r="EA28"/>
          <cell r="EB28"/>
          <cell r="EC28"/>
          <cell r="ED28"/>
          <cell r="EG28"/>
          <cell r="EH28">
            <v>0</v>
          </cell>
          <cell r="EI28">
            <v>0</v>
          </cell>
        </row>
        <row r="29">
          <cell r="B29" t="str">
            <v>MK68-001049</v>
          </cell>
          <cell r="C29">
            <v>45898</v>
          </cell>
          <cell r="E29" t="str">
            <v>บจก.เพรซิเดนท์ฟลาวมิลล์</v>
          </cell>
          <cell r="F29" t="str">
            <v>ผึ้งเหลือง</v>
          </cell>
          <cell r="G29">
            <v>19</v>
          </cell>
          <cell r="H29">
            <v>30</v>
          </cell>
          <cell r="I29" t="str">
            <v>ขาว</v>
          </cell>
          <cell r="J29"/>
          <cell r="L29">
            <v>60</v>
          </cell>
          <cell r="M29" t="str">
            <v>±</v>
          </cell>
          <cell r="N29">
            <v>5</v>
          </cell>
          <cell r="R29" t="str">
            <v>บิด</v>
          </cell>
          <cell r="T29" t="str">
            <v>ไม่สวมถุงใน</v>
          </cell>
          <cell r="U29"/>
          <cell r="V29"/>
          <cell r="X29">
            <v>45910</v>
          </cell>
          <cell r="Z29" t="str">
            <v>500กระสอบ</v>
          </cell>
          <cell r="AA29">
            <v>50000</v>
          </cell>
          <cell r="AB29">
            <v>0</v>
          </cell>
          <cell r="AC29">
            <v>0</v>
          </cell>
          <cell r="AD29">
            <v>0</v>
          </cell>
          <cell r="AG29"/>
          <cell r="AI29"/>
          <cell r="AJ29">
            <v>0</v>
          </cell>
          <cell r="AL29">
            <v>50000</v>
          </cell>
          <cell r="AM29"/>
          <cell r="AN29">
            <v>52500</v>
          </cell>
          <cell r="AO29" t="str">
            <v>WSWT1925800</v>
          </cell>
          <cell r="AQ29">
            <v>44005.499999999993</v>
          </cell>
          <cell r="AR29">
            <v>0</v>
          </cell>
          <cell r="AS29">
            <v>44005.499999999993</v>
          </cell>
          <cell r="AT29">
            <v>0</v>
          </cell>
          <cell r="AU29">
            <v>0</v>
          </cell>
          <cell r="BZ29" t="str">
            <v>WRWT25800/WRWT25800</v>
          </cell>
          <cell r="CA29">
            <v>3195.7771999999995</v>
          </cell>
          <cell r="DL29" t="str">
            <v>P7</v>
          </cell>
          <cell r="DM29">
            <v>2</v>
          </cell>
          <cell r="DN29">
            <v>45910</v>
          </cell>
          <cell r="DP29">
            <v>45905</v>
          </cell>
          <cell r="DQ29"/>
          <cell r="DR29">
            <v>45901</v>
          </cell>
          <cell r="DS29">
            <v>45908</v>
          </cell>
          <cell r="DT29">
            <v>45909</v>
          </cell>
          <cell r="DU29">
            <v>45909</v>
          </cell>
          <cell r="DW29"/>
          <cell r="DX29"/>
          <cell r="DY29"/>
          <cell r="DZ29"/>
          <cell r="EA29"/>
          <cell r="EB29"/>
          <cell r="EC29" t="str">
            <v>งานพิมพ์</v>
          </cell>
          <cell r="ED29" t="str">
            <v xml:space="preserve"> /</v>
          </cell>
          <cell r="EG29"/>
          <cell r="EH29"/>
          <cell r="EI29"/>
        </row>
        <row r="30">
          <cell r="B30" t="str">
            <v>MK68-001048</v>
          </cell>
          <cell r="C30">
            <v>45898</v>
          </cell>
          <cell r="E30" t="str">
            <v>บจก.เพรซิเดนท์ฟลาวมิลล์</v>
          </cell>
          <cell r="F30" t="str">
            <v>ผึ้งชมพู</v>
          </cell>
          <cell r="G30">
            <v>19</v>
          </cell>
          <cell r="H30">
            <v>30</v>
          </cell>
          <cell r="I30" t="str">
            <v>ขาว</v>
          </cell>
          <cell r="J30"/>
          <cell r="L30">
            <v>60</v>
          </cell>
          <cell r="M30" t="str">
            <v>±</v>
          </cell>
          <cell r="N30">
            <v>5</v>
          </cell>
          <cell r="R30" t="str">
            <v>บิด</v>
          </cell>
          <cell r="T30" t="str">
            <v>ไม่สวมถุงใน</v>
          </cell>
          <cell r="U30"/>
          <cell r="V30"/>
          <cell r="X30">
            <v>45910</v>
          </cell>
          <cell r="Z30" t="str">
            <v>500กระสอบ</v>
          </cell>
          <cell r="AA30">
            <v>40000</v>
          </cell>
          <cell r="AB30">
            <v>0</v>
          </cell>
          <cell r="AC30">
            <v>0</v>
          </cell>
          <cell r="AD30">
            <v>0</v>
          </cell>
          <cell r="AG30"/>
          <cell r="AI30"/>
          <cell r="AJ30">
            <v>0</v>
          </cell>
          <cell r="AL30">
            <v>40000</v>
          </cell>
          <cell r="AM30">
            <v>9335</v>
          </cell>
          <cell r="AN30">
            <v>32198.25</v>
          </cell>
          <cell r="AO30" t="str">
            <v>WSWT1925800</v>
          </cell>
          <cell r="AQ30">
            <v>28338.001807500001</v>
          </cell>
          <cell r="AR30">
            <v>24908</v>
          </cell>
          <cell r="AS30">
            <v>3430.0018075000007</v>
          </cell>
          <cell r="AT30">
            <v>0</v>
          </cell>
          <cell r="AU30">
            <v>0</v>
          </cell>
          <cell r="BZ30" t="str">
            <v>WRWT25800/WRWT25800</v>
          </cell>
          <cell r="CA30">
            <v>249.09435348688899</v>
          </cell>
          <cell r="DL30" t="str">
            <v>P7</v>
          </cell>
          <cell r="DM30">
            <v>2</v>
          </cell>
          <cell r="DN30">
            <v>45910</v>
          </cell>
          <cell r="DP30">
            <v>45905</v>
          </cell>
          <cell r="DQ30"/>
          <cell r="DR30">
            <v>45901</v>
          </cell>
          <cell r="DS30">
            <v>45908</v>
          </cell>
          <cell r="DT30">
            <v>45909</v>
          </cell>
          <cell r="DU30">
            <v>45909</v>
          </cell>
          <cell r="DW30"/>
          <cell r="DX30"/>
          <cell r="DY30"/>
          <cell r="DZ30"/>
          <cell r="EA30"/>
          <cell r="EB30"/>
          <cell r="EC30" t="str">
            <v>งานพิมพ์</v>
          </cell>
          <cell r="ED30" t="str">
            <v xml:space="preserve"> /</v>
          </cell>
          <cell r="EG30"/>
          <cell r="EH30"/>
          <cell r="EI30"/>
        </row>
        <row r="31">
          <cell r="B31" t="str">
            <v>ประมาณการ</v>
          </cell>
          <cell r="C31" t="str">
            <v>ประมาณการ</v>
          </cell>
          <cell r="E31" t="str">
            <v>บจก.เอ็กเซลเล้นท์</v>
          </cell>
          <cell r="F31" t="str">
            <v>รอแบบ</v>
          </cell>
          <cell r="G31">
            <v>19</v>
          </cell>
          <cell r="H31">
            <v>30</v>
          </cell>
          <cell r="I31" t="str">
            <v>ขาว</v>
          </cell>
          <cell r="J31"/>
          <cell r="L31">
            <v>60</v>
          </cell>
          <cell r="M31" t="str">
            <v>±</v>
          </cell>
          <cell r="N31">
            <v>5</v>
          </cell>
          <cell r="R31" t="str">
            <v>บิด</v>
          </cell>
          <cell r="T31" t="str">
            <v>ไม่สวมถุงใน</v>
          </cell>
          <cell r="U31"/>
          <cell r="V31"/>
          <cell r="X31">
            <v>45925</v>
          </cell>
          <cell r="Z31" t="str">
            <v>500กระสอบ</v>
          </cell>
          <cell r="AA31">
            <v>40000</v>
          </cell>
          <cell r="AB31">
            <v>0</v>
          </cell>
          <cell r="AC31">
            <v>0</v>
          </cell>
          <cell r="AD31">
            <v>0</v>
          </cell>
          <cell r="AG31"/>
          <cell r="AI31"/>
          <cell r="AJ31">
            <v>0</v>
          </cell>
          <cell r="AL31">
            <v>40000</v>
          </cell>
          <cell r="AM31"/>
          <cell r="AN31">
            <v>42000</v>
          </cell>
          <cell r="AO31" t="str">
            <v>WSWT1925800</v>
          </cell>
          <cell r="AQ31">
            <v>35204.400000000001</v>
          </cell>
          <cell r="AR31">
            <v>0</v>
          </cell>
          <cell r="AS31">
            <v>35204.400000000001</v>
          </cell>
          <cell r="AT31">
            <v>0</v>
          </cell>
          <cell r="AU31">
            <v>0</v>
          </cell>
          <cell r="BZ31" t="str">
            <v>WRWT25800/WRWT25800</v>
          </cell>
          <cell r="CA31">
            <v>2556.6217600000009</v>
          </cell>
          <cell r="DL31" t="str">
            <v>P7</v>
          </cell>
          <cell r="DM31">
            <v>2</v>
          </cell>
          <cell r="DN31">
            <v>45925</v>
          </cell>
          <cell r="DP31">
            <v>45920</v>
          </cell>
          <cell r="DQ31"/>
          <cell r="DR31">
            <v>45916</v>
          </cell>
          <cell r="DS31">
            <v>45923</v>
          </cell>
          <cell r="DT31">
            <v>45924</v>
          </cell>
          <cell r="DU31">
            <v>45924</v>
          </cell>
          <cell r="DW31"/>
          <cell r="DX31"/>
          <cell r="DY31"/>
          <cell r="DZ31"/>
          <cell r="EA31"/>
          <cell r="EB31"/>
          <cell r="EC31" t="str">
            <v>งานพิมพ์</v>
          </cell>
          <cell r="ED31" t="str">
            <v>รอART</v>
          </cell>
          <cell r="EG31"/>
          <cell r="EH31"/>
          <cell r="EI31"/>
        </row>
        <row r="32">
          <cell r="B32" t="str">
            <v>ประมาณการ</v>
          </cell>
          <cell r="C32" t="str">
            <v>ประมาณการ</v>
          </cell>
          <cell r="E32" t="str">
            <v>บจก.ไลม์มาสเตอร์</v>
          </cell>
          <cell r="F32" t="str">
            <v>LMC 25 kg</v>
          </cell>
          <cell r="G32">
            <v>19</v>
          </cell>
          <cell r="H32">
            <v>32</v>
          </cell>
          <cell r="I32" t="str">
            <v>ขาว</v>
          </cell>
          <cell r="J32"/>
          <cell r="L32">
            <v>64</v>
          </cell>
          <cell r="M32" t="str">
            <v>±</v>
          </cell>
          <cell r="N32">
            <v>5</v>
          </cell>
          <cell r="R32" t="str">
            <v>ไม่</v>
          </cell>
          <cell r="T32">
            <v>20</v>
          </cell>
          <cell r="U32">
            <v>35</v>
          </cell>
          <cell r="V32">
            <v>40</v>
          </cell>
          <cell r="X32">
            <v>45925</v>
          </cell>
          <cell r="Z32" t="str">
            <v>500กระสอบแบน</v>
          </cell>
          <cell r="AA32">
            <v>20000</v>
          </cell>
          <cell r="AB32">
            <v>341.36903080895991</v>
          </cell>
          <cell r="AC32">
            <v>0</v>
          </cell>
          <cell r="AD32">
            <v>341.36903080895991</v>
          </cell>
          <cell r="AG32"/>
          <cell r="AI32"/>
          <cell r="AJ32">
            <v>233</v>
          </cell>
          <cell r="AL32">
            <v>19767</v>
          </cell>
          <cell r="AM32"/>
          <cell r="AN32">
            <v>20755.350000000002</v>
          </cell>
          <cell r="AO32" t="str">
            <v>WSWT1925800</v>
          </cell>
          <cell r="AQ32">
            <v>18501.714330000003</v>
          </cell>
          <cell r="AR32">
            <v>0</v>
          </cell>
          <cell r="AS32">
            <v>18501.714330000003</v>
          </cell>
          <cell r="AT32">
            <v>0</v>
          </cell>
          <cell r="AU32">
            <v>0</v>
          </cell>
          <cell r="BZ32" t="str">
            <v>WRWT25800/WRWT25800</v>
          </cell>
          <cell r="CA32">
            <v>1343.6356095653334</v>
          </cell>
          <cell r="DL32" t="str">
            <v>P9</v>
          </cell>
          <cell r="DM32">
            <v>3</v>
          </cell>
          <cell r="DN32">
            <v>45925</v>
          </cell>
          <cell r="DP32">
            <v>45920</v>
          </cell>
          <cell r="DQ32"/>
          <cell r="DR32">
            <v>45915</v>
          </cell>
          <cell r="DS32">
            <v>45922</v>
          </cell>
          <cell r="DT32">
            <v>45923</v>
          </cell>
          <cell r="DU32">
            <v>45923</v>
          </cell>
          <cell r="DW32">
            <v>45924</v>
          </cell>
          <cell r="DX32"/>
          <cell r="DY32"/>
          <cell r="DZ32"/>
          <cell r="EA32"/>
          <cell r="EB32"/>
          <cell r="EC32" t="str">
            <v>งานพิมพ์</v>
          </cell>
          <cell r="ED32" t="str">
            <v>รอART</v>
          </cell>
          <cell r="EG32"/>
          <cell r="EH32"/>
          <cell r="EI32"/>
        </row>
        <row r="33">
          <cell r="B33">
            <v>0</v>
          </cell>
          <cell r="C33"/>
          <cell r="E33"/>
          <cell r="F33"/>
          <cell r="G33">
            <v>19</v>
          </cell>
          <cell r="H33">
            <v>30</v>
          </cell>
          <cell r="I33" t="str">
            <v>ขาว</v>
          </cell>
          <cell r="J33"/>
          <cell r="L33">
            <v>60</v>
          </cell>
          <cell r="M33" t="str">
            <v>±</v>
          </cell>
          <cell r="N33">
            <v>5</v>
          </cell>
          <cell r="R33"/>
          <cell r="T33"/>
          <cell r="U33"/>
          <cell r="V33"/>
          <cell r="X33"/>
          <cell r="Z33"/>
          <cell r="AA33"/>
          <cell r="AB33">
            <v>0</v>
          </cell>
          <cell r="AC33">
            <v>0</v>
          </cell>
          <cell r="AD33"/>
          <cell r="AG33"/>
          <cell r="AI33" t="str">
            <v>ระบุในSD</v>
          </cell>
          <cell r="AJ33"/>
          <cell r="AL33">
            <v>0</v>
          </cell>
          <cell r="AM33"/>
          <cell r="AN33">
            <v>0</v>
          </cell>
          <cell r="AO33" t="str">
            <v>WSWT1925800</v>
          </cell>
          <cell r="AQ33">
            <v>126049.61613749999</v>
          </cell>
          <cell r="AR33">
            <v>24908</v>
          </cell>
          <cell r="AS33">
            <v>101141.61613749999</v>
          </cell>
          <cell r="AT33">
            <v>0</v>
          </cell>
          <cell r="AU33">
            <v>0</v>
          </cell>
          <cell r="BZ33" t="str">
            <v>WRWT25800/WRWT25800</v>
          </cell>
          <cell r="CA33">
            <v>0</v>
          </cell>
          <cell r="DL33"/>
          <cell r="DM33" t="str">
            <v>Lead time</v>
          </cell>
          <cell r="DN33"/>
          <cell r="DP33"/>
          <cell r="DQ33"/>
          <cell r="DR33"/>
          <cell r="DS33"/>
          <cell r="DT33"/>
          <cell r="DU33"/>
          <cell r="DW33"/>
          <cell r="DX33"/>
          <cell r="DY33"/>
          <cell r="DZ33"/>
          <cell r="EB33"/>
          <cell r="EC33"/>
          <cell r="ED33"/>
          <cell r="EG33"/>
          <cell r="EH33"/>
          <cell r="EI33">
            <v>0</v>
          </cell>
        </row>
        <row r="34">
          <cell r="B34" t="str">
            <v>MK68-001043</v>
          </cell>
          <cell r="C34">
            <v>45896</v>
          </cell>
          <cell r="E34" t="str">
            <v>บจก.เคอรี่ฟลาวมิลล์</v>
          </cell>
          <cell r="F34" t="str">
            <v>ถุงเขียว</v>
          </cell>
          <cell r="G34">
            <v>19</v>
          </cell>
          <cell r="H34">
            <v>32</v>
          </cell>
          <cell r="I34" t="str">
            <v>ขาว</v>
          </cell>
          <cell r="J34"/>
          <cell r="L34">
            <v>67</v>
          </cell>
          <cell r="M34" t="str">
            <v>+</v>
          </cell>
          <cell r="N34">
            <v>5</v>
          </cell>
          <cell r="R34" t="str">
            <v>บิด</v>
          </cell>
          <cell r="T34" t="str">
            <v>ไม่สวมถุงใน</v>
          </cell>
          <cell r="U34"/>
          <cell r="V34"/>
          <cell r="X34">
            <v>45906</v>
          </cell>
          <cell r="Z34" t="str">
            <v>ห่ออัดเบลแบน500</v>
          </cell>
          <cell r="AA34">
            <v>10000</v>
          </cell>
          <cell r="AB34">
            <v>0</v>
          </cell>
          <cell r="AC34">
            <v>0</v>
          </cell>
          <cell r="AD34">
            <v>0</v>
          </cell>
          <cell r="AG34"/>
          <cell r="AI34"/>
          <cell r="AJ34">
            <v>10000</v>
          </cell>
          <cell r="AL34">
            <v>0</v>
          </cell>
          <cell r="AM34">
            <v>10500</v>
          </cell>
          <cell r="AN34">
            <v>0</v>
          </cell>
          <cell r="AO34" t="str">
            <v>WSWT1921720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BZ34" t="str">
            <v>WRWT21720/WRWT25800</v>
          </cell>
          <cell r="CA34">
            <v>0</v>
          </cell>
          <cell r="DL34" t="str">
            <v>P7</v>
          </cell>
          <cell r="DM34">
            <v>2</v>
          </cell>
          <cell r="DN34">
            <v>45906</v>
          </cell>
          <cell r="DP34">
            <v>45901</v>
          </cell>
          <cell r="DQ34"/>
          <cell r="DR34">
            <v>45897</v>
          </cell>
          <cell r="DS34">
            <v>45904</v>
          </cell>
          <cell r="DT34">
            <v>45905</v>
          </cell>
          <cell r="DU34">
            <v>45905</v>
          </cell>
          <cell r="DW34"/>
          <cell r="DX34"/>
          <cell r="DY34"/>
          <cell r="DZ34"/>
          <cell r="EB34"/>
          <cell r="EC34" t="str">
            <v>งานพิมพ์</v>
          </cell>
          <cell r="ED34" t="str">
            <v xml:space="preserve"> /</v>
          </cell>
          <cell r="EG34"/>
          <cell r="EH34"/>
          <cell r="EI34"/>
        </row>
        <row r="35">
          <cell r="B35" t="str">
            <v>MK68-001043</v>
          </cell>
          <cell r="C35">
            <v>45896</v>
          </cell>
          <cell r="E35" t="str">
            <v>บจก.เคอรี่ฟลาวมิลล์</v>
          </cell>
          <cell r="F35" t="str">
            <v>ดอกไม้เขียว</v>
          </cell>
          <cell r="G35">
            <v>19</v>
          </cell>
          <cell r="H35">
            <v>32</v>
          </cell>
          <cell r="I35" t="str">
            <v>ขาว</v>
          </cell>
          <cell r="J35"/>
          <cell r="L35">
            <v>67</v>
          </cell>
          <cell r="M35" t="str">
            <v>+</v>
          </cell>
          <cell r="N35">
            <v>5</v>
          </cell>
          <cell r="R35" t="str">
            <v>บิด</v>
          </cell>
          <cell r="T35" t="str">
            <v>ไม่สวมถุงใน</v>
          </cell>
          <cell r="U35"/>
          <cell r="V35"/>
          <cell r="X35">
            <v>45906</v>
          </cell>
          <cell r="Z35" t="str">
            <v>ห่ออัดเบลแบน500</v>
          </cell>
          <cell r="AA35">
            <v>5000</v>
          </cell>
          <cell r="AB35">
            <v>0</v>
          </cell>
          <cell r="AC35">
            <v>0</v>
          </cell>
          <cell r="AD35">
            <v>0</v>
          </cell>
          <cell r="AG35"/>
          <cell r="AI35"/>
          <cell r="AJ35">
            <v>5000</v>
          </cell>
          <cell r="AL35">
            <v>0</v>
          </cell>
          <cell r="AM35">
            <v>5400</v>
          </cell>
          <cell r="AN35">
            <v>0</v>
          </cell>
          <cell r="AO35" t="str">
            <v>WSWT1921720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BZ35" t="str">
            <v>WRWT21720/WRWT25800</v>
          </cell>
          <cell r="CA35">
            <v>0</v>
          </cell>
          <cell r="DL35" t="str">
            <v>P7</v>
          </cell>
          <cell r="DM35">
            <v>2</v>
          </cell>
          <cell r="DN35">
            <v>45906</v>
          </cell>
          <cell r="DP35">
            <v>45901</v>
          </cell>
          <cell r="DQ35"/>
          <cell r="DR35">
            <v>45897</v>
          </cell>
          <cell r="DS35">
            <v>45904</v>
          </cell>
          <cell r="DT35">
            <v>45905</v>
          </cell>
          <cell r="DU35">
            <v>45905</v>
          </cell>
          <cell r="DW35"/>
          <cell r="DX35"/>
          <cell r="DY35"/>
          <cell r="DZ35"/>
          <cell r="EA35"/>
          <cell r="EB35"/>
          <cell r="EC35" t="str">
            <v>งานพิมพ์</v>
          </cell>
          <cell r="ED35" t="str">
            <v xml:space="preserve"> /</v>
          </cell>
          <cell r="EG35"/>
          <cell r="EH35"/>
          <cell r="EI35"/>
        </row>
        <row r="36">
          <cell r="B36" t="str">
            <v>MK68-001043</v>
          </cell>
          <cell r="C36">
            <v>45896</v>
          </cell>
          <cell r="E36" t="str">
            <v>บจก.เคอรี่ฟลาวมิลล์</v>
          </cell>
          <cell r="F36" t="str">
            <v>ดอกไม้แดง</v>
          </cell>
          <cell r="G36">
            <v>19</v>
          </cell>
          <cell r="H36">
            <v>32</v>
          </cell>
          <cell r="I36" t="str">
            <v>ขาว</v>
          </cell>
          <cell r="J36"/>
          <cell r="L36">
            <v>67</v>
          </cell>
          <cell r="M36" t="str">
            <v>+</v>
          </cell>
          <cell r="N36">
            <v>5</v>
          </cell>
          <cell r="R36" t="str">
            <v>บิด</v>
          </cell>
          <cell r="T36" t="str">
            <v>ไม่สวมถุงใน</v>
          </cell>
          <cell r="U36"/>
          <cell r="V36"/>
          <cell r="X36">
            <v>45906</v>
          </cell>
          <cell r="Z36" t="str">
            <v>ห่ออัดเบลแบน500</v>
          </cell>
          <cell r="AA36">
            <v>5000</v>
          </cell>
          <cell r="AB36">
            <v>0</v>
          </cell>
          <cell r="AC36">
            <v>0</v>
          </cell>
          <cell r="AD36">
            <v>0</v>
          </cell>
          <cell r="AG36"/>
          <cell r="AI36"/>
          <cell r="AJ36">
            <v>5746</v>
          </cell>
          <cell r="AL36">
            <v>0</v>
          </cell>
          <cell r="AM36"/>
          <cell r="AN36">
            <v>0</v>
          </cell>
          <cell r="AO36" t="str">
            <v>WSWT1921720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BZ36" t="str">
            <v>WRWT21720/WRWT25800</v>
          </cell>
          <cell r="CA36">
            <v>0</v>
          </cell>
          <cell r="DL36" t="str">
            <v>P7</v>
          </cell>
          <cell r="DM36">
            <v>2</v>
          </cell>
          <cell r="DN36">
            <v>45906</v>
          </cell>
          <cell r="DP36">
            <v>45901</v>
          </cell>
          <cell r="DQ36"/>
          <cell r="DR36">
            <v>45897</v>
          </cell>
          <cell r="DS36">
            <v>45904</v>
          </cell>
          <cell r="DT36">
            <v>45905</v>
          </cell>
          <cell r="DU36">
            <v>45905</v>
          </cell>
          <cell r="DW36"/>
          <cell r="DX36"/>
          <cell r="DY36"/>
          <cell r="DZ36"/>
          <cell r="EA36"/>
          <cell r="EB36"/>
          <cell r="EC36" t="str">
            <v>งานพิมพ์</v>
          </cell>
          <cell r="ED36" t="str">
            <v xml:space="preserve"> /</v>
          </cell>
          <cell r="EG36"/>
          <cell r="EH36"/>
          <cell r="EI36"/>
        </row>
        <row r="37">
          <cell r="B37" t="str">
            <v>MK68-001043</v>
          </cell>
          <cell r="C37">
            <v>45896</v>
          </cell>
          <cell r="E37" t="str">
            <v>บจก.เคอรี่ฟลาวมิลล์</v>
          </cell>
          <cell r="F37" t="str">
            <v>กุ้งแดง</v>
          </cell>
          <cell r="G37">
            <v>19</v>
          </cell>
          <cell r="H37">
            <v>32</v>
          </cell>
          <cell r="I37" t="str">
            <v>ขาว</v>
          </cell>
          <cell r="J37"/>
          <cell r="L37">
            <v>67</v>
          </cell>
          <cell r="M37" t="str">
            <v>+</v>
          </cell>
          <cell r="N37">
            <v>5</v>
          </cell>
          <cell r="R37" t="str">
            <v>บิด</v>
          </cell>
          <cell r="T37" t="str">
            <v>ไม่สวมถุงใน</v>
          </cell>
          <cell r="U37"/>
          <cell r="V37"/>
          <cell r="X37">
            <v>45906</v>
          </cell>
          <cell r="Z37" t="str">
            <v>ห่ออัดเบลแบน500</v>
          </cell>
          <cell r="AA37">
            <v>5000</v>
          </cell>
          <cell r="AB37">
            <v>0</v>
          </cell>
          <cell r="AC37">
            <v>0</v>
          </cell>
          <cell r="AD37">
            <v>0</v>
          </cell>
          <cell r="AG37"/>
          <cell r="AI37"/>
          <cell r="AJ37">
            <v>5000</v>
          </cell>
          <cell r="AL37">
            <v>0</v>
          </cell>
          <cell r="AM37">
            <v>5400</v>
          </cell>
          <cell r="AN37">
            <v>0</v>
          </cell>
          <cell r="AO37" t="str">
            <v>WSWT1921720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BZ37" t="str">
            <v>WRWT21720/WRWT25800</v>
          </cell>
          <cell r="CA37">
            <v>0</v>
          </cell>
          <cell r="DL37" t="str">
            <v>P7</v>
          </cell>
          <cell r="DM37">
            <v>2</v>
          </cell>
          <cell r="DN37">
            <v>45906</v>
          </cell>
          <cell r="DP37">
            <v>45901</v>
          </cell>
          <cell r="DQ37"/>
          <cell r="DR37">
            <v>45897</v>
          </cell>
          <cell r="DS37">
            <v>45904</v>
          </cell>
          <cell r="DT37">
            <v>45905</v>
          </cell>
          <cell r="DU37">
            <v>45905</v>
          </cell>
          <cell r="DW37"/>
          <cell r="DX37"/>
          <cell r="DY37"/>
          <cell r="DZ37"/>
          <cell r="EA37"/>
          <cell r="EB37"/>
          <cell r="EC37" t="str">
            <v>งานพิมพ์</v>
          </cell>
          <cell r="ED37" t="str">
            <v xml:space="preserve"> /</v>
          </cell>
          <cell r="EG37"/>
          <cell r="EH37"/>
          <cell r="EI37"/>
        </row>
        <row r="38">
          <cell r="B38" t="str">
            <v>MK68-001043</v>
          </cell>
          <cell r="C38">
            <v>45896</v>
          </cell>
          <cell r="E38" t="str">
            <v>บจก.เคอรี่ฟลาวมิลล์</v>
          </cell>
          <cell r="F38" t="str">
            <v>โบว์น้ำเงิน</v>
          </cell>
          <cell r="G38">
            <v>19</v>
          </cell>
          <cell r="H38">
            <v>32</v>
          </cell>
          <cell r="I38" t="str">
            <v>ขาว</v>
          </cell>
          <cell r="J38"/>
          <cell r="L38">
            <v>67</v>
          </cell>
          <cell r="M38" t="str">
            <v>+</v>
          </cell>
          <cell r="N38">
            <v>5</v>
          </cell>
          <cell r="R38" t="str">
            <v>บิด</v>
          </cell>
          <cell r="T38" t="str">
            <v>ไม่สวมถุงใน</v>
          </cell>
          <cell r="U38"/>
          <cell r="V38"/>
          <cell r="X38">
            <v>45906</v>
          </cell>
          <cell r="Z38" t="str">
            <v>ห่ออัดเบลแบน500</v>
          </cell>
          <cell r="AA38">
            <v>5000</v>
          </cell>
          <cell r="AB38">
            <v>0</v>
          </cell>
          <cell r="AC38">
            <v>0</v>
          </cell>
          <cell r="AD38">
            <v>0</v>
          </cell>
          <cell r="AG38"/>
          <cell r="AI38"/>
          <cell r="AJ38">
            <v>5000</v>
          </cell>
          <cell r="AL38">
            <v>0</v>
          </cell>
          <cell r="AM38">
            <v>5400</v>
          </cell>
          <cell r="AN38">
            <v>0</v>
          </cell>
          <cell r="AO38" t="str">
            <v>WSWT1921720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BZ38" t="str">
            <v>WRWT21720/WRWT25800</v>
          </cell>
          <cell r="CA38">
            <v>0</v>
          </cell>
          <cell r="DL38" t="str">
            <v>P7</v>
          </cell>
          <cell r="DM38">
            <v>2</v>
          </cell>
          <cell r="DN38">
            <v>45906</v>
          </cell>
          <cell r="DP38">
            <v>45901</v>
          </cell>
          <cell r="DQ38"/>
          <cell r="DR38">
            <v>45897</v>
          </cell>
          <cell r="DS38">
            <v>45904</v>
          </cell>
          <cell r="DT38">
            <v>45905</v>
          </cell>
          <cell r="DU38">
            <v>45905</v>
          </cell>
          <cell r="DW38"/>
          <cell r="DX38"/>
          <cell r="DY38"/>
          <cell r="DZ38"/>
          <cell r="EA38"/>
          <cell r="EB38"/>
          <cell r="EC38" t="str">
            <v>งานพิมพ์</v>
          </cell>
          <cell r="ED38" t="str">
            <v xml:space="preserve"> /</v>
          </cell>
          <cell r="EG38"/>
          <cell r="EH38"/>
          <cell r="EI38"/>
        </row>
        <row r="39">
          <cell r="B39" t="str">
            <v>MK68-001044</v>
          </cell>
          <cell r="C39">
            <v>45896</v>
          </cell>
          <cell r="E39" t="str">
            <v>บจก.เคอรี่ฟลาวมิลล์</v>
          </cell>
          <cell r="F39" t="str">
            <v>เคเอ็ม</v>
          </cell>
          <cell r="G39">
            <v>19</v>
          </cell>
          <cell r="H39">
            <v>32</v>
          </cell>
          <cell r="I39" t="str">
            <v>ขาว</v>
          </cell>
          <cell r="J39"/>
          <cell r="L39">
            <v>67</v>
          </cell>
          <cell r="M39" t="str">
            <v>+</v>
          </cell>
          <cell r="N39">
            <v>5</v>
          </cell>
          <cell r="R39" t="str">
            <v>บิด</v>
          </cell>
          <cell r="T39" t="str">
            <v>ไม่สวมถุงใน</v>
          </cell>
          <cell r="U39"/>
          <cell r="V39"/>
          <cell r="X39">
            <v>45906</v>
          </cell>
          <cell r="Z39" t="str">
            <v>ห่ออัดเบลแบน500</v>
          </cell>
          <cell r="AA39">
            <v>5000</v>
          </cell>
          <cell r="AB39">
            <v>0</v>
          </cell>
          <cell r="AC39">
            <v>0</v>
          </cell>
          <cell r="AD39">
            <v>0</v>
          </cell>
          <cell r="AG39"/>
          <cell r="AI39"/>
          <cell r="AJ39">
            <v>5000</v>
          </cell>
          <cell r="AL39">
            <v>0</v>
          </cell>
          <cell r="AM39">
            <v>5400</v>
          </cell>
          <cell r="AN39">
            <v>0</v>
          </cell>
          <cell r="AO39" t="str">
            <v>WSWT1921720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BZ39" t="str">
            <v>WRWT21720/WRWT25800</v>
          </cell>
          <cell r="CA39">
            <v>0</v>
          </cell>
          <cell r="DL39" t="str">
            <v>P7</v>
          </cell>
          <cell r="DM39">
            <v>2</v>
          </cell>
          <cell r="DN39">
            <v>45906</v>
          </cell>
          <cell r="DP39">
            <v>45901</v>
          </cell>
          <cell r="DQ39"/>
          <cell r="DR39">
            <v>45897</v>
          </cell>
          <cell r="DS39">
            <v>45904</v>
          </cell>
          <cell r="DT39">
            <v>45905</v>
          </cell>
          <cell r="DU39">
            <v>45905</v>
          </cell>
          <cell r="DW39"/>
          <cell r="DX39"/>
          <cell r="DY39"/>
          <cell r="DZ39"/>
          <cell r="EA39"/>
          <cell r="EB39"/>
          <cell r="EC39" t="str">
            <v>งานพิมพ์</v>
          </cell>
          <cell r="ED39" t="str">
            <v xml:space="preserve"> /</v>
          </cell>
          <cell r="EG39"/>
          <cell r="EH39"/>
          <cell r="EI39"/>
        </row>
        <row r="40">
          <cell r="B40" t="str">
            <v>MK68-001044</v>
          </cell>
          <cell r="C40">
            <v>45896</v>
          </cell>
          <cell r="E40" t="str">
            <v>บจก.เคอรี่ฟลาวมิลล์</v>
          </cell>
          <cell r="F40" t="str">
            <v>ดอกไม้ม่วง</v>
          </cell>
          <cell r="G40">
            <v>19</v>
          </cell>
          <cell r="H40">
            <v>32</v>
          </cell>
          <cell r="I40" t="str">
            <v>ขาว</v>
          </cell>
          <cell r="J40"/>
          <cell r="L40">
            <v>67</v>
          </cell>
          <cell r="M40" t="str">
            <v>+</v>
          </cell>
          <cell r="N40">
            <v>5</v>
          </cell>
          <cell r="R40" t="str">
            <v>บิด</v>
          </cell>
          <cell r="T40" t="str">
            <v>ไม่สวมถุงใน</v>
          </cell>
          <cell r="U40"/>
          <cell r="V40"/>
          <cell r="X40">
            <v>45906</v>
          </cell>
          <cell r="Z40" t="str">
            <v>ห่ออัดเบลแบน500</v>
          </cell>
          <cell r="AA40">
            <v>5000</v>
          </cell>
          <cell r="AB40">
            <v>0</v>
          </cell>
          <cell r="AC40">
            <v>0</v>
          </cell>
          <cell r="AD40">
            <v>0</v>
          </cell>
          <cell r="AG40"/>
          <cell r="AI40"/>
          <cell r="AJ40">
            <v>5000</v>
          </cell>
          <cell r="AL40">
            <v>0</v>
          </cell>
          <cell r="AM40">
            <v>5400</v>
          </cell>
          <cell r="AN40">
            <v>0</v>
          </cell>
          <cell r="AO40" t="str">
            <v>WSWT1921720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BZ40" t="str">
            <v>WRWT21720/WRWT25800</v>
          </cell>
          <cell r="CA40">
            <v>0</v>
          </cell>
          <cell r="DL40" t="str">
            <v>P7</v>
          </cell>
          <cell r="DM40">
            <v>2</v>
          </cell>
          <cell r="DN40">
            <v>45906</v>
          </cell>
          <cell r="DP40">
            <v>45901</v>
          </cell>
          <cell r="DQ40"/>
          <cell r="DR40">
            <v>45897</v>
          </cell>
          <cell r="DS40">
            <v>45904</v>
          </cell>
          <cell r="DT40">
            <v>45905</v>
          </cell>
          <cell r="DU40">
            <v>45905</v>
          </cell>
          <cell r="DW40"/>
          <cell r="DX40"/>
          <cell r="DY40"/>
          <cell r="DZ40"/>
          <cell r="EA40"/>
          <cell r="EB40"/>
          <cell r="EC40" t="str">
            <v>งานพิมพ์</v>
          </cell>
          <cell r="ED40" t="str">
            <v xml:space="preserve"> /</v>
          </cell>
          <cell r="EG40"/>
          <cell r="EH40"/>
          <cell r="EI40"/>
        </row>
        <row r="41">
          <cell r="B41" t="str">
            <v>MK68-001044</v>
          </cell>
          <cell r="C41">
            <v>45896</v>
          </cell>
          <cell r="E41" t="str">
            <v>บจก.เคอรี่ฟลาวมิลล์</v>
          </cell>
          <cell r="F41" t="str">
            <v>แต้มฟ้า</v>
          </cell>
          <cell r="G41">
            <v>19</v>
          </cell>
          <cell r="H41">
            <v>32</v>
          </cell>
          <cell r="I41" t="str">
            <v>ขาว</v>
          </cell>
          <cell r="J41"/>
          <cell r="L41">
            <v>67</v>
          </cell>
          <cell r="M41" t="str">
            <v>+</v>
          </cell>
          <cell r="N41">
            <v>5</v>
          </cell>
          <cell r="R41" t="str">
            <v>บิด</v>
          </cell>
          <cell r="T41" t="str">
            <v>ไม่สวมถุงใน</v>
          </cell>
          <cell r="U41"/>
          <cell r="V41"/>
          <cell r="X41">
            <v>45906</v>
          </cell>
          <cell r="Z41" t="str">
            <v>ห่ออัดเบลแบน500</v>
          </cell>
          <cell r="AA41">
            <v>5000</v>
          </cell>
          <cell r="AB41">
            <v>0</v>
          </cell>
          <cell r="AC41">
            <v>0</v>
          </cell>
          <cell r="AD41">
            <v>0</v>
          </cell>
          <cell r="AG41"/>
          <cell r="AI41"/>
          <cell r="AJ41">
            <v>5000</v>
          </cell>
          <cell r="AL41">
            <v>0</v>
          </cell>
          <cell r="AM41">
            <v>5250</v>
          </cell>
          <cell r="AN41">
            <v>0</v>
          </cell>
          <cell r="AO41" t="str">
            <v>WSWT1921720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BZ41" t="str">
            <v>WRWT21720/WRWT25800</v>
          </cell>
          <cell r="CA41">
            <v>0</v>
          </cell>
          <cell r="DL41" t="str">
            <v>P7</v>
          </cell>
          <cell r="DM41">
            <v>2</v>
          </cell>
          <cell r="DN41">
            <v>45906</v>
          </cell>
          <cell r="DP41">
            <v>45901</v>
          </cell>
          <cell r="DQ41"/>
          <cell r="DR41">
            <v>45897</v>
          </cell>
          <cell r="DS41">
            <v>45904</v>
          </cell>
          <cell r="DT41">
            <v>45905</v>
          </cell>
          <cell r="DU41">
            <v>45905</v>
          </cell>
          <cell r="DW41"/>
          <cell r="DX41"/>
          <cell r="DY41"/>
          <cell r="DZ41"/>
          <cell r="EA41"/>
          <cell r="EB41"/>
          <cell r="EC41" t="str">
            <v>งานพิมพ์</v>
          </cell>
          <cell r="ED41" t="str">
            <v xml:space="preserve"> /</v>
          </cell>
          <cell r="EG41"/>
          <cell r="EH41"/>
          <cell r="EI41"/>
        </row>
        <row r="42">
          <cell r="B42" t="str">
            <v>MK68-001043</v>
          </cell>
          <cell r="C42">
            <v>45896</v>
          </cell>
          <cell r="E42" t="str">
            <v>บจก.เคอรี่ฟลาวมิลล์</v>
          </cell>
          <cell r="F42" t="str">
            <v>HARD FLOUR</v>
          </cell>
          <cell r="G42">
            <v>19</v>
          </cell>
          <cell r="H42">
            <v>32</v>
          </cell>
          <cell r="I42" t="str">
            <v>ขาว</v>
          </cell>
          <cell r="J42"/>
          <cell r="L42">
            <v>67</v>
          </cell>
          <cell r="M42" t="str">
            <v>+</v>
          </cell>
          <cell r="N42">
            <v>5</v>
          </cell>
          <cell r="R42" t="str">
            <v>บิด</v>
          </cell>
          <cell r="T42" t="str">
            <v>ไม่สวมถุงใน</v>
          </cell>
          <cell r="U42"/>
          <cell r="V42"/>
          <cell r="X42">
            <v>45909</v>
          </cell>
          <cell r="Z42" t="str">
            <v>ห่ออัดเบลแบน500</v>
          </cell>
          <cell r="AA42">
            <v>5000</v>
          </cell>
          <cell r="AB42">
            <v>0</v>
          </cell>
          <cell r="AC42">
            <v>0</v>
          </cell>
          <cell r="AD42">
            <v>0</v>
          </cell>
          <cell r="AG42"/>
          <cell r="AI42"/>
          <cell r="AJ42">
            <v>0</v>
          </cell>
          <cell r="AL42">
            <v>5000</v>
          </cell>
          <cell r="AM42">
            <v>5400</v>
          </cell>
          <cell r="AN42">
            <v>0</v>
          </cell>
          <cell r="AO42" t="str">
            <v>WSWT1921720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BZ42" t="str">
            <v>WRWT21720/WRWT25800</v>
          </cell>
          <cell r="CA42">
            <v>0</v>
          </cell>
          <cell r="DL42" t="str">
            <v>P7</v>
          </cell>
          <cell r="DM42">
            <v>2</v>
          </cell>
          <cell r="DN42">
            <v>45909</v>
          </cell>
          <cell r="DP42">
            <v>45904</v>
          </cell>
          <cell r="DQ42"/>
          <cell r="DR42">
            <v>45900</v>
          </cell>
          <cell r="DS42">
            <v>45907</v>
          </cell>
          <cell r="DT42">
            <v>45908</v>
          </cell>
          <cell r="DU42">
            <v>45908</v>
          </cell>
          <cell r="DW42"/>
          <cell r="DX42"/>
          <cell r="DY42"/>
          <cell r="DZ42"/>
          <cell r="EA42"/>
          <cell r="EB42"/>
          <cell r="EC42" t="str">
            <v>งานพิมพ์</v>
          </cell>
          <cell r="ED42" t="str">
            <v xml:space="preserve"> /</v>
          </cell>
          <cell r="EG42"/>
          <cell r="EH42"/>
          <cell r="EI42"/>
        </row>
        <row r="43">
          <cell r="B43" t="str">
            <v>MK68-001043</v>
          </cell>
          <cell r="C43">
            <v>45896</v>
          </cell>
          <cell r="E43" t="str">
            <v>บจก.เคอรี่ฟลาวมิลล์</v>
          </cell>
          <cell r="F43" t="str">
            <v>ปลาโลมาแดง</v>
          </cell>
          <cell r="G43">
            <v>19</v>
          </cell>
          <cell r="H43">
            <v>32</v>
          </cell>
          <cell r="I43" t="str">
            <v>ขาว</v>
          </cell>
          <cell r="J43"/>
          <cell r="L43">
            <v>67</v>
          </cell>
          <cell r="M43" t="str">
            <v>+</v>
          </cell>
          <cell r="N43">
            <v>5</v>
          </cell>
          <cell r="R43" t="str">
            <v>บิด</v>
          </cell>
          <cell r="T43" t="str">
            <v>ไม่สวมถุงใน</v>
          </cell>
          <cell r="U43"/>
          <cell r="V43"/>
          <cell r="X43">
            <v>45909</v>
          </cell>
          <cell r="Z43" t="str">
            <v>ห่ออัดเบลแบน500</v>
          </cell>
          <cell r="AA43">
            <v>5000</v>
          </cell>
          <cell r="AB43">
            <v>0</v>
          </cell>
          <cell r="AC43">
            <v>0</v>
          </cell>
          <cell r="AD43">
            <v>0</v>
          </cell>
          <cell r="AG43"/>
          <cell r="AI43"/>
          <cell r="AJ43">
            <v>5000</v>
          </cell>
          <cell r="AL43">
            <v>0</v>
          </cell>
          <cell r="AM43">
            <v>5250</v>
          </cell>
          <cell r="AN43">
            <v>0</v>
          </cell>
          <cell r="AO43" t="str">
            <v>WSWT1921720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BZ43" t="str">
            <v>WRWT21720/WRWT25800</v>
          </cell>
          <cell r="CA43">
            <v>0</v>
          </cell>
          <cell r="DL43" t="str">
            <v>P7</v>
          </cell>
          <cell r="DM43">
            <v>2</v>
          </cell>
          <cell r="DN43">
            <v>45909</v>
          </cell>
          <cell r="DP43">
            <v>45904</v>
          </cell>
          <cell r="DQ43"/>
          <cell r="DR43">
            <v>45900</v>
          </cell>
          <cell r="DS43">
            <v>45907</v>
          </cell>
          <cell r="DT43">
            <v>45908</v>
          </cell>
          <cell r="DU43">
            <v>45908</v>
          </cell>
          <cell r="DW43"/>
          <cell r="DX43"/>
          <cell r="DY43"/>
          <cell r="DZ43"/>
          <cell r="EA43"/>
          <cell r="EB43"/>
          <cell r="EC43" t="str">
            <v>งานพิมพ์</v>
          </cell>
          <cell r="ED43" t="str">
            <v xml:space="preserve"> /</v>
          </cell>
          <cell r="EG43"/>
          <cell r="EH43"/>
          <cell r="EI43"/>
        </row>
        <row r="44">
          <cell r="B44" t="str">
            <v>MK68-001043</v>
          </cell>
          <cell r="C44">
            <v>45896</v>
          </cell>
          <cell r="E44" t="str">
            <v>บจก.เคอรี่ฟลาวมิลล์</v>
          </cell>
          <cell r="F44" t="str">
            <v>BS</v>
          </cell>
          <cell r="G44">
            <v>19</v>
          </cell>
          <cell r="H44">
            <v>32</v>
          </cell>
          <cell r="I44" t="str">
            <v>ขาว</v>
          </cell>
          <cell r="J44"/>
          <cell r="L44">
            <v>67</v>
          </cell>
          <cell r="M44" t="str">
            <v>+</v>
          </cell>
          <cell r="N44">
            <v>5</v>
          </cell>
          <cell r="R44" t="str">
            <v>บิด</v>
          </cell>
          <cell r="T44" t="str">
            <v>ไม่สวมถุงใน</v>
          </cell>
          <cell r="U44"/>
          <cell r="V44"/>
          <cell r="X44">
            <v>45909</v>
          </cell>
          <cell r="Z44" t="str">
            <v>ห่ออัดเบลแบน500</v>
          </cell>
          <cell r="AA44">
            <v>5000</v>
          </cell>
          <cell r="AB44">
            <v>0</v>
          </cell>
          <cell r="AC44">
            <v>0</v>
          </cell>
          <cell r="AD44">
            <v>0</v>
          </cell>
          <cell r="AG44"/>
          <cell r="AI44"/>
          <cell r="AJ44">
            <v>5000</v>
          </cell>
          <cell r="AL44">
            <v>0</v>
          </cell>
          <cell r="AM44">
            <v>5250</v>
          </cell>
          <cell r="AN44">
            <v>0</v>
          </cell>
          <cell r="AO44" t="str">
            <v>WSWT1921720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BZ44" t="str">
            <v>WRWT21720/WRWT25800</v>
          </cell>
          <cell r="CA44">
            <v>0</v>
          </cell>
          <cell r="DL44" t="str">
            <v>P7</v>
          </cell>
          <cell r="DM44">
            <v>2</v>
          </cell>
          <cell r="DN44">
            <v>45909</v>
          </cell>
          <cell r="DP44">
            <v>45904</v>
          </cell>
          <cell r="DQ44"/>
          <cell r="DR44">
            <v>45900</v>
          </cell>
          <cell r="DS44">
            <v>45907</v>
          </cell>
          <cell r="DT44">
            <v>45908</v>
          </cell>
          <cell r="DU44">
            <v>45908</v>
          </cell>
          <cell r="DW44"/>
          <cell r="DX44"/>
          <cell r="DY44"/>
          <cell r="DZ44"/>
          <cell r="EA44"/>
          <cell r="EB44"/>
          <cell r="EC44" t="str">
            <v>งานพิมพ์</v>
          </cell>
          <cell r="ED44" t="str">
            <v xml:space="preserve"> /</v>
          </cell>
          <cell r="EG44"/>
          <cell r="EH44"/>
          <cell r="EI44"/>
        </row>
        <row r="45">
          <cell r="B45" t="str">
            <v>MK68-001043</v>
          </cell>
          <cell r="C45">
            <v>45896</v>
          </cell>
          <cell r="E45" t="str">
            <v>บจก.เคอรี่ฟลาวมิลล์</v>
          </cell>
          <cell r="F45" t="str">
            <v>KFM</v>
          </cell>
          <cell r="G45">
            <v>19</v>
          </cell>
          <cell r="H45">
            <v>32</v>
          </cell>
          <cell r="I45" t="str">
            <v>ขาว</v>
          </cell>
          <cell r="J45"/>
          <cell r="L45">
            <v>67</v>
          </cell>
          <cell r="M45" t="str">
            <v>+</v>
          </cell>
          <cell r="N45">
            <v>5</v>
          </cell>
          <cell r="R45" t="str">
            <v>ไม่</v>
          </cell>
          <cell r="T45" t="str">
            <v>ไม่สวมถุงใน</v>
          </cell>
          <cell r="U45"/>
          <cell r="V45"/>
          <cell r="X45">
            <v>45909</v>
          </cell>
          <cell r="Z45" t="str">
            <v>ห่ออัดเบลแบน500</v>
          </cell>
          <cell r="AA45">
            <v>5000</v>
          </cell>
          <cell r="AB45">
            <v>0</v>
          </cell>
          <cell r="AC45">
            <v>0</v>
          </cell>
          <cell r="AD45">
            <v>0</v>
          </cell>
          <cell r="AG45"/>
          <cell r="AI45"/>
          <cell r="AJ45">
            <v>0</v>
          </cell>
          <cell r="AL45">
            <v>5000</v>
          </cell>
          <cell r="AM45">
            <v>5400</v>
          </cell>
          <cell r="AN45">
            <v>0</v>
          </cell>
          <cell r="AO45" t="str">
            <v>WSWT1921720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BZ45" t="str">
            <v>WRWT21720/WRWT25800</v>
          </cell>
          <cell r="CA45">
            <v>0</v>
          </cell>
          <cell r="DL45" t="str">
            <v>P7</v>
          </cell>
          <cell r="DM45">
            <v>2</v>
          </cell>
          <cell r="DN45">
            <v>45909</v>
          </cell>
          <cell r="DP45">
            <v>45904</v>
          </cell>
          <cell r="DQ45"/>
          <cell r="DR45">
            <v>45900</v>
          </cell>
          <cell r="DS45">
            <v>45907</v>
          </cell>
          <cell r="DT45">
            <v>45908</v>
          </cell>
          <cell r="DU45">
            <v>45908</v>
          </cell>
          <cell r="DW45"/>
          <cell r="DX45"/>
          <cell r="DY45"/>
          <cell r="DZ45"/>
          <cell r="EA45"/>
          <cell r="EB45"/>
          <cell r="EC45" t="str">
            <v>งานพิมพ์</v>
          </cell>
          <cell r="ED45" t="str">
            <v xml:space="preserve"> /</v>
          </cell>
          <cell r="EG45"/>
          <cell r="EH45"/>
          <cell r="EI45"/>
        </row>
        <row r="46">
          <cell r="B46" t="str">
            <v>MK68-001043</v>
          </cell>
          <cell r="C46">
            <v>45896</v>
          </cell>
          <cell r="E46" t="str">
            <v>บจก.เคอรี่ฟลาวมิลล์</v>
          </cell>
          <cell r="F46" t="str">
            <v>แต้มฟ้า</v>
          </cell>
          <cell r="G46">
            <v>19</v>
          </cell>
          <cell r="H46">
            <v>32</v>
          </cell>
          <cell r="I46" t="str">
            <v>ขาว</v>
          </cell>
          <cell r="J46"/>
          <cell r="L46">
            <v>67</v>
          </cell>
          <cell r="M46" t="str">
            <v>+</v>
          </cell>
          <cell r="N46">
            <v>5</v>
          </cell>
          <cell r="R46" t="str">
            <v>บิด</v>
          </cell>
          <cell r="T46" t="str">
            <v>ไม่สวมถุงใน</v>
          </cell>
          <cell r="U46"/>
          <cell r="V46"/>
          <cell r="X46">
            <v>45909</v>
          </cell>
          <cell r="Z46" t="str">
            <v>ห่ออัดเบลแบน500</v>
          </cell>
          <cell r="AA46">
            <v>5000</v>
          </cell>
          <cell r="AB46">
            <v>0</v>
          </cell>
          <cell r="AC46">
            <v>0</v>
          </cell>
          <cell r="AD46">
            <v>0</v>
          </cell>
          <cell r="AG46"/>
          <cell r="AI46"/>
          <cell r="AJ46">
            <v>5000</v>
          </cell>
          <cell r="AL46">
            <v>0</v>
          </cell>
          <cell r="AM46">
            <v>5250</v>
          </cell>
          <cell r="AN46">
            <v>0</v>
          </cell>
          <cell r="AO46" t="str">
            <v>WSWT1921720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BZ46" t="str">
            <v>WRWT21720/WRWT25800</v>
          </cell>
          <cell r="CA46">
            <v>0</v>
          </cell>
          <cell r="DL46" t="str">
            <v>P7</v>
          </cell>
          <cell r="DM46">
            <v>2</v>
          </cell>
          <cell r="DN46">
            <v>45909</v>
          </cell>
          <cell r="DP46">
            <v>45904</v>
          </cell>
          <cell r="DQ46"/>
          <cell r="DR46">
            <v>45900</v>
          </cell>
          <cell r="DS46">
            <v>45907</v>
          </cell>
          <cell r="DT46">
            <v>45908</v>
          </cell>
          <cell r="DU46">
            <v>45908</v>
          </cell>
          <cell r="DW46"/>
          <cell r="DX46"/>
          <cell r="DY46"/>
          <cell r="DZ46"/>
          <cell r="EA46"/>
          <cell r="EB46"/>
          <cell r="EC46" t="str">
            <v>งานพิมพ์</v>
          </cell>
          <cell r="ED46" t="str">
            <v xml:space="preserve"> /</v>
          </cell>
          <cell r="EG46"/>
          <cell r="EH46"/>
          <cell r="EI46"/>
        </row>
        <row r="47">
          <cell r="B47" t="str">
            <v>MK68-001044</v>
          </cell>
          <cell r="C47">
            <v>45898</v>
          </cell>
          <cell r="E47" t="str">
            <v>บจก.เคอรี่ฟลาวมิลล์</v>
          </cell>
          <cell r="F47" t="str">
            <v>หีบเพลงเหลือง</v>
          </cell>
          <cell r="G47">
            <v>19</v>
          </cell>
          <cell r="H47">
            <v>32</v>
          </cell>
          <cell r="I47" t="str">
            <v>ขาว</v>
          </cell>
          <cell r="J47"/>
          <cell r="L47">
            <v>67</v>
          </cell>
          <cell r="M47" t="str">
            <v>+</v>
          </cell>
          <cell r="N47">
            <v>5</v>
          </cell>
          <cell r="R47" t="str">
            <v>บิด</v>
          </cell>
          <cell r="T47" t="str">
            <v>ไม่สวมถุงใน</v>
          </cell>
          <cell r="U47"/>
          <cell r="V47"/>
          <cell r="X47">
            <v>45909</v>
          </cell>
          <cell r="Z47" t="str">
            <v>ห่ออัดเบลแบน500</v>
          </cell>
          <cell r="AA47">
            <v>5000</v>
          </cell>
          <cell r="AB47">
            <v>0</v>
          </cell>
          <cell r="AC47">
            <v>0</v>
          </cell>
          <cell r="AD47">
            <v>0</v>
          </cell>
          <cell r="AG47"/>
          <cell r="AI47"/>
          <cell r="AJ47">
            <v>0</v>
          </cell>
          <cell r="AL47">
            <v>5000</v>
          </cell>
          <cell r="AM47"/>
          <cell r="AN47">
            <v>5250</v>
          </cell>
          <cell r="AO47" t="str">
            <v>WSWT1921720</v>
          </cell>
          <cell r="AQ47">
            <v>4679.9500000000007</v>
          </cell>
          <cell r="AR47">
            <v>4679.9500000000007</v>
          </cell>
          <cell r="AS47">
            <v>0</v>
          </cell>
          <cell r="AT47">
            <v>0</v>
          </cell>
          <cell r="AU47">
            <v>0</v>
          </cell>
          <cell r="BZ47" t="str">
            <v>WRWT21720/WRWT25800</v>
          </cell>
          <cell r="CA47">
            <v>0</v>
          </cell>
          <cell r="DL47" t="str">
            <v>P7</v>
          </cell>
          <cell r="DM47">
            <v>2</v>
          </cell>
          <cell r="DN47">
            <v>45909</v>
          </cell>
          <cell r="DP47">
            <v>45904</v>
          </cell>
          <cell r="DQ47"/>
          <cell r="DR47">
            <v>45900</v>
          </cell>
          <cell r="DS47">
            <v>45907</v>
          </cell>
          <cell r="DT47">
            <v>45908</v>
          </cell>
          <cell r="DU47">
            <v>45908</v>
          </cell>
          <cell r="DW47"/>
          <cell r="DX47"/>
          <cell r="DY47"/>
          <cell r="DZ47"/>
          <cell r="EA47"/>
          <cell r="EB47"/>
          <cell r="EC47" t="str">
            <v>งานพิมพ์</v>
          </cell>
          <cell r="ED47" t="str">
            <v xml:space="preserve"> /</v>
          </cell>
          <cell r="EG47"/>
          <cell r="EH47"/>
          <cell r="EI47"/>
        </row>
        <row r="48">
          <cell r="B48" t="str">
            <v>MK68-001044</v>
          </cell>
          <cell r="C48">
            <v>45898</v>
          </cell>
          <cell r="E48" t="str">
            <v>บจก.เคอรี่ฟลาวมิลล์</v>
          </cell>
          <cell r="F48" t="str">
            <v>บะหมี่เตี๊ยว</v>
          </cell>
          <cell r="G48">
            <v>19</v>
          </cell>
          <cell r="H48">
            <v>32</v>
          </cell>
          <cell r="I48" t="str">
            <v>ขาว</v>
          </cell>
          <cell r="J48"/>
          <cell r="L48">
            <v>67</v>
          </cell>
          <cell r="M48" t="str">
            <v>+</v>
          </cell>
          <cell r="N48">
            <v>5</v>
          </cell>
          <cell r="R48" t="str">
            <v>บิด</v>
          </cell>
          <cell r="T48" t="str">
            <v>ไม่สวมถุงใน</v>
          </cell>
          <cell r="U48"/>
          <cell r="V48"/>
          <cell r="X48">
            <v>45909</v>
          </cell>
          <cell r="Z48" t="str">
            <v>ห่ออัดเบลแบน500</v>
          </cell>
          <cell r="AA48">
            <v>5000</v>
          </cell>
          <cell r="AB48">
            <v>0</v>
          </cell>
          <cell r="AC48">
            <v>0</v>
          </cell>
          <cell r="AD48">
            <v>0</v>
          </cell>
          <cell r="AG48"/>
          <cell r="AI48"/>
          <cell r="AJ48">
            <v>0</v>
          </cell>
          <cell r="AL48">
            <v>5000</v>
          </cell>
          <cell r="AM48"/>
          <cell r="AN48">
            <v>5250</v>
          </cell>
          <cell r="AO48" t="str">
            <v>WSWT1921720</v>
          </cell>
          <cell r="AQ48">
            <v>4679.9500000000007</v>
          </cell>
          <cell r="AR48">
            <v>4679.9500000000007</v>
          </cell>
          <cell r="AS48">
            <v>0</v>
          </cell>
          <cell r="AT48">
            <v>0</v>
          </cell>
          <cell r="AU48">
            <v>0</v>
          </cell>
          <cell r="BZ48" t="str">
            <v>WRWT21720/WRWT25800</v>
          </cell>
          <cell r="CA48">
            <v>0</v>
          </cell>
          <cell r="DL48" t="str">
            <v>P7</v>
          </cell>
          <cell r="DM48">
            <v>2</v>
          </cell>
          <cell r="DN48">
            <v>45909</v>
          </cell>
          <cell r="DP48">
            <v>45904</v>
          </cell>
          <cell r="DQ48"/>
          <cell r="DR48">
            <v>45900</v>
          </cell>
          <cell r="DS48">
            <v>45907</v>
          </cell>
          <cell r="DT48">
            <v>45908</v>
          </cell>
          <cell r="DU48">
            <v>45908</v>
          </cell>
          <cell r="DW48"/>
          <cell r="DX48"/>
          <cell r="DY48"/>
          <cell r="DZ48"/>
          <cell r="EA48"/>
          <cell r="EB48"/>
          <cell r="EC48" t="str">
            <v>งานพิมพ์</v>
          </cell>
          <cell r="ED48" t="str">
            <v xml:space="preserve"> /</v>
          </cell>
          <cell r="EG48"/>
          <cell r="EH48"/>
          <cell r="EI48"/>
        </row>
        <row r="49">
          <cell r="B49" t="str">
            <v>MK68-001044</v>
          </cell>
          <cell r="C49">
            <v>45898</v>
          </cell>
          <cell r="E49" t="str">
            <v>บจก.เคอรี่ฟลาวมิลล์</v>
          </cell>
          <cell r="F49" t="str">
            <v>FW-Y</v>
          </cell>
          <cell r="G49">
            <v>19</v>
          </cell>
          <cell r="H49">
            <v>32</v>
          </cell>
          <cell r="I49" t="str">
            <v>ขาว</v>
          </cell>
          <cell r="J49"/>
          <cell r="L49">
            <v>67</v>
          </cell>
          <cell r="M49" t="str">
            <v>+</v>
          </cell>
          <cell r="N49">
            <v>5</v>
          </cell>
          <cell r="R49" t="str">
            <v>บิด</v>
          </cell>
          <cell r="T49" t="str">
            <v>ไม่สวมถุงใน</v>
          </cell>
          <cell r="U49"/>
          <cell r="V49"/>
          <cell r="X49">
            <v>45909</v>
          </cell>
          <cell r="Z49" t="str">
            <v>ห่ออัดเบลแบน500</v>
          </cell>
          <cell r="AA49">
            <v>5000</v>
          </cell>
          <cell r="AB49">
            <v>0</v>
          </cell>
          <cell r="AC49">
            <v>0</v>
          </cell>
          <cell r="AD49">
            <v>0</v>
          </cell>
          <cell r="AG49"/>
          <cell r="AI49"/>
          <cell r="AJ49">
            <v>5000</v>
          </cell>
          <cell r="AL49">
            <v>0</v>
          </cell>
          <cell r="AM49">
            <v>5400</v>
          </cell>
          <cell r="AN49">
            <v>0</v>
          </cell>
          <cell r="AO49" t="str">
            <v>WSWT1921720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BZ49" t="str">
            <v>WRWT21720/WRWT25800</v>
          </cell>
          <cell r="CA49">
            <v>0</v>
          </cell>
          <cell r="DL49" t="str">
            <v>P7</v>
          </cell>
          <cell r="DM49">
            <v>2</v>
          </cell>
          <cell r="DN49">
            <v>45909</v>
          </cell>
          <cell r="DP49">
            <v>45904</v>
          </cell>
          <cell r="DQ49"/>
          <cell r="DR49">
            <v>45900</v>
          </cell>
          <cell r="DS49">
            <v>45907</v>
          </cell>
          <cell r="DT49">
            <v>45908</v>
          </cell>
          <cell r="DU49">
            <v>45908</v>
          </cell>
          <cell r="DW49"/>
          <cell r="DX49"/>
          <cell r="DY49"/>
          <cell r="DZ49"/>
          <cell r="EA49"/>
          <cell r="EB49"/>
          <cell r="EC49" t="str">
            <v>งานพิมพ์</v>
          </cell>
          <cell r="ED49" t="str">
            <v xml:space="preserve"> /</v>
          </cell>
          <cell r="EG49"/>
          <cell r="EH49"/>
          <cell r="EI49"/>
        </row>
        <row r="50">
          <cell r="B50" t="str">
            <v>MK68-001075</v>
          </cell>
          <cell r="C50">
            <v>45904</v>
          </cell>
          <cell r="E50" t="str">
            <v>บจก.เคอรี่ฟลาวมิลล์</v>
          </cell>
          <cell r="F50" t="str">
            <v>ไม่พิมพ์</v>
          </cell>
          <cell r="G50">
            <v>19</v>
          </cell>
          <cell r="H50">
            <v>32</v>
          </cell>
          <cell r="I50" t="str">
            <v>ขาว</v>
          </cell>
          <cell r="J50"/>
          <cell r="L50">
            <v>67</v>
          </cell>
          <cell r="M50" t="str">
            <v>+</v>
          </cell>
          <cell r="N50">
            <v>5</v>
          </cell>
          <cell r="R50" t="str">
            <v>ไม่</v>
          </cell>
          <cell r="T50" t="str">
            <v>ไม่สวมถุงใน</v>
          </cell>
          <cell r="U50"/>
          <cell r="V50"/>
          <cell r="X50">
            <v>45915</v>
          </cell>
          <cell r="Z50" t="str">
            <v>ห่ออัดเบลแบน501</v>
          </cell>
          <cell r="AA50">
            <v>20000</v>
          </cell>
          <cell r="AB50">
            <v>0</v>
          </cell>
          <cell r="AC50">
            <v>0</v>
          </cell>
          <cell r="AD50">
            <v>0</v>
          </cell>
          <cell r="AG50"/>
          <cell r="AI50"/>
          <cell r="AJ50">
            <v>0</v>
          </cell>
          <cell r="AL50">
            <v>20000</v>
          </cell>
          <cell r="AM50"/>
          <cell r="AN50">
            <v>0</v>
          </cell>
          <cell r="AO50" t="str">
            <v>WSWT1921720</v>
          </cell>
          <cell r="AQ50">
            <v>18719.800000000003</v>
          </cell>
          <cell r="AR50">
            <v>18719.800000000003</v>
          </cell>
          <cell r="AS50">
            <v>0</v>
          </cell>
          <cell r="AT50">
            <v>0</v>
          </cell>
          <cell r="AU50">
            <v>0</v>
          </cell>
          <cell r="BZ50" t="str">
            <v>WRWT21720/WRWT25800</v>
          </cell>
          <cell r="CA50">
            <v>0</v>
          </cell>
          <cell r="DL50" t="str">
            <v>P3</v>
          </cell>
          <cell r="DM50">
            <v>1</v>
          </cell>
          <cell r="DN50">
            <v>45915</v>
          </cell>
          <cell r="DP50">
            <v>45910</v>
          </cell>
          <cell r="DQ50"/>
          <cell r="DR50"/>
          <cell r="DS50"/>
          <cell r="DT50"/>
          <cell r="DU50">
            <v>45914</v>
          </cell>
          <cell r="DW50"/>
          <cell r="DX50"/>
          <cell r="DY50"/>
          <cell r="DZ50"/>
          <cell r="EA50"/>
          <cell r="EB50"/>
          <cell r="EC50" t="str">
            <v>ตัด</v>
          </cell>
          <cell r="ED50"/>
          <cell r="EG50"/>
          <cell r="EH50"/>
          <cell r="EI50"/>
        </row>
        <row r="51">
          <cell r="B51" t="str">
            <v>MK68-001075</v>
          </cell>
          <cell r="C51">
            <v>45904</v>
          </cell>
          <cell r="E51" t="str">
            <v>บจก.เคอรี่ฟลาวมิลล์</v>
          </cell>
          <cell r="F51" t="str">
            <v>ไม่พิมพ์</v>
          </cell>
          <cell r="G51">
            <v>19</v>
          </cell>
          <cell r="H51">
            <v>32</v>
          </cell>
          <cell r="I51" t="str">
            <v>ขาว</v>
          </cell>
          <cell r="J51"/>
          <cell r="L51">
            <v>67</v>
          </cell>
          <cell r="M51" t="str">
            <v>+</v>
          </cell>
          <cell r="N51">
            <v>5</v>
          </cell>
          <cell r="R51" t="str">
            <v>ไม่</v>
          </cell>
          <cell r="T51" t="str">
            <v>ไม่สวมถุงใน</v>
          </cell>
          <cell r="U51"/>
          <cell r="V51"/>
          <cell r="X51">
            <v>45924</v>
          </cell>
          <cell r="Z51" t="str">
            <v>ห่ออัดเบลแบน501</v>
          </cell>
          <cell r="AA51">
            <v>20000</v>
          </cell>
          <cell r="AB51">
            <v>0</v>
          </cell>
          <cell r="AC51">
            <v>0</v>
          </cell>
          <cell r="AD51">
            <v>0</v>
          </cell>
          <cell r="AG51"/>
          <cell r="AI51"/>
          <cell r="AJ51">
            <v>0</v>
          </cell>
          <cell r="AL51">
            <v>20000</v>
          </cell>
          <cell r="AM51"/>
          <cell r="AN51">
            <v>0</v>
          </cell>
          <cell r="AO51" t="str">
            <v>WSWT1921720</v>
          </cell>
          <cell r="AQ51">
            <v>18719.800000000003</v>
          </cell>
          <cell r="AR51">
            <v>18719.800000000003</v>
          </cell>
          <cell r="AS51">
            <v>0</v>
          </cell>
          <cell r="AT51">
            <v>0</v>
          </cell>
          <cell r="AU51">
            <v>0</v>
          </cell>
          <cell r="BZ51" t="str">
            <v>WRWT21720/WRWT25800</v>
          </cell>
          <cell r="CA51">
            <v>0</v>
          </cell>
          <cell r="DL51" t="str">
            <v>P3</v>
          </cell>
          <cell r="DM51">
            <v>1</v>
          </cell>
          <cell r="DN51">
            <v>45924</v>
          </cell>
          <cell r="DP51">
            <v>45919</v>
          </cell>
          <cell r="DQ51"/>
          <cell r="DR51"/>
          <cell r="DS51"/>
          <cell r="DT51"/>
          <cell r="DU51">
            <v>45923</v>
          </cell>
          <cell r="DW51"/>
          <cell r="DX51"/>
          <cell r="DY51"/>
          <cell r="DZ51"/>
          <cell r="EA51"/>
          <cell r="EB51"/>
          <cell r="EC51" t="str">
            <v>ตัด</v>
          </cell>
          <cell r="ED51"/>
          <cell r="EG51"/>
          <cell r="EH51"/>
          <cell r="EI51"/>
        </row>
        <row r="52">
          <cell r="B52" t="str">
            <v>MK68-001076</v>
          </cell>
          <cell r="C52">
            <v>45904</v>
          </cell>
          <cell r="E52" t="str">
            <v>บจก.เคอรี่ฟลาวมิลล์</v>
          </cell>
          <cell r="F52" t="str">
            <v>ไม่พิมพ์</v>
          </cell>
          <cell r="G52">
            <v>19</v>
          </cell>
          <cell r="H52">
            <v>32</v>
          </cell>
          <cell r="I52" t="str">
            <v>ขาว</v>
          </cell>
          <cell r="J52"/>
          <cell r="L52">
            <v>67</v>
          </cell>
          <cell r="M52" t="str">
            <v>+</v>
          </cell>
          <cell r="N52">
            <v>5</v>
          </cell>
          <cell r="R52" t="str">
            <v>ไม่</v>
          </cell>
          <cell r="T52" t="str">
            <v>ไม่สวมถุงใน</v>
          </cell>
          <cell r="U52"/>
          <cell r="V52"/>
          <cell r="X52">
            <v>45915</v>
          </cell>
          <cell r="Z52" t="str">
            <v>ห่ออัดเบลแบน501</v>
          </cell>
          <cell r="AA52">
            <v>20000</v>
          </cell>
          <cell r="AB52">
            <v>0</v>
          </cell>
          <cell r="AC52">
            <v>0</v>
          </cell>
          <cell r="AD52">
            <v>0</v>
          </cell>
          <cell r="AG52"/>
          <cell r="AI52"/>
          <cell r="AJ52">
            <v>0</v>
          </cell>
          <cell r="AL52">
            <v>20000</v>
          </cell>
          <cell r="AM52"/>
          <cell r="AN52">
            <v>0</v>
          </cell>
          <cell r="AO52" t="str">
            <v>WSWT1921720</v>
          </cell>
          <cell r="AQ52">
            <v>18719.800000000003</v>
          </cell>
          <cell r="AR52">
            <v>12462</v>
          </cell>
          <cell r="AS52">
            <v>6257.8000000000029</v>
          </cell>
          <cell r="AT52">
            <v>0</v>
          </cell>
          <cell r="AU52">
            <v>0</v>
          </cell>
          <cell r="BZ52" t="str">
            <v>WRWT21720/WRWT25800</v>
          </cell>
          <cell r="CA52">
            <v>471.36530844444462</v>
          </cell>
          <cell r="DL52" t="str">
            <v>P3</v>
          </cell>
          <cell r="DM52">
            <v>1</v>
          </cell>
          <cell r="DN52">
            <v>45915</v>
          </cell>
          <cell r="DP52">
            <v>45910</v>
          </cell>
          <cell r="DQ52"/>
          <cell r="DR52"/>
          <cell r="DS52"/>
          <cell r="DT52"/>
          <cell r="DU52">
            <v>45914</v>
          </cell>
          <cell r="DW52"/>
          <cell r="DX52"/>
          <cell r="DY52"/>
          <cell r="DZ52"/>
          <cell r="EA52"/>
          <cell r="EB52"/>
          <cell r="EC52" t="str">
            <v>ตัด</v>
          </cell>
          <cell r="ED52"/>
          <cell r="EG52"/>
          <cell r="EH52"/>
          <cell r="EI52"/>
        </row>
        <row r="53">
          <cell r="B53" t="str">
            <v>MK68-001076</v>
          </cell>
          <cell r="C53">
            <v>45904</v>
          </cell>
          <cell r="E53" t="str">
            <v>บจก.เคอรี่ฟลาวมิลล์</v>
          </cell>
          <cell r="F53" t="str">
            <v>ไม่พิมพ์</v>
          </cell>
          <cell r="G53">
            <v>19</v>
          </cell>
          <cell r="H53">
            <v>32</v>
          </cell>
          <cell r="I53" t="str">
            <v>ขาว</v>
          </cell>
          <cell r="J53"/>
          <cell r="L53">
            <v>67</v>
          </cell>
          <cell r="M53" t="str">
            <v>+</v>
          </cell>
          <cell r="N53">
            <v>5</v>
          </cell>
          <cell r="R53" t="str">
            <v>ไม่</v>
          </cell>
          <cell r="T53" t="str">
            <v>ไม่สวมถุงใน</v>
          </cell>
          <cell r="U53"/>
          <cell r="V53"/>
          <cell r="X53">
            <v>45924</v>
          </cell>
          <cell r="Z53" t="str">
            <v>ห่ออัดเบลแบน501</v>
          </cell>
          <cell r="AA53">
            <v>20000</v>
          </cell>
          <cell r="AB53">
            <v>0</v>
          </cell>
          <cell r="AC53">
            <v>0</v>
          </cell>
          <cell r="AD53">
            <v>0</v>
          </cell>
          <cell r="AG53"/>
          <cell r="AI53"/>
          <cell r="AJ53">
            <v>0</v>
          </cell>
          <cell r="AL53">
            <v>20000</v>
          </cell>
          <cell r="AM53"/>
          <cell r="AN53">
            <v>0</v>
          </cell>
          <cell r="AO53" t="str">
            <v>WSWT1921720</v>
          </cell>
          <cell r="AQ53">
            <v>18719.800000000003</v>
          </cell>
          <cell r="AR53">
            <v>0</v>
          </cell>
          <cell r="AS53">
            <v>18719.800000000003</v>
          </cell>
          <cell r="AT53">
            <v>0</v>
          </cell>
          <cell r="AU53">
            <v>0</v>
          </cell>
          <cell r="BZ53" t="str">
            <v>WRWT21720/WRWT25800</v>
          </cell>
          <cell r="CA53">
            <v>1410.0585351111113</v>
          </cell>
          <cell r="DL53" t="str">
            <v>P3</v>
          </cell>
          <cell r="DM53">
            <v>1</v>
          </cell>
          <cell r="DN53">
            <v>45924</v>
          </cell>
          <cell r="DP53">
            <v>45919</v>
          </cell>
          <cell r="DQ53"/>
          <cell r="DR53"/>
          <cell r="DS53"/>
          <cell r="DT53"/>
          <cell r="DU53">
            <v>45923</v>
          </cell>
          <cell r="DW53"/>
          <cell r="DX53"/>
          <cell r="DY53"/>
          <cell r="DZ53"/>
          <cell r="EA53"/>
          <cell r="EB53"/>
          <cell r="EC53" t="str">
            <v>ตัด</v>
          </cell>
          <cell r="ED53"/>
          <cell r="EG53"/>
          <cell r="EH53"/>
          <cell r="EI53"/>
        </row>
        <row r="54">
          <cell r="B54" t="str">
            <v>MK68-001077</v>
          </cell>
          <cell r="C54">
            <v>45905</v>
          </cell>
          <cell r="E54" t="str">
            <v>บจก.เคอรี่ฟลาวมิลล์</v>
          </cell>
          <cell r="F54" t="str">
            <v>ปลาโลมาเทา</v>
          </cell>
          <cell r="G54">
            <v>19</v>
          </cell>
          <cell r="H54">
            <v>32</v>
          </cell>
          <cell r="I54" t="str">
            <v>ขาว</v>
          </cell>
          <cell r="J54"/>
          <cell r="L54">
            <v>67</v>
          </cell>
          <cell r="M54" t="str">
            <v>+</v>
          </cell>
          <cell r="N54">
            <v>5</v>
          </cell>
          <cell r="R54" t="str">
            <v>บิด</v>
          </cell>
          <cell r="T54" t="str">
            <v>ไม่สวมถุงใน</v>
          </cell>
          <cell r="U54"/>
          <cell r="V54"/>
          <cell r="X54">
            <v>45916</v>
          </cell>
          <cell r="Z54" t="str">
            <v>ห่ออัดเบลแบน500</v>
          </cell>
          <cell r="AA54">
            <v>5000</v>
          </cell>
          <cell r="AB54">
            <v>0</v>
          </cell>
          <cell r="AC54">
            <v>0</v>
          </cell>
          <cell r="AD54">
            <v>0</v>
          </cell>
          <cell r="AG54"/>
          <cell r="AI54" t="str">
            <v>PDR250295</v>
          </cell>
          <cell r="AJ54">
            <v>0</v>
          </cell>
          <cell r="AL54">
            <v>5000</v>
          </cell>
          <cell r="AM54"/>
          <cell r="AN54">
            <v>5250</v>
          </cell>
          <cell r="AO54" t="str">
            <v>WSWT1921720</v>
          </cell>
          <cell r="AQ54">
            <v>4679.9500000000007</v>
          </cell>
          <cell r="AR54">
            <v>0</v>
          </cell>
          <cell r="AS54">
            <v>4679.9500000000007</v>
          </cell>
          <cell r="AT54">
            <v>0</v>
          </cell>
          <cell r="AU54">
            <v>0</v>
          </cell>
          <cell r="BZ54" t="str">
            <v>WRWT21720/WRWT25800</v>
          </cell>
          <cell r="CA54">
            <v>352.51463377777782</v>
          </cell>
          <cell r="DL54" t="str">
            <v>P7</v>
          </cell>
          <cell r="DM54">
            <v>2</v>
          </cell>
          <cell r="DN54">
            <v>45916</v>
          </cell>
          <cell r="DP54">
            <v>45911</v>
          </cell>
          <cell r="DQ54"/>
          <cell r="DR54">
            <v>45907</v>
          </cell>
          <cell r="DS54">
            <v>45914</v>
          </cell>
          <cell r="DT54">
            <v>45915</v>
          </cell>
          <cell r="DU54">
            <v>45915</v>
          </cell>
          <cell r="DW54"/>
          <cell r="DX54"/>
          <cell r="DY54"/>
          <cell r="DZ54"/>
          <cell r="EA54"/>
          <cell r="EB54"/>
          <cell r="EC54" t="str">
            <v>งานพิมพ์</v>
          </cell>
          <cell r="ED54" t="str">
            <v xml:space="preserve"> /</v>
          </cell>
          <cell r="EG54"/>
          <cell r="EH54"/>
          <cell r="EI54"/>
        </row>
        <row r="55">
          <cell r="B55" t="str">
            <v>MK68-001077</v>
          </cell>
          <cell r="C55">
            <v>45905</v>
          </cell>
          <cell r="E55" t="str">
            <v>บจก.เคอรี่ฟลาวมิลล์</v>
          </cell>
          <cell r="F55" t="str">
            <v>ถุงเงิน</v>
          </cell>
          <cell r="G55">
            <v>19</v>
          </cell>
          <cell r="H55">
            <v>32</v>
          </cell>
          <cell r="I55" t="str">
            <v>ขาว</v>
          </cell>
          <cell r="J55"/>
          <cell r="L55">
            <v>67</v>
          </cell>
          <cell r="M55" t="str">
            <v>+</v>
          </cell>
          <cell r="N55">
            <v>5</v>
          </cell>
          <cell r="R55" t="str">
            <v>บิด</v>
          </cell>
          <cell r="T55" t="str">
            <v>ไม่สวมถุงใน</v>
          </cell>
          <cell r="U55"/>
          <cell r="V55"/>
          <cell r="X55">
            <v>45916</v>
          </cell>
          <cell r="Z55" t="str">
            <v>ห่ออัดเบลแบน500</v>
          </cell>
          <cell r="AA55">
            <v>5000</v>
          </cell>
          <cell r="AB55">
            <v>0</v>
          </cell>
          <cell r="AC55">
            <v>0</v>
          </cell>
          <cell r="AD55">
            <v>0</v>
          </cell>
          <cell r="AG55"/>
          <cell r="AI55" t="str">
            <v>PDR250295</v>
          </cell>
          <cell r="AJ55">
            <v>0</v>
          </cell>
          <cell r="AL55">
            <v>5000</v>
          </cell>
          <cell r="AM55"/>
          <cell r="AN55">
            <v>5250</v>
          </cell>
          <cell r="AO55" t="str">
            <v>WSWT1921720</v>
          </cell>
          <cell r="AQ55">
            <v>4679.9500000000007</v>
          </cell>
          <cell r="AR55">
            <v>0</v>
          </cell>
          <cell r="AS55">
            <v>4679.9500000000007</v>
          </cell>
          <cell r="AT55">
            <v>0</v>
          </cell>
          <cell r="AU55">
            <v>0</v>
          </cell>
          <cell r="BZ55" t="str">
            <v>WRWT21720/WRWT25800</v>
          </cell>
          <cell r="CA55">
            <v>352.51463377777782</v>
          </cell>
          <cell r="DL55" t="str">
            <v>P7</v>
          </cell>
          <cell r="DM55">
            <v>2</v>
          </cell>
          <cell r="DN55">
            <v>45916</v>
          </cell>
          <cell r="DP55">
            <v>45911</v>
          </cell>
          <cell r="DQ55"/>
          <cell r="DR55">
            <v>45907</v>
          </cell>
          <cell r="DS55">
            <v>45914</v>
          </cell>
          <cell r="DT55">
            <v>45915</v>
          </cell>
          <cell r="DU55">
            <v>45915</v>
          </cell>
          <cell r="DW55"/>
          <cell r="DX55"/>
          <cell r="DY55"/>
          <cell r="DZ55"/>
          <cell r="EA55"/>
          <cell r="EB55"/>
          <cell r="EC55" t="str">
            <v>งานพิมพ์</v>
          </cell>
          <cell r="ED55" t="str">
            <v xml:space="preserve"> /</v>
          </cell>
          <cell r="EG55"/>
          <cell r="EH55"/>
          <cell r="EI55"/>
        </row>
        <row r="56">
          <cell r="B56" t="str">
            <v>MK68-001077</v>
          </cell>
          <cell r="C56">
            <v>45905</v>
          </cell>
          <cell r="E56" t="str">
            <v>บจก.เคอรี่ฟลาวมิลล์</v>
          </cell>
          <cell r="F56" t="str">
            <v>กุ้งแดง</v>
          </cell>
          <cell r="G56">
            <v>19</v>
          </cell>
          <cell r="H56">
            <v>32</v>
          </cell>
          <cell r="I56" t="str">
            <v>ขาว</v>
          </cell>
          <cell r="J56"/>
          <cell r="L56">
            <v>67</v>
          </cell>
          <cell r="M56" t="str">
            <v>+</v>
          </cell>
          <cell r="N56">
            <v>5</v>
          </cell>
          <cell r="R56" t="str">
            <v>บิด</v>
          </cell>
          <cell r="T56" t="str">
            <v>ไม่สวมถุงใน</v>
          </cell>
          <cell r="U56"/>
          <cell r="V56"/>
          <cell r="X56">
            <v>45916</v>
          </cell>
          <cell r="Z56" t="str">
            <v>ห่ออัดเบลแบน500</v>
          </cell>
          <cell r="AA56">
            <v>10000</v>
          </cell>
          <cell r="AB56">
            <v>0</v>
          </cell>
          <cell r="AC56">
            <v>0</v>
          </cell>
          <cell r="AD56">
            <v>0</v>
          </cell>
          <cell r="AG56"/>
          <cell r="AI56" t="str">
            <v>PDR250295</v>
          </cell>
          <cell r="AJ56">
            <v>0</v>
          </cell>
          <cell r="AL56">
            <v>10000</v>
          </cell>
          <cell r="AM56"/>
          <cell r="AN56">
            <v>10500</v>
          </cell>
          <cell r="AO56" t="str">
            <v>WSWT1921720</v>
          </cell>
          <cell r="AQ56">
            <v>9359.9000000000015</v>
          </cell>
          <cell r="AR56">
            <v>0</v>
          </cell>
          <cell r="AS56">
            <v>9359.9000000000015</v>
          </cell>
          <cell r="AT56">
            <v>0</v>
          </cell>
          <cell r="AU56">
            <v>0</v>
          </cell>
          <cell r="BZ56" t="str">
            <v>WRWT21720/WRWT25800</v>
          </cell>
          <cell r="CA56">
            <v>705.02926755555563</v>
          </cell>
          <cell r="DL56" t="str">
            <v>P7</v>
          </cell>
          <cell r="DM56">
            <v>2</v>
          </cell>
          <cell r="DN56">
            <v>45916</v>
          </cell>
          <cell r="DP56">
            <v>45911</v>
          </cell>
          <cell r="DQ56"/>
          <cell r="DR56">
            <v>45907</v>
          </cell>
          <cell r="DS56">
            <v>45914</v>
          </cell>
          <cell r="DT56">
            <v>45915</v>
          </cell>
          <cell r="DU56">
            <v>45915</v>
          </cell>
          <cell r="DW56"/>
          <cell r="DX56"/>
          <cell r="DY56"/>
          <cell r="DZ56"/>
          <cell r="EA56"/>
          <cell r="EB56"/>
          <cell r="EC56" t="str">
            <v>งานพิมพ์</v>
          </cell>
          <cell r="ED56" t="str">
            <v xml:space="preserve"> /</v>
          </cell>
          <cell r="EG56"/>
          <cell r="EH56"/>
          <cell r="EI56"/>
        </row>
        <row r="57">
          <cell r="B57" t="str">
            <v>MK68-001077</v>
          </cell>
          <cell r="C57">
            <v>45905</v>
          </cell>
          <cell r="E57" t="str">
            <v>บจก.เคอรี่ฟลาวมิลล์</v>
          </cell>
          <cell r="F57" t="str">
            <v>PBKF2-01-03</v>
          </cell>
          <cell r="G57">
            <v>19</v>
          </cell>
          <cell r="H57">
            <v>32</v>
          </cell>
          <cell r="I57" t="str">
            <v>ขาว</v>
          </cell>
          <cell r="J57"/>
          <cell r="L57">
            <v>67</v>
          </cell>
          <cell r="M57" t="str">
            <v>+</v>
          </cell>
          <cell r="N57">
            <v>5</v>
          </cell>
          <cell r="R57" t="str">
            <v>บิด</v>
          </cell>
          <cell r="T57" t="str">
            <v>ไม่สวมถุงใน</v>
          </cell>
          <cell r="U57"/>
          <cell r="V57"/>
          <cell r="X57">
            <v>45916</v>
          </cell>
          <cell r="Z57" t="str">
            <v>ห่ออัดเบลแบน500</v>
          </cell>
          <cell r="AA57">
            <v>5000</v>
          </cell>
          <cell r="AB57">
            <v>0</v>
          </cell>
          <cell r="AC57">
            <v>0</v>
          </cell>
          <cell r="AD57">
            <v>0</v>
          </cell>
          <cell r="AG57"/>
          <cell r="AI57" t="str">
            <v>PDR250295</v>
          </cell>
          <cell r="AJ57">
            <v>0</v>
          </cell>
          <cell r="AL57">
            <v>5000</v>
          </cell>
          <cell r="AM57"/>
          <cell r="AN57">
            <v>5250</v>
          </cell>
          <cell r="AO57" t="str">
            <v>WSWT1921720</v>
          </cell>
          <cell r="AQ57">
            <v>4679.9500000000007</v>
          </cell>
          <cell r="AR57">
            <v>0</v>
          </cell>
          <cell r="AS57">
            <v>4679.9500000000007</v>
          </cell>
          <cell r="AT57">
            <v>0</v>
          </cell>
          <cell r="AU57">
            <v>0</v>
          </cell>
          <cell r="BZ57" t="str">
            <v>WRWT21720/WRWT25800</v>
          </cell>
          <cell r="CA57">
            <v>352.51463377777782</v>
          </cell>
          <cell r="DL57" t="str">
            <v>P7</v>
          </cell>
          <cell r="DM57">
            <v>2</v>
          </cell>
          <cell r="DN57">
            <v>45916</v>
          </cell>
          <cell r="DP57">
            <v>45911</v>
          </cell>
          <cell r="DQ57"/>
          <cell r="DR57">
            <v>45907</v>
          </cell>
          <cell r="DS57">
            <v>45914</v>
          </cell>
          <cell r="DT57">
            <v>45915</v>
          </cell>
          <cell r="DU57">
            <v>45915</v>
          </cell>
          <cell r="DW57"/>
          <cell r="DX57"/>
          <cell r="DY57"/>
          <cell r="DZ57"/>
          <cell r="EA57"/>
          <cell r="EB57"/>
          <cell r="EC57" t="str">
            <v>งานพิมพ์</v>
          </cell>
          <cell r="ED57" t="str">
            <v xml:space="preserve"> /</v>
          </cell>
          <cell r="EG57"/>
          <cell r="EH57"/>
          <cell r="EI57"/>
        </row>
        <row r="58">
          <cell r="B58" t="str">
            <v>MK68-001077</v>
          </cell>
          <cell r="C58">
            <v>45905</v>
          </cell>
          <cell r="E58" t="str">
            <v>บจก.เคอรี่ฟลาวมิลล์</v>
          </cell>
          <cell r="F58" t="str">
            <v>บะหมี่เตี๊ยว</v>
          </cell>
          <cell r="G58">
            <v>19</v>
          </cell>
          <cell r="H58">
            <v>32</v>
          </cell>
          <cell r="I58" t="str">
            <v>ขาว</v>
          </cell>
          <cell r="J58"/>
          <cell r="L58">
            <v>67</v>
          </cell>
          <cell r="M58" t="str">
            <v>+</v>
          </cell>
          <cell r="N58">
            <v>5</v>
          </cell>
          <cell r="R58" t="str">
            <v>บิด</v>
          </cell>
          <cell r="T58" t="str">
            <v>ไม่สวมถุงใน</v>
          </cell>
          <cell r="U58"/>
          <cell r="V58"/>
          <cell r="X58">
            <v>45918</v>
          </cell>
          <cell r="Z58" t="str">
            <v>ห่ออัดเบลแบน500</v>
          </cell>
          <cell r="AA58">
            <v>5000</v>
          </cell>
          <cell r="AB58">
            <v>0</v>
          </cell>
          <cell r="AC58">
            <v>0</v>
          </cell>
          <cell r="AD58">
            <v>0</v>
          </cell>
          <cell r="AG58"/>
          <cell r="AI58" t="str">
            <v>PDR250296</v>
          </cell>
          <cell r="AJ58">
            <v>0</v>
          </cell>
          <cell r="AL58">
            <v>5000</v>
          </cell>
          <cell r="AM58"/>
          <cell r="AN58">
            <v>5250</v>
          </cell>
          <cell r="AO58" t="str">
            <v>WSWT1921720</v>
          </cell>
          <cell r="AQ58">
            <v>4679.9500000000007</v>
          </cell>
          <cell r="AR58">
            <v>0</v>
          </cell>
          <cell r="AS58">
            <v>4679.9500000000007</v>
          </cell>
          <cell r="AT58">
            <v>0</v>
          </cell>
          <cell r="AU58">
            <v>0</v>
          </cell>
          <cell r="BZ58" t="str">
            <v>WRWT21720/WRWT25800</v>
          </cell>
          <cell r="CA58">
            <v>352.51463377777782</v>
          </cell>
          <cell r="DL58" t="str">
            <v>P7</v>
          </cell>
          <cell r="DM58">
            <v>2</v>
          </cell>
          <cell r="DN58">
            <v>45918</v>
          </cell>
          <cell r="DP58">
            <v>45913</v>
          </cell>
          <cell r="DQ58"/>
          <cell r="DR58">
            <v>45909</v>
          </cell>
          <cell r="DS58">
            <v>45916</v>
          </cell>
          <cell r="DT58">
            <v>45917</v>
          </cell>
          <cell r="DU58">
            <v>45917</v>
          </cell>
          <cell r="DW58"/>
          <cell r="DX58"/>
          <cell r="DY58"/>
          <cell r="DZ58"/>
          <cell r="EA58"/>
          <cell r="EB58"/>
          <cell r="EC58" t="str">
            <v>งานพิมพ์</v>
          </cell>
          <cell r="ED58" t="str">
            <v xml:space="preserve"> /</v>
          </cell>
          <cell r="EG58"/>
          <cell r="EH58"/>
          <cell r="EI58"/>
        </row>
        <row r="59">
          <cell r="B59" t="str">
            <v>MK68-001077</v>
          </cell>
          <cell r="C59">
            <v>45905</v>
          </cell>
          <cell r="E59" t="str">
            <v>บจก.เคอรี่ฟลาวมิลล์</v>
          </cell>
          <cell r="F59" t="str">
            <v>แต้มแดง</v>
          </cell>
          <cell r="G59">
            <v>19</v>
          </cell>
          <cell r="H59">
            <v>32</v>
          </cell>
          <cell r="I59" t="str">
            <v>ขาว</v>
          </cell>
          <cell r="J59"/>
          <cell r="L59">
            <v>67</v>
          </cell>
          <cell r="M59" t="str">
            <v>+</v>
          </cell>
          <cell r="N59">
            <v>5</v>
          </cell>
          <cell r="R59" t="str">
            <v>บิด</v>
          </cell>
          <cell r="T59" t="str">
            <v>ไม่สวมถุงใน</v>
          </cell>
          <cell r="U59"/>
          <cell r="V59"/>
          <cell r="X59">
            <v>45918</v>
          </cell>
          <cell r="Z59" t="str">
            <v>ห่ออัดเบลแบน500</v>
          </cell>
          <cell r="AA59">
            <v>5000</v>
          </cell>
          <cell r="AB59">
            <v>0</v>
          </cell>
          <cell r="AC59">
            <v>0</v>
          </cell>
          <cell r="AD59">
            <v>0</v>
          </cell>
          <cell r="AG59"/>
          <cell r="AI59" t="str">
            <v>PDR250296</v>
          </cell>
          <cell r="AJ59">
            <v>0</v>
          </cell>
          <cell r="AL59">
            <v>5000</v>
          </cell>
          <cell r="AM59"/>
          <cell r="AN59">
            <v>5250</v>
          </cell>
          <cell r="AO59" t="str">
            <v>WSWT1921720</v>
          </cell>
          <cell r="AQ59">
            <v>4679.9500000000007</v>
          </cell>
          <cell r="AR59">
            <v>0</v>
          </cell>
          <cell r="AS59">
            <v>4679.9500000000007</v>
          </cell>
          <cell r="AT59">
            <v>0</v>
          </cell>
          <cell r="AU59">
            <v>0</v>
          </cell>
          <cell r="BZ59" t="str">
            <v>WRWT21720/WRWT25800</v>
          </cell>
          <cell r="CA59">
            <v>352.51463377777782</v>
          </cell>
          <cell r="DL59" t="str">
            <v>P7</v>
          </cell>
          <cell r="DM59">
            <v>2</v>
          </cell>
          <cell r="DN59">
            <v>45918</v>
          </cell>
          <cell r="DP59">
            <v>45913</v>
          </cell>
          <cell r="DQ59"/>
          <cell r="DR59">
            <v>45909</v>
          </cell>
          <cell r="DS59">
            <v>45916</v>
          </cell>
          <cell r="DT59">
            <v>45917</v>
          </cell>
          <cell r="DU59">
            <v>45917</v>
          </cell>
          <cell r="DW59"/>
          <cell r="DX59"/>
          <cell r="DY59"/>
          <cell r="DZ59"/>
          <cell r="EA59"/>
          <cell r="EB59"/>
          <cell r="EC59" t="str">
            <v>งานพิมพ์</v>
          </cell>
          <cell r="ED59" t="str">
            <v xml:space="preserve"> /</v>
          </cell>
          <cell r="EG59"/>
          <cell r="EH59"/>
          <cell r="EI59"/>
        </row>
        <row r="60">
          <cell r="B60" t="str">
            <v>MK68-001077</v>
          </cell>
          <cell r="C60">
            <v>45905</v>
          </cell>
          <cell r="E60" t="str">
            <v>บจก.เคอรี่ฟลาวมิลล์</v>
          </cell>
          <cell r="F60" t="str">
            <v>ถุงเขียว</v>
          </cell>
          <cell r="G60">
            <v>19</v>
          </cell>
          <cell r="H60">
            <v>32</v>
          </cell>
          <cell r="I60" t="str">
            <v>ขาว</v>
          </cell>
          <cell r="J60"/>
          <cell r="L60">
            <v>67</v>
          </cell>
          <cell r="M60" t="str">
            <v>+</v>
          </cell>
          <cell r="N60">
            <v>5</v>
          </cell>
          <cell r="R60" t="str">
            <v>บิด</v>
          </cell>
          <cell r="T60" t="str">
            <v>ไม่สวมถุงใน</v>
          </cell>
          <cell r="U60"/>
          <cell r="V60"/>
          <cell r="X60">
            <v>45918</v>
          </cell>
          <cell r="Z60" t="str">
            <v>ห่ออัดเบลแบน500</v>
          </cell>
          <cell r="AA60">
            <v>10000</v>
          </cell>
          <cell r="AB60">
            <v>0</v>
          </cell>
          <cell r="AC60">
            <v>0</v>
          </cell>
          <cell r="AD60">
            <v>0</v>
          </cell>
          <cell r="AG60"/>
          <cell r="AI60" t="str">
            <v>PDR250296</v>
          </cell>
          <cell r="AJ60">
            <v>0</v>
          </cell>
          <cell r="AL60">
            <v>10000</v>
          </cell>
          <cell r="AM60"/>
          <cell r="AN60">
            <v>10500</v>
          </cell>
          <cell r="AO60" t="str">
            <v>WSWT1921720</v>
          </cell>
          <cell r="AQ60">
            <v>9359.9000000000015</v>
          </cell>
          <cell r="AR60">
            <v>0</v>
          </cell>
          <cell r="AS60">
            <v>9359.9000000000015</v>
          </cell>
          <cell r="AT60">
            <v>0</v>
          </cell>
          <cell r="AU60">
            <v>0</v>
          </cell>
          <cell r="BZ60" t="str">
            <v>WRWT21720/WRWT25800</v>
          </cell>
          <cell r="CA60">
            <v>705.02926755555563</v>
          </cell>
          <cell r="DL60" t="str">
            <v>P7</v>
          </cell>
          <cell r="DM60">
            <v>2</v>
          </cell>
          <cell r="DN60">
            <v>45918</v>
          </cell>
          <cell r="DP60">
            <v>45913</v>
          </cell>
          <cell r="DQ60"/>
          <cell r="DR60">
            <v>45909</v>
          </cell>
          <cell r="DS60">
            <v>45916</v>
          </cell>
          <cell r="DT60">
            <v>45917</v>
          </cell>
          <cell r="DU60">
            <v>45917</v>
          </cell>
          <cell r="DW60"/>
          <cell r="DX60"/>
          <cell r="DY60"/>
          <cell r="DZ60"/>
          <cell r="EA60"/>
          <cell r="EB60"/>
          <cell r="EC60" t="str">
            <v>งานพิมพ์</v>
          </cell>
          <cell r="ED60" t="str">
            <v xml:space="preserve"> /</v>
          </cell>
          <cell r="EG60"/>
          <cell r="EH60"/>
          <cell r="EI60"/>
        </row>
        <row r="61">
          <cell r="B61" t="str">
            <v>MK68-001077</v>
          </cell>
          <cell r="C61">
            <v>45905</v>
          </cell>
          <cell r="E61" t="str">
            <v>บจก.เคอรี่ฟลาวมิลล์</v>
          </cell>
          <cell r="F61" t="str">
            <v>ดอกไม้เขียว</v>
          </cell>
          <cell r="G61">
            <v>19</v>
          </cell>
          <cell r="H61">
            <v>32</v>
          </cell>
          <cell r="I61" t="str">
            <v>ขาว</v>
          </cell>
          <cell r="J61"/>
          <cell r="L61">
            <v>67</v>
          </cell>
          <cell r="M61" t="str">
            <v>+</v>
          </cell>
          <cell r="N61">
            <v>5</v>
          </cell>
          <cell r="R61" t="str">
            <v>บิด</v>
          </cell>
          <cell r="T61" t="str">
            <v>ไม่สวมถุงใน</v>
          </cell>
          <cell r="U61"/>
          <cell r="V61"/>
          <cell r="X61">
            <v>45918</v>
          </cell>
          <cell r="Z61" t="str">
            <v>ห่ออัดเบลแบน500</v>
          </cell>
          <cell r="AA61">
            <v>5000</v>
          </cell>
          <cell r="AB61">
            <v>0</v>
          </cell>
          <cell r="AC61">
            <v>0</v>
          </cell>
          <cell r="AD61">
            <v>0</v>
          </cell>
          <cell r="AG61"/>
          <cell r="AI61" t="str">
            <v>PDR250296</v>
          </cell>
          <cell r="AJ61">
            <v>0</v>
          </cell>
          <cell r="AL61">
            <v>5000</v>
          </cell>
          <cell r="AM61"/>
          <cell r="AN61">
            <v>5250</v>
          </cell>
          <cell r="AO61" t="str">
            <v>WSWT1921720</v>
          </cell>
          <cell r="AQ61">
            <v>4679.9500000000007</v>
          </cell>
          <cell r="AR61">
            <v>0</v>
          </cell>
          <cell r="AS61">
            <v>4679.9500000000007</v>
          </cell>
          <cell r="AT61">
            <v>0</v>
          </cell>
          <cell r="AU61">
            <v>0</v>
          </cell>
          <cell r="BZ61" t="str">
            <v>WRWT21720/WRWT25800</v>
          </cell>
          <cell r="CA61">
            <v>352.51463377777782</v>
          </cell>
          <cell r="DL61" t="str">
            <v>P7</v>
          </cell>
          <cell r="DM61">
            <v>2</v>
          </cell>
          <cell r="DN61">
            <v>45918</v>
          </cell>
          <cell r="DP61">
            <v>45913</v>
          </cell>
          <cell r="DQ61"/>
          <cell r="DR61">
            <v>45909</v>
          </cell>
          <cell r="DS61">
            <v>45916</v>
          </cell>
          <cell r="DT61">
            <v>45917</v>
          </cell>
          <cell r="DU61">
            <v>45917</v>
          </cell>
          <cell r="DW61"/>
          <cell r="DX61"/>
          <cell r="DY61"/>
          <cell r="DZ61"/>
          <cell r="EA61"/>
          <cell r="EB61"/>
          <cell r="EC61" t="str">
            <v>งานพิมพ์</v>
          </cell>
          <cell r="ED61" t="str">
            <v xml:space="preserve"> /</v>
          </cell>
          <cell r="EG61"/>
          <cell r="EH61"/>
          <cell r="EI61"/>
        </row>
        <row r="62">
          <cell r="B62" t="str">
            <v>ประมาณการ</v>
          </cell>
          <cell r="C62" t="str">
            <v>ประมาณการ</v>
          </cell>
          <cell r="E62" t="str">
            <v>บจก.เคอรี่ฟลาวมิลล์</v>
          </cell>
          <cell r="F62" t="str">
            <v>รอแบบ</v>
          </cell>
          <cell r="G62">
            <v>19</v>
          </cell>
          <cell r="H62">
            <v>32</v>
          </cell>
          <cell r="I62" t="str">
            <v>ขาว</v>
          </cell>
          <cell r="J62"/>
          <cell r="L62">
            <v>67</v>
          </cell>
          <cell r="M62" t="str">
            <v>+</v>
          </cell>
          <cell r="N62">
            <v>5</v>
          </cell>
          <cell r="R62" t="str">
            <v>บิด</v>
          </cell>
          <cell r="T62" t="str">
            <v>ไม่สวมถุงใน</v>
          </cell>
          <cell r="U62"/>
          <cell r="V62"/>
          <cell r="X62">
            <v>45930</v>
          </cell>
          <cell r="Z62" t="str">
            <v>ห่ออัดเบลแบน500</v>
          </cell>
          <cell r="AA62">
            <v>140000</v>
          </cell>
          <cell r="AB62">
            <v>0</v>
          </cell>
          <cell r="AC62">
            <v>0</v>
          </cell>
          <cell r="AD62">
            <v>0</v>
          </cell>
          <cell r="AG62"/>
          <cell r="AI62"/>
          <cell r="AJ62">
            <v>0</v>
          </cell>
          <cell r="AL62">
            <v>140000</v>
          </cell>
          <cell r="AM62"/>
          <cell r="AN62">
            <v>147000</v>
          </cell>
          <cell r="AO62" t="str">
            <v>WSWT1921720</v>
          </cell>
          <cell r="AQ62">
            <v>131038.6</v>
          </cell>
          <cell r="AR62">
            <v>0</v>
          </cell>
          <cell r="AS62">
            <v>131038.6</v>
          </cell>
          <cell r="AT62">
            <v>0</v>
          </cell>
          <cell r="AU62">
            <v>0</v>
          </cell>
          <cell r="BZ62" t="str">
            <v>WRWT21720/WRWT25800</v>
          </cell>
          <cell r="CA62">
            <v>9870.4097457777771</v>
          </cell>
          <cell r="DL62" t="str">
            <v>P7</v>
          </cell>
          <cell r="DM62">
            <v>2</v>
          </cell>
          <cell r="DN62">
            <v>45930</v>
          </cell>
          <cell r="DP62">
            <v>45925</v>
          </cell>
          <cell r="DQ62"/>
          <cell r="DR62">
            <v>45921</v>
          </cell>
          <cell r="DS62">
            <v>45928</v>
          </cell>
          <cell r="DT62">
            <v>45929</v>
          </cell>
          <cell r="DU62">
            <v>45929</v>
          </cell>
          <cell r="DW62"/>
          <cell r="DX62"/>
          <cell r="DY62"/>
          <cell r="DZ62"/>
          <cell r="EA62"/>
          <cell r="EB62"/>
          <cell r="EC62" t="str">
            <v>งานพิมพ์</v>
          </cell>
          <cell r="ED62" t="str">
            <v>รอART</v>
          </cell>
          <cell r="EG62"/>
          <cell r="EH62"/>
          <cell r="EI62"/>
        </row>
        <row r="63">
          <cell r="B63">
            <v>0</v>
          </cell>
          <cell r="C63"/>
          <cell r="E63"/>
          <cell r="F63"/>
          <cell r="G63">
            <v>19</v>
          </cell>
          <cell r="H63">
            <v>30</v>
          </cell>
          <cell r="I63"/>
          <cell r="J63"/>
          <cell r="L63">
            <v>63</v>
          </cell>
          <cell r="M63" t="str">
            <v>+</v>
          </cell>
          <cell r="N63">
            <v>5</v>
          </cell>
          <cell r="R63"/>
          <cell r="T63"/>
          <cell r="U63"/>
          <cell r="V63"/>
          <cell r="X63"/>
          <cell r="Z63"/>
          <cell r="AA63">
            <v>0</v>
          </cell>
          <cell r="AB63"/>
          <cell r="AC63">
            <v>0</v>
          </cell>
          <cell r="AD63"/>
          <cell r="AG63"/>
          <cell r="AI63" t="str">
            <v>ระบุในSD</v>
          </cell>
          <cell r="AJ63">
            <v>0</v>
          </cell>
          <cell r="AL63">
            <v>0</v>
          </cell>
          <cell r="AM63"/>
          <cell r="AN63">
            <v>0</v>
          </cell>
          <cell r="AO63" t="str">
            <v>WSWT1921720</v>
          </cell>
          <cell r="AQ63">
            <v>262077.2</v>
          </cell>
          <cell r="AR63">
            <v>59261.500000000007</v>
          </cell>
          <cell r="AS63">
            <v>202815.7</v>
          </cell>
          <cell r="AT63">
            <v>0</v>
          </cell>
          <cell r="AU63">
            <v>0</v>
          </cell>
          <cell r="BZ63" t="str">
            <v>WRWT190720/WRWT25800</v>
          </cell>
          <cell r="CA63">
            <v>0</v>
          </cell>
          <cell r="DL63"/>
          <cell r="DM63" t="str">
            <v>Lead time</v>
          </cell>
          <cell r="DN63"/>
          <cell r="DP63"/>
          <cell r="DQ63"/>
          <cell r="DR63"/>
          <cell r="DS63"/>
          <cell r="DT63"/>
          <cell r="DU63"/>
          <cell r="DW63"/>
          <cell r="DX63"/>
          <cell r="DY63"/>
          <cell r="DZ63"/>
          <cell r="EA63"/>
          <cell r="EB63"/>
          <cell r="EC63"/>
          <cell r="ED63"/>
          <cell r="EG63"/>
          <cell r="EH63">
            <v>0</v>
          </cell>
          <cell r="EI63">
            <v>0</v>
          </cell>
        </row>
        <row r="64">
          <cell r="B64">
            <v>0</v>
          </cell>
          <cell r="C64"/>
          <cell r="E64"/>
          <cell r="F64"/>
          <cell r="G64">
            <v>19</v>
          </cell>
          <cell r="H64">
            <v>30</v>
          </cell>
          <cell r="I64"/>
          <cell r="J64"/>
          <cell r="L64">
            <v>56</v>
          </cell>
          <cell r="M64" t="str">
            <v>±</v>
          </cell>
          <cell r="N64">
            <v>5</v>
          </cell>
          <cell r="R64"/>
          <cell r="T64"/>
          <cell r="U64"/>
          <cell r="V64"/>
          <cell r="X64"/>
          <cell r="Z64"/>
          <cell r="AA64">
            <v>0</v>
          </cell>
          <cell r="AB64"/>
          <cell r="AC64">
            <v>0</v>
          </cell>
          <cell r="AD64"/>
          <cell r="AG64"/>
          <cell r="AI64" t="str">
            <v>ระบุในSD</v>
          </cell>
          <cell r="AJ64" t="str">
            <v xml:space="preserve"> </v>
          </cell>
          <cell r="AL64">
            <v>0</v>
          </cell>
          <cell r="AM64"/>
          <cell r="AN64">
            <v>0</v>
          </cell>
          <cell r="AO64" t="str">
            <v>WSWT1925800SM</v>
          </cell>
          <cell r="AQ64" t="e">
            <v>#REF!</v>
          </cell>
          <cell r="AR64" t="e">
            <v>#REF!</v>
          </cell>
          <cell r="AS64" t="e">
            <v>#REF!</v>
          </cell>
          <cell r="AT64" t="e">
            <v>#REF!</v>
          </cell>
          <cell r="AU64" t="e">
            <v>#REF!</v>
          </cell>
          <cell r="BZ64" t="str">
            <v>WRWT190800/WRWT25800</v>
          </cell>
          <cell r="CA64">
            <v>0</v>
          </cell>
          <cell r="DL64"/>
          <cell r="DM64" t="str">
            <v>Lead time</v>
          </cell>
          <cell r="DN64"/>
          <cell r="DP64"/>
          <cell r="DQ64"/>
          <cell r="DR64"/>
          <cell r="DS64"/>
          <cell r="DT64"/>
          <cell r="DU64"/>
          <cell r="DW64"/>
          <cell r="DX64"/>
          <cell r="DY64"/>
          <cell r="DZ64"/>
          <cell r="EA64"/>
          <cell r="EB64"/>
          <cell r="EC64"/>
          <cell r="ED64"/>
          <cell r="EG64"/>
          <cell r="EH64">
            <v>0</v>
          </cell>
          <cell r="EI64">
            <v>0</v>
          </cell>
        </row>
        <row r="65">
          <cell r="B65" t="str">
            <v>ใบรับคำสั่งซื้อ</v>
          </cell>
          <cell r="C65">
            <v>45905</v>
          </cell>
          <cell r="E65" t="str">
            <v>บจก.อินเทคค์ โกลบอล</v>
          </cell>
          <cell r="F65" t="str">
            <v>เพอเฟคค์103P โกลด์</v>
          </cell>
          <cell r="G65">
            <v>19</v>
          </cell>
          <cell r="H65">
            <v>34</v>
          </cell>
          <cell r="I65" t="str">
            <v>ขาว</v>
          </cell>
          <cell r="J65" t="str">
            <v>ด้าน</v>
          </cell>
          <cell r="L65">
            <v>100</v>
          </cell>
          <cell r="M65" t="str">
            <v>±</v>
          </cell>
          <cell r="N65">
            <v>5</v>
          </cell>
          <cell r="R65" t="str">
            <v>จับจีบ4"</v>
          </cell>
          <cell r="T65" t="str">
            <v>ไม่สวมถุงใน</v>
          </cell>
          <cell r="U65"/>
          <cell r="V65"/>
          <cell r="X65">
            <v>45920</v>
          </cell>
          <cell r="Z65" t="str">
            <v>มัด80 ใช้สายรัด</v>
          </cell>
          <cell r="AA65">
            <v>5040</v>
          </cell>
          <cell r="AB65">
            <v>0</v>
          </cell>
          <cell r="AC65">
            <v>0</v>
          </cell>
          <cell r="AD65">
            <v>0</v>
          </cell>
          <cell r="AG65"/>
          <cell r="AI65"/>
          <cell r="AJ65">
            <v>0</v>
          </cell>
          <cell r="AL65">
            <v>5040</v>
          </cell>
          <cell r="AM65"/>
          <cell r="AN65">
            <v>5292</v>
          </cell>
          <cell r="AO65" t="str">
            <v>WSWT19251000SM</v>
          </cell>
          <cell r="AQ65">
            <v>4999.0247999999992</v>
          </cell>
          <cell r="AR65">
            <v>2960</v>
          </cell>
          <cell r="AS65">
            <v>2039.0247999999992</v>
          </cell>
          <cell r="AT65">
            <v>0</v>
          </cell>
          <cell r="AU65">
            <v>4999.0247999999992</v>
          </cell>
          <cell r="BZ65" t="str">
            <v>WRWT251000/WRWT251000</v>
          </cell>
          <cell r="CA65">
            <v>172.18431644444436</v>
          </cell>
          <cell r="DL65" t="str">
            <v>P6</v>
          </cell>
          <cell r="DM65">
            <v>4</v>
          </cell>
          <cell r="DN65">
            <v>45920</v>
          </cell>
          <cell r="DP65">
            <v>45915</v>
          </cell>
          <cell r="DQ65">
            <v>45916</v>
          </cell>
          <cell r="DR65">
            <v>45909</v>
          </cell>
          <cell r="DS65">
            <v>45917</v>
          </cell>
          <cell r="DT65">
            <v>45918</v>
          </cell>
          <cell r="DU65">
            <v>45919</v>
          </cell>
          <cell r="DW65"/>
          <cell r="DX65"/>
          <cell r="DY65"/>
          <cell r="DZ65"/>
          <cell r="EA65"/>
          <cell r="EB65"/>
          <cell r="EC65" t="str">
            <v>งานเคลือบ+พิมพ์</v>
          </cell>
          <cell r="ED65" t="str">
            <v>รอART</v>
          </cell>
          <cell r="EG65"/>
          <cell r="EH65"/>
          <cell r="EI65"/>
        </row>
        <row r="66">
          <cell r="B66" t="str">
            <v>ใบรับคำสั่งซื้อ</v>
          </cell>
          <cell r="C66">
            <v>45905</v>
          </cell>
          <cell r="E66" t="str">
            <v>บจก.อินเทคค์ โกลบอล</v>
          </cell>
          <cell r="F66" t="str">
            <v>เพอเฟคค์104 โกลด์</v>
          </cell>
          <cell r="G66">
            <v>19</v>
          </cell>
          <cell r="H66">
            <v>34</v>
          </cell>
          <cell r="I66" t="str">
            <v>ขาว</v>
          </cell>
          <cell r="J66" t="str">
            <v>ด้าน</v>
          </cell>
          <cell r="L66">
            <v>100</v>
          </cell>
          <cell r="M66" t="str">
            <v>±</v>
          </cell>
          <cell r="N66">
            <v>5</v>
          </cell>
          <cell r="R66" t="str">
            <v>จับจีบ4"</v>
          </cell>
          <cell r="T66" t="str">
            <v>ไม่สวมถุงใน</v>
          </cell>
          <cell r="U66"/>
          <cell r="V66"/>
          <cell r="X66">
            <v>45920</v>
          </cell>
          <cell r="Z66" t="str">
            <v>มัด80 ใช้สายรัด</v>
          </cell>
          <cell r="AA66">
            <v>5040</v>
          </cell>
          <cell r="AB66">
            <v>0</v>
          </cell>
          <cell r="AC66">
            <v>0</v>
          </cell>
          <cell r="AD66">
            <v>0</v>
          </cell>
          <cell r="AG66"/>
          <cell r="AI66"/>
          <cell r="AJ66">
            <v>0</v>
          </cell>
          <cell r="AL66">
            <v>5040</v>
          </cell>
          <cell r="AM66"/>
          <cell r="AN66">
            <v>5292</v>
          </cell>
          <cell r="AO66" t="str">
            <v>WSWT19251000SM</v>
          </cell>
          <cell r="AQ66">
            <v>4999.0247999999992</v>
          </cell>
          <cell r="AR66">
            <v>0</v>
          </cell>
          <cell r="AS66">
            <v>4999.0247999999992</v>
          </cell>
          <cell r="AT66">
            <v>0</v>
          </cell>
          <cell r="AU66">
            <v>4999.0247999999992</v>
          </cell>
          <cell r="BZ66" t="str">
            <v>WRWT251000/WRWT251000</v>
          </cell>
          <cell r="CA66">
            <v>422.13987199999991</v>
          </cell>
          <cell r="DL66" t="str">
            <v>P6</v>
          </cell>
          <cell r="DM66">
            <v>4</v>
          </cell>
          <cell r="DN66">
            <v>45920</v>
          </cell>
          <cell r="DP66">
            <v>45915</v>
          </cell>
          <cell r="DQ66">
            <v>45916</v>
          </cell>
          <cell r="DR66">
            <v>45909</v>
          </cell>
          <cell r="DS66">
            <v>45917</v>
          </cell>
          <cell r="DT66">
            <v>45918</v>
          </cell>
          <cell r="DU66">
            <v>45919</v>
          </cell>
          <cell r="DW66"/>
          <cell r="DX66"/>
          <cell r="DY66"/>
          <cell r="DZ66"/>
          <cell r="EA66"/>
          <cell r="EB66"/>
          <cell r="EC66" t="str">
            <v>งานเคลือบ+พิมพ์</v>
          </cell>
          <cell r="ED66" t="str">
            <v>รอART</v>
          </cell>
          <cell r="EG66"/>
          <cell r="EH66"/>
          <cell r="EI66"/>
        </row>
        <row r="67">
          <cell r="B67" t="str">
            <v>MK68-000680</v>
          </cell>
          <cell r="C67">
            <v>45796</v>
          </cell>
          <cell r="E67" t="str">
            <v>บจก.อินเทคค์ โกลบอล</v>
          </cell>
          <cell r="F67" t="str">
            <v>เพอเฟคค์103P โกลด์</v>
          </cell>
          <cell r="G67">
            <v>19</v>
          </cell>
          <cell r="H67">
            <v>34</v>
          </cell>
          <cell r="I67" t="str">
            <v>ขาว</v>
          </cell>
          <cell r="J67" t="str">
            <v>ด้าน</v>
          </cell>
          <cell r="L67">
            <v>100</v>
          </cell>
          <cell r="M67" t="str">
            <v>±</v>
          </cell>
          <cell r="N67">
            <v>5</v>
          </cell>
          <cell r="R67" t="str">
            <v>จับจีบ4"</v>
          </cell>
          <cell r="T67" t="str">
            <v>ไม่สวมถุงใน</v>
          </cell>
          <cell r="U67"/>
          <cell r="V67"/>
          <cell r="X67" t="str">
            <v>รอแจ้ง</v>
          </cell>
          <cell r="Z67" t="str">
            <v>มัด80 ใช้สายรัด</v>
          </cell>
          <cell r="AA67">
            <v>503</v>
          </cell>
          <cell r="AB67">
            <v>0</v>
          </cell>
          <cell r="AC67">
            <v>0</v>
          </cell>
          <cell r="AD67">
            <v>0</v>
          </cell>
          <cell r="AG67"/>
          <cell r="AI67"/>
          <cell r="AJ67">
            <v>0</v>
          </cell>
          <cell r="AL67">
            <v>503</v>
          </cell>
          <cell r="AM67">
            <v>5250</v>
          </cell>
          <cell r="AN67">
            <v>0</v>
          </cell>
          <cell r="AO67" t="str">
            <v>WSWT19251000SM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BZ67" t="str">
            <v>WRWT251000/WRWT251000</v>
          </cell>
          <cell r="CA67">
            <v>0</v>
          </cell>
          <cell r="DL67" t="str">
            <v>P6</v>
          </cell>
          <cell r="DM67">
            <v>4</v>
          </cell>
          <cell r="DN67" t="str">
            <v>รอแจ้ง</v>
          </cell>
          <cell r="DP67" t="e">
            <v>#VALUE!</v>
          </cell>
          <cell r="DQ67" t="e">
            <v>#VALUE!</v>
          </cell>
          <cell r="DR67" t="e">
            <v>#VALUE!</v>
          </cell>
          <cell r="DS67" t="e">
            <v>#VALUE!</v>
          </cell>
          <cell r="DT67" t="e">
            <v>#VALUE!</v>
          </cell>
          <cell r="DU67" t="e">
            <v>#VALUE!</v>
          </cell>
          <cell r="DW67"/>
          <cell r="DX67"/>
          <cell r="DY67"/>
          <cell r="DZ67"/>
          <cell r="EA67"/>
          <cell r="EB67"/>
          <cell r="EC67" t="str">
            <v>งานเคลือบ+พิมพ์</v>
          </cell>
          <cell r="ED67" t="str">
            <v xml:space="preserve"> /</v>
          </cell>
          <cell r="EG67"/>
          <cell r="EH67"/>
          <cell r="EI67"/>
        </row>
        <row r="68">
          <cell r="B68">
            <v>0</v>
          </cell>
          <cell r="C68"/>
          <cell r="E68"/>
          <cell r="F68"/>
          <cell r="G68">
            <v>19</v>
          </cell>
          <cell r="H68">
            <v>34</v>
          </cell>
          <cell r="I68" t="str">
            <v>ขาว</v>
          </cell>
          <cell r="J68"/>
          <cell r="L68">
            <v>80</v>
          </cell>
          <cell r="M68" t="str">
            <v>±</v>
          </cell>
          <cell r="N68">
            <v>5</v>
          </cell>
          <cell r="R68"/>
          <cell r="T68"/>
          <cell r="U68"/>
          <cell r="V68"/>
          <cell r="X68"/>
          <cell r="Z68"/>
          <cell r="AA68"/>
          <cell r="AB68">
            <v>0</v>
          </cell>
          <cell r="AC68">
            <v>0</v>
          </cell>
          <cell r="AD68"/>
          <cell r="AG68"/>
          <cell r="AI68" t="str">
            <v>ระบุในSD</v>
          </cell>
          <cell r="AJ68"/>
          <cell r="AL68">
            <v>0</v>
          </cell>
          <cell r="AM68"/>
          <cell r="AN68">
            <v>0</v>
          </cell>
          <cell r="AO68" t="str">
            <v>WSWT19251000SM</v>
          </cell>
          <cell r="AQ68">
            <v>9998.0495999999985</v>
          </cell>
          <cell r="AR68">
            <v>2960</v>
          </cell>
          <cell r="AS68">
            <v>7038.0495999999985</v>
          </cell>
          <cell r="AT68">
            <v>0</v>
          </cell>
          <cell r="AU68">
            <v>9998.0495999999985</v>
          </cell>
          <cell r="BZ68" t="str">
            <v>WRWT251000/WRYL251000</v>
          </cell>
          <cell r="CA68">
            <v>0</v>
          </cell>
          <cell r="DL68"/>
          <cell r="DM68" t="str">
            <v>Lead time</v>
          </cell>
          <cell r="DN68"/>
          <cell r="DP68"/>
          <cell r="DQ68"/>
          <cell r="DR68"/>
          <cell r="DS68"/>
          <cell r="DT68"/>
          <cell r="DU68"/>
          <cell r="DW68"/>
          <cell r="DX68"/>
          <cell r="DY68"/>
          <cell r="DZ68"/>
          <cell r="EA68"/>
          <cell r="EB68"/>
          <cell r="EC68"/>
          <cell r="ED68"/>
          <cell r="EG68"/>
          <cell r="EH68"/>
          <cell r="EI68">
            <v>0</v>
          </cell>
        </row>
        <row r="69">
          <cell r="B69">
            <v>0</v>
          </cell>
          <cell r="C69"/>
          <cell r="E69"/>
          <cell r="F69"/>
          <cell r="G69">
            <v>20</v>
          </cell>
          <cell r="H69">
            <v>37</v>
          </cell>
          <cell r="I69" t="str">
            <v>ขาว</v>
          </cell>
          <cell r="J69"/>
          <cell r="L69">
            <v>65</v>
          </cell>
          <cell r="M69" t="str">
            <v>±</v>
          </cell>
          <cell r="N69">
            <v>5</v>
          </cell>
          <cell r="R69"/>
          <cell r="T69"/>
          <cell r="U69"/>
          <cell r="V69"/>
          <cell r="X69"/>
          <cell r="Z69"/>
          <cell r="AA69"/>
          <cell r="AB69">
            <v>0</v>
          </cell>
          <cell r="AC69">
            <v>0</v>
          </cell>
          <cell r="AD69"/>
          <cell r="AG69"/>
          <cell r="AI69" t="str">
            <v>ระบุในSD</v>
          </cell>
          <cell r="AJ69"/>
          <cell r="AL69">
            <v>0</v>
          </cell>
          <cell r="AM69"/>
          <cell r="AN69">
            <v>0</v>
          </cell>
          <cell r="AO69" t="str">
            <v>WSWT2025650</v>
          </cell>
          <cell r="AQ69" t="e">
            <v>#REF!</v>
          </cell>
          <cell r="AR69" t="e">
            <v>#REF!</v>
          </cell>
          <cell r="AS69" t="e">
            <v>#REF!</v>
          </cell>
          <cell r="AT69" t="e">
            <v>#REF!</v>
          </cell>
          <cell r="AU69" t="e">
            <v>#REF!</v>
          </cell>
          <cell r="BZ69" t="str">
            <v>WRWT25650/WRWT25650</v>
          </cell>
          <cell r="CA69">
            <v>0</v>
          </cell>
          <cell r="DL69"/>
          <cell r="DM69" t="str">
            <v>Lead time</v>
          </cell>
          <cell r="DN69"/>
          <cell r="DP69"/>
          <cell r="DQ69"/>
          <cell r="DR69"/>
          <cell r="DS69"/>
          <cell r="DT69"/>
          <cell r="DU69"/>
          <cell r="DW69"/>
          <cell r="DX69"/>
          <cell r="DY69"/>
          <cell r="DZ69"/>
          <cell r="EA69"/>
          <cell r="EB69"/>
          <cell r="EC69"/>
          <cell r="ED69"/>
          <cell r="EG69"/>
          <cell r="EH69"/>
          <cell r="EI69">
            <v>0</v>
          </cell>
        </row>
        <row r="70">
          <cell r="B70">
            <v>0</v>
          </cell>
          <cell r="C70"/>
          <cell r="E70"/>
          <cell r="F70"/>
          <cell r="G70">
            <v>20</v>
          </cell>
          <cell r="H70">
            <v>37</v>
          </cell>
          <cell r="I70" t="str">
            <v>ขาว</v>
          </cell>
          <cell r="J70"/>
          <cell r="L70">
            <v>70</v>
          </cell>
          <cell r="M70" t="str">
            <v>±</v>
          </cell>
          <cell r="N70">
            <v>5</v>
          </cell>
          <cell r="R70"/>
          <cell r="T70"/>
          <cell r="U70"/>
          <cell r="V70"/>
          <cell r="X70"/>
          <cell r="Z70"/>
          <cell r="AA70"/>
          <cell r="AB70">
            <v>0</v>
          </cell>
          <cell r="AC70">
            <v>0</v>
          </cell>
          <cell r="AD70"/>
          <cell r="AG70"/>
          <cell r="AI70" t="str">
            <v>ระบุในSD</v>
          </cell>
          <cell r="AJ70"/>
          <cell r="AL70">
            <v>0</v>
          </cell>
          <cell r="AM70"/>
          <cell r="AN70">
            <v>0</v>
          </cell>
          <cell r="AO70" t="str">
            <v>WSWT2025700</v>
          </cell>
          <cell r="AQ70" t="e">
            <v>#REF!</v>
          </cell>
          <cell r="AR70" t="e">
            <v>#REF!</v>
          </cell>
          <cell r="AS70" t="e">
            <v>#REF!</v>
          </cell>
          <cell r="AT70" t="e">
            <v>#REF!</v>
          </cell>
          <cell r="AU70" t="e">
            <v>#REF!</v>
          </cell>
          <cell r="BZ70" t="str">
            <v>WRWT25800/WRWT25650</v>
          </cell>
          <cell r="CA70">
            <v>0</v>
          </cell>
          <cell r="DL70"/>
          <cell r="DM70" t="str">
            <v>Lead time</v>
          </cell>
          <cell r="DN70"/>
          <cell r="DP70"/>
          <cell r="DQ70"/>
          <cell r="DR70"/>
          <cell r="DS70"/>
          <cell r="DT70"/>
          <cell r="DU70"/>
          <cell r="DW70"/>
          <cell r="DX70"/>
          <cell r="DY70"/>
          <cell r="DZ70"/>
          <cell r="EA70"/>
          <cell r="EB70"/>
          <cell r="EC70"/>
          <cell r="ED70"/>
          <cell r="EG70"/>
          <cell r="EH70"/>
          <cell r="EI70">
            <v>0</v>
          </cell>
        </row>
        <row r="71">
          <cell r="B71" t="str">
            <v>MK68-000990</v>
          </cell>
          <cell r="C71">
            <v>45877</v>
          </cell>
          <cell r="E71" t="str">
            <v>บจก.เอสพีเอ็ม อาหารสัตว์</v>
          </cell>
          <cell r="F71" t="str">
            <v>SW 441 PLUS</v>
          </cell>
          <cell r="G71">
            <v>20</v>
          </cell>
          <cell r="H71">
            <v>38</v>
          </cell>
          <cell r="I71" t="str">
            <v>ขาว</v>
          </cell>
          <cell r="J71" t="str">
            <v>ใส</v>
          </cell>
          <cell r="L71">
            <v>100</v>
          </cell>
          <cell r="M71" t="str">
            <v>±</v>
          </cell>
          <cell r="N71">
            <v>5</v>
          </cell>
          <cell r="R71" t="str">
            <v>บิด</v>
          </cell>
          <cell r="T71" t="str">
            <v>ไม่สวมถุงใน</v>
          </cell>
          <cell r="U71"/>
          <cell r="V71"/>
          <cell r="X71">
            <v>45906</v>
          </cell>
          <cell r="Z71" t="str">
            <v>500กระสอบแบน</v>
          </cell>
          <cell r="AA71">
            <v>3000</v>
          </cell>
          <cell r="AB71">
            <v>0</v>
          </cell>
          <cell r="AC71">
            <v>0</v>
          </cell>
          <cell r="AD71">
            <v>0</v>
          </cell>
          <cell r="AG71"/>
          <cell r="AI71"/>
          <cell r="AJ71">
            <v>3000</v>
          </cell>
          <cell r="AL71">
            <v>0</v>
          </cell>
          <cell r="AM71">
            <v>3300</v>
          </cell>
          <cell r="AN71">
            <v>0</v>
          </cell>
          <cell r="AO71" t="str">
            <v>WSWT2025800SM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BZ71" t="str">
            <v>WRWT25850/WRWT25850</v>
          </cell>
          <cell r="CA71">
            <v>0</v>
          </cell>
          <cell r="DL71" t="str">
            <v>P6</v>
          </cell>
          <cell r="DM71">
            <v>4</v>
          </cell>
          <cell r="DN71">
            <v>45906</v>
          </cell>
          <cell r="DP71">
            <v>45901</v>
          </cell>
          <cell r="DQ71">
            <v>45902</v>
          </cell>
          <cell r="DR71">
            <v>45895</v>
          </cell>
          <cell r="DS71">
            <v>45903</v>
          </cell>
          <cell r="DT71">
            <v>45904</v>
          </cell>
          <cell r="DU71">
            <v>45905</v>
          </cell>
          <cell r="DW71"/>
          <cell r="DX71"/>
          <cell r="DY71"/>
          <cell r="DZ71"/>
          <cell r="EA71"/>
          <cell r="EB71"/>
          <cell r="EC71" t="str">
            <v>งานเคลือบ+พิมพ์</v>
          </cell>
          <cell r="ED71" t="str">
            <v xml:space="preserve"> /</v>
          </cell>
          <cell r="EG71"/>
          <cell r="EH71"/>
          <cell r="EI71"/>
        </row>
        <row r="72">
          <cell r="B72" t="str">
            <v>MK68-000877</v>
          </cell>
          <cell r="C72">
            <v>45850</v>
          </cell>
          <cell r="E72" t="str">
            <v>บจก.เอพีเอ็ม อะโกร</v>
          </cell>
          <cell r="F72" t="str">
            <v>ยู-ฟีด รวมหมู</v>
          </cell>
          <cell r="G72">
            <v>20</v>
          </cell>
          <cell r="H72">
            <v>38</v>
          </cell>
          <cell r="I72" t="str">
            <v>ขาว</v>
          </cell>
          <cell r="J72" t="str">
            <v>ใส</v>
          </cell>
          <cell r="L72">
            <v>100</v>
          </cell>
          <cell r="M72" t="str">
            <v>±</v>
          </cell>
          <cell r="N72">
            <v>5</v>
          </cell>
          <cell r="R72" t="str">
            <v>บิด</v>
          </cell>
          <cell r="T72" t="str">
            <v>ไม่สวมถุงใน</v>
          </cell>
          <cell r="U72"/>
          <cell r="V72"/>
          <cell r="X72">
            <v>45906</v>
          </cell>
          <cell r="Z72" t="str">
            <v>500กระสอบแบน</v>
          </cell>
          <cell r="AA72">
            <v>3000</v>
          </cell>
          <cell r="AB72">
            <v>0</v>
          </cell>
          <cell r="AC72">
            <v>0</v>
          </cell>
          <cell r="AD72">
            <v>0</v>
          </cell>
          <cell r="AG72" t="str">
            <v>ลบสี</v>
          </cell>
          <cell r="AI72"/>
          <cell r="AJ72">
            <v>3000</v>
          </cell>
          <cell r="AL72">
            <v>0</v>
          </cell>
          <cell r="AM72">
            <v>3300</v>
          </cell>
          <cell r="AN72">
            <v>0</v>
          </cell>
          <cell r="AO72" t="str">
            <v>WSWT2025800SM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BZ72" t="str">
            <v>WRWT25850/WRWT25850</v>
          </cell>
          <cell r="CA72">
            <v>0</v>
          </cell>
          <cell r="DL72" t="str">
            <v>P6</v>
          </cell>
          <cell r="DM72">
            <v>4</v>
          </cell>
          <cell r="DN72">
            <v>45906</v>
          </cell>
          <cell r="DP72">
            <v>45901</v>
          </cell>
          <cell r="DQ72">
            <v>45902</v>
          </cell>
          <cell r="DR72">
            <v>45895</v>
          </cell>
          <cell r="DS72">
            <v>45903</v>
          </cell>
          <cell r="DT72">
            <v>45904</v>
          </cell>
          <cell r="DU72">
            <v>45905</v>
          </cell>
          <cell r="DW72"/>
          <cell r="DX72"/>
          <cell r="DY72"/>
          <cell r="DZ72"/>
          <cell r="EA72"/>
          <cell r="EB72"/>
          <cell r="EC72" t="str">
            <v>งานเคลือบ+พิมพ์</v>
          </cell>
          <cell r="ED72" t="str">
            <v xml:space="preserve"> /</v>
          </cell>
          <cell r="EG72"/>
          <cell r="EH72"/>
          <cell r="EI72"/>
        </row>
        <row r="73">
          <cell r="B73" t="str">
            <v>ใบรับคำสั่งซื้อ</v>
          </cell>
          <cell r="C73">
            <v>45905</v>
          </cell>
          <cell r="E73" t="str">
            <v>บจก.อินเทคค์ โกลบอล</v>
          </cell>
          <cell r="F73" t="str">
            <v>เฟิร์สช้อย 914</v>
          </cell>
          <cell r="G73">
            <v>20</v>
          </cell>
          <cell r="H73">
            <v>36</v>
          </cell>
          <cell r="I73" t="str">
            <v>ขาว</v>
          </cell>
          <cell r="J73" t="str">
            <v>ด้าน</v>
          </cell>
          <cell r="L73">
            <v>100</v>
          </cell>
          <cell r="M73" t="str">
            <v>±</v>
          </cell>
          <cell r="N73">
            <v>5</v>
          </cell>
          <cell r="R73" t="str">
            <v>จับจีบ</v>
          </cell>
          <cell r="T73" t="str">
            <v>ไม่สวมถุงใน</v>
          </cell>
          <cell r="U73"/>
          <cell r="V73"/>
          <cell r="X73">
            <v>45919</v>
          </cell>
          <cell r="Z73" t="str">
            <v>มัด80 ใช้สายรัด</v>
          </cell>
          <cell r="AA73">
            <v>5040</v>
          </cell>
          <cell r="AB73">
            <v>0</v>
          </cell>
          <cell r="AC73">
            <v>0</v>
          </cell>
          <cell r="AD73">
            <v>0</v>
          </cell>
          <cell r="AG73"/>
          <cell r="AI73"/>
          <cell r="AJ73">
            <v>0</v>
          </cell>
          <cell r="AL73">
            <v>5040</v>
          </cell>
          <cell r="AM73"/>
          <cell r="AN73">
            <v>5292</v>
          </cell>
          <cell r="AO73" t="str">
            <v>WSWT2025800SM</v>
          </cell>
          <cell r="AQ73">
            <v>5280.6600000000008</v>
          </cell>
          <cell r="AR73">
            <v>0</v>
          </cell>
          <cell r="AS73">
            <v>5280.6600000000008</v>
          </cell>
          <cell r="AT73">
            <v>0</v>
          </cell>
          <cell r="AU73">
            <v>5280.6600000000008</v>
          </cell>
          <cell r="BZ73" t="str">
            <v>WRWT25850/WRWT25850</v>
          </cell>
          <cell r="CA73">
            <v>398.98320000000001</v>
          </cell>
          <cell r="DL73" t="str">
            <v>P6</v>
          </cell>
          <cell r="DM73">
            <v>4</v>
          </cell>
          <cell r="DN73">
            <v>45919</v>
          </cell>
          <cell r="DP73">
            <v>45914</v>
          </cell>
          <cell r="DQ73">
            <v>45915</v>
          </cell>
          <cell r="DR73">
            <v>45908</v>
          </cell>
          <cell r="DS73">
            <v>45916</v>
          </cell>
          <cell r="DT73">
            <v>45917</v>
          </cell>
          <cell r="DU73">
            <v>45918</v>
          </cell>
          <cell r="DW73"/>
          <cell r="DX73"/>
          <cell r="DY73"/>
          <cell r="DZ73"/>
          <cell r="EA73"/>
          <cell r="EB73"/>
          <cell r="EC73" t="str">
            <v>งานเคลือบ+พิมพ์</v>
          </cell>
          <cell r="ED73" t="str">
            <v>รอART</v>
          </cell>
          <cell r="EG73"/>
          <cell r="EH73"/>
          <cell r="EI73"/>
        </row>
        <row r="74">
          <cell r="B74" t="str">
            <v>ใบรับคำสั่งซื้อ</v>
          </cell>
          <cell r="C74">
            <v>45905</v>
          </cell>
          <cell r="E74" t="str">
            <v>บจก.อินเทคค์ โกลบอล</v>
          </cell>
          <cell r="F74" t="str">
            <v>เพอเฟคค์ 912</v>
          </cell>
          <cell r="G74">
            <v>20</v>
          </cell>
          <cell r="H74">
            <v>36</v>
          </cell>
          <cell r="I74" t="str">
            <v>ขาว</v>
          </cell>
          <cell r="J74" t="str">
            <v>ด้าน</v>
          </cell>
          <cell r="L74">
            <v>100</v>
          </cell>
          <cell r="M74" t="str">
            <v>±</v>
          </cell>
          <cell r="N74">
            <v>5</v>
          </cell>
          <cell r="R74" t="str">
            <v>จับจีบ</v>
          </cell>
          <cell r="T74" t="str">
            <v>ไม่สวมถุงใน</v>
          </cell>
          <cell r="U74"/>
          <cell r="V74"/>
          <cell r="X74">
            <v>45919</v>
          </cell>
          <cell r="Z74" t="str">
            <v>มัด80 ใช้สายรัด</v>
          </cell>
          <cell r="AA74">
            <v>10000</v>
          </cell>
          <cell r="AB74">
            <v>0</v>
          </cell>
          <cell r="AC74">
            <v>0</v>
          </cell>
          <cell r="AD74">
            <v>0</v>
          </cell>
          <cell r="AG74"/>
          <cell r="AI74"/>
          <cell r="AJ74">
            <v>0</v>
          </cell>
          <cell r="AL74">
            <v>10000</v>
          </cell>
          <cell r="AM74"/>
          <cell r="AN74">
            <v>10500</v>
          </cell>
          <cell r="AO74" t="str">
            <v>WSWT2025800SM</v>
          </cell>
          <cell r="AQ74">
            <v>10477.5</v>
          </cell>
          <cell r="AR74">
            <v>0</v>
          </cell>
          <cell r="AS74">
            <v>10477.5</v>
          </cell>
          <cell r="AT74">
            <v>0</v>
          </cell>
          <cell r="AU74">
            <v>10477.5</v>
          </cell>
          <cell r="BZ74" t="str">
            <v>WRWT25850/WRWT25850</v>
          </cell>
          <cell r="CA74">
            <v>791.63333333333321</v>
          </cell>
          <cell r="DL74" t="str">
            <v>P6</v>
          </cell>
          <cell r="DM74">
            <v>4</v>
          </cell>
          <cell r="DN74">
            <v>45919</v>
          </cell>
          <cell r="DP74">
            <v>45914</v>
          </cell>
          <cell r="DQ74">
            <v>45915</v>
          </cell>
          <cell r="DR74">
            <v>45908</v>
          </cell>
          <cell r="DS74">
            <v>45916</v>
          </cell>
          <cell r="DT74">
            <v>45917</v>
          </cell>
          <cell r="DU74">
            <v>45918</v>
          </cell>
          <cell r="DW74"/>
          <cell r="DX74"/>
          <cell r="DY74"/>
          <cell r="DZ74"/>
          <cell r="EA74"/>
          <cell r="EB74"/>
          <cell r="EC74" t="str">
            <v>งานเคลือบ+พิมพ์</v>
          </cell>
          <cell r="ED74" t="str">
            <v>รอART</v>
          </cell>
          <cell r="EG74"/>
          <cell r="EH74"/>
          <cell r="EI74"/>
        </row>
        <row r="75">
          <cell r="B75" t="str">
            <v>ใบรับคำสั่งซื้อ</v>
          </cell>
          <cell r="C75">
            <v>45905</v>
          </cell>
          <cell r="E75" t="str">
            <v>บจก.อินเทคค์ โกลบอล</v>
          </cell>
          <cell r="F75" t="str">
            <v>เฟิร์สช้อย 912</v>
          </cell>
          <cell r="G75">
            <v>20</v>
          </cell>
          <cell r="H75">
            <v>36</v>
          </cell>
          <cell r="I75" t="str">
            <v>ขาว</v>
          </cell>
          <cell r="J75" t="str">
            <v>ด้าน</v>
          </cell>
          <cell r="L75">
            <v>100</v>
          </cell>
          <cell r="M75" t="str">
            <v>±</v>
          </cell>
          <cell r="N75">
            <v>5</v>
          </cell>
          <cell r="R75" t="str">
            <v>จับจีบ</v>
          </cell>
          <cell r="T75" t="str">
            <v>ไม่สวมถุงใน</v>
          </cell>
          <cell r="U75"/>
          <cell r="V75"/>
          <cell r="X75">
            <v>45920</v>
          </cell>
          <cell r="Z75" t="str">
            <v>มัด80 ใช้สายรัด</v>
          </cell>
          <cell r="AA75">
            <v>5040</v>
          </cell>
          <cell r="AB75">
            <v>0</v>
          </cell>
          <cell r="AC75">
            <v>0</v>
          </cell>
          <cell r="AD75">
            <v>0</v>
          </cell>
          <cell r="AG75"/>
          <cell r="AI75"/>
          <cell r="AJ75">
            <v>0</v>
          </cell>
          <cell r="AL75">
            <v>5040</v>
          </cell>
          <cell r="AM75"/>
          <cell r="AN75">
            <v>5292</v>
          </cell>
          <cell r="AO75" t="str">
            <v>WSWT2025800SM</v>
          </cell>
          <cell r="AQ75">
            <v>5280.6600000000008</v>
          </cell>
          <cell r="AR75">
            <v>0</v>
          </cell>
          <cell r="AS75">
            <v>5280.6600000000008</v>
          </cell>
          <cell r="AT75">
            <v>0</v>
          </cell>
          <cell r="AU75">
            <v>5280.6600000000008</v>
          </cell>
          <cell r="BZ75" t="str">
            <v>WRWT25850/WRWT25850</v>
          </cell>
          <cell r="CA75">
            <v>398.98320000000001</v>
          </cell>
          <cell r="DL75" t="str">
            <v>P6</v>
          </cell>
          <cell r="DM75">
            <v>4</v>
          </cell>
          <cell r="DN75">
            <v>45920</v>
          </cell>
          <cell r="DP75">
            <v>45915</v>
          </cell>
          <cell r="DQ75">
            <v>45916</v>
          </cell>
          <cell r="DR75">
            <v>45909</v>
          </cell>
          <cell r="DS75">
            <v>45917</v>
          </cell>
          <cell r="DT75">
            <v>45918</v>
          </cell>
          <cell r="DU75">
            <v>45919</v>
          </cell>
          <cell r="DW75"/>
          <cell r="DX75"/>
          <cell r="DY75"/>
          <cell r="DZ75"/>
          <cell r="EA75"/>
          <cell r="EB75"/>
          <cell r="EC75" t="str">
            <v>งานเคลือบ+พิมพ์</v>
          </cell>
          <cell r="ED75" t="str">
            <v>รอART</v>
          </cell>
          <cell r="EG75"/>
          <cell r="EH75"/>
          <cell r="EI75"/>
        </row>
        <row r="76">
          <cell r="B76" t="str">
            <v>ใบรับคำสั่งซื้อ</v>
          </cell>
          <cell r="C76">
            <v>45905</v>
          </cell>
          <cell r="E76" t="str">
            <v>บจก.อินเทคค์ โกลบอล</v>
          </cell>
          <cell r="F76" t="str">
            <v>เฟิร์สช้อย 902</v>
          </cell>
          <cell r="G76">
            <v>20</v>
          </cell>
          <cell r="H76">
            <v>36</v>
          </cell>
          <cell r="I76" t="str">
            <v>ขาว</v>
          </cell>
          <cell r="J76" t="str">
            <v>ด้าน</v>
          </cell>
          <cell r="L76">
            <v>100</v>
          </cell>
          <cell r="M76" t="str">
            <v>±</v>
          </cell>
          <cell r="N76">
            <v>5</v>
          </cell>
          <cell r="R76" t="str">
            <v>จับจีบ</v>
          </cell>
          <cell r="T76" t="str">
            <v>ไม่สวมถุงใน</v>
          </cell>
          <cell r="U76"/>
          <cell r="V76"/>
          <cell r="X76">
            <v>45920</v>
          </cell>
          <cell r="Z76" t="str">
            <v>มัด80 ใช้สายรัด</v>
          </cell>
          <cell r="AA76">
            <v>5040</v>
          </cell>
          <cell r="AB76">
            <v>0</v>
          </cell>
          <cell r="AC76">
            <v>0</v>
          </cell>
          <cell r="AD76">
            <v>0</v>
          </cell>
          <cell r="AG76"/>
          <cell r="AI76"/>
          <cell r="AJ76">
            <v>0</v>
          </cell>
          <cell r="AL76">
            <v>5040</v>
          </cell>
          <cell r="AM76"/>
          <cell r="AN76">
            <v>5292</v>
          </cell>
          <cell r="AO76" t="str">
            <v>WSWT2025800SM</v>
          </cell>
          <cell r="AQ76">
            <v>5280.6600000000008</v>
          </cell>
          <cell r="AR76">
            <v>0</v>
          </cell>
          <cell r="AS76">
            <v>5280.6600000000008</v>
          </cell>
          <cell r="AT76">
            <v>0</v>
          </cell>
          <cell r="AU76">
            <v>5280.6600000000008</v>
          </cell>
          <cell r="BZ76" t="str">
            <v>WRWT25850/WRWT25850</v>
          </cell>
          <cell r="CA76">
            <v>398.98320000000001</v>
          </cell>
          <cell r="DL76" t="str">
            <v>P6</v>
          </cell>
          <cell r="DM76">
            <v>4</v>
          </cell>
          <cell r="DN76">
            <v>45920</v>
          </cell>
          <cell r="DP76">
            <v>45915</v>
          </cell>
          <cell r="DQ76">
            <v>45916</v>
          </cell>
          <cell r="DR76">
            <v>45909</v>
          </cell>
          <cell r="DS76">
            <v>45917</v>
          </cell>
          <cell r="DT76">
            <v>45918</v>
          </cell>
          <cell r="DU76">
            <v>45919</v>
          </cell>
          <cell r="DW76"/>
          <cell r="DX76"/>
          <cell r="DY76"/>
          <cell r="DZ76"/>
          <cell r="EA76"/>
          <cell r="EB76"/>
          <cell r="EC76" t="str">
            <v>งานเคลือบ+พิมพ์</v>
          </cell>
          <cell r="ED76" t="str">
            <v>รอART</v>
          </cell>
          <cell r="EG76"/>
          <cell r="EH76"/>
          <cell r="EI76"/>
        </row>
        <row r="77">
          <cell r="B77" t="str">
            <v>MK68-000671</v>
          </cell>
          <cell r="C77">
            <v>45796</v>
          </cell>
          <cell r="E77" t="str">
            <v>บจก.อินเทคค์ โกลบอล</v>
          </cell>
          <cell r="F77" t="str">
            <v>เฟิร์สช้อย 902</v>
          </cell>
          <cell r="G77">
            <v>20</v>
          </cell>
          <cell r="H77">
            <v>36</v>
          </cell>
          <cell r="I77" t="str">
            <v>ขาว</v>
          </cell>
          <cell r="J77" t="str">
            <v>ด้าน</v>
          </cell>
          <cell r="L77">
            <v>100</v>
          </cell>
          <cell r="M77" t="str">
            <v>±</v>
          </cell>
          <cell r="N77">
            <v>5</v>
          </cell>
          <cell r="R77" t="str">
            <v>จับจีบ</v>
          </cell>
          <cell r="T77" t="str">
            <v>ไม่สวมถุงใน</v>
          </cell>
          <cell r="U77"/>
          <cell r="V77"/>
          <cell r="X77">
            <v>45915</v>
          </cell>
          <cell r="Z77" t="str">
            <v>มัด80 ใช้สายรัด</v>
          </cell>
          <cell r="AA77">
            <v>366</v>
          </cell>
          <cell r="AB77">
            <v>0</v>
          </cell>
          <cell r="AC77">
            <v>0</v>
          </cell>
          <cell r="AD77">
            <v>0</v>
          </cell>
          <cell r="AG77"/>
          <cell r="AI77"/>
          <cell r="AJ77">
            <v>0</v>
          </cell>
          <cell r="AL77">
            <v>366</v>
          </cell>
          <cell r="AM77">
            <v>0</v>
          </cell>
          <cell r="AN77">
            <v>384.3</v>
          </cell>
          <cell r="AO77" t="str">
            <v>WSWT2025800SM</v>
          </cell>
          <cell r="AQ77">
            <v>383.47650000000004</v>
          </cell>
          <cell r="AR77">
            <v>0</v>
          </cell>
          <cell r="AS77">
            <v>383.47650000000004</v>
          </cell>
          <cell r="AT77">
            <v>0</v>
          </cell>
          <cell r="AU77">
            <v>383.47650000000004</v>
          </cell>
          <cell r="BZ77" t="str">
            <v>WRWT25850/WRWT25850</v>
          </cell>
          <cell r="CA77">
            <v>28.973779999999994</v>
          </cell>
          <cell r="DL77" t="str">
            <v>P6</v>
          </cell>
          <cell r="DM77">
            <v>4</v>
          </cell>
          <cell r="DN77">
            <v>45915</v>
          </cell>
          <cell r="DP77">
            <v>45910</v>
          </cell>
          <cell r="DQ77">
            <v>45911</v>
          </cell>
          <cell r="DR77">
            <v>45904</v>
          </cell>
          <cell r="DS77">
            <v>45912</v>
          </cell>
          <cell r="DT77">
            <v>45913</v>
          </cell>
          <cell r="DU77">
            <v>45914</v>
          </cell>
          <cell r="DW77"/>
          <cell r="DX77"/>
          <cell r="DY77"/>
          <cell r="DZ77"/>
          <cell r="EA77"/>
          <cell r="EB77"/>
          <cell r="EC77" t="str">
            <v>งานเคลือบ+พิมพ์</v>
          </cell>
          <cell r="ED77" t="str">
            <v xml:space="preserve"> /</v>
          </cell>
          <cell r="EG77"/>
          <cell r="EH77"/>
          <cell r="EI77"/>
        </row>
        <row r="78">
          <cell r="B78" t="str">
            <v>MK68-001024</v>
          </cell>
          <cell r="C78">
            <v>45892</v>
          </cell>
          <cell r="E78" t="str">
            <v>บจก.อินเทคค์ โกลบอล</v>
          </cell>
          <cell r="F78" t="str">
            <v>เฟิร์สช้อย 913</v>
          </cell>
          <cell r="G78">
            <v>20</v>
          </cell>
          <cell r="H78">
            <v>36</v>
          </cell>
          <cell r="I78" t="str">
            <v>ขาว</v>
          </cell>
          <cell r="J78" t="str">
            <v>ด้าน</v>
          </cell>
          <cell r="L78">
            <v>100</v>
          </cell>
          <cell r="M78" t="str">
            <v>±</v>
          </cell>
          <cell r="N78">
            <v>5</v>
          </cell>
          <cell r="R78" t="str">
            <v>จับจีบ</v>
          </cell>
          <cell r="T78" t="str">
            <v>ไม่สวมถุงใน</v>
          </cell>
          <cell r="U78"/>
          <cell r="V78"/>
          <cell r="X78" t="str">
            <v>รอแจ้ง</v>
          </cell>
          <cell r="Z78" t="str">
            <v>มัด80 ใช้สายรัด</v>
          </cell>
          <cell r="AA78">
            <v>640</v>
          </cell>
          <cell r="AB78">
            <v>0</v>
          </cell>
          <cell r="AC78">
            <v>0</v>
          </cell>
          <cell r="AD78">
            <v>0</v>
          </cell>
          <cell r="AG78" t="str">
            <v>สีผิดเบอร์280</v>
          </cell>
          <cell r="AI78"/>
          <cell r="AJ78">
            <v>0</v>
          </cell>
          <cell r="AL78">
            <v>640</v>
          </cell>
          <cell r="AM78">
            <v>6000</v>
          </cell>
          <cell r="AN78">
            <v>0</v>
          </cell>
          <cell r="AO78" t="str">
            <v>WSWT2025800SM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BZ78" t="str">
            <v>WRWT25850/WRWT25850</v>
          </cell>
          <cell r="CA78">
            <v>0</v>
          </cell>
          <cell r="DL78" t="str">
            <v>P6</v>
          </cell>
          <cell r="DM78">
            <v>4</v>
          </cell>
          <cell r="DN78" t="str">
            <v>รอแจ้ง</v>
          </cell>
          <cell r="DP78" t="e">
            <v>#VALUE!</v>
          </cell>
          <cell r="DQ78" t="e">
            <v>#VALUE!</v>
          </cell>
          <cell r="DR78" t="e">
            <v>#VALUE!</v>
          </cell>
          <cell r="DS78" t="e">
            <v>#VALUE!</v>
          </cell>
          <cell r="DT78" t="e">
            <v>#VALUE!</v>
          </cell>
          <cell r="DU78" t="e">
            <v>#VALUE!</v>
          </cell>
          <cell r="DW78"/>
          <cell r="DX78"/>
          <cell r="DY78"/>
          <cell r="DZ78"/>
          <cell r="EA78"/>
          <cell r="EB78"/>
          <cell r="EC78" t="str">
            <v>งานเคลือบ+พิมพ์</v>
          </cell>
          <cell r="ED78" t="str">
            <v xml:space="preserve"> /</v>
          </cell>
          <cell r="EG78"/>
          <cell r="EH78"/>
          <cell r="EI78"/>
        </row>
        <row r="79">
          <cell r="B79" t="str">
            <v>MK68-001026</v>
          </cell>
          <cell r="C79">
            <v>45892</v>
          </cell>
          <cell r="E79" t="str">
            <v>บจก.อินเทคค์ โกลบอล</v>
          </cell>
          <cell r="F79" t="str">
            <v>เพอเฟคค์ 913</v>
          </cell>
          <cell r="G79">
            <v>20</v>
          </cell>
          <cell r="H79">
            <v>36</v>
          </cell>
          <cell r="I79" t="str">
            <v>ขาว</v>
          </cell>
          <cell r="J79" t="str">
            <v>ด้าน</v>
          </cell>
          <cell r="L79">
            <v>100</v>
          </cell>
          <cell r="M79" t="str">
            <v>±</v>
          </cell>
          <cell r="N79">
            <v>5</v>
          </cell>
          <cell r="R79" t="str">
            <v>จับจีบ</v>
          </cell>
          <cell r="T79" t="str">
            <v>ไม่สวมถุงใน</v>
          </cell>
          <cell r="U79"/>
          <cell r="V79"/>
          <cell r="X79" t="str">
            <v>รอแจ้ง</v>
          </cell>
          <cell r="Z79" t="str">
            <v>มัด80 ใช้สายรัด</v>
          </cell>
          <cell r="AA79">
            <v>1840</v>
          </cell>
          <cell r="AB79">
            <v>0</v>
          </cell>
          <cell r="AC79">
            <v>0</v>
          </cell>
          <cell r="AD79">
            <v>0</v>
          </cell>
          <cell r="AG79"/>
          <cell r="AI79"/>
          <cell r="AJ79">
            <v>80</v>
          </cell>
          <cell r="AL79">
            <v>1760</v>
          </cell>
          <cell r="AM79">
            <v>10650</v>
          </cell>
          <cell r="AN79">
            <v>0</v>
          </cell>
          <cell r="AO79" t="str">
            <v>WSWT2025800SM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BZ79" t="str">
            <v>WRWT25850/WRWT25850</v>
          </cell>
          <cell r="CA79">
            <v>0</v>
          </cell>
          <cell r="DL79" t="str">
            <v>P6</v>
          </cell>
          <cell r="DM79">
            <v>4</v>
          </cell>
          <cell r="DN79" t="str">
            <v>รอแจ้ง</v>
          </cell>
          <cell r="DP79" t="e">
            <v>#VALUE!</v>
          </cell>
          <cell r="DQ79" t="e">
            <v>#VALUE!</v>
          </cell>
          <cell r="DR79" t="e">
            <v>#VALUE!</v>
          </cell>
          <cell r="DS79" t="e">
            <v>#VALUE!</v>
          </cell>
          <cell r="DT79" t="e">
            <v>#VALUE!</v>
          </cell>
          <cell r="DU79" t="e">
            <v>#VALUE!</v>
          </cell>
          <cell r="DW79"/>
          <cell r="DX79"/>
          <cell r="DY79"/>
          <cell r="DZ79"/>
          <cell r="EA79"/>
          <cell r="EB79"/>
          <cell r="EC79" t="str">
            <v>งานเคลือบ+พิมพ์</v>
          </cell>
          <cell r="ED79" t="str">
            <v xml:space="preserve"> /</v>
          </cell>
          <cell r="EG79"/>
          <cell r="EH79"/>
          <cell r="EI79"/>
        </row>
        <row r="80">
          <cell r="B80" t="str">
            <v>MK68-000609</v>
          </cell>
          <cell r="C80">
            <v>45782</v>
          </cell>
          <cell r="E80" t="str">
            <v>บจก.เอสพีเอ็ม อาหารสัตว์</v>
          </cell>
          <cell r="F80" t="str">
            <v xml:space="preserve">SW 441 </v>
          </cell>
          <cell r="G80">
            <v>20</v>
          </cell>
          <cell r="H80">
            <v>38</v>
          </cell>
          <cell r="I80" t="str">
            <v>ขาว</v>
          </cell>
          <cell r="J80" t="str">
            <v>ใส</v>
          </cell>
          <cell r="L80">
            <v>100</v>
          </cell>
          <cell r="M80" t="str">
            <v>±</v>
          </cell>
          <cell r="N80">
            <v>5</v>
          </cell>
          <cell r="R80" t="str">
            <v>บิด</v>
          </cell>
          <cell r="T80" t="str">
            <v>ไม่สวมถุงใน</v>
          </cell>
          <cell r="U80"/>
          <cell r="V80"/>
          <cell r="X80">
            <v>45909</v>
          </cell>
          <cell r="Z80" t="str">
            <v>500กระสอบแบน</v>
          </cell>
          <cell r="AA80">
            <v>5000</v>
          </cell>
          <cell r="AB80">
            <v>0</v>
          </cell>
          <cell r="AC80">
            <v>0</v>
          </cell>
          <cell r="AD80">
            <v>0</v>
          </cell>
          <cell r="AG80"/>
          <cell r="AI80"/>
          <cell r="AJ80">
            <v>4473</v>
          </cell>
          <cell r="AL80">
            <v>527</v>
          </cell>
          <cell r="AM80">
            <v>5200</v>
          </cell>
          <cell r="AN80">
            <v>0</v>
          </cell>
          <cell r="AO80" t="str">
            <v>WSWT2025800SM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BZ80" t="str">
            <v>WRWT25850/WRWT25850</v>
          </cell>
          <cell r="CA80">
            <v>0</v>
          </cell>
          <cell r="DL80" t="str">
            <v>P6</v>
          </cell>
          <cell r="DM80">
            <v>4</v>
          </cell>
          <cell r="DN80">
            <v>45909</v>
          </cell>
          <cell r="DP80">
            <v>45904</v>
          </cell>
          <cell r="DQ80">
            <v>45905</v>
          </cell>
          <cell r="DR80">
            <v>45898</v>
          </cell>
          <cell r="DS80">
            <v>45906</v>
          </cell>
          <cell r="DT80">
            <v>45907</v>
          </cell>
          <cell r="DU80">
            <v>45908</v>
          </cell>
          <cell r="DW80"/>
          <cell r="DX80"/>
          <cell r="DY80"/>
          <cell r="DZ80"/>
          <cell r="EA80"/>
          <cell r="EB80"/>
          <cell r="EC80" t="str">
            <v>งานเคลือบ+พิมพ์</v>
          </cell>
          <cell r="ED80" t="str">
            <v xml:space="preserve"> /</v>
          </cell>
          <cell r="EG80"/>
          <cell r="EH80"/>
          <cell r="EI80"/>
        </row>
        <row r="81">
          <cell r="B81" t="str">
            <v>MK68-001071</v>
          </cell>
          <cell r="C81">
            <v>45902</v>
          </cell>
          <cell r="E81" t="str">
            <v>บจก.วีซีเอฟ</v>
          </cell>
          <cell r="F81" t="str">
            <v>VC100</v>
          </cell>
          <cell r="G81">
            <v>20</v>
          </cell>
          <cell r="H81">
            <v>37</v>
          </cell>
          <cell r="I81" t="str">
            <v>ขาว</v>
          </cell>
          <cell r="J81" t="str">
            <v>ใส</v>
          </cell>
          <cell r="L81">
            <v>100</v>
          </cell>
          <cell r="M81" t="str">
            <v>±</v>
          </cell>
          <cell r="N81">
            <v>5</v>
          </cell>
          <cell r="R81" t="str">
            <v>บิด</v>
          </cell>
          <cell r="T81" t="str">
            <v>ไม่สวมถุงใน</v>
          </cell>
          <cell r="U81"/>
          <cell r="V81"/>
          <cell r="X81">
            <v>45906</v>
          </cell>
          <cell r="Z81" t="str">
            <v>500กระสอบแบน</v>
          </cell>
          <cell r="AA81">
            <v>10000</v>
          </cell>
          <cell r="AB81">
            <v>0</v>
          </cell>
          <cell r="AC81">
            <v>0</v>
          </cell>
          <cell r="AD81">
            <v>0</v>
          </cell>
          <cell r="AG81"/>
          <cell r="AI81"/>
          <cell r="AJ81">
            <v>5000</v>
          </cell>
          <cell r="AL81">
            <v>5000</v>
          </cell>
          <cell r="AM81">
            <v>10908</v>
          </cell>
          <cell r="AN81">
            <v>0</v>
          </cell>
          <cell r="AO81" t="str">
            <v>WSWT2025800SM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BZ81" t="str">
            <v>WRWT25850/WRWT25850</v>
          </cell>
          <cell r="CA81">
            <v>0</v>
          </cell>
          <cell r="DL81" t="str">
            <v>P6</v>
          </cell>
          <cell r="DM81">
            <v>4</v>
          </cell>
          <cell r="DN81">
            <v>45906</v>
          </cell>
          <cell r="DP81">
            <v>45901</v>
          </cell>
          <cell r="DQ81">
            <v>45902</v>
          </cell>
          <cell r="DR81">
            <v>45895</v>
          </cell>
          <cell r="DS81">
            <v>45903</v>
          </cell>
          <cell r="DT81">
            <v>45904</v>
          </cell>
          <cell r="DU81">
            <v>45905</v>
          </cell>
          <cell r="DW81"/>
          <cell r="DX81"/>
          <cell r="DY81"/>
          <cell r="DZ81"/>
          <cell r="EA81"/>
          <cell r="EB81"/>
          <cell r="EC81" t="str">
            <v>งานเคลือบ+พิมพ์</v>
          </cell>
          <cell r="ED81" t="str">
            <v xml:space="preserve"> /</v>
          </cell>
          <cell r="EG81"/>
          <cell r="EH81"/>
          <cell r="EI81"/>
        </row>
        <row r="82">
          <cell r="B82" t="str">
            <v>MK68-001069</v>
          </cell>
          <cell r="C82">
            <v>45902</v>
          </cell>
          <cell r="E82" t="str">
            <v>บจก.วีซีเอฟ</v>
          </cell>
          <cell r="F82" t="str">
            <v>VC120</v>
          </cell>
          <cell r="G82">
            <v>20</v>
          </cell>
          <cell r="H82">
            <v>37</v>
          </cell>
          <cell r="I82" t="str">
            <v>ขาว</v>
          </cell>
          <cell r="J82" t="str">
            <v>ใส</v>
          </cell>
          <cell r="L82">
            <v>100</v>
          </cell>
          <cell r="M82" t="str">
            <v>±</v>
          </cell>
          <cell r="N82">
            <v>5</v>
          </cell>
          <cell r="R82" t="str">
            <v>บิด</v>
          </cell>
          <cell r="T82" t="str">
            <v>ไม่สวมถุงใน</v>
          </cell>
          <cell r="U82"/>
          <cell r="V82"/>
          <cell r="X82">
            <v>45906</v>
          </cell>
          <cell r="Z82" t="str">
            <v>500กระสอบแบน</v>
          </cell>
          <cell r="AA82">
            <v>10000</v>
          </cell>
          <cell r="AB82">
            <v>0</v>
          </cell>
          <cell r="AC82">
            <v>0</v>
          </cell>
          <cell r="AD82">
            <v>0</v>
          </cell>
          <cell r="AG82"/>
          <cell r="AI82"/>
          <cell r="AJ82">
            <v>0</v>
          </cell>
          <cell r="AL82">
            <v>10000</v>
          </cell>
          <cell r="AM82"/>
          <cell r="AN82">
            <v>10500</v>
          </cell>
          <cell r="AO82" t="str">
            <v>WSWT2025800SM</v>
          </cell>
          <cell r="AQ82">
            <v>10756.900000000001</v>
          </cell>
          <cell r="AR82">
            <v>10756.900000000001</v>
          </cell>
          <cell r="AS82">
            <v>0</v>
          </cell>
          <cell r="AT82">
            <v>10756.900000000001</v>
          </cell>
          <cell r="AU82">
            <v>0</v>
          </cell>
          <cell r="BZ82" t="str">
            <v>WRWT25850/WRWT25850</v>
          </cell>
          <cell r="CA82">
            <v>0</v>
          </cell>
          <cell r="DL82" t="str">
            <v>P6</v>
          </cell>
          <cell r="DM82">
            <v>4</v>
          </cell>
          <cell r="DN82">
            <v>45906</v>
          </cell>
          <cell r="DP82">
            <v>45901</v>
          </cell>
          <cell r="DQ82">
            <v>45902</v>
          </cell>
          <cell r="DR82">
            <v>45895</v>
          </cell>
          <cell r="DS82">
            <v>45903</v>
          </cell>
          <cell r="DT82">
            <v>45904</v>
          </cell>
          <cell r="DU82">
            <v>45905</v>
          </cell>
          <cell r="DW82"/>
          <cell r="DX82"/>
          <cell r="DY82"/>
          <cell r="DZ82"/>
          <cell r="EA82"/>
          <cell r="EB82"/>
          <cell r="EC82" t="str">
            <v>งานเคลือบ+พิมพ์</v>
          </cell>
          <cell r="ED82" t="str">
            <v xml:space="preserve"> /</v>
          </cell>
          <cell r="EG82"/>
          <cell r="EH82"/>
          <cell r="EI82"/>
        </row>
        <row r="83">
          <cell r="B83" t="str">
            <v>MK68-001071</v>
          </cell>
          <cell r="C83">
            <v>45902</v>
          </cell>
          <cell r="E83" t="str">
            <v>บจก.วีซีเอฟ</v>
          </cell>
          <cell r="F83" t="str">
            <v>VC100</v>
          </cell>
          <cell r="G83">
            <v>20</v>
          </cell>
          <cell r="H83">
            <v>37</v>
          </cell>
          <cell r="I83" t="str">
            <v>ขาว</v>
          </cell>
          <cell r="J83" t="str">
            <v>ใส</v>
          </cell>
          <cell r="L83">
            <v>100</v>
          </cell>
          <cell r="M83" t="str">
            <v>±</v>
          </cell>
          <cell r="N83">
            <v>5</v>
          </cell>
          <cell r="R83" t="str">
            <v>บิด</v>
          </cell>
          <cell r="T83" t="str">
            <v>ไม่สวมถุงใน</v>
          </cell>
          <cell r="U83"/>
          <cell r="V83"/>
          <cell r="X83">
            <v>45930</v>
          </cell>
          <cell r="Z83" t="str">
            <v>500กระสอบแบน</v>
          </cell>
          <cell r="AA83">
            <v>20000</v>
          </cell>
          <cell r="AB83">
            <v>0</v>
          </cell>
          <cell r="AC83">
            <v>0</v>
          </cell>
          <cell r="AD83">
            <v>0</v>
          </cell>
          <cell r="AG83"/>
          <cell r="AI83"/>
          <cell r="AJ83">
            <v>0</v>
          </cell>
          <cell r="AL83">
            <v>20000</v>
          </cell>
          <cell r="AM83"/>
          <cell r="AN83">
            <v>21000</v>
          </cell>
          <cell r="AO83" t="str">
            <v>WSWT2025800SM</v>
          </cell>
          <cell r="AQ83">
            <v>21513.800000000003</v>
          </cell>
          <cell r="AR83">
            <v>21513.800000000003</v>
          </cell>
          <cell r="AS83">
            <v>0</v>
          </cell>
          <cell r="AT83">
            <v>0</v>
          </cell>
          <cell r="AU83">
            <v>21513.800000000003</v>
          </cell>
          <cell r="BZ83" t="str">
            <v>WRWT25850/WRWT25850</v>
          </cell>
          <cell r="CA83">
            <v>0</v>
          </cell>
          <cell r="DL83" t="str">
            <v>P6</v>
          </cell>
          <cell r="DM83">
            <v>4</v>
          </cell>
          <cell r="DN83">
            <v>45930</v>
          </cell>
          <cell r="DP83">
            <v>45925</v>
          </cell>
          <cell r="DQ83">
            <v>45926</v>
          </cell>
          <cell r="DR83">
            <v>45919</v>
          </cell>
          <cell r="DS83">
            <v>45927</v>
          </cell>
          <cell r="DT83">
            <v>45928</v>
          </cell>
          <cell r="DU83">
            <v>45929</v>
          </cell>
          <cell r="DW83"/>
          <cell r="DX83"/>
          <cell r="DY83"/>
          <cell r="DZ83"/>
          <cell r="EA83"/>
          <cell r="EB83"/>
          <cell r="EC83" t="str">
            <v>งานเคลือบ+พิมพ์</v>
          </cell>
          <cell r="ED83" t="str">
            <v xml:space="preserve"> /</v>
          </cell>
          <cell r="EG83"/>
          <cell r="EH83"/>
          <cell r="EI83"/>
        </row>
        <row r="84">
          <cell r="B84" t="str">
            <v>MK68-001069</v>
          </cell>
          <cell r="C84">
            <v>45902</v>
          </cell>
          <cell r="E84" t="str">
            <v>บจก.วีซีเอฟ</v>
          </cell>
          <cell r="F84" t="str">
            <v>VC120</v>
          </cell>
          <cell r="G84">
            <v>20</v>
          </cell>
          <cell r="H84">
            <v>37</v>
          </cell>
          <cell r="I84" t="str">
            <v>ขาว</v>
          </cell>
          <cell r="J84" t="str">
            <v>ใส</v>
          </cell>
          <cell r="L84">
            <v>100</v>
          </cell>
          <cell r="M84" t="str">
            <v>±</v>
          </cell>
          <cell r="N84">
            <v>5</v>
          </cell>
          <cell r="R84" t="str">
            <v>บิด</v>
          </cell>
          <cell r="T84" t="str">
            <v>ไม่สวมถุงใน</v>
          </cell>
          <cell r="U84"/>
          <cell r="V84"/>
          <cell r="X84">
            <v>45930</v>
          </cell>
          <cell r="Z84" t="str">
            <v>500กระสอบแบน</v>
          </cell>
          <cell r="AA84">
            <v>20000</v>
          </cell>
          <cell r="AB84">
            <v>0</v>
          </cell>
          <cell r="AC84">
            <v>0</v>
          </cell>
          <cell r="AD84">
            <v>0</v>
          </cell>
          <cell r="AG84"/>
          <cell r="AI84"/>
          <cell r="AJ84">
            <v>0</v>
          </cell>
          <cell r="AL84">
            <v>20000</v>
          </cell>
          <cell r="AM84"/>
          <cell r="AN84">
            <v>21000</v>
          </cell>
          <cell r="AO84" t="str">
            <v>WSWT2025800SM</v>
          </cell>
          <cell r="AQ84">
            <v>21513.800000000003</v>
          </cell>
          <cell r="AR84">
            <v>21513.800000000003</v>
          </cell>
          <cell r="AS84">
            <v>0</v>
          </cell>
          <cell r="AT84">
            <v>0</v>
          </cell>
          <cell r="AU84">
            <v>21513.800000000003</v>
          </cell>
          <cell r="BZ84" t="str">
            <v>WRWT25850/WRWT25850</v>
          </cell>
          <cell r="CA84">
            <v>0</v>
          </cell>
          <cell r="DL84" t="str">
            <v>P6</v>
          </cell>
          <cell r="DM84">
            <v>4</v>
          </cell>
          <cell r="DN84">
            <v>45930</v>
          </cell>
          <cell r="DP84">
            <v>45925</v>
          </cell>
          <cell r="DQ84">
            <v>45926</v>
          </cell>
          <cell r="DR84">
            <v>45919</v>
          </cell>
          <cell r="DS84">
            <v>45927</v>
          </cell>
          <cell r="DT84">
            <v>45928</v>
          </cell>
          <cell r="DU84">
            <v>45929</v>
          </cell>
          <cell r="DW84"/>
          <cell r="DX84"/>
          <cell r="DY84"/>
          <cell r="DZ84"/>
          <cell r="EA84"/>
          <cell r="EB84"/>
          <cell r="EC84" t="str">
            <v>งานเคลือบ+พิมพ์</v>
          </cell>
          <cell r="ED84" t="str">
            <v xml:space="preserve"> /</v>
          </cell>
          <cell r="EG84"/>
          <cell r="EH84"/>
          <cell r="EI84"/>
        </row>
        <row r="85">
          <cell r="B85" t="str">
            <v>MK68-001071</v>
          </cell>
          <cell r="C85">
            <v>45902</v>
          </cell>
          <cell r="E85" t="str">
            <v>บจก.วีซีเอฟ</v>
          </cell>
          <cell r="F85" t="str">
            <v>VC181</v>
          </cell>
          <cell r="G85">
            <v>20</v>
          </cell>
          <cell r="H85">
            <v>37</v>
          </cell>
          <cell r="I85" t="str">
            <v>ขาว</v>
          </cell>
          <cell r="J85" t="str">
            <v>ใส</v>
          </cell>
          <cell r="L85">
            <v>100</v>
          </cell>
          <cell r="M85" t="str">
            <v>±</v>
          </cell>
          <cell r="N85">
            <v>5</v>
          </cell>
          <cell r="R85" t="str">
            <v>บิด</v>
          </cell>
          <cell r="T85" t="str">
            <v>ไม่สวมถุงใน</v>
          </cell>
          <cell r="U85"/>
          <cell r="V85"/>
          <cell r="X85">
            <v>45930</v>
          </cell>
          <cell r="Z85" t="str">
            <v>500กระสอบแบน</v>
          </cell>
          <cell r="AA85">
            <v>20000</v>
          </cell>
          <cell r="AB85">
            <v>0</v>
          </cell>
          <cell r="AC85">
            <v>0</v>
          </cell>
          <cell r="AD85">
            <v>0</v>
          </cell>
          <cell r="AG85"/>
          <cell r="AI85"/>
          <cell r="AJ85">
            <v>0</v>
          </cell>
          <cell r="AL85">
            <v>20000</v>
          </cell>
          <cell r="AM85"/>
          <cell r="AN85">
            <v>21000</v>
          </cell>
          <cell r="AO85" t="str">
            <v>WSWT2025800SM</v>
          </cell>
          <cell r="AQ85">
            <v>21513.800000000003</v>
          </cell>
          <cell r="AR85">
            <v>21513.800000000003</v>
          </cell>
          <cell r="AS85">
            <v>0</v>
          </cell>
          <cell r="AT85">
            <v>0</v>
          </cell>
          <cell r="AU85">
            <v>21513.800000000003</v>
          </cell>
          <cell r="BZ85" t="str">
            <v>WRWT25850/WRWT25850</v>
          </cell>
          <cell r="CA85">
            <v>0</v>
          </cell>
          <cell r="DL85" t="str">
            <v>P6</v>
          </cell>
          <cell r="DM85">
            <v>4</v>
          </cell>
          <cell r="DN85">
            <v>45930</v>
          </cell>
          <cell r="DP85">
            <v>45925</v>
          </cell>
          <cell r="DQ85">
            <v>45926</v>
          </cell>
          <cell r="DR85">
            <v>45919</v>
          </cell>
          <cell r="DS85">
            <v>45927</v>
          </cell>
          <cell r="DT85">
            <v>45928</v>
          </cell>
          <cell r="DU85">
            <v>45929</v>
          </cell>
          <cell r="DW85"/>
          <cell r="DX85"/>
          <cell r="DY85"/>
          <cell r="DZ85"/>
          <cell r="EA85"/>
          <cell r="EB85"/>
          <cell r="EC85" t="str">
            <v>งานเคลือบ+พิมพ์</v>
          </cell>
          <cell r="ED85" t="str">
            <v xml:space="preserve"> /</v>
          </cell>
          <cell r="EG85"/>
          <cell r="EH85"/>
          <cell r="EI85"/>
        </row>
        <row r="86">
          <cell r="B86" t="str">
            <v>MK68-001071</v>
          </cell>
          <cell r="C86">
            <v>45902</v>
          </cell>
          <cell r="E86" t="str">
            <v>บจก.วีซีเอฟ</v>
          </cell>
          <cell r="F86" t="str">
            <v>VC108</v>
          </cell>
          <cell r="G86">
            <v>20</v>
          </cell>
          <cell r="H86">
            <v>37</v>
          </cell>
          <cell r="I86" t="str">
            <v>ขาว</v>
          </cell>
          <cell r="J86" t="str">
            <v>ใส</v>
          </cell>
          <cell r="L86">
            <v>100</v>
          </cell>
          <cell r="M86" t="str">
            <v>±</v>
          </cell>
          <cell r="N86">
            <v>5</v>
          </cell>
          <cell r="R86" t="str">
            <v>บิด</v>
          </cell>
          <cell r="T86" t="str">
            <v>ไม่สวมถุงใน</v>
          </cell>
          <cell r="U86"/>
          <cell r="V86"/>
          <cell r="X86">
            <v>45930</v>
          </cell>
          <cell r="Z86" t="str">
            <v>500กระสอบแบน</v>
          </cell>
          <cell r="AA86">
            <v>10000</v>
          </cell>
          <cell r="AB86">
            <v>0</v>
          </cell>
          <cell r="AC86">
            <v>0</v>
          </cell>
          <cell r="AD86">
            <v>0</v>
          </cell>
          <cell r="AG86"/>
          <cell r="AI86"/>
          <cell r="AJ86">
            <v>0</v>
          </cell>
          <cell r="AL86">
            <v>10000</v>
          </cell>
          <cell r="AM86"/>
          <cell r="AN86">
            <v>10500</v>
          </cell>
          <cell r="AO86" t="str">
            <v>WSWT2025800SM</v>
          </cell>
          <cell r="AQ86">
            <v>10756.900000000001</v>
          </cell>
          <cell r="AR86">
            <v>10756.900000000001</v>
          </cell>
          <cell r="AS86">
            <v>0</v>
          </cell>
          <cell r="AT86">
            <v>0</v>
          </cell>
          <cell r="AU86">
            <v>10756.900000000001</v>
          </cell>
          <cell r="BZ86" t="str">
            <v>WRWT25850/WRWT25850</v>
          </cell>
          <cell r="CA86">
            <v>0</v>
          </cell>
          <cell r="DL86" t="str">
            <v>P6</v>
          </cell>
          <cell r="DM86">
            <v>4</v>
          </cell>
          <cell r="DN86">
            <v>45930</v>
          </cell>
          <cell r="DP86">
            <v>45925</v>
          </cell>
          <cell r="DQ86">
            <v>45926</v>
          </cell>
          <cell r="DR86">
            <v>45919</v>
          </cell>
          <cell r="DS86">
            <v>45927</v>
          </cell>
          <cell r="DT86">
            <v>45928</v>
          </cell>
          <cell r="DU86">
            <v>45929</v>
          </cell>
          <cell r="DW86"/>
          <cell r="DX86"/>
          <cell r="DY86"/>
          <cell r="DZ86"/>
          <cell r="EA86"/>
          <cell r="EB86"/>
          <cell r="EC86" t="str">
            <v>งานเคลือบ+พิมพ์</v>
          </cell>
          <cell r="ED86" t="str">
            <v xml:space="preserve"> /</v>
          </cell>
          <cell r="EG86"/>
          <cell r="EH86"/>
          <cell r="EI86"/>
        </row>
        <row r="87">
          <cell r="B87" t="str">
            <v>MK68-001069</v>
          </cell>
          <cell r="C87">
            <v>45902</v>
          </cell>
          <cell r="E87" t="str">
            <v>บจก.วีซีเอฟ</v>
          </cell>
          <cell r="F87" t="str">
            <v>VC193</v>
          </cell>
          <cell r="G87">
            <v>20</v>
          </cell>
          <cell r="H87">
            <v>37</v>
          </cell>
          <cell r="I87" t="str">
            <v>ขาว</v>
          </cell>
          <cell r="J87" t="str">
            <v>ใส</v>
          </cell>
          <cell r="L87">
            <v>100</v>
          </cell>
          <cell r="M87" t="str">
            <v>±</v>
          </cell>
          <cell r="N87">
            <v>5</v>
          </cell>
          <cell r="R87" t="str">
            <v>บิด</v>
          </cell>
          <cell r="T87" t="str">
            <v>ไม่สวมถุงใน</v>
          </cell>
          <cell r="U87"/>
          <cell r="V87"/>
          <cell r="X87">
            <v>45930</v>
          </cell>
          <cell r="Z87" t="str">
            <v>500กระสอบแบน</v>
          </cell>
          <cell r="AA87">
            <v>10000</v>
          </cell>
          <cell r="AB87">
            <v>0</v>
          </cell>
          <cell r="AC87">
            <v>0</v>
          </cell>
          <cell r="AD87">
            <v>0</v>
          </cell>
          <cell r="AG87"/>
          <cell r="AI87"/>
          <cell r="AJ87">
            <v>0</v>
          </cell>
          <cell r="AL87">
            <v>10000</v>
          </cell>
          <cell r="AM87"/>
          <cell r="AN87">
            <v>10500</v>
          </cell>
          <cell r="AO87" t="str">
            <v>WSWT2025800SM</v>
          </cell>
          <cell r="AQ87">
            <v>10756.900000000001</v>
          </cell>
          <cell r="AR87">
            <v>10756.900000000001</v>
          </cell>
          <cell r="AS87">
            <v>0</v>
          </cell>
          <cell r="AT87">
            <v>0</v>
          </cell>
          <cell r="AU87">
            <v>10756.900000000001</v>
          </cell>
          <cell r="BZ87" t="str">
            <v>WRWT25850/WRWT25850</v>
          </cell>
          <cell r="CA87">
            <v>0</v>
          </cell>
          <cell r="DL87" t="str">
            <v>P6</v>
          </cell>
          <cell r="DM87">
            <v>4</v>
          </cell>
          <cell r="DN87">
            <v>45930</v>
          </cell>
          <cell r="DP87">
            <v>45925</v>
          </cell>
          <cell r="DQ87">
            <v>45926</v>
          </cell>
          <cell r="DR87">
            <v>45919</v>
          </cell>
          <cell r="DS87">
            <v>45927</v>
          </cell>
          <cell r="DT87">
            <v>45928</v>
          </cell>
          <cell r="DU87">
            <v>45929</v>
          </cell>
          <cell r="DW87"/>
          <cell r="DX87"/>
          <cell r="DY87"/>
          <cell r="DZ87"/>
          <cell r="EA87"/>
          <cell r="EB87"/>
          <cell r="EC87" t="str">
            <v>งานเคลือบ+พิมพ์</v>
          </cell>
          <cell r="ED87" t="str">
            <v xml:space="preserve"> /</v>
          </cell>
          <cell r="EG87"/>
          <cell r="EH87"/>
          <cell r="EI87"/>
        </row>
        <row r="88">
          <cell r="B88" t="str">
            <v>MK68-001070</v>
          </cell>
          <cell r="C88">
            <v>45902</v>
          </cell>
          <cell r="E88" t="str">
            <v>บจก.วีซีเอฟ</v>
          </cell>
          <cell r="F88" t="str">
            <v>JET555</v>
          </cell>
          <cell r="G88">
            <v>20</v>
          </cell>
          <cell r="H88">
            <v>37</v>
          </cell>
          <cell r="I88" t="str">
            <v>ขาว</v>
          </cell>
          <cell r="J88" t="str">
            <v>ใส</v>
          </cell>
          <cell r="L88">
            <v>100</v>
          </cell>
          <cell r="M88" t="str">
            <v>±</v>
          </cell>
          <cell r="N88">
            <v>5</v>
          </cell>
          <cell r="R88" t="str">
            <v>บิด</v>
          </cell>
          <cell r="T88" t="str">
            <v>ไม่สวมถุงใน</v>
          </cell>
          <cell r="U88"/>
          <cell r="V88"/>
          <cell r="X88">
            <v>45930</v>
          </cell>
          <cell r="Z88" t="str">
            <v>500กระสอบแบน</v>
          </cell>
          <cell r="AA88">
            <v>10000</v>
          </cell>
          <cell r="AB88">
            <v>0</v>
          </cell>
          <cell r="AC88">
            <v>0</v>
          </cell>
          <cell r="AD88">
            <v>0</v>
          </cell>
          <cell r="AG88"/>
          <cell r="AI88"/>
          <cell r="AJ88">
            <v>0</v>
          </cell>
          <cell r="AL88">
            <v>10000</v>
          </cell>
          <cell r="AM88"/>
          <cell r="AN88">
            <v>10500</v>
          </cell>
          <cell r="AO88" t="str">
            <v>WSWT2025800SM</v>
          </cell>
          <cell r="AQ88">
            <v>10756.900000000001</v>
          </cell>
          <cell r="AR88">
            <v>5732</v>
          </cell>
          <cell r="AS88">
            <v>5024.9000000000015</v>
          </cell>
          <cell r="AT88">
            <v>0</v>
          </cell>
          <cell r="AU88">
            <v>10756.900000000001</v>
          </cell>
          <cell r="BZ88" t="str">
            <v>WRWT25850/WRWT25850</v>
          </cell>
          <cell r="CA88">
            <v>379.6591111111112</v>
          </cell>
          <cell r="DL88" t="str">
            <v>P6</v>
          </cell>
          <cell r="DM88">
            <v>4</v>
          </cell>
          <cell r="DN88">
            <v>45930</v>
          </cell>
          <cell r="DP88">
            <v>45925</v>
          </cell>
          <cell r="DQ88">
            <v>45926</v>
          </cell>
          <cell r="DR88">
            <v>45919</v>
          </cell>
          <cell r="DS88">
            <v>45927</v>
          </cell>
          <cell r="DT88">
            <v>45928</v>
          </cell>
          <cell r="DU88">
            <v>45929</v>
          </cell>
          <cell r="DW88"/>
          <cell r="DX88"/>
          <cell r="DY88"/>
          <cell r="DZ88"/>
          <cell r="EA88"/>
          <cell r="EB88"/>
          <cell r="EC88" t="str">
            <v>งานเคลือบ+พิมพ์</v>
          </cell>
          <cell r="ED88" t="str">
            <v xml:space="preserve"> /</v>
          </cell>
          <cell r="EG88"/>
          <cell r="EH88"/>
          <cell r="EI88"/>
        </row>
        <row r="89">
          <cell r="B89" t="str">
            <v>MK68-001070</v>
          </cell>
          <cell r="C89">
            <v>45902</v>
          </cell>
          <cell r="E89" t="str">
            <v>บจก.วีซีเอฟ</v>
          </cell>
          <cell r="F89" t="str">
            <v>ไลด์ฟีด 405</v>
          </cell>
          <cell r="G89">
            <v>20</v>
          </cell>
          <cell r="H89">
            <v>37</v>
          </cell>
          <cell r="I89" t="str">
            <v>ขาว</v>
          </cell>
          <cell r="J89" t="str">
            <v>ใส</v>
          </cell>
          <cell r="L89">
            <v>100</v>
          </cell>
          <cell r="M89" t="str">
            <v>±</v>
          </cell>
          <cell r="N89">
            <v>5</v>
          </cell>
          <cell r="R89" t="str">
            <v>บิด</v>
          </cell>
          <cell r="T89" t="str">
            <v>ไม่สวมถุงใน</v>
          </cell>
          <cell r="U89"/>
          <cell r="V89"/>
          <cell r="X89">
            <v>45930</v>
          </cell>
          <cell r="Z89" t="str">
            <v>500กระสอบแบน</v>
          </cell>
          <cell r="AA89">
            <v>5000</v>
          </cell>
          <cell r="AB89">
            <v>0</v>
          </cell>
          <cell r="AC89">
            <v>0</v>
          </cell>
          <cell r="AD89">
            <v>0</v>
          </cell>
          <cell r="AG89"/>
          <cell r="AI89"/>
          <cell r="AJ89">
            <v>0</v>
          </cell>
          <cell r="AL89">
            <v>5000</v>
          </cell>
          <cell r="AM89"/>
          <cell r="AN89">
            <v>5250</v>
          </cell>
          <cell r="AO89" t="str">
            <v>WSWT2025800SM</v>
          </cell>
          <cell r="AQ89">
            <v>5378.4500000000007</v>
          </cell>
          <cell r="AR89">
            <v>0</v>
          </cell>
          <cell r="AS89">
            <v>5378.4500000000007</v>
          </cell>
          <cell r="AT89">
            <v>0</v>
          </cell>
          <cell r="AU89">
            <v>5378.4500000000007</v>
          </cell>
          <cell r="BZ89" t="str">
            <v>WRWT25850/WRWT25850</v>
          </cell>
          <cell r="CA89">
            <v>406.37177777777782</v>
          </cell>
          <cell r="DL89" t="str">
            <v>P6</v>
          </cell>
          <cell r="DM89">
            <v>4</v>
          </cell>
          <cell r="DN89">
            <v>45930</v>
          </cell>
          <cell r="DP89">
            <v>45925</v>
          </cell>
          <cell r="DQ89">
            <v>45926</v>
          </cell>
          <cell r="DR89">
            <v>45919</v>
          </cell>
          <cell r="DS89">
            <v>45927</v>
          </cell>
          <cell r="DT89">
            <v>45928</v>
          </cell>
          <cell r="DU89">
            <v>45929</v>
          </cell>
          <cell r="DW89"/>
          <cell r="DX89"/>
          <cell r="DY89"/>
          <cell r="DZ89"/>
          <cell r="EA89"/>
          <cell r="EB89"/>
          <cell r="EC89" t="str">
            <v>งานเคลือบ+พิมพ์</v>
          </cell>
          <cell r="ED89" t="str">
            <v xml:space="preserve"> /</v>
          </cell>
          <cell r="EG89"/>
          <cell r="EH89"/>
          <cell r="EI89"/>
        </row>
        <row r="90">
          <cell r="B90" t="str">
            <v>MK68-001070</v>
          </cell>
          <cell r="C90">
            <v>45902</v>
          </cell>
          <cell r="E90" t="str">
            <v>บจก.วีซีเอฟ</v>
          </cell>
          <cell r="F90" t="str">
            <v>SPEED PLUS 405ENG</v>
          </cell>
          <cell r="G90">
            <v>20</v>
          </cell>
          <cell r="H90">
            <v>37</v>
          </cell>
          <cell r="I90" t="str">
            <v>ขาว</v>
          </cell>
          <cell r="J90" t="str">
            <v>ใส</v>
          </cell>
          <cell r="L90">
            <v>100</v>
          </cell>
          <cell r="M90" t="str">
            <v>±</v>
          </cell>
          <cell r="N90">
            <v>5</v>
          </cell>
          <cell r="R90" t="str">
            <v>ไม่</v>
          </cell>
          <cell r="T90" t="str">
            <v>ไม่สวมถุงใน</v>
          </cell>
          <cell r="U90"/>
          <cell r="V90"/>
          <cell r="X90">
            <v>45930</v>
          </cell>
          <cell r="Z90" t="str">
            <v>500กระสอบแบน</v>
          </cell>
          <cell r="AA90">
            <v>5000</v>
          </cell>
          <cell r="AB90">
            <v>0</v>
          </cell>
          <cell r="AC90">
            <v>0</v>
          </cell>
          <cell r="AD90">
            <v>0</v>
          </cell>
          <cell r="AG90"/>
          <cell r="AI90"/>
          <cell r="AJ90">
            <v>0</v>
          </cell>
          <cell r="AL90">
            <v>5000</v>
          </cell>
          <cell r="AM90"/>
          <cell r="AN90">
            <v>5250</v>
          </cell>
          <cell r="AO90" t="str">
            <v>WSWT2025800SM</v>
          </cell>
          <cell r="AQ90">
            <v>5378.4500000000007</v>
          </cell>
          <cell r="AR90">
            <v>0</v>
          </cell>
          <cell r="AS90">
            <v>5378.4500000000007</v>
          </cell>
          <cell r="AT90">
            <v>0</v>
          </cell>
          <cell r="AU90">
            <v>5378.4500000000007</v>
          </cell>
          <cell r="BZ90" t="str">
            <v>WRWT25850/WRWT25850</v>
          </cell>
          <cell r="CA90">
            <v>406.37177777777782</v>
          </cell>
          <cell r="DL90" t="str">
            <v>P6</v>
          </cell>
          <cell r="DM90">
            <v>4</v>
          </cell>
          <cell r="DN90">
            <v>45930</v>
          </cell>
          <cell r="DP90">
            <v>45925</v>
          </cell>
          <cell r="DQ90">
            <v>45926</v>
          </cell>
          <cell r="DR90">
            <v>45919</v>
          </cell>
          <cell r="DS90">
            <v>45927</v>
          </cell>
          <cell r="DT90">
            <v>45928</v>
          </cell>
          <cell r="DU90">
            <v>45929</v>
          </cell>
          <cell r="DW90"/>
          <cell r="DX90"/>
          <cell r="DY90"/>
          <cell r="DZ90"/>
          <cell r="EA90"/>
          <cell r="EB90"/>
          <cell r="EC90" t="str">
            <v>งานเคลือบ+พิมพ์</v>
          </cell>
          <cell r="ED90" t="str">
            <v xml:space="preserve"> /</v>
          </cell>
          <cell r="EG90"/>
          <cell r="EH90"/>
          <cell r="EI90"/>
        </row>
        <row r="91">
          <cell r="B91" t="str">
            <v>MK68-000961</v>
          </cell>
          <cell r="C91">
            <v>45873</v>
          </cell>
          <cell r="E91" t="str">
            <v>บจก.เอพีเอ็ม อะโกร</v>
          </cell>
          <cell r="F91" t="str">
            <v>U-FEED U2(เอส)</v>
          </cell>
          <cell r="G91">
            <v>20</v>
          </cell>
          <cell r="H91">
            <v>38</v>
          </cell>
          <cell r="I91" t="str">
            <v>ขาว</v>
          </cell>
          <cell r="J91" t="str">
            <v>ใส</v>
          </cell>
          <cell r="L91">
            <v>100</v>
          </cell>
          <cell r="M91" t="str">
            <v>±</v>
          </cell>
          <cell r="N91">
            <v>5</v>
          </cell>
          <cell r="R91" t="str">
            <v>บิด</v>
          </cell>
          <cell r="T91" t="str">
            <v>ไม่สวมถุงใน</v>
          </cell>
          <cell r="U91"/>
          <cell r="V91"/>
          <cell r="X91">
            <v>45922</v>
          </cell>
          <cell r="Z91" t="str">
            <v>500กระสอบแบน</v>
          </cell>
          <cell r="AA91">
            <v>4000</v>
          </cell>
          <cell r="AB91">
            <v>0</v>
          </cell>
          <cell r="AC91">
            <v>0</v>
          </cell>
          <cell r="AD91">
            <v>0</v>
          </cell>
          <cell r="AG91"/>
          <cell r="AI91" t="str">
            <v>ห้ามเกิน-ขาดได้5%</v>
          </cell>
          <cell r="AJ91">
            <v>0</v>
          </cell>
          <cell r="AL91">
            <v>4000</v>
          </cell>
          <cell r="AM91">
            <v>4130</v>
          </cell>
          <cell r="AN91">
            <v>0</v>
          </cell>
          <cell r="AO91" t="str">
            <v>WSWT2025800SM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BZ91" t="str">
            <v>WRWT25850/WRWT25850</v>
          </cell>
          <cell r="CA91">
            <v>0</v>
          </cell>
          <cell r="DL91" t="str">
            <v>P6</v>
          </cell>
          <cell r="DM91">
            <v>4</v>
          </cell>
          <cell r="DN91">
            <v>45922</v>
          </cell>
          <cell r="DP91">
            <v>45917</v>
          </cell>
          <cell r="DQ91">
            <v>45918</v>
          </cell>
          <cell r="DR91">
            <v>45911</v>
          </cell>
          <cell r="DS91">
            <v>45919</v>
          </cell>
          <cell r="DT91">
            <v>45920</v>
          </cell>
          <cell r="DU91">
            <v>45921</v>
          </cell>
          <cell r="DW91"/>
          <cell r="DX91"/>
          <cell r="DY91"/>
          <cell r="DZ91"/>
          <cell r="EA91"/>
          <cell r="EB91"/>
          <cell r="EC91" t="str">
            <v>งานเคลือบ+พิมพ์</v>
          </cell>
          <cell r="ED91" t="str">
            <v xml:space="preserve"> /</v>
          </cell>
          <cell r="EG91"/>
          <cell r="EH91"/>
          <cell r="EI91"/>
        </row>
        <row r="92">
          <cell r="B92" t="str">
            <v>MK68-001029</v>
          </cell>
          <cell r="C92">
            <v>45892</v>
          </cell>
          <cell r="E92" t="str">
            <v>บจก.เอสพีเอ็ม อาหารสัตว์</v>
          </cell>
          <cell r="F92" t="str">
            <v>SPM 312</v>
          </cell>
          <cell r="G92">
            <v>20</v>
          </cell>
          <cell r="H92">
            <v>37</v>
          </cell>
          <cell r="I92" t="str">
            <v>ขาว</v>
          </cell>
          <cell r="J92" t="str">
            <v>ด้าน</v>
          </cell>
          <cell r="L92">
            <v>97</v>
          </cell>
          <cell r="M92" t="str">
            <v>±</v>
          </cell>
          <cell r="N92">
            <v>5</v>
          </cell>
          <cell r="R92" t="str">
            <v>บิด</v>
          </cell>
          <cell r="T92" t="str">
            <v>ไม่สวมถุงใน</v>
          </cell>
          <cell r="U92"/>
          <cell r="V92"/>
          <cell r="X92">
            <v>45930</v>
          </cell>
          <cell r="Z92" t="str">
            <v>500กระสอบแบน</v>
          </cell>
          <cell r="AA92">
            <v>3000</v>
          </cell>
          <cell r="AB92">
            <v>0</v>
          </cell>
          <cell r="AC92">
            <v>0</v>
          </cell>
          <cell r="AD92">
            <v>0</v>
          </cell>
          <cell r="AG92"/>
          <cell r="AI92"/>
          <cell r="AJ92">
            <v>0</v>
          </cell>
          <cell r="AL92">
            <v>3000</v>
          </cell>
          <cell r="AM92"/>
          <cell r="AN92">
            <v>3150</v>
          </cell>
          <cell r="AO92" t="str">
            <v>WSWT2025800SM</v>
          </cell>
          <cell r="AQ92">
            <v>3227.07</v>
          </cell>
          <cell r="AR92">
            <v>3227.07</v>
          </cell>
          <cell r="AS92">
            <v>0</v>
          </cell>
          <cell r="AT92">
            <v>3227.07</v>
          </cell>
          <cell r="AU92">
            <v>0</v>
          </cell>
          <cell r="BZ92" t="str">
            <v>WRWT25850/WRWT25850</v>
          </cell>
          <cell r="CA92">
            <v>0</v>
          </cell>
          <cell r="DL92" t="str">
            <v>P6</v>
          </cell>
          <cell r="DM92">
            <v>4</v>
          </cell>
          <cell r="DN92">
            <v>45930</v>
          </cell>
          <cell r="DP92">
            <v>45925</v>
          </cell>
          <cell r="DQ92">
            <v>45926</v>
          </cell>
          <cell r="DR92">
            <v>45919</v>
          </cell>
          <cell r="DS92">
            <v>45927</v>
          </cell>
          <cell r="DT92">
            <v>45928</v>
          </cell>
          <cell r="DU92">
            <v>45929</v>
          </cell>
          <cell r="DW92"/>
          <cell r="DX92"/>
          <cell r="DY92"/>
          <cell r="DZ92"/>
          <cell r="EA92"/>
          <cell r="EB92"/>
          <cell r="EC92" t="str">
            <v>งานเคลือบ+พิมพ์</v>
          </cell>
          <cell r="ED92" t="str">
            <v>รอART</v>
          </cell>
          <cell r="EG92"/>
          <cell r="EH92"/>
          <cell r="EI92"/>
        </row>
        <row r="93">
          <cell r="B93" t="str">
            <v>MK68-001033</v>
          </cell>
          <cell r="C93">
            <v>45891</v>
          </cell>
          <cell r="E93" t="str">
            <v>บจก.เอสพีเอ็ม อาหารสัตว์</v>
          </cell>
          <cell r="F93" t="str">
            <v>นาโน 03</v>
          </cell>
          <cell r="G93">
            <v>20</v>
          </cell>
          <cell r="H93">
            <v>38</v>
          </cell>
          <cell r="I93" t="str">
            <v>ขาว</v>
          </cell>
          <cell r="J93" t="str">
            <v>ด้าน</v>
          </cell>
          <cell r="L93">
            <v>100</v>
          </cell>
          <cell r="M93" t="str">
            <v>±</v>
          </cell>
          <cell r="N93">
            <v>5</v>
          </cell>
          <cell r="R93" t="str">
            <v>บิด</v>
          </cell>
          <cell r="T93" t="str">
            <v>ไม่สวมถุงใน</v>
          </cell>
          <cell r="U93"/>
          <cell r="V93"/>
          <cell r="X93">
            <v>45930</v>
          </cell>
          <cell r="Z93" t="str">
            <v>500กระสอบแบน</v>
          </cell>
          <cell r="AA93">
            <v>9000</v>
          </cell>
          <cell r="AB93">
            <v>0</v>
          </cell>
          <cell r="AC93">
            <v>0</v>
          </cell>
          <cell r="AD93">
            <v>0</v>
          </cell>
          <cell r="AG93"/>
          <cell r="AI93"/>
          <cell r="AJ93">
            <v>0</v>
          </cell>
          <cell r="AL93">
            <v>9000</v>
          </cell>
          <cell r="AM93"/>
          <cell r="AN93">
            <v>9450</v>
          </cell>
          <cell r="AO93" t="str">
            <v>WSWT2025800SM</v>
          </cell>
          <cell r="AQ93">
            <v>9932.67</v>
          </cell>
          <cell r="AR93">
            <v>0</v>
          </cell>
          <cell r="AS93">
            <v>9932.67</v>
          </cell>
          <cell r="AT93">
            <v>0</v>
          </cell>
          <cell r="AU93">
            <v>9932.67</v>
          </cell>
          <cell r="BZ93" t="str">
            <v>WRWT25850/WRWT25850</v>
          </cell>
          <cell r="CA93">
            <v>750.46839999999997</v>
          </cell>
          <cell r="DL93" t="str">
            <v>P6</v>
          </cell>
          <cell r="DM93">
            <v>5</v>
          </cell>
          <cell r="DN93">
            <v>45930</v>
          </cell>
          <cell r="DP93">
            <v>45925</v>
          </cell>
          <cell r="DQ93">
            <v>45925</v>
          </cell>
          <cell r="DR93">
            <v>45918</v>
          </cell>
          <cell r="DS93">
            <v>45926</v>
          </cell>
          <cell r="DT93">
            <v>45927</v>
          </cell>
          <cell r="DU93">
            <v>45928</v>
          </cell>
          <cell r="DW93"/>
          <cell r="DX93"/>
          <cell r="DY93"/>
          <cell r="DZ93"/>
          <cell r="EA93"/>
          <cell r="EB93"/>
          <cell r="EC93" t="str">
            <v>งานเคลือบ+พิมพ์</v>
          </cell>
          <cell r="ED93" t="str">
            <v xml:space="preserve"> /</v>
          </cell>
          <cell r="EG93"/>
          <cell r="EH93"/>
          <cell r="EI93"/>
        </row>
        <row r="94">
          <cell r="B94" t="str">
            <v>MK68-001034</v>
          </cell>
          <cell r="C94">
            <v>45891</v>
          </cell>
          <cell r="E94" t="str">
            <v>บจก.เอสพีเอ็ม อาหารสัตว์</v>
          </cell>
          <cell r="F94" t="str">
            <v>นาโน 01</v>
          </cell>
          <cell r="G94">
            <v>20</v>
          </cell>
          <cell r="H94">
            <v>38</v>
          </cell>
          <cell r="I94" t="str">
            <v>ขาว</v>
          </cell>
          <cell r="J94" t="str">
            <v>ด้าน</v>
          </cell>
          <cell r="L94">
            <v>100</v>
          </cell>
          <cell r="M94" t="str">
            <v>±</v>
          </cell>
          <cell r="N94">
            <v>5</v>
          </cell>
          <cell r="R94" t="str">
            <v>บิด</v>
          </cell>
          <cell r="T94" t="str">
            <v>ไม่สวมถุงใน</v>
          </cell>
          <cell r="U94"/>
          <cell r="V94"/>
          <cell r="X94">
            <v>45930</v>
          </cell>
          <cell r="Z94" t="str">
            <v>500กระสอบแบน</v>
          </cell>
          <cell r="AA94">
            <v>4000</v>
          </cell>
          <cell r="AB94">
            <v>0</v>
          </cell>
          <cell r="AC94">
            <v>0</v>
          </cell>
          <cell r="AD94">
            <v>0</v>
          </cell>
          <cell r="AG94"/>
          <cell r="AI94"/>
          <cell r="AJ94">
            <v>0</v>
          </cell>
          <cell r="AL94">
            <v>4000</v>
          </cell>
          <cell r="AM94"/>
          <cell r="AN94">
            <v>4200</v>
          </cell>
          <cell r="AO94" t="str">
            <v>WSWT2025800SM</v>
          </cell>
          <cell r="AQ94">
            <v>4414.5199999999995</v>
          </cell>
          <cell r="AR94">
            <v>0</v>
          </cell>
          <cell r="AS94">
            <v>4414.5199999999995</v>
          </cell>
          <cell r="AT94">
            <v>0</v>
          </cell>
          <cell r="AU94">
            <v>4414.5199999999995</v>
          </cell>
          <cell r="BZ94" t="str">
            <v>WRWT25850/WRWT25850</v>
          </cell>
          <cell r="CA94">
            <v>333.54151111111111</v>
          </cell>
          <cell r="DL94" t="str">
            <v>P6</v>
          </cell>
          <cell r="DM94">
            <v>5</v>
          </cell>
          <cell r="DN94">
            <v>45930</v>
          </cell>
          <cell r="DP94">
            <v>45925</v>
          </cell>
          <cell r="DQ94">
            <v>45925</v>
          </cell>
          <cell r="DR94">
            <v>45918</v>
          </cell>
          <cell r="DS94">
            <v>45926</v>
          </cell>
          <cell r="DT94">
            <v>45927</v>
          </cell>
          <cell r="DU94">
            <v>45928</v>
          </cell>
          <cell r="DW94"/>
          <cell r="DX94"/>
          <cell r="DY94"/>
          <cell r="DZ94"/>
          <cell r="EA94"/>
          <cell r="EB94"/>
          <cell r="EC94" t="str">
            <v>งานเคลือบ+พิมพ์</v>
          </cell>
          <cell r="ED94" t="str">
            <v xml:space="preserve"> /</v>
          </cell>
          <cell r="EG94"/>
          <cell r="EH94"/>
          <cell r="EI94"/>
        </row>
        <row r="95">
          <cell r="B95" t="str">
            <v>MK68-001035</v>
          </cell>
          <cell r="C95">
            <v>45891</v>
          </cell>
          <cell r="E95" t="str">
            <v>บจก.เอสพีเอ็ม อาหารสัตว์</v>
          </cell>
          <cell r="F95" t="str">
            <v>นาโน 02</v>
          </cell>
          <cell r="G95">
            <v>20</v>
          </cell>
          <cell r="H95">
            <v>38</v>
          </cell>
          <cell r="I95" t="str">
            <v>ขาว</v>
          </cell>
          <cell r="J95" t="str">
            <v>ด้าน</v>
          </cell>
          <cell r="L95">
            <v>100</v>
          </cell>
          <cell r="M95" t="str">
            <v>±</v>
          </cell>
          <cell r="N95">
            <v>5</v>
          </cell>
          <cell r="R95" t="str">
            <v>บิด</v>
          </cell>
          <cell r="T95" t="str">
            <v>ไม่สวมถุงใน</v>
          </cell>
          <cell r="U95"/>
          <cell r="V95"/>
          <cell r="X95">
            <v>45930</v>
          </cell>
          <cell r="Z95" t="str">
            <v>500กระสอบแบน</v>
          </cell>
          <cell r="AA95">
            <v>9000</v>
          </cell>
          <cell r="AB95">
            <v>0</v>
          </cell>
          <cell r="AC95">
            <v>0</v>
          </cell>
          <cell r="AD95">
            <v>0</v>
          </cell>
          <cell r="AG95"/>
          <cell r="AI95"/>
          <cell r="AJ95">
            <v>0</v>
          </cell>
          <cell r="AL95">
            <v>9000</v>
          </cell>
          <cell r="AM95"/>
          <cell r="AN95">
            <v>9450</v>
          </cell>
          <cell r="AO95" t="str">
            <v>WSWT2025800SM</v>
          </cell>
          <cell r="AQ95">
            <v>9932.67</v>
          </cell>
          <cell r="AR95">
            <v>0</v>
          </cell>
          <cell r="AS95">
            <v>9932.67</v>
          </cell>
          <cell r="AT95">
            <v>0</v>
          </cell>
          <cell r="AU95">
            <v>9932.67</v>
          </cell>
          <cell r="BZ95" t="str">
            <v>WRWT25850/WRWT25850</v>
          </cell>
          <cell r="CA95">
            <v>750.46839999999997</v>
          </cell>
          <cell r="DL95" t="str">
            <v>P6</v>
          </cell>
          <cell r="DM95">
            <v>5</v>
          </cell>
          <cell r="DN95">
            <v>45930</v>
          </cell>
          <cell r="DP95">
            <v>45925</v>
          </cell>
          <cell r="DQ95">
            <v>45925</v>
          </cell>
          <cell r="DR95">
            <v>45918</v>
          </cell>
          <cell r="DS95">
            <v>45926</v>
          </cell>
          <cell r="DT95">
            <v>45927</v>
          </cell>
          <cell r="DU95">
            <v>45928</v>
          </cell>
          <cell r="DW95"/>
          <cell r="DX95"/>
          <cell r="DY95"/>
          <cell r="DZ95"/>
          <cell r="EA95"/>
          <cell r="EB95"/>
          <cell r="EC95" t="str">
            <v>งานเคลือบ+พิมพ์</v>
          </cell>
          <cell r="ED95" t="str">
            <v xml:space="preserve"> /</v>
          </cell>
          <cell r="EG95"/>
          <cell r="EH95"/>
          <cell r="EI95"/>
        </row>
        <row r="96">
          <cell r="B96" t="str">
            <v>ประมาณการ</v>
          </cell>
          <cell r="C96" t="str">
            <v>ประมาณการ</v>
          </cell>
          <cell r="E96" t="str">
            <v>บจก.อินเทคค์ โกลบอล</v>
          </cell>
          <cell r="F96" t="str">
            <v>รอแบบ</v>
          </cell>
          <cell r="G96">
            <v>20</v>
          </cell>
          <cell r="H96">
            <v>36</v>
          </cell>
          <cell r="I96" t="str">
            <v>ขาว</v>
          </cell>
          <cell r="J96" t="str">
            <v>ด้าน</v>
          </cell>
          <cell r="L96">
            <v>100</v>
          </cell>
          <cell r="M96" t="str">
            <v>±</v>
          </cell>
          <cell r="N96">
            <v>5</v>
          </cell>
          <cell r="R96" t="str">
            <v>จับจีบ</v>
          </cell>
          <cell r="T96" t="str">
            <v>ไม่สวมถุงใน</v>
          </cell>
          <cell r="U96"/>
          <cell r="V96"/>
          <cell r="X96">
            <v>45930</v>
          </cell>
          <cell r="Z96" t="str">
            <v>มัด80 ใช้สายรัด</v>
          </cell>
          <cell r="AA96">
            <v>100000</v>
          </cell>
          <cell r="AB96">
            <v>0</v>
          </cell>
          <cell r="AC96">
            <v>0</v>
          </cell>
          <cell r="AD96">
            <v>0</v>
          </cell>
          <cell r="AG96"/>
          <cell r="AI96"/>
          <cell r="AJ96">
            <v>0</v>
          </cell>
          <cell r="AL96">
            <v>100000</v>
          </cell>
          <cell r="AM96"/>
          <cell r="AN96">
            <v>105000</v>
          </cell>
          <cell r="AO96" t="str">
            <v>WSWT2025800SM</v>
          </cell>
          <cell r="AQ96">
            <v>104775.00000000001</v>
          </cell>
          <cell r="AR96">
            <v>0</v>
          </cell>
          <cell r="AS96">
            <v>104775.00000000001</v>
          </cell>
          <cell r="AT96">
            <v>0</v>
          </cell>
          <cell r="AU96">
            <v>104775.00000000001</v>
          </cell>
          <cell r="BZ96" t="str">
            <v>WRWT25850/WRWT25850</v>
          </cell>
          <cell r="CA96">
            <v>7916.333333333333</v>
          </cell>
          <cell r="DL96" t="str">
            <v>P6</v>
          </cell>
          <cell r="DM96">
            <v>4</v>
          </cell>
          <cell r="DN96">
            <v>45930</v>
          </cell>
          <cell r="DP96">
            <v>45925</v>
          </cell>
          <cell r="DQ96">
            <v>45926</v>
          </cell>
          <cell r="DR96">
            <v>45919</v>
          </cell>
          <cell r="DS96">
            <v>45927</v>
          </cell>
          <cell r="DT96">
            <v>45928</v>
          </cell>
          <cell r="DU96">
            <v>45929</v>
          </cell>
          <cell r="DW96"/>
          <cell r="DX96"/>
          <cell r="DY96"/>
          <cell r="DZ96"/>
          <cell r="EA96"/>
          <cell r="EB96"/>
          <cell r="EC96" t="str">
            <v>งานเคลือบ+พิมพ์</v>
          </cell>
          <cell r="ED96" t="str">
            <v>รอART</v>
          </cell>
          <cell r="EG96"/>
          <cell r="EH96"/>
          <cell r="EI96"/>
        </row>
        <row r="97">
          <cell r="B97" t="str">
            <v>ประมาณการ</v>
          </cell>
          <cell r="C97" t="str">
            <v>ประมาณการ</v>
          </cell>
          <cell r="E97" t="str">
            <v>บจก.เอสพีเอ็ม อาหารสัตว์</v>
          </cell>
          <cell r="F97" t="str">
            <v>รอแบบ</v>
          </cell>
          <cell r="G97">
            <v>20</v>
          </cell>
          <cell r="H97">
            <v>38</v>
          </cell>
          <cell r="I97" t="str">
            <v>ขาว</v>
          </cell>
          <cell r="J97" t="str">
            <v>ใส</v>
          </cell>
          <cell r="L97">
            <v>100</v>
          </cell>
          <cell r="M97" t="str">
            <v>±</v>
          </cell>
          <cell r="N97">
            <v>5</v>
          </cell>
          <cell r="R97" t="str">
            <v>บิด</v>
          </cell>
          <cell r="T97" t="str">
            <v>ไม่สวมถุงใน</v>
          </cell>
          <cell r="U97"/>
          <cell r="V97"/>
          <cell r="X97">
            <v>45930</v>
          </cell>
          <cell r="Z97" t="str">
            <v>500กระสอบแบน</v>
          </cell>
          <cell r="AA97">
            <v>20000</v>
          </cell>
          <cell r="AB97">
            <v>0</v>
          </cell>
          <cell r="AC97">
            <v>0</v>
          </cell>
          <cell r="AD97">
            <v>0</v>
          </cell>
          <cell r="AG97"/>
          <cell r="AI97"/>
          <cell r="AJ97">
            <v>0</v>
          </cell>
          <cell r="AL97">
            <v>20000</v>
          </cell>
          <cell r="AM97"/>
          <cell r="AN97">
            <v>21000</v>
          </cell>
          <cell r="AO97" t="str">
            <v>WSWT2025800SM</v>
          </cell>
          <cell r="AQ97">
            <v>22072.6</v>
          </cell>
          <cell r="AR97">
            <v>0</v>
          </cell>
          <cell r="AS97">
            <v>22072.6</v>
          </cell>
          <cell r="AT97">
            <v>0</v>
          </cell>
          <cell r="AU97">
            <v>22072.6</v>
          </cell>
          <cell r="BZ97" t="str">
            <v>WRWT25850/WRWT25850</v>
          </cell>
          <cell r="CA97">
            <v>1667.7075555555555</v>
          </cell>
          <cell r="DL97" t="str">
            <v>P6</v>
          </cell>
          <cell r="DM97">
            <v>4</v>
          </cell>
          <cell r="DN97">
            <v>45930</v>
          </cell>
          <cell r="DP97">
            <v>45925</v>
          </cell>
          <cell r="DQ97">
            <v>45926</v>
          </cell>
          <cell r="DR97">
            <v>45919</v>
          </cell>
          <cell r="DS97">
            <v>45927</v>
          </cell>
          <cell r="DT97">
            <v>45928</v>
          </cell>
          <cell r="DU97">
            <v>45929</v>
          </cell>
          <cell r="DW97"/>
          <cell r="DX97"/>
          <cell r="DY97"/>
          <cell r="DZ97"/>
          <cell r="EA97"/>
          <cell r="EB97"/>
          <cell r="EC97" t="str">
            <v>งานเคลือบ+พิมพ์</v>
          </cell>
          <cell r="ED97" t="str">
            <v>รอART</v>
          </cell>
          <cell r="EG97"/>
          <cell r="EH97"/>
          <cell r="EI97"/>
        </row>
        <row r="98">
          <cell r="B98" t="str">
            <v>ประมาณการ</v>
          </cell>
          <cell r="C98" t="str">
            <v>ประมาณการ</v>
          </cell>
          <cell r="E98" t="str">
            <v>บจก.ไทยธรรมดี</v>
          </cell>
          <cell r="F98" t="str">
            <v>รอแบบ</v>
          </cell>
          <cell r="G98">
            <v>20</v>
          </cell>
          <cell r="H98">
            <v>37</v>
          </cell>
          <cell r="I98" t="str">
            <v>ขาว</v>
          </cell>
          <cell r="J98" t="str">
            <v>ด้าน</v>
          </cell>
          <cell r="L98">
            <v>97</v>
          </cell>
          <cell r="M98" t="str">
            <v>±</v>
          </cell>
          <cell r="N98">
            <v>5</v>
          </cell>
          <cell r="R98" t="str">
            <v>บิด</v>
          </cell>
          <cell r="T98" t="str">
            <v>ไม่สวมถุงใน</v>
          </cell>
          <cell r="U98"/>
          <cell r="V98"/>
          <cell r="X98">
            <v>45930</v>
          </cell>
          <cell r="Z98" t="str">
            <v>500กระสอบ</v>
          </cell>
          <cell r="AA98">
            <v>20000</v>
          </cell>
          <cell r="AB98">
            <v>0</v>
          </cell>
          <cell r="AC98">
            <v>0</v>
          </cell>
          <cell r="AD98">
            <v>0</v>
          </cell>
          <cell r="AG98"/>
          <cell r="AI98"/>
          <cell r="AJ98">
            <v>0</v>
          </cell>
          <cell r="AL98">
            <v>20000</v>
          </cell>
          <cell r="AM98"/>
          <cell r="AN98">
            <v>21000</v>
          </cell>
          <cell r="AO98" t="str">
            <v>WSWT2025800SM</v>
          </cell>
          <cell r="AQ98">
            <v>21513.800000000003</v>
          </cell>
          <cell r="AR98">
            <v>0</v>
          </cell>
          <cell r="AS98">
            <v>21513.800000000003</v>
          </cell>
          <cell r="AT98">
            <v>0</v>
          </cell>
          <cell r="AU98">
            <v>21513.800000000003</v>
          </cell>
          <cell r="BZ98" t="str">
            <v>WRWT25850/WRWT25850</v>
          </cell>
          <cell r="CA98">
            <v>1625.4871111111113</v>
          </cell>
          <cell r="DL98" t="str">
            <v>P6</v>
          </cell>
          <cell r="DM98">
            <v>4</v>
          </cell>
          <cell r="DN98">
            <v>45930</v>
          </cell>
          <cell r="DP98">
            <v>45925</v>
          </cell>
          <cell r="DQ98">
            <v>45926</v>
          </cell>
          <cell r="DR98">
            <v>45919</v>
          </cell>
          <cell r="DS98">
            <v>45927</v>
          </cell>
          <cell r="DT98">
            <v>45928</v>
          </cell>
          <cell r="DU98">
            <v>45929</v>
          </cell>
          <cell r="DW98"/>
          <cell r="DX98"/>
          <cell r="DY98"/>
          <cell r="DZ98"/>
          <cell r="EA98"/>
          <cell r="EB98"/>
          <cell r="EC98" t="str">
            <v>งานเคลือบ+พิมพ์</v>
          </cell>
          <cell r="ED98" t="str">
            <v>รอART</v>
          </cell>
          <cell r="EG98"/>
          <cell r="EH98"/>
          <cell r="EI98"/>
        </row>
        <row r="99">
          <cell r="B99" t="str">
            <v>MK68-001007</v>
          </cell>
          <cell r="C99">
            <v>45887</v>
          </cell>
          <cell r="E99" t="str">
            <v>บจก.อินเทคค์ โกลบอล</v>
          </cell>
          <cell r="F99" t="str">
            <v>เพอเฟคค์ 916</v>
          </cell>
          <cell r="G99">
            <v>20</v>
          </cell>
          <cell r="H99">
            <v>36</v>
          </cell>
          <cell r="I99" t="str">
            <v>ขาว</v>
          </cell>
          <cell r="J99" t="str">
            <v>ด้าน</v>
          </cell>
          <cell r="L99">
            <v>100</v>
          </cell>
          <cell r="M99" t="str">
            <v>±</v>
          </cell>
          <cell r="N99">
            <v>5</v>
          </cell>
          <cell r="R99" t="str">
            <v>จับจีบ</v>
          </cell>
          <cell r="T99" t="str">
            <v>ไม่สวมถุงใน</v>
          </cell>
          <cell r="U99"/>
          <cell r="V99"/>
          <cell r="X99" t="str">
            <v>รอแจ้ง</v>
          </cell>
          <cell r="Z99" t="str">
            <v>มัด80 ใช้สายรัด</v>
          </cell>
          <cell r="AA99">
            <v>104</v>
          </cell>
          <cell r="AB99">
            <v>0</v>
          </cell>
          <cell r="AC99">
            <v>0</v>
          </cell>
          <cell r="AD99">
            <v>0</v>
          </cell>
          <cell r="AG99"/>
          <cell r="AI99"/>
          <cell r="AJ99">
            <v>0</v>
          </cell>
          <cell r="AL99">
            <v>104</v>
          </cell>
          <cell r="AM99">
            <v>11230</v>
          </cell>
          <cell r="AN99">
            <v>0</v>
          </cell>
          <cell r="AO99" t="str">
            <v>WSWT2025800SM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BZ99" t="str">
            <v>WRWT25850/WRWT25850</v>
          </cell>
          <cell r="CA99">
            <v>0</v>
          </cell>
          <cell r="DL99" t="str">
            <v>P6</v>
          </cell>
          <cell r="DM99">
            <v>4</v>
          </cell>
          <cell r="DN99" t="str">
            <v>รอแจ้ง</v>
          </cell>
          <cell r="DP99" t="e">
            <v>#VALUE!</v>
          </cell>
          <cell r="DQ99" t="e">
            <v>#VALUE!</v>
          </cell>
          <cell r="DR99" t="e">
            <v>#VALUE!</v>
          </cell>
          <cell r="DS99" t="e">
            <v>#VALUE!</v>
          </cell>
          <cell r="DT99" t="e">
            <v>#VALUE!</v>
          </cell>
          <cell r="DU99" t="e">
            <v>#VALUE!</v>
          </cell>
          <cell r="DW99"/>
          <cell r="DX99"/>
          <cell r="DY99"/>
          <cell r="DZ99"/>
          <cell r="EA99"/>
          <cell r="EB99"/>
          <cell r="EC99" t="str">
            <v>งานเคลือบ+พิมพ์</v>
          </cell>
          <cell r="ED99" t="str">
            <v xml:space="preserve"> / </v>
          </cell>
          <cell r="EG99"/>
          <cell r="EH99"/>
          <cell r="EI99"/>
        </row>
        <row r="100">
          <cell r="B100" t="str">
            <v>MK68-001039</v>
          </cell>
          <cell r="C100">
            <v>45896</v>
          </cell>
          <cell r="E100" t="str">
            <v>บจก.เอสพีเอ็ม อาหารสัตว์</v>
          </cell>
          <cell r="F100" t="str">
            <v>U-GOAT14</v>
          </cell>
          <cell r="G100">
            <v>20</v>
          </cell>
          <cell r="H100">
            <v>38</v>
          </cell>
          <cell r="I100" t="str">
            <v>ขาว</v>
          </cell>
          <cell r="J100" t="str">
            <v>ใส</v>
          </cell>
          <cell r="L100">
            <v>100</v>
          </cell>
          <cell r="M100" t="str">
            <v>±</v>
          </cell>
          <cell r="N100">
            <v>5</v>
          </cell>
          <cell r="R100" t="str">
            <v>บิด</v>
          </cell>
          <cell r="T100" t="str">
            <v>ไม่สวมถุงใน</v>
          </cell>
          <cell r="U100"/>
          <cell r="V100"/>
          <cell r="X100" t="str">
            <v>รอแจ้ง</v>
          </cell>
          <cell r="Z100" t="str">
            <v>500กระสอบแบน</v>
          </cell>
          <cell r="AA100">
            <v>3000</v>
          </cell>
          <cell r="AB100">
            <v>0</v>
          </cell>
          <cell r="AC100">
            <v>0</v>
          </cell>
          <cell r="AD100">
            <v>0</v>
          </cell>
          <cell r="AG100"/>
          <cell r="AI100"/>
          <cell r="AJ100">
            <v>0</v>
          </cell>
          <cell r="AL100">
            <v>3000</v>
          </cell>
          <cell r="AM100"/>
          <cell r="AN100">
            <v>3150</v>
          </cell>
          <cell r="AO100" t="str">
            <v>WSWT2025800SM</v>
          </cell>
          <cell r="AQ100">
            <v>3310.89</v>
          </cell>
          <cell r="AR100">
            <v>0</v>
          </cell>
          <cell r="AS100">
            <v>3310.89</v>
          </cell>
          <cell r="AT100">
            <v>0</v>
          </cell>
          <cell r="AU100">
            <v>3310.89</v>
          </cell>
          <cell r="BZ100" t="str">
            <v>WRWT25850/WRWT25850</v>
          </cell>
          <cell r="CA100">
            <v>250.15613333333337</v>
          </cell>
          <cell r="DL100" t="str">
            <v>P6</v>
          </cell>
          <cell r="DM100">
            <v>5</v>
          </cell>
          <cell r="DN100" t="str">
            <v>รอแจ้ง</v>
          </cell>
          <cell r="DP100" t="e">
            <v>#VALUE!</v>
          </cell>
          <cell r="DQ100" t="e">
            <v>#VALUE!</v>
          </cell>
          <cell r="DR100" t="e">
            <v>#VALUE!</v>
          </cell>
          <cell r="DS100" t="e">
            <v>#VALUE!</v>
          </cell>
          <cell r="DT100" t="e">
            <v>#VALUE!</v>
          </cell>
          <cell r="DU100" t="e">
            <v>#VALUE!</v>
          </cell>
          <cell r="DW100"/>
          <cell r="DX100"/>
          <cell r="DY100"/>
          <cell r="DZ100"/>
          <cell r="EA100"/>
          <cell r="EB100"/>
          <cell r="EC100" t="str">
            <v>งานเคลือบ+พิมพ์</v>
          </cell>
          <cell r="ED100" t="str">
            <v xml:space="preserve"> /</v>
          </cell>
          <cell r="EG100"/>
          <cell r="EH100"/>
          <cell r="EI100"/>
        </row>
        <row r="101">
          <cell r="B101" t="str">
            <v>MK68-001040</v>
          </cell>
          <cell r="C101">
            <v>45896</v>
          </cell>
          <cell r="E101" t="str">
            <v>บจก.เอสพีเอ็ม อาหารสัตว์</v>
          </cell>
          <cell r="F101" t="str">
            <v>ฟิล กู๊ด พี4</v>
          </cell>
          <cell r="G101">
            <v>20</v>
          </cell>
          <cell r="H101">
            <v>38</v>
          </cell>
          <cell r="I101" t="str">
            <v>ขาว</v>
          </cell>
          <cell r="J101" t="str">
            <v>ใส</v>
          </cell>
          <cell r="L101">
            <v>100</v>
          </cell>
          <cell r="M101" t="str">
            <v>±</v>
          </cell>
          <cell r="N101">
            <v>5</v>
          </cell>
          <cell r="R101" t="str">
            <v>บิด</v>
          </cell>
          <cell r="T101" t="str">
            <v>ไม่สวมถุงใน</v>
          </cell>
          <cell r="U101"/>
          <cell r="V101"/>
          <cell r="X101" t="str">
            <v>รอแจ้ง</v>
          </cell>
          <cell r="Z101" t="str">
            <v>500กระสอบแบน</v>
          </cell>
          <cell r="AA101">
            <v>8000</v>
          </cell>
          <cell r="AB101">
            <v>0</v>
          </cell>
          <cell r="AC101">
            <v>0</v>
          </cell>
          <cell r="AD101">
            <v>0</v>
          </cell>
          <cell r="AG101"/>
          <cell r="AI101"/>
          <cell r="AJ101">
            <v>0</v>
          </cell>
          <cell r="AL101">
            <v>8000</v>
          </cell>
          <cell r="AM101"/>
          <cell r="AN101">
            <v>8400</v>
          </cell>
          <cell r="AO101" t="str">
            <v>WSWT2025800SM</v>
          </cell>
          <cell r="AQ101">
            <v>8829.0399999999991</v>
          </cell>
          <cell r="AR101">
            <v>0</v>
          </cell>
          <cell r="AS101">
            <v>8829.0399999999991</v>
          </cell>
          <cell r="AT101">
            <v>0</v>
          </cell>
          <cell r="AU101">
            <v>8829.0399999999991</v>
          </cell>
          <cell r="BZ101" t="str">
            <v>WRWT25850/WRWT25850</v>
          </cell>
          <cell r="CA101">
            <v>667.08302222222221</v>
          </cell>
          <cell r="DL101" t="str">
            <v>P6</v>
          </cell>
          <cell r="DM101">
            <v>5</v>
          </cell>
          <cell r="DN101" t="str">
            <v>รอแจ้ง</v>
          </cell>
          <cell r="DP101" t="e">
            <v>#VALUE!</v>
          </cell>
          <cell r="DQ101" t="e">
            <v>#VALUE!</v>
          </cell>
          <cell r="DR101" t="e">
            <v>#VALUE!</v>
          </cell>
          <cell r="DS101" t="e">
            <v>#VALUE!</v>
          </cell>
          <cell r="DT101" t="e">
            <v>#VALUE!</v>
          </cell>
          <cell r="DU101" t="e">
            <v>#VALUE!</v>
          </cell>
          <cell r="DW101"/>
          <cell r="DX101"/>
          <cell r="DY101"/>
          <cell r="DZ101"/>
          <cell r="EA101"/>
          <cell r="EB101"/>
          <cell r="EC101" t="str">
            <v>งานเคลือบ+พิมพ์</v>
          </cell>
          <cell r="ED101" t="str">
            <v xml:space="preserve"> /</v>
          </cell>
          <cell r="EG101"/>
          <cell r="EH101"/>
          <cell r="EI101"/>
        </row>
        <row r="102">
          <cell r="B102" t="str">
            <v>MK68-001027</v>
          </cell>
          <cell r="C102">
            <v>45892</v>
          </cell>
          <cell r="E102" t="str">
            <v>บจก.เอสพีเอ็ม อาหารสัตว์</v>
          </cell>
          <cell r="F102" t="str">
            <v>นีโอ 05</v>
          </cell>
          <cell r="G102">
            <v>20</v>
          </cell>
          <cell r="H102">
            <v>38</v>
          </cell>
          <cell r="I102" t="str">
            <v>ขาว</v>
          </cell>
          <cell r="J102" t="str">
            <v>ด้าน</v>
          </cell>
          <cell r="L102">
            <v>100</v>
          </cell>
          <cell r="M102" t="str">
            <v>±</v>
          </cell>
          <cell r="N102">
            <v>5</v>
          </cell>
          <cell r="R102" t="str">
            <v>ไม่</v>
          </cell>
          <cell r="T102" t="str">
            <v>ไม่สวมถุงใน</v>
          </cell>
          <cell r="U102"/>
          <cell r="V102"/>
          <cell r="X102" t="str">
            <v>รอแจ้ง</v>
          </cell>
          <cell r="Z102" t="str">
            <v>500กระสอบแบน</v>
          </cell>
          <cell r="AA102">
            <v>6000</v>
          </cell>
          <cell r="AB102">
            <v>0</v>
          </cell>
          <cell r="AC102">
            <v>0</v>
          </cell>
          <cell r="AD102">
            <v>0</v>
          </cell>
          <cell r="AG102"/>
          <cell r="AI102"/>
          <cell r="AJ102">
            <v>0</v>
          </cell>
          <cell r="AL102">
            <v>6000</v>
          </cell>
          <cell r="AM102"/>
          <cell r="AN102">
            <v>6300</v>
          </cell>
          <cell r="AO102" t="str">
            <v>WSWT2025800SM</v>
          </cell>
          <cell r="AQ102">
            <v>6621.78</v>
          </cell>
          <cell r="AR102">
            <v>0</v>
          </cell>
          <cell r="AS102">
            <v>6621.78</v>
          </cell>
          <cell r="AT102">
            <v>0</v>
          </cell>
          <cell r="AU102">
            <v>6621.78</v>
          </cell>
          <cell r="BZ102" t="str">
            <v>WRWT25850/WRWT25850</v>
          </cell>
          <cell r="CA102">
            <v>500.31226666666674</v>
          </cell>
          <cell r="DL102" t="str">
            <v>P6</v>
          </cell>
          <cell r="DM102">
            <v>4</v>
          </cell>
          <cell r="DN102" t="str">
            <v>รอแจ้ง</v>
          </cell>
          <cell r="DP102" t="e">
            <v>#VALUE!</v>
          </cell>
          <cell r="DQ102" t="e">
            <v>#VALUE!</v>
          </cell>
          <cell r="DR102" t="e">
            <v>#VALUE!</v>
          </cell>
          <cell r="DS102" t="e">
            <v>#VALUE!</v>
          </cell>
          <cell r="DT102" t="e">
            <v>#VALUE!</v>
          </cell>
          <cell r="DU102" t="e">
            <v>#VALUE!</v>
          </cell>
          <cell r="DW102"/>
          <cell r="DX102"/>
          <cell r="DY102"/>
          <cell r="DZ102"/>
          <cell r="EA102"/>
          <cell r="EB102"/>
          <cell r="EC102" t="str">
            <v>งานเคลือบ+พิมพ์</v>
          </cell>
          <cell r="ED102" t="str">
            <v xml:space="preserve"> /</v>
          </cell>
          <cell r="EG102"/>
          <cell r="EH102"/>
          <cell r="EI102"/>
        </row>
        <row r="103">
          <cell r="B103" t="str">
            <v>MK68-000675</v>
          </cell>
          <cell r="C103">
            <v>45796</v>
          </cell>
          <cell r="E103" t="str">
            <v>บจก.อินเทคค์ โกลบอล</v>
          </cell>
          <cell r="F103" t="str">
            <v>เพอเฟคค์ 914</v>
          </cell>
          <cell r="G103">
            <v>20</v>
          </cell>
          <cell r="H103">
            <v>36</v>
          </cell>
          <cell r="I103" t="str">
            <v>ขาว</v>
          </cell>
          <cell r="J103" t="str">
            <v>ด้าน</v>
          </cell>
          <cell r="L103">
            <v>100</v>
          </cell>
          <cell r="M103" t="str">
            <v>±</v>
          </cell>
          <cell r="N103">
            <v>5</v>
          </cell>
          <cell r="R103" t="str">
            <v>จับจีบ</v>
          </cell>
          <cell r="T103" t="str">
            <v>ไม่สวมถุงใน</v>
          </cell>
          <cell r="U103"/>
          <cell r="V103"/>
          <cell r="X103" t="str">
            <v>รอแจ้ง</v>
          </cell>
          <cell r="Z103" t="str">
            <v>มัด80 ใช้สายรัด</v>
          </cell>
          <cell r="AA103">
            <v>240</v>
          </cell>
          <cell r="AB103">
            <v>0</v>
          </cell>
          <cell r="AC103">
            <v>0</v>
          </cell>
          <cell r="AD103">
            <v>0</v>
          </cell>
          <cell r="AG103" t="str">
            <v>2/6---6/6</v>
          </cell>
          <cell r="AI103"/>
          <cell r="AJ103">
            <v>0</v>
          </cell>
          <cell r="AL103">
            <v>240</v>
          </cell>
          <cell r="AM103">
            <v>0</v>
          </cell>
          <cell r="AN103">
            <v>252</v>
          </cell>
          <cell r="AO103" t="str">
            <v>WSWT2025800SM</v>
          </cell>
          <cell r="AQ103">
            <v>251.46</v>
          </cell>
          <cell r="AR103">
            <v>0</v>
          </cell>
          <cell r="AS103">
            <v>251.46</v>
          </cell>
          <cell r="AT103">
            <v>0</v>
          </cell>
          <cell r="AU103">
            <v>251.46</v>
          </cell>
          <cell r="BZ103" t="str">
            <v>WRWT25850/WRWT25850</v>
          </cell>
          <cell r="CA103">
            <v>18.999199999999998</v>
          </cell>
          <cell r="DL103" t="str">
            <v>P6</v>
          </cell>
          <cell r="DM103">
            <v>4</v>
          </cell>
          <cell r="DN103" t="str">
            <v>รอแจ้ง</v>
          </cell>
          <cell r="DP103" t="e">
            <v>#VALUE!</v>
          </cell>
          <cell r="DQ103" t="e">
            <v>#VALUE!</v>
          </cell>
          <cell r="DR103" t="e">
            <v>#VALUE!</v>
          </cell>
          <cell r="DS103" t="e">
            <v>#VALUE!</v>
          </cell>
          <cell r="DT103" t="e">
            <v>#VALUE!</v>
          </cell>
          <cell r="DU103" t="e">
            <v>#VALUE!</v>
          </cell>
          <cell r="DW103"/>
          <cell r="DX103"/>
          <cell r="DY103"/>
          <cell r="DZ103"/>
          <cell r="EA103"/>
          <cell r="EB103"/>
          <cell r="EC103" t="str">
            <v>งานเคลือบ+พิมพ์</v>
          </cell>
          <cell r="ED103" t="str">
            <v xml:space="preserve"> /</v>
          </cell>
          <cell r="EG103"/>
          <cell r="EH103"/>
          <cell r="EI103"/>
        </row>
        <row r="104">
          <cell r="B104" t="str">
            <v>MK68-000983</v>
          </cell>
          <cell r="C104">
            <v>45876</v>
          </cell>
          <cell r="E104" t="str">
            <v>บจก.เอพีเอ็ม อะโกร</v>
          </cell>
          <cell r="F104" t="str">
            <v>ยูฟีด บี2</v>
          </cell>
          <cell r="G104">
            <v>20</v>
          </cell>
          <cell r="H104">
            <v>40</v>
          </cell>
          <cell r="I104" t="str">
            <v>ขาว</v>
          </cell>
          <cell r="J104" t="str">
            <v>ใส</v>
          </cell>
          <cell r="L104">
            <v>108</v>
          </cell>
          <cell r="M104" t="str">
            <v>±</v>
          </cell>
          <cell r="N104">
            <v>5</v>
          </cell>
          <cell r="R104" t="str">
            <v>บิด</v>
          </cell>
          <cell r="T104" t="str">
            <v>ไม่สวมถุงใน</v>
          </cell>
          <cell r="U104"/>
          <cell r="V104"/>
          <cell r="X104" t="str">
            <v>รอแจ้ง</v>
          </cell>
          <cell r="Z104" t="str">
            <v>500กระสอบแบน</v>
          </cell>
          <cell r="AA104">
            <v>3000</v>
          </cell>
          <cell r="AB104">
            <v>0</v>
          </cell>
          <cell r="AC104">
            <v>0</v>
          </cell>
          <cell r="AD104">
            <v>0</v>
          </cell>
          <cell r="AG104"/>
          <cell r="AI104"/>
          <cell r="AJ104">
            <v>3075</v>
          </cell>
          <cell r="AL104">
            <v>0</v>
          </cell>
          <cell r="AM104"/>
          <cell r="AN104">
            <v>0</v>
          </cell>
          <cell r="AO104" t="str">
            <v>WSWT2025800SM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BZ104" t="str">
            <v>WRWT25850/WRWT25850</v>
          </cell>
          <cell r="CA104">
            <v>0</v>
          </cell>
          <cell r="DL104" t="str">
            <v>P6</v>
          </cell>
          <cell r="DM104">
            <v>4</v>
          </cell>
          <cell r="DN104" t="str">
            <v>รอแจ้ง</v>
          </cell>
          <cell r="DP104" t="e">
            <v>#VALUE!</v>
          </cell>
          <cell r="DQ104" t="e">
            <v>#VALUE!</v>
          </cell>
          <cell r="DR104" t="e">
            <v>#VALUE!</v>
          </cell>
          <cell r="DS104" t="e">
            <v>#VALUE!</v>
          </cell>
          <cell r="DT104" t="e">
            <v>#VALUE!</v>
          </cell>
          <cell r="DU104" t="e">
            <v>#VALUE!</v>
          </cell>
          <cell r="DW104"/>
          <cell r="DX104"/>
          <cell r="DY104"/>
          <cell r="DZ104"/>
          <cell r="EA104"/>
          <cell r="EB104"/>
          <cell r="EC104" t="str">
            <v>งานเคลือบ+พิมพ์</v>
          </cell>
          <cell r="ED104" t="str">
            <v xml:space="preserve"> /</v>
          </cell>
          <cell r="EG104"/>
          <cell r="EH104"/>
          <cell r="EI104"/>
        </row>
        <row r="105">
          <cell r="B105" t="str">
            <v>MK68-000990</v>
          </cell>
          <cell r="C105">
            <v>45877</v>
          </cell>
          <cell r="E105" t="str">
            <v>บจก.เอสพีเอ็ม อาหารสัตว์</v>
          </cell>
          <cell r="F105" t="str">
            <v>SW 441 PLUS</v>
          </cell>
          <cell r="G105">
            <v>20</v>
          </cell>
          <cell r="H105">
            <v>38</v>
          </cell>
          <cell r="I105" t="str">
            <v>ขาว</v>
          </cell>
          <cell r="J105" t="str">
            <v>ใส</v>
          </cell>
          <cell r="L105">
            <v>100</v>
          </cell>
          <cell r="M105" t="str">
            <v>±</v>
          </cell>
          <cell r="N105">
            <v>5</v>
          </cell>
          <cell r="R105" t="str">
            <v>บิด</v>
          </cell>
          <cell r="T105" t="str">
            <v>ไม่สวมถุงใน</v>
          </cell>
          <cell r="U105"/>
          <cell r="V105"/>
          <cell r="X105" t="str">
            <v>รอแจ้ง</v>
          </cell>
          <cell r="Z105" t="str">
            <v>500กระสอบแบน</v>
          </cell>
          <cell r="AA105">
            <v>7000</v>
          </cell>
          <cell r="AB105">
            <v>0</v>
          </cell>
          <cell r="AC105">
            <v>0</v>
          </cell>
          <cell r="AD105">
            <v>0</v>
          </cell>
          <cell r="AG105"/>
          <cell r="AI105"/>
          <cell r="AJ105">
            <v>0</v>
          </cell>
          <cell r="AL105">
            <v>7000</v>
          </cell>
          <cell r="AM105"/>
          <cell r="AN105">
            <v>7350</v>
          </cell>
          <cell r="AO105" t="str">
            <v>WSWT2025800SM</v>
          </cell>
          <cell r="AQ105">
            <v>7725.41</v>
          </cell>
          <cell r="AR105">
            <v>0</v>
          </cell>
          <cell r="AS105">
            <v>7725.41</v>
          </cell>
          <cell r="AT105">
            <v>0</v>
          </cell>
          <cell r="AU105">
            <v>7725.41</v>
          </cell>
          <cell r="BZ105" t="str">
            <v>WRWT25850/WRWT25850</v>
          </cell>
          <cell r="CA105">
            <v>583.69764444444445</v>
          </cell>
          <cell r="DL105" t="str">
            <v>P6</v>
          </cell>
          <cell r="DM105">
            <v>4</v>
          </cell>
          <cell r="DN105" t="str">
            <v>รอแจ้ง</v>
          </cell>
          <cell r="DP105" t="e">
            <v>#VALUE!</v>
          </cell>
          <cell r="DQ105" t="e">
            <v>#VALUE!</v>
          </cell>
          <cell r="DR105" t="e">
            <v>#VALUE!</v>
          </cell>
          <cell r="DS105" t="e">
            <v>#VALUE!</v>
          </cell>
          <cell r="DT105" t="e">
            <v>#VALUE!</v>
          </cell>
          <cell r="DU105" t="e">
            <v>#VALUE!</v>
          </cell>
          <cell r="DW105"/>
          <cell r="DX105"/>
          <cell r="DY105"/>
          <cell r="DZ105"/>
          <cell r="EA105"/>
          <cell r="EB105"/>
          <cell r="EC105" t="str">
            <v>งานเคลือบ+พิมพ์</v>
          </cell>
          <cell r="ED105" t="str">
            <v xml:space="preserve"> /</v>
          </cell>
          <cell r="EG105"/>
          <cell r="EH105"/>
          <cell r="EI105"/>
        </row>
        <row r="106">
          <cell r="B106" t="str">
            <v>ประมาณการ</v>
          </cell>
          <cell r="C106" t="str">
            <v>ประมาณการ</v>
          </cell>
          <cell r="E106" t="str">
            <v>บจก.ซันฟีด</v>
          </cell>
          <cell r="F106" t="str">
            <v>รอแบบ</v>
          </cell>
          <cell r="G106">
            <v>20</v>
          </cell>
          <cell r="H106">
            <v>38</v>
          </cell>
          <cell r="I106" t="str">
            <v>ขาว</v>
          </cell>
          <cell r="J106" t="str">
            <v>ด้าน</v>
          </cell>
          <cell r="L106">
            <v>100</v>
          </cell>
          <cell r="M106" t="str">
            <v>+</v>
          </cell>
          <cell r="N106"/>
          <cell r="R106" t="str">
            <v>บิด</v>
          </cell>
          <cell r="T106" t="str">
            <v>ไม่สวมถุงใน</v>
          </cell>
          <cell r="U106"/>
          <cell r="V106"/>
          <cell r="X106" t="str">
            <v>รอแจ้ง</v>
          </cell>
          <cell r="Z106" t="str">
            <v xml:space="preserve">300กระสอบแบนเต็มใบ </v>
          </cell>
          <cell r="AA106">
            <v>100000</v>
          </cell>
          <cell r="AB106">
            <v>0</v>
          </cell>
          <cell r="AC106">
            <v>0</v>
          </cell>
          <cell r="AD106">
            <v>0</v>
          </cell>
          <cell r="AG106"/>
          <cell r="AI106"/>
          <cell r="AJ106">
            <v>0</v>
          </cell>
          <cell r="AL106">
            <v>100000</v>
          </cell>
          <cell r="AM106"/>
          <cell r="AN106">
            <v>105000</v>
          </cell>
          <cell r="AO106" t="str">
            <v>WSWT2025800SM</v>
          </cell>
          <cell r="AQ106">
            <v>110363</v>
          </cell>
          <cell r="AR106">
            <v>0</v>
          </cell>
          <cell r="AS106">
            <v>110363</v>
          </cell>
          <cell r="AT106">
            <v>0</v>
          </cell>
          <cell r="AU106">
            <v>110363</v>
          </cell>
          <cell r="BZ106" t="str">
            <v>WRWT25850/WRWT25850</v>
          </cell>
          <cell r="CA106">
            <v>8338.5377777777776</v>
          </cell>
          <cell r="DL106" t="str">
            <v>P6</v>
          </cell>
          <cell r="DM106">
            <v>4</v>
          </cell>
          <cell r="DN106" t="str">
            <v>รอแจ้ง</v>
          </cell>
          <cell r="DP106" t="e">
            <v>#VALUE!</v>
          </cell>
          <cell r="DQ106" t="e">
            <v>#VALUE!</v>
          </cell>
          <cell r="DR106" t="e">
            <v>#VALUE!</v>
          </cell>
          <cell r="DS106" t="e">
            <v>#VALUE!</v>
          </cell>
          <cell r="DT106" t="e">
            <v>#VALUE!</v>
          </cell>
          <cell r="DU106" t="e">
            <v>#VALUE!</v>
          </cell>
          <cell r="DW106"/>
          <cell r="DX106"/>
          <cell r="DY106"/>
          <cell r="DZ106"/>
          <cell r="EA106"/>
          <cell r="EB106"/>
          <cell r="EC106" t="str">
            <v>งานเคลือบ+พิมพ์</v>
          </cell>
          <cell r="ED106" t="str">
            <v>รอART</v>
          </cell>
          <cell r="EG106"/>
          <cell r="EH106"/>
          <cell r="EI106"/>
        </row>
        <row r="107">
          <cell r="B107" t="str">
            <v>MK68-000801</v>
          </cell>
          <cell r="C107">
            <v>45825</v>
          </cell>
          <cell r="E107" t="str">
            <v>บจก.อินเทคค์ โกลบอล</v>
          </cell>
          <cell r="F107" t="str">
            <v>สุบรรณ 111</v>
          </cell>
          <cell r="G107">
            <v>20</v>
          </cell>
          <cell r="H107">
            <v>36</v>
          </cell>
          <cell r="I107" t="str">
            <v>ขาว</v>
          </cell>
          <cell r="J107" t="str">
            <v>ด้าน</v>
          </cell>
          <cell r="L107">
            <v>100</v>
          </cell>
          <cell r="M107" t="str">
            <v>±</v>
          </cell>
          <cell r="N107">
            <v>5</v>
          </cell>
          <cell r="R107" t="str">
            <v>จับจีบ3.5"</v>
          </cell>
          <cell r="T107" t="str">
            <v>ไม่สวมถุงใน</v>
          </cell>
          <cell r="U107"/>
          <cell r="V107"/>
          <cell r="X107" t="str">
            <v>รอแจ้ง</v>
          </cell>
          <cell r="Z107" t="str">
            <v>มัด80 ใช้สายรัด</v>
          </cell>
          <cell r="AA107">
            <v>894</v>
          </cell>
          <cell r="AB107">
            <v>0</v>
          </cell>
          <cell r="AC107">
            <v>0</v>
          </cell>
          <cell r="AD107">
            <v>0</v>
          </cell>
          <cell r="AG107"/>
          <cell r="AI107"/>
          <cell r="AJ107">
            <v>525</v>
          </cell>
          <cell r="AL107">
            <v>369</v>
          </cell>
          <cell r="AM107">
            <v>6000</v>
          </cell>
          <cell r="AN107">
            <v>0</v>
          </cell>
          <cell r="AO107" t="str">
            <v>WSWT2025800SM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BZ107" t="str">
            <v>WRWT25850/WRWT25850</v>
          </cell>
          <cell r="CA107">
            <v>0</v>
          </cell>
          <cell r="DL107" t="str">
            <v>P6</v>
          </cell>
          <cell r="DM107">
            <v>4</v>
          </cell>
          <cell r="DN107" t="str">
            <v>รอแจ้ง</v>
          </cell>
          <cell r="DP107" t="e">
            <v>#VALUE!</v>
          </cell>
          <cell r="DQ107" t="e">
            <v>#VALUE!</v>
          </cell>
          <cell r="DR107" t="e">
            <v>#VALUE!</v>
          </cell>
          <cell r="DS107" t="e">
            <v>#VALUE!</v>
          </cell>
          <cell r="DT107" t="e">
            <v>#VALUE!</v>
          </cell>
          <cell r="DU107" t="e">
            <v>#VALUE!</v>
          </cell>
          <cell r="DW107"/>
          <cell r="DX107"/>
          <cell r="DY107"/>
          <cell r="DZ107"/>
          <cell r="EA107"/>
          <cell r="EB107"/>
          <cell r="EC107" t="str">
            <v>งานเคลือบ+พิมพ์</v>
          </cell>
          <cell r="ED107" t="str">
            <v xml:space="preserve"> / </v>
          </cell>
          <cell r="EG107"/>
          <cell r="EH107"/>
          <cell r="EI107"/>
        </row>
        <row r="108">
          <cell r="B108" t="str">
            <v>MK68-000673</v>
          </cell>
          <cell r="C108">
            <v>45796</v>
          </cell>
          <cell r="E108" t="str">
            <v>บจก.อินเทคค์ โกลบอล</v>
          </cell>
          <cell r="F108" t="str">
            <v>เพอเฟคค์ 902</v>
          </cell>
          <cell r="G108">
            <v>20</v>
          </cell>
          <cell r="H108">
            <v>36</v>
          </cell>
          <cell r="I108" t="str">
            <v>ขาว</v>
          </cell>
          <cell r="J108" t="str">
            <v>ด้าน</v>
          </cell>
          <cell r="L108">
            <v>100</v>
          </cell>
          <cell r="M108" t="str">
            <v>±</v>
          </cell>
          <cell r="N108">
            <v>5</v>
          </cell>
          <cell r="R108" t="str">
            <v>จับจีบ</v>
          </cell>
          <cell r="T108" t="str">
            <v>ไม่สวมถุงใน</v>
          </cell>
          <cell r="U108"/>
          <cell r="V108"/>
          <cell r="X108" t="str">
            <v>รอแจ้ง</v>
          </cell>
          <cell r="Z108" t="str">
            <v>มัด80 ใช้สายรัด</v>
          </cell>
          <cell r="AA108">
            <v>302</v>
          </cell>
          <cell r="AB108">
            <v>0</v>
          </cell>
          <cell r="AC108">
            <v>0</v>
          </cell>
          <cell r="AD108">
            <v>0</v>
          </cell>
          <cell r="AG108"/>
          <cell r="AI108"/>
          <cell r="AJ108">
            <v>0</v>
          </cell>
          <cell r="AL108">
            <v>302</v>
          </cell>
          <cell r="AM108">
            <v>5300</v>
          </cell>
          <cell r="AN108">
            <v>0</v>
          </cell>
          <cell r="AO108" t="str">
            <v>WSWT2025800SM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BZ108" t="str">
            <v>WRWT25850/WRWT25850</v>
          </cell>
          <cell r="CA108">
            <v>0</v>
          </cell>
          <cell r="DL108" t="str">
            <v>P6</v>
          </cell>
          <cell r="DM108">
            <v>4</v>
          </cell>
          <cell r="DN108" t="str">
            <v>รอแจ้ง</v>
          </cell>
          <cell r="DP108" t="e">
            <v>#VALUE!</v>
          </cell>
          <cell r="DQ108" t="e">
            <v>#VALUE!</v>
          </cell>
          <cell r="DR108" t="e">
            <v>#VALUE!</v>
          </cell>
          <cell r="DS108" t="e">
            <v>#VALUE!</v>
          </cell>
          <cell r="DT108" t="e">
            <v>#VALUE!</v>
          </cell>
          <cell r="DU108" t="e">
            <v>#VALUE!</v>
          </cell>
          <cell r="DW108"/>
          <cell r="DX108"/>
          <cell r="DY108"/>
          <cell r="DZ108"/>
          <cell r="EA108"/>
          <cell r="EB108"/>
          <cell r="EC108" t="str">
            <v>งานเคลือบ+พิมพ์</v>
          </cell>
          <cell r="ED108" t="str">
            <v xml:space="preserve"> /</v>
          </cell>
          <cell r="EG108"/>
          <cell r="EH108"/>
          <cell r="EI108"/>
        </row>
        <row r="109">
          <cell r="B109" t="str">
            <v>MK68-000609</v>
          </cell>
          <cell r="C109">
            <v>45782</v>
          </cell>
          <cell r="E109" t="str">
            <v>บจก.เอสพีเอ็ม อาหารสัตว์</v>
          </cell>
          <cell r="F109" t="str">
            <v xml:space="preserve">SW 441 </v>
          </cell>
          <cell r="G109">
            <v>20</v>
          </cell>
          <cell r="H109">
            <v>38</v>
          </cell>
          <cell r="I109" t="str">
            <v>ขาว</v>
          </cell>
          <cell r="J109" t="str">
            <v>ใส</v>
          </cell>
          <cell r="L109">
            <v>100</v>
          </cell>
          <cell r="M109" t="str">
            <v>±</v>
          </cell>
          <cell r="N109">
            <v>5</v>
          </cell>
          <cell r="R109" t="str">
            <v>บิด</v>
          </cell>
          <cell r="T109" t="str">
            <v>ไม่สวมถุงใน</v>
          </cell>
          <cell r="U109"/>
          <cell r="V109"/>
          <cell r="X109" t="str">
            <v>รอแจ้ง</v>
          </cell>
          <cell r="Z109" t="str">
            <v>500กระสอบแบน</v>
          </cell>
          <cell r="AA109">
            <v>5000</v>
          </cell>
          <cell r="AB109">
            <v>0</v>
          </cell>
          <cell r="AC109">
            <v>0</v>
          </cell>
          <cell r="AD109">
            <v>0</v>
          </cell>
          <cell r="AG109"/>
          <cell r="AI109"/>
          <cell r="AJ109">
            <v>0</v>
          </cell>
          <cell r="AL109">
            <v>5000</v>
          </cell>
          <cell r="AM109">
            <v>0</v>
          </cell>
          <cell r="AN109">
            <v>5250</v>
          </cell>
          <cell r="AO109" t="str">
            <v>WSWT2025800SM</v>
          </cell>
          <cell r="AQ109">
            <v>5518.15</v>
          </cell>
          <cell r="AR109">
            <v>0</v>
          </cell>
          <cell r="AS109">
            <v>5518.15</v>
          </cell>
          <cell r="AT109">
            <v>0</v>
          </cell>
          <cell r="AU109">
            <v>5518.15</v>
          </cell>
          <cell r="BZ109" t="str">
            <v>WRWT25850/WRWT25850</v>
          </cell>
          <cell r="CA109">
            <v>416.92688888888887</v>
          </cell>
          <cell r="DL109" t="str">
            <v>P6</v>
          </cell>
          <cell r="DM109">
            <v>4</v>
          </cell>
          <cell r="DN109" t="str">
            <v>รอแจ้ง</v>
          </cell>
          <cell r="DP109" t="e">
            <v>#VALUE!</v>
          </cell>
          <cell r="DQ109" t="e">
            <v>#VALUE!</v>
          </cell>
          <cell r="DR109" t="e">
            <v>#VALUE!</v>
          </cell>
          <cell r="DS109" t="e">
            <v>#VALUE!</v>
          </cell>
          <cell r="DT109" t="e">
            <v>#VALUE!</v>
          </cell>
          <cell r="DU109" t="e">
            <v>#VALUE!</v>
          </cell>
          <cell r="DW109"/>
          <cell r="DX109"/>
          <cell r="DY109"/>
          <cell r="DZ109"/>
          <cell r="EA109"/>
          <cell r="EB109"/>
          <cell r="EC109" t="str">
            <v>งานเคลือบ+พิมพ์</v>
          </cell>
          <cell r="ED109" t="str">
            <v xml:space="preserve"> / </v>
          </cell>
          <cell r="EG109"/>
          <cell r="EH109"/>
          <cell r="EI109"/>
        </row>
        <row r="110">
          <cell r="B110" t="str">
            <v>MK68-000693</v>
          </cell>
          <cell r="C110">
            <v>45798</v>
          </cell>
          <cell r="E110" t="str">
            <v>บจก.เอพีเอ็ม อะโกร</v>
          </cell>
          <cell r="F110" t="str">
            <v>ฟีล กู๊ด พี07</v>
          </cell>
          <cell r="G110">
            <v>20</v>
          </cell>
          <cell r="H110">
            <v>38</v>
          </cell>
          <cell r="I110" t="str">
            <v>ขาว</v>
          </cell>
          <cell r="J110" t="str">
            <v>ใส</v>
          </cell>
          <cell r="L110">
            <v>100</v>
          </cell>
          <cell r="M110" t="str">
            <v>±</v>
          </cell>
          <cell r="N110">
            <v>5</v>
          </cell>
          <cell r="R110" t="str">
            <v>บิด</v>
          </cell>
          <cell r="T110" t="str">
            <v>ไม่สวมถุงใน</v>
          </cell>
          <cell r="U110"/>
          <cell r="V110"/>
          <cell r="X110" t="str">
            <v>รอแจ้ง</v>
          </cell>
          <cell r="Z110" t="str">
            <v>500กระสอบแบน</v>
          </cell>
          <cell r="AA110">
            <v>5000</v>
          </cell>
          <cell r="AB110">
            <v>0</v>
          </cell>
          <cell r="AC110">
            <v>0</v>
          </cell>
          <cell r="AD110">
            <v>0</v>
          </cell>
          <cell r="AG110"/>
          <cell r="AI110"/>
          <cell r="AJ110">
            <v>0</v>
          </cell>
          <cell r="AL110">
            <v>5000</v>
          </cell>
          <cell r="AM110"/>
          <cell r="AN110">
            <v>5250</v>
          </cell>
          <cell r="AO110" t="str">
            <v>WSWT2025800SM</v>
          </cell>
          <cell r="AQ110">
            <v>5518.15</v>
          </cell>
          <cell r="AR110">
            <v>0</v>
          </cell>
          <cell r="AS110">
            <v>5518.15</v>
          </cell>
          <cell r="AT110">
            <v>0</v>
          </cell>
          <cell r="AU110">
            <v>5518.15</v>
          </cell>
          <cell r="BZ110" t="str">
            <v>WRWT25850/WRWT25850</v>
          </cell>
          <cell r="CA110">
            <v>416.92688888888887</v>
          </cell>
          <cell r="DL110" t="str">
            <v>P6</v>
          </cell>
          <cell r="DM110">
            <v>4</v>
          </cell>
          <cell r="DN110" t="str">
            <v>รอแจ้ง</v>
          </cell>
          <cell r="DP110" t="e">
            <v>#VALUE!</v>
          </cell>
          <cell r="DQ110" t="e">
            <v>#VALUE!</v>
          </cell>
          <cell r="DR110" t="e">
            <v>#VALUE!</v>
          </cell>
          <cell r="DS110" t="e">
            <v>#VALUE!</v>
          </cell>
          <cell r="DT110" t="e">
            <v>#VALUE!</v>
          </cell>
          <cell r="DU110" t="e">
            <v>#VALUE!</v>
          </cell>
          <cell r="DW110"/>
          <cell r="DX110"/>
          <cell r="DY110"/>
          <cell r="DZ110"/>
          <cell r="EA110"/>
          <cell r="EB110"/>
          <cell r="EC110" t="str">
            <v>งานเคลือบ+พิมพ์</v>
          </cell>
          <cell r="ED110" t="str">
            <v xml:space="preserve"> / </v>
          </cell>
          <cell r="EG110"/>
          <cell r="EH110"/>
          <cell r="EI110"/>
        </row>
        <row r="111">
          <cell r="B111" t="str">
            <v>MK68-000093</v>
          </cell>
          <cell r="C111">
            <v>45674</v>
          </cell>
          <cell r="E111" t="str">
            <v>บจก.อินเทคค์ โกลบอล</v>
          </cell>
          <cell r="F111" t="str">
            <v>เฟิร์สคลาส 902</v>
          </cell>
          <cell r="G111">
            <v>20</v>
          </cell>
          <cell r="H111">
            <v>35</v>
          </cell>
          <cell r="I111" t="str">
            <v>ขาว</v>
          </cell>
          <cell r="J111" t="str">
            <v>ด้าน</v>
          </cell>
          <cell r="L111">
            <v>97</v>
          </cell>
          <cell r="M111" t="str">
            <v>±</v>
          </cell>
          <cell r="N111">
            <v>5</v>
          </cell>
          <cell r="R111" t="str">
            <v>จับจีบ4"</v>
          </cell>
          <cell r="T111" t="str">
            <v>ไม่สวมถุงใน</v>
          </cell>
          <cell r="U111"/>
          <cell r="V111"/>
          <cell r="X111" t="str">
            <v>รอแจ้ง</v>
          </cell>
          <cell r="Z111" t="str">
            <v>มัด80 ใช้สายรัด</v>
          </cell>
          <cell r="AA111">
            <v>152</v>
          </cell>
          <cell r="AB111">
            <v>0</v>
          </cell>
          <cell r="AC111">
            <v>0</v>
          </cell>
          <cell r="AD111">
            <v>0</v>
          </cell>
          <cell r="AG111" t="str">
            <v>ลบสี 5040</v>
          </cell>
          <cell r="AI111">
            <v>5987</v>
          </cell>
          <cell r="AJ111">
            <v>0</v>
          </cell>
          <cell r="AL111">
            <v>152</v>
          </cell>
          <cell r="AM111">
            <v>6000</v>
          </cell>
          <cell r="AN111">
            <v>0</v>
          </cell>
          <cell r="AO111" t="str">
            <v>WSWT2025800SM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BZ111" t="str">
            <v>WRWT25850/WRWT25850</v>
          </cell>
          <cell r="CA111">
            <v>0</v>
          </cell>
          <cell r="DL111" t="str">
            <v>P6</v>
          </cell>
          <cell r="DM111">
            <v>4</v>
          </cell>
          <cell r="DN111" t="str">
            <v>รอแจ้ง</v>
          </cell>
          <cell r="DP111" t="e">
            <v>#VALUE!</v>
          </cell>
          <cell r="DQ111" t="e">
            <v>#VALUE!</v>
          </cell>
          <cell r="DR111" t="e">
            <v>#VALUE!</v>
          </cell>
          <cell r="DS111" t="e">
            <v>#VALUE!</v>
          </cell>
          <cell r="DT111" t="e">
            <v>#VALUE!</v>
          </cell>
          <cell r="DU111" t="e">
            <v>#VALUE!</v>
          </cell>
          <cell r="DW111"/>
          <cell r="DX111"/>
          <cell r="DY111"/>
          <cell r="DZ111"/>
          <cell r="EA111"/>
          <cell r="EB111"/>
          <cell r="EC111" t="str">
            <v>งานเคลือบ+พิมพ์</v>
          </cell>
          <cell r="ED111" t="str">
            <v xml:space="preserve"> /</v>
          </cell>
          <cell r="EG111"/>
          <cell r="EH111"/>
          <cell r="EI111"/>
        </row>
        <row r="112">
          <cell r="B112" t="str">
            <v>MK67-001532</v>
          </cell>
          <cell r="C112">
            <v>45611</v>
          </cell>
          <cell r="E112" t="str">
            <v>บจก.อินเทคค์ โกลบอล</v>
          </cell>
          <cell r="F112" t="str">
            <v>เฟิร์สช้อย 903</v>
          </cell>
          <cell r="G112">
            <v>20</v>
          </cell>
          <cell r="H112">
            <v>36</v>
          </cell>
          <cell r="I112" t="str">
            <v>ขาว</v>
          </cell>
          <cell r="J112" t="str">
            <v>ด้าน</v>
          </cell>
          <cell r="L112">
            <v>100</v>
          </cell>
          <cell r="M112" t="str">
            <v>±</v>
          </cell>
          <cell r="N112">
            <v>5</v>
          </cell>
          <cell r="R112" t="str">
            <v>จับจีบ</v>
          </cell>
          <cell r="T112" t="str">
            <v>ไม่สวมถุงใน</v>
          </cell>
          <cell r="U112"/>
          <cell r="V112"/>
          <cell r="X112" t="str">
            <v>รอแจ้ง</v>
          </cell>
          <cell r="Z112" t="str">
            <v>มัด80 ใช้สายรัด</v>
          </cell>
          <cell r="AA112">
            <v>117</v>
          </cell>
          <cell r="AB112">
            <v>0</v>
          </cell>
          <cell r="AC112">
            <v>0</v>
          </cell>
          <cell r="AD112">
            <v>0</v>
          </cell>
          <cell r="AG112"/>
          <cell r="AI112"/>
          <cell r="AJ112">
            <v>0</v>
          </cell>
          <cell r="AL112">
            <v>117</v>
          </cell>
          <cell r="AM112">
            <v>10065</v>
          </cell>
          <cell r="AN112">
            <v>0</v>
          </cell>
          <cell r="AO112" t="str">
            <v>WSWT2025800SM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BZ112" t="str">
            <v>WRWT25850/WRWT25850</v>
          </cell>
          <cell r="CA112">
            <v>0</v>
          </cell>
          <cell r="DL112" t="str">
            <v>P6</v>
          </cell>
          <cell r="DM112">
            <v>4</v>
          </cell>
          <cell r="DN112" t="str">
            <v>รอแจ้ง</v>
          </cell>
          <cell r="DP112" t="e">
            <v>#VALUE!</v>
          </cell>
          <cell r="DQ112" t="e">
            <v>#VALUE!</v>
          </cell>
          <cell r="DR112" t="e">
            <v>#VALUE!</v>
          </cell>
          <cell r="DS112" t="e">
            <v>#VALUE!</v>
          </cell>
          <cell r="DT112" t="e">
            <v>#VALUE!</v>
          </cell>
          <cell r="DU112" t="e">
            <v>#VALUE!</v>
          </cell>
          <cell r="DW112"/>
          <cell r="DX112"/>
          <cell r="DY112"/>
          <cell r="DZ112"/>
          <cell r="EA112"/>
          <cell r="EB112"/>
          <cell r="EC112" t="str">
            <v>งานเคลือบ+พิมพ์</v>
          </cell>
          <cell r="ED112" t="str">
            <v xml:space="preserve"> /</v>
          </cell>
          <cell r="EG112"/>
          <cell r="EH112"/>
          <cell r="EI112"/>
        </row>
        <row r="113">
          <cell r="B113" t="str">
            <v>MK67-001153</v>
          </cell>
          <cell r="C113">
            <v>45523</v>
          </cell>
          <cell r="E113" t="str">
            <v>บจก.อินเทคค์ โกลบอล</v>
          </cell>
          <cell r="F113" t="str">
            <v>สุบรรณ 777</v>
          </cell>
          <cell r="G113">
            <v>20</v>
          </cell>
          <cell r="H113">
            <v>36</v>
          </cell>
          <cell r="I113" t="str">
            <v>ขาว</v>
          </cell>
          <cell r="J113" t="str">
            <v>ด้าน</v>
          </cell>
          <cell r="L113">
            <v>100</v>
          </cell>
          <cell r="M113" t="str">
            <v>±</v>
          </cell>
          <cell r="N113">
            <v>5</v>
          </cell>
          <cell r="R113" t="str">
            <v>จับจีบ</v>
          </cell>
          <cell r="T113" t="str">
            <v>ไม่สวมถุงใน</v>
          </cell>
          <cell r="U113"/>
          <cell r="V113"/>
          <cell r="X113" t="str">
            <v>รอแจ้ง</v>
          </cell>
          <cell r="Z113" t="str">
            <v>มัด80 ใช้สายรัด</v>
          </cell>
          <cell r="AA113">
            <v>1260</v>
          </cell>
          <cell r="AB113">
            <v>0</v>
          </cell>
          <cell r="AC113">
            <v>0</v>
          </cell>
          <cell r="AD113">
            <v>0</v>
          </cell>
          <cell r="AG113"/>
          <cell r="AI113"/>
          <cell r="AJ113">
            <v>0</v>
          </cell>
          <cell r="AL113">
            <v>1260</v>
          </cell>
          <cell r="AM113">
            <v>11095</v>
          </cell>
          <cell r="AN113">
            <v>0</v>
          </cell>
          <cell r="AO113" t="str">
            <v>WSWT2025800SM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BZ113" t="str">
            <v>WRWT25850/WRWT25850</v>
          </cell>
          <cell r="CA113">
            <v>0</v>
          </cell>
          <cell r="DL113" t="str">
            <v>P6</v>
          </cell>
          <cell r="DM113">
            <v>4</v>
          </cell>
          <cell r="DN113" t="str">
            <v>รอแจ้ง</v>
          </cell>
          <cell r="DP113" t="e">
            <v>#VALUE!</v>
          </cell>
          <cell r="DQ113" t="e">
            <v>#VALUE!</v>
          </cell>
          <cell r="DR113" t="e">
            <v>#VALUE!</v>
          </cell>
          <cell r="DS113" t="e">
            <v>#VALUE!</v>
          </cell>
          <cell r="DT113" t="e">
            <v>#VALUE!</v>
          </cell>
          <cell r="DU113" t="e">
            <v>#VALUE!</v>
          </cell>
          <cell r="DW113"/>
          <cell r="DX113"/>
          <cell r="DY113"/>
          <cell r="DZ113"/>
          <cell r="EA113"/>
          <cell r="EB113"/>
          <cell r="EC113" t="str">
            <v>งานเคลือบ+พิมพ์</v>
          </cell>
          <cell r="ED113" t="str">
            <v xml:space="preserve"> /</v>
          </cell>
          <cell r="EG113"/>
          <cell r="EH113"/>
          <cell r="EI113"/>
        </row>
        <row r="114">
          <cell r="B114" t="str">
            <v>MK67-001153</v>
          </cell>
          <cell r="C114">
            <v>45523</v>
          </cell>
          <cell r="E114" t="str">
            <v>บจก.อินเทคค์ โกลบอล</v>
          </cell>
          <cell r="F114" t="str">
            <v>สุบรรณ 666</v>
          </cell>
          <cell r="G114">
            <v>20</v>
          </cell>
          <cell r="H114">
            <v>36</v>
          </cell>
          <cell r="I114" t="str">
            <v>ขาว</v>
          </cell>
          <cell r="J114" t="str">
            <v>ด้าน</v>
          </cell>
          <cell r="L114">
            <v>100</v>
          </cell>
          <cell r="M114" t="str">
            <v>±</v>
          </cell>
          <cell r="N114">
            <v>5</v>
          </cell>
          <cell r="R114" t="str">
            <v>จับจีบ</v>
          </cell>
          <cell r="T114" t="str">
            <v>ไม่สวมถุงใน</v>
          </cell>
          <cell r="U114"/>
          <cell r="V114"/>
          <cell r="X114" t="str">
            <v>รอแจ้ง</v>
          </cell>
          <cell r="Z114" t="str">
            <v>มัด80 ใช้สายรัด</v>
          </cell>
          <cell r="AA114">
            <v>89</v>
          </cell>
          <cell r="AB114">
            <v>0</v>
          </cell>
          <cell r="AC114">
            <v>0</v>
          </cell>
          <cell r="AD114">
            <v>0</v>
          </cell>
          <cell r="AG114"/>
          <cell r="AI114"/>
          <cell r="AJ114">
            <v>0</v>
          </cell>
          <cell r="AL114">
            <v>89</v>
          </cell>
          <cell r="AM114">
            <v>11180</v>
          </cell>
          <cell r="AN114">
            <v>0</v>
          </cell>
          <cell r="AO114" t="str">
            <v>WSWT2025800SM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BZ114" t="str">
            <v>WRWT25850/WRWT25850</v>
          </cell>
          <cell r="CA114">
            <v>0</v>
          </cell>
          <cell r="DL114" t="str">
            <v>P6</v>
          </cell>
          <cell r="DM114">
            <v>4</v>
          </cell>
          <cell r="DN114" t="str">
            <v>รอแจ้ง</v>
          </cell>
          <cell r="DP114" t="e">
            <v>#VALUE!</v>
          </cell>
          <cell r="DQ114" t="e">
            <v>#VALUE!</v>
          </cell>
          <cell r="DR114" t="e">
            <v>#VALUE!</v>
          </cell>
          <cell r="DS114" t="e">
            <v>#VALUE!</v>
          </cell>
          <cell r="DT114" t="e">
            <v>#VALUE!</v>
          </cell>
          <cell r="DU114" t="e">
            <v>#VALUE!</v>
          </cell>
          <cell r="DW114"/>
          <cell r="DX114"/>
          <cell r="DY114"/>
          <cell r="DZ114"/>
          <cell r="EA114"/>
          <cell r="EB114"/>
          <cell r="EC114" t="str">
            <v>งานเคลือบ+พิมพ์</v>
          </cell>
          <cell r="ED114" t="str">
            <v xml:space="preserve"> /</v>
          </cell>
          <cell r="EG114"/>
          <cell r="EH114"/>
          <cell r="EI114"/>
        </row>
        <row r="115">
          <cell r="B115" t="str">
            <v>MK68-000694</v>
          </cell>
          <cell r="C115">
            <v>45799</v>
          </cell>
          <cell r="E115" t="str">
            <v>บจก.เอ.เจ.ฟาร์ม่าแล็บ</v>
          </cell>
          <cell r="F115" t="str">
            <v>เบส-มิน</v>
          </cell>
          <cell r="G115">
            <v>20</v>
          </cell>
          <cell r="H115">
            <v>34</v>
          </cell>
          <cell r="I115" t="str">
            <v>ขาว</v>
          </cell>
          <cell r="J115" t="str">
            <v>ใส</v>
          </cell>
          <cell r="L115">
            <v>95</v>
          </cell>
          <cell r="M115" t="str">
            <v>±</v>
          </cell>
          <cell r="N115">
            <v>5</v>
          </cell>
          <cell r="R115" t="str">
            <v>จับจีบ</v>
          </cell>
          <cell r="T115" t="str">
            <v>ไม่สวมถุงใน</v>
          </cell>
          <cell r="U115"/>
          <cell r="V115"/>
          <cell r="X115" t="str">
            <v>รอส่ง</v>
          </cell>
          <cell r="Z115" t="str">
            <v>500กระสอบ</v>
          </cell>
          <cell r="AA115">
            <v>4000</v>
          </cell>
          <cell r="AB115">
            <v>0</v>
          </cell>
          <cell r="AC115">
            <v>0</v>
          </cell>
          <cell r="AD115">
            <v>0</v>
          </cell>
          <cell r="AG115"/>
          <cell r="AI115" t="str">
            <v>ห้ามขาด-ห้ามเกิน</v>
          </cell>
          <cell r="AJ115">
            <v>2840</v>
          </cell>
          <cell r="AL115">
            <v>1160</v>
          </cell>
          <cell r="AM115">
            <v>8450</v>
          </cell>
          <cell r="AN115">
            <v>0</v>
          </cell>
          <cell r="AO115" t="str">
            <v>WSWT2025800SM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BZ115" t="str">
            <v>WRWT25850/WRWT25850</v>
          </cell>
          <cell r="CA115">
            <v>0</v>
          </cell>
          <cell r="DL115" t="str">
            <v>P6</v>
          </cell>
          <cell r="DM115">
            <v>4</v>
          </cell>
          <cell r="DN115" t="str">
            <v>รอส่ง</v>
          </cell>
          <cell r="DP115" t="e">
            <v>#VALUE!</v>
          </cell>
          <cell r="DQ115" t="e">
            <v>#VALUE!</v>
          </cell>
          <cell r="DR115" t="e">
            <v>#VALUE!</v>
          </cell>
          <cell r="DS115" t="e">
            <v>#VALUE!</v>
          </cell>
          <cell r="DT115" t="e">
            <v>#VALUE!</v>
          </cell>
          <cell r="DU115" t="e">
            <v>#VALUE!</v>
          </cell>
          <cell r="DW115"/>
          <cell r="DX115"/>
          <cell r="DY115"/>
          <cell r="DZ115"/>
          <cell r="EA115"/>
          <cell r="EB115"/>
          <cell r="EC115" t="str">
            <v>งานเคลือบ+พิมพ์</v>
          </cell>
          <cell r="ED115" t="str">
            <v xml:space="preserve"> /</v>
          </cell>
          <cell r="EG115"/>
          <cell r="EH115"/>
          <cell r="EI115"/>
        </row>
        <row r="116">
          <cell r="B116" t="str">
            <v>MK68-000694</v>
          </cell>
          <cell r="C116">
            <v>45799</v>
          </cell>
          <cell r="E116" t="str">
            <v>บจก.เอ.เจ.ฟาร์ม่าแล็บ</v>
          </cell>
          <cell r="F116" t="str">
            <v>เวท-มิน</v>
          </cell>
          <cell r="G116">
            <v>20</v>
          </cell>
          <cell r="H116">
            <v>34</v>
          </cell>
          <cell r="I116" t="str">
            <v>ขาว</v>
          </cell>
          <cell r="J116" t="str">
            <v>ใส</v>
          </cell>
          <cell r="L116">
            <v>95</v>
          </cell>
          <cell r="M116" t="str">
            <v>±</v>
          </cell>
          <cell r="N116">
            <v>5</v>
          </cell>
          <cell r="R116" t="str">
            <v>จับจีบ</v>
          </cell>
          <cell r="T116" t="str">
            <v>ไม่สวมถุงใน</v>
          </cell>
          <cell r="U116"/>
          <cell r="V116"/>
          <cell r="X116" t="str">
            <v>รอส่ง</v>
          </cell>
          <cell r="Z116" t="str">
            <v>500กระสอบ</v>
          </cell>
          <cell r="AA116">
            <v>4000</v>
          </cell>
          <cell r="AB116">
            <v>0</v>
          </cell>
          <cell r="AC116">
            <v>0</v>
          </cell>
          <cell r="AD116">
            <v>0</v>
          </cell>
          <cell r="AG116"/>
          <cell r="AI116" t="str">
            <v>ห้ามขาด-ห้ามเกิน</v>
          </cell>
          <cell r="AJ116">
            <v>2654</v>
          </cell>
          <cell r="AL116">
            <v>1346</v>
          </cell>
          <cell r="AM116">
            <v>4000</v>
          </cell>
          <cell r="AN116">
            <v>0</v>
          </cell>
          <cell r="AO116" t="str">
            <v>WSWT2025800SM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BZ116" t="str">
            <v>WRWT25850/WRWT25850</v>
          </cell>
          <cell r="CA116">
            <v>0</v>
          </cell>
          <cell r="DL116" t="str">
            <v>P6</v>
          </cell>
          <cell r="DM116">
            <v>4</v>
          </cell>
          <cell r="DN116" t="str">
            <v>รอส่ง</v>
          </cell>
          <cell r="DP116" t="e">
            <v>#VALUE!</v>
          </cell>
          <cell r="DQ116" t="e">
            <v>#VALUE!</v>
          </cell>
          <cell r="DR116" t="e">
            <v>#VALUE!</v>
          </cell>
          <cell r="DS116" t="e">
            <v>#VALUE!</v>
          </cell>
          <cell r="DT116" t="e">
            <v>#VALUE!</v>
          </cell>
          <cell r="DU116" t="e">
            <v>#VALUE!</v>
          </cell>
          <cell r="DW116"/>
          <cell r="DX116"/>
          <cell r="DY116"/>
          <cell r="DZ116"/>
          <cell r="EA116"/>
          <cell r="EB116"/>
          <cell r="EC116" t="str">
            <v>งานเคลือบ+พิมพ์</v>
          </cell>
          <cell r="ED116" t="str">
            <v xml:space="preserve"> /</v>
          </cell>
          <cell r="EG116"/>
          <cell r="EH116"/>
          <cell r="EI116"/>
        </row>
        <row r="117">
          <cell r="B117" t="str">
            <v>MK68-000452</v>
          </cell>
          <cell r="C117">
            <v>45741</v>
          </cell>
          <cell r="E117" t="str">
            <v>บจก.เอพีเอ็ม อะโกร</v>
          </cell>
          <cell r="F117" t="str">
            <v>วี-ฟีด วี 07</v>
          </cell>
          <cell r="G117">
            <v>20</v>
          </cell>
          <cell r="H117">
            <v>38</v>
          </cell>
          <cell r="I117" t="str">
            <v>ขาว</v>
          </cell>
          <cell r="J117" t="str">
            <v>ใส</v>
          </cell>
          <cell r="L117">
            <v>100</v>
          </cell>
          <cell r="M117" t="str">
            <v>±</v>
          </cell>
          <cell r="N117">
            <v>5</v>
          </cell>
          <cell r="R117" t="str">
            <v>บิด</v>
          </cell>
          <cell r="T117" t="str">
            <v>ไม่สวมถุงใน</v>
          </cell>
          <cell r="U117"/>
          <cell r="V117"/>
          <cell r="X117" t="str">
            <v>รอส่ง</v>
          </cell>
          <cell r="Z117" t="str">
            <v>500กระสอบแบน</v>
          </cell>
          <cell r="AA117">
            <v>4000</v>
          </cell>
          <cell r="AB117">
            <v>0</v>
          </cell>
          <cell r="AC117">
            <v>0</v>
          </cell>
          <cell r="AD117">
            <v>0</v>
          </cell>
          <cell r="AG117" t="str">
            <v>มีลบสี</v>
          </cell>
          <cell r="AI117"/>
          <cell r="AJ117">
            <v>3867</v>
          </cell>
          <cell r="AL117">
            <v>133</v>
          </cell>
          <cell r="AM117">
            <v>4200</v>
          </cell>
          <cell r="AN117">
            <v>0</v>
          </cell>
          <cell r="AO117" t="str">
            <v>WSWT2025800SM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BZ117" t="str">
            <v>WRWT25850/WRWT25850</v>
          </cell>
          <cell r="CA117">
            <v>0</v>
          </cell>
          <cell r="DL117" t="str">
            <v>P6</v>
          </cell>
          <cell r="DM117">
            <v>4</v>
          </cell>
          <cell r="DN117" t="str">
            <v>รอส่ง</v>
          </cell>
          <cell r="DP117" t="e">
            <v>#VALUE!</v>
          </cell>
          <cell r="DQ117" t="e">
            <v>#VALUE!</v>
          </cell>
          <cell r="DR117" t="e">
            <v>#VALUE!</v>
          </cell>
          <cell r="DS117" t="e">
            <v>#VALUE!</v>
          </cell>
          <cell r="DT117" t="e">
            <v>#VALUE!</v>
          </cell>
          <cell r="DU117" t="e">
            <v>#VALUE!</v>
          </cell>
          <cell r="DW117"/>
          <cell r="DX117"/>
          <cell r="DY117"/>
          <cell r="DZ117"/>
          <cell r="EA117"/>
          <cell r="EB117"/>
          <cell r="EC117" t="str">
            <v>งานเคลือบ+พิมพ์</v>
          </cell>
          <cell r="ED117" t="str">
            <v xml:space="preserve"> /</v>
          </cell>
          <cell r="EG117"/>
          <cell r="EH117"/>
          <cell r="EI117"/>
        </row>
        <row r="118">
          <cell r="B118" t="str">
            <v>ใบรับคำสั่งซื้อ</v>
          </cell>
          <cell r="C118">
            <v>45720</v>
          </cell>
          <cell r="E118" t="str">
            <v>บจก.เอพีเอ็ม อะโกร</v>
          </cell>
          <cell r="F118" t="str">
            <v>นีโอ พี3(เอส)</v>
          </cell>
          <cell r="G118">
            <v>20</v>
          </cell>
          <cell r="H118">
            <v>38</v>
          </cell>
          <cell r="I118" t="str">
            <v>ขาว</v>
          </cell>
          <cell r="J118" t="str">
            <v>ด้าน</v>
          </cell>
          <cell r="L118">
            <v>100</v>
          </cell>
          <cell r="M118" t="str">
            <v>±</v>
          </cell>
          <cell r="N118">
            <v>5</v>
          </cell>
          <cell r="R118" t="str">
            <v>บิด</v>
          </cell>
          <cell r="T118" t="str">
            <v>ไม่สวมถุงใน</v>
          </cell>
          <cell r="U118"/>
          <cell r="V118"/>
          <cell r="X118" t="str">
            <v>รอส่ง</v>
          </cell>
          <cell r="Z118" t="str">
            <v>500กระสอบแบน</v>
          </cell>
          <cell r="AA118">
            <v>4000</v>
          </cell>
          <cell r="AB118">
            <v>0</v>
          </cell>
          <cell r="AC118">
            <v>0</v>
          </cell>
          <cell r="AD118">
            <v>0</v>
          </cell>
          <cell r="AG118"/>
          <cell r="AI118"/>
          <cell r="AJ118">
            <v>4010</v>
          </cell>
          <cell r="AL118">
            <v>0</v>
          </cell>
          <cell r="AM118">
            <v>4470</v>
          </cell>
          <cell r="AN118">
            <v>0</v>
          </cell>
          <cell r="AO118" t="str">
            <v>WSWT2025800SM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BZ118" t="str">
            <v>WRWT25850/WRWT25850</v>
          </cell>
          <cell r="CA118">
            <v>0</v>
          </cell>
          <cell r="DL118" t="str">
            <v>P6</v>
          </cell>
          <cell r="DM118">
            <v>4</v>
          </cell>
          <cell r="DN118" t="str">
            <v>รอส่ง</v>
          </cell>
          <cell r="DP118" t="e">
            <v>#VALUE!</v>
          </cell>
          <cell r="DQ118" t="e">
            <v>#VALUE!</v>
          </cell>
          <cell r="DR118" t="e">
            <v>#VALUE!</v>
          </cell>
          <cell r="DS118" t="e">
            <v>#VALUE!</v>
          </cell>
          <cell r="DT118" t="e">
            <v>#VALUE!</v>
          </cell>
          <cell r="DU118" t="e">
            <v>#VALUE!</v>
          </cell>
          <cell r="DW118"/>
          <cell r="DX118"/>
          <cell r="DY118"/>
          <cell r="DZ118"/>
          <cell r="EA118"/>
          <cell r="EB118"/>
          <cell r="EC118" t="str">
            <v>งานเคลือบ+พิมพ์</v>
          </cell>
          <cell r="ED118" t="str">
            <v xml:space="preserve"> /</v>
          </cell>
          <cell r="EG118"/>
          <cell r="EH118"/>
          <cell r="EI118"/>
        </row>
        <row r="119">
          <cell r="B119" t="str">
            <v>ใบรับคำสั่งซื้อ</v>
          </cell>
          <cell r="C119">
            <v>45720</v>
          </cell>
          <cell r="E119" t="str">
            <v>บจก.เอพีเอ็ม อะโกร</v>
          </cell>
          <cell r="F119" t="str">
            <v>นีโอ พี4(เอส)</v>
          </cell>
          <cell r="G119">
            <v>20</v>
          </cell>
          <cell r="H119">
            <v>38</v>
          </cell>
          <cell r="I119" t="str">
            <v>ขาว</v>
          </cell>
          <cell r="J119" t="str">
            <v>ด้าน</v>
          </cell>
          <cell r="L119">
            <v>100</v>
          </cell>
          <cell r="M119" t="str">
            <v>±</v>
          </cell>
          <cell r="N119">
            <v>5</v>
          </cell>
          <cell r="R119" t="str">
            <v>บิด</v>
          </cell>
          <cell r="T119" t="str">
            <v>ไม่สวมถุงใน</v>
          </cell>
          <cell r="U119"/>
          <cell r="V119"/>
          <cell r="X119" t="str">
            <v>รอส่ง</v>
          </cell>
          <cell r="Z119" t="str">
            <v>500กระสอบแบน</v>
          </cell>
          <cell r="AA119">
            <v>3000</v>
          </cell>
          <cell r="AB119">
            <v>0</v>
          </cell>
          <cell r="AC119">
            <v>0</v>
          </cell>
          <cell r="AD119">
            <v>0</v>
          </cell>
          <cell r="AG119"/>
          <cell r="AI119"/>
          <cell r="AJ119">
            <v>3065</v>
          </cell>
          <cell r="AL119">
            <v>0</v>
          </cell>
          <cell r="AM119">
            <v>3300</v>
          </cell>
          <cell r="AN119">
            <v>0</v>
          </cell>
          <cell r="AO119" t="str">
            <v>WSWT2025800SM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BZ119" t="str">
            <v>WRWT25850/WRWT25850</v>
          </cell>
          <cell r="CA119">
            <v>0</v>
          </cell>
          <cell r="DL119" t="str">
            <v>P6</v>
          </cell>
          <cell r="DM119">
            <v>4</v>
          </cell>
          <cell r="DN119" t="str">
            <v>รอส่ง</v>
          </cell>
          <cell r="DP119" t="e">
            <v>#VALUE!</v>
          </cell>
          <cell r="DQ119" t="e">
            <v>#VALUE!</v>
          </cell>
          <cell r="DR119" t="e">
            <v>#VALUE!</v>
          </cell>
          <cell r="DS119" t="e">
            <v>#VALUE!</v>
          </cell>
          <cell r="DT119" t="e">
            <v>#VALUE!</v>
          </cell>
          <cell r="DU119" t="e">
            <v>#VALUE!</v>
          </cell>
          <cell r="DW119"/>
          <cell r="DX119"/>
          <cell r="DY119"/>
          <cell r="DZ119"/>
          <cell r="EA119"/>
          <cell r="EB119"/>
          <cell r="EC119" t="str">
            <v>งานเคลือบ+พิมพ์</v>
          </cell>
          <cell r="ED119" t="str">
            <v xml:space="preserve"> /</v>
          </cell>
          <cell r="EG119"/>
          <cell r="EH119"/>
          <cell r="EI119"/>
        </row>
        <row r="120">
          <cell r="B120" t="str">
            <v>MK67-001236</v>
          </cell>
          <cell r="C120">
            <v>45541</v>
          </cell>
          <cell r="E120" t="str">
            <v>บจก.เอพีเอ็ม อะโกร</v>
          </cell>
          <cell r="F120" t="str">
            <v>ยูฟีด รวมไก่ วัว</v>
          </cell>
          <cell r="G120">
            <v>20</v>
          </cell>
          <cell r="H120">
            <v>40</v>
          </cell>
          <cell r="I120" t="str">
            <v>ขาว</v>
          </cell>
          <cell r="J120" t="str">
            <v>ด้าน</v>
          </cell>
          <cell r="L120">
            <v>108</v>
          </cell>
          <cell r="M120" t="str">
            <v>±</v>
          </cell>
          <cell r="N120">
            <v>5</v>
          </cell>
          <cell r="R120" t="str">
            <v>บิด</v>
          </cell>
          <cell r="T120" t="str">
            <v>ไม่สวมถุงใน</v>
          </cell>
          <cell r="U120"/>
          <cell r="V120"/>
          <cell r="X120" t="str">
            <v>รอส่ง</v>
          </cell>
          <cell r="Z120" t="str">
            <v>500กระสอบแบน</v>
          </cell>
          <cell r="AA120">
            <v>3000</v>
          </cell>
          <cell r="AB120">
            <v>0</v>
          </cell>
          <cell r="AC120">
            <v>0</v>
          </cell>
          <cell r="AD120">
            <v>0</v>
          </cell>
          <cell r="AG120" t="str">
            <v>ลูกค้าต้องการเคลือบใส แต่เปิดมาเคลือบด้าน</v>
          </cell>
          <cell r="AI120" t="str">
            <v>ลูกค้าสั่งผิดเอาไปส่งเดือน10</v>
          </cell>
          <cell r="AJ120">
            <v>3318</v>
          </cell>
          <cell r="AL120">
            <v>0</v>
          </cell>
          <cell r="AM120"/>
          <cell r="AN120">
            <v>0</v>
          </cell>
          <cell r="AO120" t="str">
            <v>WSWT2025800SM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BZ120" t="str">
            <v>WRWT25850/WRWT25850</v>
          </cell>
          <cell r="CA120">
            <v>0</v>
          </cell>
          <cell r="DL120" t="str">
            <v>P6</v>
          </cell>
          <cell r="DM120">
            <v>4</v>
          </cell>
          <cell r="DN120" t="str">
            <v>รอส่ง</v>
          </cell>
          <cell r="DP120" t="e">
            <v>#VALUE!</v>
          </cell>
          <cell r="DQ120" t="e">
            <v>#VALUE!</v>
          </cell>
          <cell r="DR120" t="e">
            <v>#VALUE!</v>
          </cell>
          <cell r="DS120" t="e">
            <v>#VALUE!</v>
          </cell>
          <cell r="DT120" t="e">
            <v>#VALUE!</v>
          </cell>
          <cell r="DU120" t="e">
            <v>#VALUE!</v>
          </cell>
          <cell r="DW120"/>
          <cell r="DX120"/>
          <cell r="DY120"/>
          <cell r="DZ120"/>
          <cell r="EA120"/>
          <cell r="EB120"/>
          <cell r="EC120" t="str">
            <v>งานเคลือบ+พิมพ์</v>
          </cell>
          <cell r="ED120"/>
          <cell r="EG120"/>
          <cell r="EH120"/>
          <cell r="EI120"/>
        </row>
        <row r="121">
          <cell r="B121" t="str">
            <v>MK67-001396</v>
          </cell>
          <cell r="C121">
            <v>45581</v>
          </cell>
          <cell r="E121" t="str">
            <v>บจก.เอพีเอ็ม อะโกร</v>
          </cell>
          <cell r="F121" t="str">
            <v>นีโอ พี4</v>
          </cell>
          <cell r="G121">
            <v>20</v>
          </cell>
          <cell r="H121">
            <v>38</v>
          </cell>
          <cell r="I121" t="str">
            <v>ขาว</v>
          </cell>
          <cell r="J121" t="str">
            <v>ด้าน</v>
          </cell>
          <cell r="L121">
            <v>100</v>
          </cell>
          <cell r="M121" t="str">
            <v>±</v>
          </cell>
          <cell r="N121">
            <v>5</v>
          </cell>
          <cell r="R121" t="str">
            <v>บิด</v>
          </cell>
          <cell r="T121" t="str">
            <v>ไม่สวมถุงใน</v>
          </cell>
          <cell r="U121"/>
          <cell r="V121"/>
          <cell r="X121" t="str">
            <v>รอส่ง</v>
          </cell>
          <cell r="Z121" t="str">
            <v>500กระสอบแบน</v>
          </cell>
          <cell r="AA121">
            <v>3000</v>
          </cell>
          <cell r="AB121">
            <v>0</v>
          </cell>
          <cell r="AC121">
            <v>0</v>
          </cell>
          <cell r="AD121">
            <v>0</v>
          </cell>
          <cell r="AG121"/>
          <cell r="AI121"/>
          <cell r="AJ121">
            <v>3194</v>
          </cell>
          <cell r="AL121">
            <v>0</v>
          </cell>
          <cell r="AM121">
            <v>5632</v>
          </cell>
          <cell r="AN121">
            <v>0</v>
          </cell>
          <cell r="AO121" t="str">
            <v>WSWT2025800SM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BZ121" t="str">
            <v>WRWT25850/WRWT25850</v>
          </cell>
          <cell r="CA121">
            <v>0</v>
          </cell>
          <cell r="DL121" t="str">
            <v>P6</v>
          </cell>
          <cell r="DM121">
            <v>4</v>
          </cell>
          <cell r="DN121" t="str">
            <v>รอส่ง</v>
          </cell>
          <cell r="DP121" t="e">
            <v>#VALUE!</v>
          </cell>
          <cell r="DQ121" t="e">
            <v>#VALUE!</v>
          </cell>
          <cell r="DR121" t="e">
            <v>#VALUE!</v>
          </cell>
          <cell r="DS121" t="e">
            <v>#VALUE!</v>
          </cell>
          <cell r="DT121" t="e">
            <v>#VALUE!</v>
          </cell>
          <cell r="DU121" t="e">
            <v>#VALUE!</v>
          </cell>
          <cell r="DW121"/>
          <cell r="DX121"/>
          <cell r="DY121"/>
          <cell r="DZ121"/>
          <cell r="EA121"/>
          <cell r="EB121"/>
          <cell r="EC121" t="str">
            <v>งานเคลือบ+พิมพ์</v>
          </cell>
          <cell r="ED121" t="str">
            <v xml:space="preserve"> /</v>
          </cell>
          <cell r="EG121"/>
          <cell r="EH121"/>
          <cell r="EI121"/>
        </row>
        <row r="122">
          <cell r="B122">
            <v>0</v>
          </cell>
          <cell r="C122"/>
          <cell r="E122"/>
          <cell r="F122"/>
          <cell r="G122">
            <v>20</v>
          </cell>
          <cell r="H122">
            <v>38</v>
          </cell>
          <cell r="I122"/>
          <cell r="J122"/>
          <cell r="L122">
            <v>84</v>
          </cell>
          <cell r="M122" t="str">
            <v>±</v>
          </cell>
          <cell r="N122">
            <v>5</v>
          </cell>
          <cell r="R122"/>
          <cell r="T122"/>
          <cell r="U122"/>
          <cell r="V122"/>
          <cell r="X122"/>
          <cell r="Z122"/>
          <cell r="AA122"/>
          <cell r="AB122">
            <v>0</v>
          </cell>
          <cell r="AC122">
            <v>0</v>
          </cell>
          <cell r="AD122"/>
          <cell r="AG122"/>
          <cell r="AI122" t="str">
            <v>ระบุในSD</v>
          </cell>
          <cell r="AJ122"/>
          <cell r="AL122">
            <v>0</v>
          </cell>
          <cell r="AM122"/>
          <cell r="AN122">
            <v>0</v>
          </cell>
          <cell r="AO122" t="str">
            <v>WSWT2025800SM</v>
          </cell>
          <cell r="AQ122">
            <v>469035.06650000007</v>
          </cell>
          <cell r="AR122">
            <v>105771.17000000001</v>
          </cell>
          <cell r="AS122">
            <v>363263.89650000009</v>
          </cell>
          <cell r="AT122">
            <v>13983.970000000001</v>
          </cell>
          <cell r="AU122">
            <v>455051.09650000004</v>
          </cell>
          <cell r="BZ122" t="str">
            <v>WRWT25850/WRWT25850</v>
          </cell>
          <cell r="CA122">
            <v>0</v>
          </cell>
          <cell r="DL122"/>
          <cell r="DM122" t="str">
            <v>Lead time</v>
          </cell>
          <cell r="DN122"/>
          <cell r="DP122"/>
          <cell r="DQ122"/>
          <cell r="DR122"/>
          <cell r="DS122"/>
          <cell r="DT122"/>
          <cell r="DU122"/>
          <cell r="DW122"/>
          <cell r="DX122"/>
          <cell r="DY122"/>
          <cell r="DZ122"/>
          <cell r="EA122"/>
          <cell r="EB122"/>
          <cell r="EC122"/>
          <cell r="ED122"/>
          <cell r="EG122"/>
          <cell r="EH122">
            <v>0</v>
          </cell>
          <cell r="EI122">
            <v>0</v>
          </cell>
        </row>
        <row r="123">
          <cell r="B123" t="str">
            <v>ประมาณการ</v>
          </cell>
          <cell r="C123" t="str">
            <v>ประมาณการ</v>
          </cell>
          <cell r="E123" t="str">
            <v>บจก.ซันฟีด</v>
          </cell>
          <cell r="F123" t="str">
            <v>รอแบบ</v>
          </cell>
          <cell r="G123">
            <v>20</v>
          </cell>
          <cell r="H123">
            <v>39</v>
          </cell>
          <cell r="I123" t="str">
            <v>ขาว</v>
          </cell>
          <cell r="J123"/>
          <cell r="L123">
            <v>84</v>
          </cell>
          <cell r="M123" t="str">
            <v>+</v>
          </cell>
          <cell r="N123"/>
          <cell r="R123" t="str">
            <v>บิด</v>
          </cell>
          <cell r="T123" t="str">
            <v>ไม่สวมถุงใน</v>
          </cell>
          <cell r="U123"/>
          <cell r="V123"/>
          <cell r="X123" t="str">
            <v>รอแจ้ง</v>
          </cell>
          <cell r="Z123" t="str">
            <v xml:space="preserve">300กระสอบแบนเต็มใบ </v>
          </cell>
          <cell r="AA123">
            <v>100000</v>
          </cell>
          <cell r="AB123">
            <v>0</v>
          </cell>
          <cell r="AC123">
            <v>0</v>
          </cell>
          <cell r="AD123">
            <v>0</v>
          </cell>
          <cell r="AG123"/>
          <cell r="AI123"/>
          <cell r="AJ123">
            <v>0</v>
          </cell>
          <cell r="AL123">
            <v>100000</v>
          </cell>
          <cell r="AM123"/>
          <cell r="AN123">
            <v>105000</v>
          </cell>
          <cell r="AO123" t="str">
            <v>WSWT2025850</v>
          </cell>
          <cell r="AQ123">
            <v>113157.00000000001</v>
          </cell>
          <cell r="AR123">
            <v>88878</v>
          </cell>
          <cell r="AS123">
            <v>24279.000000000015</v>
          </cell>
          <cell r="AT123">
            <v>0</v>
          </cell>
          <cell r="AU123">
            <v>0</v>
          </cell>
          <cell r="BZ123" t="str">
            <v>WRWT25850/WRWT25800</v>
          </cell>
          <cell r="CA123">
            <v>1912.6456666666681</v>
          </cell>
          <cell r="DL123" t="str">
            <v>P7</v>
          </cell>
          <cell r="DM123">
            <v>2</v>
          </cell>
          <cell r="DN123" t="str">
            <v>รอแจ้ง</v>
          </cell>
          <cell r="DP123" t="e">
            <v>#VALUE!</v>
          </cell>
          <cell r="DQ123"/>
          <cell r="DR123" t="e">
            <v>#VALUE!</v>
          </cell>
          <cell r="DS123" t="e">
            <v>#VALUE!</v>
          </cell>
          <cell r="DT123" t="e">
            <v>#VALUE!</v>
          </cell>
          <cell r="DU123" t="e">
            <v>#VALUE!</v>
          </cell>
          <cell r="DW123"/>
          <cell r="DX123"/>
          <cell r="DY123"/>
          <cell r="DZ123"/>
          <cell r="EA123"/>
          <cell r="EB123"/>
          <cell r="EC123" t="str">
            <v>งานพิมพ์</v>
          </cell>
          <cell r="ED123" t="str">
            <v>รอART</v>
          </cell>
          <cell r="EG123"/>
          <cell r="EH123"/>
          <cell r="EI123"/>
        </row>
        <row r="124">
          <cell r="B124">
            <v>0</v>
          </cell>
          <cell r="C124"/>
          <cell r="E124"/>
          <cell r="F124"/>
          <cell r="G124">
            <v>20</v>
          </cell>
          <cell r="H124">
            <v>38</v>
          </cell>
          <cell r="I124"/>
          <cell r="J124"/>
          <cell r="L124">
            <v>82</v>
          </cell>
          <cell r="M124" t="str">
            <v>+</v>
          </cell>
          <cell r="N124">
            <v>2</v>
          </cell>
          <cell r="R124"/>
          <cell r="T124"/>
          <cell r="U124"/>
          <cell r="V124"/>
          <cell r="X124"/>
          <cell r="Z124"/>
          <cell r="AA124"/>
          <cell r="AB124"/>
          <cell r="AC124">
            <v>0</v>
          </cell>
          <cell r="AD124"/>
          <cell r="AG124"/>
          <cell r="AI124" t="str">
            <v>ระบุในSD</v>
          </cell>
          <cell r="AJ124"/>
          <cell r="AL124">
            <v>0</v>
          </cell>
          <cell r="AM124"/>
          <cell r="AN124">
            <v>0</v>
          </cell>
          <cell r="AO124" t="str">
            <v>WSWT2025850</v>
          </cell>
          <cell r="AQ124">
            <v>113157.00000000001</v>
          </cell>
          <cell r="AR124">
            <v>88878</v>
          </cell>
          <cell r="AS124">
            <v>24279.000000000015</v>
          </cell>
          <cell r="AT124">
            <v>0</v>
          </cell>
          <cell r="AU124">
            <v>0</v>
          </cell>
          <cell r="BZ124" t="str">
            <v>WRWT200850/WRWT25800</v>
          </cell>
          <cell r="CA124">
            <v>0</v>
          </cell>
          <cell r="DL124"/>
          <cell r="DM124" t="str">
            <v>Lead time</v>
          </cell>
          <cell r="DN124"/>
          <cell r="DP124"/>
          <cell r="DQ124"/>
          <cell r="DR124"/>
          <cell r="DS124"/>
          <cell r="DT124"/>
          <cell r="DU124"/>
          <cell r="DW124"/>
          <cell r="DX124"/>
          <cell r="DY124"/>
          <cell r="DZ124"/>
          <cell r="EA124"/>
          <cell r="EB124"/>
          <cell r="EC124"/>
          <cell r="ED124"/>
          <cell r="EG124"/>
          <cell r="EH124"/>
          <cell r="EI124"/>
        </row>
        <row r="125">
          <cell r="B125">
            <v>0</v>
          </cell>
          <cell r="C125"/>
          <cell r="E125"/>
          <cell r="F125"/>
          <cell r="G125">
            <v>20</v>
          </cell>
          <cell r="H125">
            <v>37</v>
          </cell>
          <cell r="I125"/>
          <cell r="J125"/>
          <cell r="L125">
            <v>82</v>
          </cell>
          <cell r="M125" t="str">
            <v>±</v>
          </cell>
          <cell r="N125">
            <v>5</v>
          </cell>
          <cell r="R125"/>
          <cell r="T125"/>
          <cell r="U125"/>
          <cell r="V125"/>
          <cell r="X125"/>
          <cell r="Z125"/>
          <cell r="AA125"/>
          <cell r="AB125"/>
          <cell r="AC125">
            <v>0</v>
          </cell>
          <cell r="AD125"/>
          <cell r="AG125"/>
          <cell r="AI125" t="str">
            <v>ระบุในSD</v>
          </cell>
          <cell r="AJ125"/>
          <cell r="AL125">
            <v>0</v>
          </cell>
          <cell r="AM125"/>
          <cell r="AN125">
            <v>0</v>
          </cell>
          <cell r="AO125" t="str">
            <v>WSWT2021750</v>
          </cell>
          <cell r="AQ125" t="e">
            <v>#REF!</v>
          </cell>
          <cell r="AR125" t="e">
            <v>#REF!</v>
          </cell>
          <cell r="AS125" t="e">
            <v>#REF!</v>
          </cell>
          <cell r="AT125" t="e">
            <v>#REF!</v>
          </cell>
          <cell r="AU125" t="e">
            <v>#REF!</v>
          </cell>
          <cell r="BZ125" t="str">
            <v>WRWT200750/WRWT21750</v>
          </cell>
          <cell r="CA125">
            <v>0</v>
          </cell>
          <cell r="DL125"/>
          <cell r="DM125" t="str">
            <v>Lead time</v>
          </cell>
          <cell r="DN125"/>
          <cell r="DP125"/>
          <cell r="DQ125"/>
          <cell r="DR125"/>
          <cell r="DS125"/>
          <cell r="DT125"/>
          <cell r="DU125"/>
          <cell r="DW125"/>
          <cell r="DX125"/>
          <cell r="DY125"/>
          <cell r="DZ125"/>
          <cell r="EA125"/>
          <cell r="EB125"/>
          <cell r="EC125"/>
          <cell r="ED125"/>
          <cell r="EG125"/>
          <cell r="EH125">
            <v>0</v>
          </cell>
          <cell r="EI125">
            <v>0</v>
          </cell>
        </row>
        <row r="126">
          <cell r="B126" t="str">
            <v>MK68-001046</v>
          </cell>
          <cell r="C126">
            <v>45896</v>
          </cell>
          <cell r="E126" t="str">
            <v>บจก.เคอรี่ฟลาวมิลล์</v>
          </cell>
          <cell r="F126" t="str">
            <v>แปดแต้มแดง 25กก.</v>
          </cell>
          <cell r="G126">
            <v>20</v>
          </cell>
          <cell r="H126">
            <v>32</v>
          </cell>
          <cell r="I126" t="str">
            <v>ขาว</v>
          </cell>
          <cell r="J126"/>
          <cell r="L126">
            <v>72</v>
          </cell>
          <cell r="M126" t="str">
            <v>±</v>
          </cell>
          <cell r="N126">
            <v>5</v>
          </cell>
          <cell r="R126" t="str">
            <v>บิด</v>
          </cell>
          <cell r="T126" t="str">
            <v>ไม่สวมถุงใน</v>
          </cell>
          <cell r="U126"/>
          <cell r="V126"/>
          <cell r="X126">
            <v>45906</v>
          </cell>
          <cell r="Z126" t="str">
            <v>ห่ออัดเบลแบน500</v>
          </cell>
          <cell r="AA126">
            <v>5000</v>
          </cell>
          <cell r="AB126">
            <v>0</v>
          </cell>
          <cell r="AC126">
            <v>0</v>
          </cell>
          <cell r="AD126">
            <v>0</v>
          </cell>
          <cell r="AG126"/>
          <cell r="AI126"/>
          <cell r="AJ126">
            <v>5000</v>
          </cell>
          <cell r="AL126">
            <v>0</v>
          </cell>
          <cell r="AM126">
            <v>5470</v>
          </cell>
          <cell r="AN126">
            <v>0</v>
          </cell>
          <cell r="AO126" t="str">
            <v>WSWT2025800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BZ126" t="str">
            <v>WRWT25800/WRWT25800</v>
          </cell>
          <cell r="CA126">
            <v>0</v>
          </cell>
          <cell r="DL126" t="str">
            <v>P7</v>
          </cell>
          <cell r="DM126">
            <v>2</v>
          </cell>
          <cell r="DN126">
            <v>45906</v>
          </cell>
          <cell r="DP126">
            <v>45901</v>
          </cell>
          <cell r="DQ126"/>
          <cell r="DR126">
            <v>45897</v>
          </cell>
          <cell r="DS126">
            <v>45904</v>
          </cell>
          <cell r="DT126">
            <v>45905</v>
          </cell>
          <cell r="DU126">
            <v>45905</v>
          </cell>
          <cell r="DW126"/>
          <cell r="DX126"/>
          <cell r="DY126"/>
          <cell r="DZ126"/>
          <cell r="EA126"/>
          <cell r="EB126"/>
          <cell r="EC126"/>
          <cell r="ED126"/>
          <cell r="EG126"/>
          <cell r="EH126"/>
          <cell r="EI126"/>
        </row>
        <row r="127">
          <cell r="B127" t="str">
            <v>MK68-001046</v>
          </cell>
          <cell r="C127">
            <v>45896</v>
          </cell>
          <cell r="E127" t="str">
            <v>บจก.เคอรี่ฟลาวมิลล์</v>
          </cell>
          <cell r="F127" t="str">
            <v>ชามแดง 25กก.</v>
          </cell>
          <cell r="G127">
            <v>20</v>
          </cell>
          <cell r="H127">
            <v>32</v>
          </cell>
          <cell r="I127" t="str">
            <v>ขาว</v>
          </cell>
          <cell r="J127"/>
          <cell r="L127">
            <v>72</v>
          </cell>
          <cell r="M127" t="str">
            <v>±</v>
          </cell>
          <cell r="N127">
            <v>5</v>
          </cell>
          <cell r="R127" t="str">
            <v>บิด</v>
          </cell>
          <cell r="T127" t="str">
            <v>ไม่สวมถุงใน</v>
          </cell>
          <cell r="U127"/>
          <cell r="V127"/>
          <cell r="X127">
            <v>45906</v>
          </cell>
          <cell r="Z127" t="str">
            <v>ห่ออัดเบลแบน500</v>
          </cell>
          <cell r="AA127">
            <v>5000</v>
          </cell>
          <cell r="AB127">
            <v>0</v>
          </cell>
          <cell r="AC127">
            <v>0</v>
          </cell>
          <cell r="AD127">
            <v>0</v>
          </cell>
          <cell r="AG127"/>
          <cell r="AI127"/>
          <cell r="AJ127">
            <v>5000</v>
          </cell>
          <cell r="AL127">
            <v>0</v>
          </cell>
          <cell r="AM127">
            <v>5400</v>
          </cell>
          <cell r="AN127">
            <v>0</v>
          </cell>
          <cell r="AO127" t="str">
            <v>WSWT2025800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BZ127" t="str">
            <v>WRWT25800/WRWT25800</v>
          </cell>
          <cell r="CA127">
            <v>0</v>
          </cell>
          <cell r="DL127" t="str">
            <v>P7</v>
          </cell>
          <cell r="DM127">
            <v>2</v>
          </cell>
          <cell r="DN127">
            <v>45906</v>
          </cell>
          <cell r="DP127">
            <v>45901</v>
          </cell>
          <cell r="DQ127"/>
          <cell r="DR127">
            <v>45897</v>
          </cell>
          <cell r="DS127">
            <v>45904</v>
          </cell>
          <cell r="DT127">
            <v>45905</v>
          </cell>
          <cell r="DU127">
            <v>45905</v>
          </cell>
          <cell r="DW127"/>
          <cell r="DX127"/>
          <cell r="DY127"/>
          <cell r="DZ127"/>
          <cell r="EA127"/>
          <cell r="EB127"/>
          <cell r="EC127"/>
          <cell r="ED127"/>
          <cell r="EG127"/>
          <cell r="EH127"/>
          <cell r="EI127"/>
        </row>
        <row r="128">
          <cell r="B128" t="str">
            <v>MK68-001025</v>
          </cell>
          <cell r="C128">
            <v>45892</v>
          </cell>
          <cell r="E128" t="str">
            <v>บจก.อินเทคค์ โกลบอล</v>
          </cell>
          <cell r="F128" t="str">
            <v>เพอเฟคค์ 663</v>
          </cell>
          <cell r="G128">
            <v>20</v>
          </cell>
          <cell r="H128">
            <v>36</v>
          </cell>
          <cell r="I128" t="str">
            <v>ขาว</v>
          </cell>
          <cell r="J128"/>
          <cell r="L128">
            <v>78</v>
          </cell>
          <cell r="M128" t="str">
            <v>±</v>
          </cell>
          <cell r="N128">
            <v>5</v>
          </cell>
          <cell r="R128" t="str">
            <v>จับจีบ4"</v>
          </cell>
          <cell r="T128" t="str">
            <v>ไม่สวมถุงใน</v>
          </cell>
          <cell r="U128"/>
          <cell r="V128"/>
          <cell r="X128">
            <v>45908</v>
          </cell>
          <cell r="Z128" t="str">
            <v>มัด80 ใช้สายรัด</v>
          </cell>
          <cell r="AA128">
            <v>10000</v>
          </cell>
          <cell r="AB128">
            <v>0</v>
          </cell>
          <cell r="AC128">
            <v>0</v>
          </cell>
          <cell r="AD128">
            <v>0</v>
          </cell>
          <cell r="AG128"/>
          <cell r="AI128" t="str">
            <v>ห้ามขาด-ห้ามเกิน</v>
          </cell>
          <cell r="AJ128">
            <v>1196</v>
          </cell>
          <cell r="AL128">
            <v>8804</v>
          </cell>
          <cell r="AM128">
            <v>10696</v>
          </cell>
          <cell r="AN128">
            <v>0</v>
          </cell>
          <cell r="AO128" t="str">
            <v>WSWT2025800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BZ128" t="str">
            <v>WRWT25800/WRWT25800</v>
          </cell>
          <cell r="CA128">
            <v>0</v>
          </cell>
          <cell r="DL128" t="str">
            <v>P7</v>
          </cell>
          <cell r="DM128">
            <v>2</v>
          </cell>
          <cell r="DN128">
            <v>45908</v>
          </cell>
          <cell r="DP128">
            <v>45903</v>
          </cell>
          <cell r="DQ128"/>
          <cell r="DR128">
            <v>45899</v>
          </cell>
          <cell r="DS128">
            <v>45906</v>
          </cell>
          <cell r="DT128">
            <v>45907</v>
          </cell>
          <cell r="DU128">
            <v>45907</v>
          </cell>
          <cell r="DW128"/>
          <cell r="DX128"/>
          <cell r="DY128"/>
          <cell r="DZ128"/>
          <cell r="EA128"/>
          <cell r="EB128"/>
          <cell r="EC128" t="str">
            <v>งานพิมพ์</v>
          </cell>
          <cell r="ED128" t="str">
            <v xml:space="preserve"> /</v>
          </cell>
          <cell r="EG128"/>
          <cell r="EH128"/>
          <cell r="EI128"/>
        </row>
        <row r="129">
          <cell r="B129" t="str">
            <v>MK68-001009</v>
          </cell>
          <cell r="C129">
            <v>45887</v>
          </cell>
          <cell r="E129" t="str">
            <v>บจก.อินเทคค์ โกลบอล</v>
          </cell>
          <cell r="F129" t="str">
            <v>เพอเฟคค 664</v>
          </cell>
          <cell r="G129">
            <v>20</v>
          </cell>
          <cell r="H129">
            <v>36</v>
          </cell>
          <cell r="I129" t="str">
            <v>ขาว</v>
          </cell>
          <cell r="J129"/>
          <cell r="L129">
            <v>78</v>
          </cell>
          <cell r="M129" t="str">
            <v>±</v>
          </cell>
          <cell r="N129">
            <v>5</v>
          </cell>
          <cell r="R129" t="str">
            <v>จับจีบ4"</v>
          </cell>
          <cell r="T129" t="str">
            <v>ไม่สวมถุงใน</v>
          </cell>
          <cell r="U129"/>
          <cell r="V129"/>
          <cell r="X129">
            <v>45915</v>
          </cell>
          <cell r="Z129" t="str">
            <v>มัด80 ใช้สายรัด</v>
          </cell>
          <cell r="AA129">
            <v>9153</v>
          </cell>
          <cell r="AB129">
            <v>0</v>
          </cell>
          <cell r="AC129">
            <v>0</v>
          </cell>
          <cell r="AD129">
            <v>0</v>
          </cell>
          <cell r="AG129" t="str">
            <v>1/9 8/9 15/9 22/9</v>
          </cell>
          <cell r="AI129" t="str">
            <v>ห้ามขาด-ห้ามเกิน</v>
          </cell>
          <cell r="AJ129">
            <v>0</v>
          </cell>
          <cell r="AL129">
            <v>9153</v>
          </cell>
          <cell r="AM129">
            <v>18825</v>
          </cell>
          <cell r="AN129">
            <v>0</v>
          </cell>
          <cell r="AO129" t="str">
            <v>WSWT2025800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BZ129" t="str">
            <v>WRWT25800/WRWT25800</v>
          </cell>
          <cell r="CA129">
            <v>0</v>
          </cell>
          <cell r="DL129" t="str">
            <v>P7</v>
          </cell>
          <cell r="DM129">
            <v>2</v>
          </cell>
          <cell r="DN129">
            <v>45915</v>
          </cell>
          <cell r="DP129">
            <v>45910</v>
          </cell>
          <cell r="DQ129"/>
          <cell r="DR129">
            <v>45906</v>
          </cell>
          <cell r="DS129">
            <v>45913</v>
          </cell>
          <cell r="DT129">
            <v>45914</v>
          </cell>
          <cell r="DU129">
            <v>45914</v>
          </cell>
          <cell r="DW129"/>
          <cell r="DX129"/>
          <cell r="DY129"/>
          <cell r="DZ129"/>
          <cell r="EA129"/>
          <cell r="EB129"/>
          <cell r="EC129" t="str">
            <v>งานพิมพ์</v>
          </cell>
          <cell r="ED129" t="str">
            <v xml:space="preserve"> /</v>
          </cell>
          <cell r="EG129"/>
          <cell r="EH129"/>
          <cell r="EI129"/>
        </row>
        <row r="130">
          <cell r="B130" t="str">
            <v>MK68-001010</v>
          </cell>
          <cell r="C130">
            <v>45887</v>
          </cell>
          <cell r="E130" t="str">
            <v>บจก.อินเทคค์ โกลบอล</v>
          </cell>
          <cell r="F130" t="str">
            <v>เพอเฟคค์ 664HP</v>
          </cell>
          <cell r="G130">
            <v>20</v>
          </cell>
          <cell r="H130">
            <v>36</v>
          </cell>
          <cell r="I130" t="str">
            <v>ขาว</v>
          </cell>
          <cell r="J130"/>
          <cell r="L130">
            <v>78</v>
          </cell>
          <cell r="M130" t="str">
            <v>±</v>
          </cell>
          <cell r="N130">
            <v>5</v>
          </cell>
          <cell r="R130" t="str">
            <v>จับจีบ4"</v>
          </cell>
          <cell r="T130" t="str">
            <v>ไม่สวมถุงใน</v>
          </cell>
          <cell r="U130"/>
          <cell r="V130"/>
          <cell r="X130">
            <v>45919</v>
          </cell>
          <cell r="Z130" t="str">
            <v>มัด80 ใช้สายรัด</v>
          </cell>
          <cell r="AA130">
            <v>17360</v>
          </cell>
          <cell r="AB130">
            <v>0</v>
          </cell>
          <cell r="AC130">
            <v>0</v>
          </cell>
          <cell r="AD130">
            <v>0</v>
          </cell>
          <cell r="AG130" t="str">
            <v>2/9 9/9 16/9 19/9 23/9 26/9</v>
          </cell>
          <cell r="AI130" t="str">
            <v>ห้ามขาด-ห้ามเกิน</v>
          </cell>
          <cell r="AJ130">
            <v>0</v>
          </cell>
          <cell r="AL130">
            <v>17360</v>
          </cell>
          <cell r="AM130">
            <v>40982</v>
          </cell>
          <cell r="AN130">
            <v>0</v>
          </cell>
          <cell r="AO130" t="str">
            <v>WSWT2025800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BZ130" t="str">
            <v>WRWT25800/WRWT25800</v>
          </cell>
          <cell r="CA130">
            <v>0</v>
          </cell>
          <cell r="DL130" t="str">
            <v>P7</v>
          </cell>
          <cell r="DM130">
            <v>2</v>
          </cell>
          <cell r="DN130">
            <v>45919</v>
          </cell>
          <cell r="DP130">
            <v>45914</v>
          </cell>
          <cell r="DQ130"/>
          <cell r="DR130">
            <v>45910</v>
          </cell>
          <cell r="DS130">
            <v>45917</v>
          </cell>
          <cell r="DT130">
            <v>45918</v>
          </cell>
          <cell r="DU130">
            <v>45918</v>
          </cell>
          <cell r="DW130"/>
          <cell r="DX130"/>
          <cell r="DY130"/>
          <cell r="DZ130"/>
          <cell r="EA130"/>
          <cell r="EB130"/>
          <cell r="EC130" t="str">
            <v>งานพิมพ์</v>
          </cell>
          <cell r="ED130" t="str">
            <v xml:space="preserve"> /</v>
          </cell>
          <cell r="EG130"/>
          <cell r="EH130"/>
          <cell r="EI130"/>
        </row>
        <row r="131">
          <cell r="B131" t="str">
            <v>MK68-001010</v>
          </cell>
          <cell r="C131">
            <v>45887</v>
          </cell>
          <cell r="E131" t="str">
            <v>บจก.อินเทคค์ โกลบอล</v>
          </cell>
          <cell r="F131" t="str">
            <v>เพอเฟคค์ 664HP</v>
          </cell>
          <cell r="G131">
            <v>20</v>
          </cell>
          <cell r="H131">
            <v>36</v>
          </cell>
          <cell r="I131" t="str">
            <v>ขาว</v>
          </cell>
          <cell r="J131"/>
          <cell r="L131">
            <v>78</v>
          </cell>
          <cell r="M131" t="str">
            <v>±</v>
          </cell>
          <cell r="N131">
            <v>5</v>
          </cell>
          <cell r="R131" t="str">
            <v>จับจีบ4"</v>
          </cell>
          <cell r="T131" t="str">
            <v>ไม่สวมถุงใน</v>
          </cell>
          <cell r="U131"/>
          <cell r="V131"/>
          <cell r="X131">
            <v>45922</v>
          </cell>
          <cell r="Z131" t="str">
            <v>มัด80 ใช้สายรัด</v>
          </cell>
          <cell r="AA131">
            <v>30000</v>
          </cell>
          <cell r="AB131">
            <v>0</v>
          </cell>
          <cell r="AC131">
            <v>0</v>
          </cell>
          <cell r="AD131">
            <v>0</v>
          </cell>
          <cell r="AG131" t="str">
            <v>2/9 9/9 16/9 19/9 23/9 26/9</v>
          </cell>
          <cell r="AI131" t="str">
            <v>ห้ามขาด-ห้ามเกิน</v>
          </cell>
          <cell r="AJ131">
            <v>0</v>
          </cell>
          <cell r="AL131">
            <v>30000</v>
          </cell>
          <cell r="AM131">
            <v>31000</v>
          </cell>
          <cell r="AN131">
            <v>0</v>
          </cell>
          <cell r="AO131" t="str">
            <v>WSWT2025800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BZ131" t="str">
            <v>WRWT25800/WRWT25800</v>
          </cell>
          <cell r="CA131">
            <v>0</v>
          </cell>
          <cell r="DL131" t="str">
            <v>P7</v>
          </cell>
          <cell r="DM131">
            <v>2</v>
          </cell>
          <cell r="DN131">
            <v>45922</v>
          </cell>
          <cell r="DP131">
            <v>45917</v>
          </cell>
          <cell r="DQ131"/>
          <cell r="DR131">
            <v>45913</v>
          </cell>
          <cell r="DS131">
            <v>45920</v>
          </cell>
          <cell r="DT131">
            <v>45921</v>
          </cell>
          <cell r="DU131">
            <v>45921</v>
          </cell>
          <cell r="DW131"/>
          <cell r="DX131"/>
          <cell r="DY131"/>
          <cell r="DZ131"/>
          <cell r="EA131"/>
          <cell r="EB131"/>
          <cell r="EC131" t="str">
            <v>งานพิมพ์</v>
          </cell>
          <cell r="ED131" t="str">
            <v xml:space="preserve"> /</v>
          </cell>
          <cell r="EG131"/>
          <cell r="EH131"/>
          <cell r="EI131"/>
        </row>
        <row r="132">
          <cell r="B132" t="str">
            <v>MK68-001010</v>
          </cell>
          <cell r="C132">
            <v>45887</v>
          </cell>
          <cell r="E132" t="str">
            <v>บจก.อินเทคค์ โกลบอล</v>
          </cell>
          <cell r="F132" t="str">
            <v>เพอเฟคค์ 664HP</v>
          </cell>
          <cell r="G132">
            <v>20</v>
          </cell>
          <cell r="H132">
            <v>36</v>
          </cell>
          <cell r="I132" t="str">
            <v>ขาว</v>
          </cell>
          <cell r="J132"/>
          <cell r="L132">
            <v>78</v>
          </cell>
          <cell r="M132" t="str">
            <v>±</v>
          </cell>
          <cell r="N132">
            <v>5</v>
          </cell>
          <cell r="R132" t="str">
            <v>จับจีบ4"</v>
          </cell>
          <cell r="T132" t="str">
            <v>ไม่สวมถุงใน</v>
          </cell>
          <cell r="U132"/>
          <cell r="V132"/>
          <cell r="X132">
            <v>45926</v>
          </cell>
          <cell r="Z132" t="str">
            <v>มัด80 ใช้สายรัด</v>
          </cell>
          <cell r="AA132">
            <v>20000</v>
          </cell>
          <cell r="AB132">
            <v>0</v>
          </cell>
          <cell r="AC132">
            <v>0</v>
          </cell>
          <cell r="AD132">
            <v>0</v>
          </cell>
          <cell r="AG132" t="str">
            <v>2/9 9/9 16/9 19/9 23/9 26/9</v>
          </cell>
          <cell r="AI132" t="str">
            <v>ห้ามขาด-ห้ามเกิน</v>
          </cell>
          <cell r="AJ132">
            <v>0</v>
          </cell>
          <cell r="AL132">
            <v>20000</v>
          </cell>
          <cell r="AM132">
            <v>20056</v>
          </cell>
          <cell r="AN132">
            <v>0</v>
          </cell>
          <cell r="AO132" t="str">
            <v>WSWT2025800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BZ132" t="str">
            <v>WRWT25800/WRWT25800</v>
          </cell>
          <cell r="CA132">
            <v>0</v>
          </cell>
          <cell r="DL132" t="str">
            <v>P7</v>
          </cell>
          <cell r="DM132">
            <v>2</v>
          </cell>
          <cell r="DN132">
            <v>45926</v>
          </cell>
          <cell r="DP132">
            <v>45921</v>
          </cell>
          <cell r="DQ132"/>
          <cell r="DR132">
            <v>45917</v>
          </cell>
          <cell r="DS132">
            <v>45924</v>
          </cell>
          <cell r="DT132">
            <v>45925</v>
          </cell>
          <cell r="DU132">
            <v>45925</v>
          </cell>
          <cell r="DW132"/>
          <cell r="DX132"/>
          <cell r="DY132"/>
          <cell r="DZ132"/>
          <cell r="EA132"/>
          <cell r="EB132"/>
          <cell r="EC132" t="str">
            <v>งานพิมพ์</v>
          </cell>
          <cell r="ED132" t="str">
            <v xml:space="preserve"> /</v>
          </cell>
          <cell r="EG132"/>
          <cell r="EH132"/>
          <cell r="EI132"/>
        </row>
        <row r="133">
          <cell r="B133" t="str">
            <v>ใบรับคำสั่งซื้อ</v>
          </cell>
          <cell r="C133">
            <v>45905</v>
          </cell>
          <cell r="E133" t="str">
            <v>บจก.อินเทคค์ โกลบอล</v>
          </cell>
          <cell r="F133" t="str">
            <v>เพอเฟคค 664</v>
          </cell>
          <cell r="G133">
            <v>20</v>
          </cell>
          <cell r="H133">
            <v>36</v>
          </cell>
          <cell r="I133" t="str">
            <v>ขาว</v>
          </cell>
          <cell r="J133"/>
          <cell r="L133">
            <v>78</v>
          </cell>
          <cell r="M133" t="str">
            <v>±</v>
          </cell>
          <cell r="N133">
            <v>5</v>
          </cell>
          <cell r="R133" t="str">
            <v>จับจีบ4"</v>
          </cell>
          <cell r="T133" t="str">
            <v>ไม่สวมถุงใน</v>
          </cell>
          <cell r="U133"/>
          <cell r="V133"/>
          <cell r="X133">
            <v>45918</v>
          </cell>
          <cell r="Z133" t="str">
            <v>มัด80 ใช้สายรัด</v>
          </cell>
          <cell r="AA133">
            <v>30000</v>
          </cell>
          <cell r="AB133">
            <v>0</v>
          </cell>
          <cell r="AC133">
            <v>0</v>
          </cell>
          <cell r="AD133">
            <v>0</v>
          </cell>
          <cell r="AG133" t="str">
            <v>18/9  22/9</v>
          </cell>
          <cell r="AI133" t="str">
            <v>ห้ามขาด-ห้ามเกิน</v>
          </cell>
          <cell r="AJ133">
            <v>0</v>
          </cell>
          <cell r="AL133">
            <v>30000</v>
          </cell>
          <cell r="AM133">
            <v>0</v>
          </cell>
          <cell r="AN133">
            <v>31500</v>
          </cell>
          <cell r="AO133" t="str">
            <v>WSWT2025800</v>
          </cell>
          <cell r="AQ133">
            <v>31432.500000000004</v>
          </cell>
          <cell r="AR133">
            <v>31432.500000000004</v>
          </cell>
          <cell r="AS133">
            <v>0</v>
          </cell>
          <cell r="AT133">
            <v>0</v>
          </cell>
          <cell r="AU133">
            <v>0</v>
          </cell>
          <cell r="BZ133" t="str">
            <v>WRWT25800/WRWT25800</v>
          </cell>
          <cell r="CA133">
            <v>0</v>
          </cell>
          <cell r="DL133" t="str">
            <v>P7</v>
          </cell>
          <cell r="DM133">
            <v>2</v>
          </cell>
          <cell r="DN133">
            <v>45918</v>
          </cell>
          <cell r="DP133">
            <v>45913</v>
          </cell>
          <cell r="DQ133"/>
          <cell r="DR133">
            <v>45909</v>
          </cell>
          <cell r="DS133">
            <v>45916</v>
          </cell>
          <cell r="DT133">
            <v>45917</v>
          </cell>
          <cell r="DU133">
            <v>45917</v>
          </cell>
          <cell r="DW133"/>
          <cell r="DX133"/>
          <cell r="DY133"/>
          <cell r="DZ133"/>
          <cell r="EA133"/>
          <cell r="EB133"/>
          <cell r="EC133" t="str">
            <v>งานพิมพ์</v>
          </cell>
          <cell r="ED133" t="str">
            <v xml:space="preserve"> /</v>
          </cell>
          <cell r="EG133"/>
          <cell r="EH133"/>
          <cell r="EI133"/>
        </row>
        <row r="134">
          <cell r="B134" t="str">
            <v>ประมาณการ</v>
          </cell>
          <cell r="C134" t="str">
            <v>ประมาณการ</v>
          </cell>
          <cell r="E134" t="str">
            <v>บจก.อินเทคค์ โกลบอล</v>
          </cell>
          <cell r="F134" t="str">
            <v>รอแบบ</v>
          </cell>
          <cell r="G134">
            <v>20</v>
          </cell>
          <cell r="H134">
            <v>36</v>
          </cell>
          <cell r="I134" t="str">
            <v>ขาว</v>
          </cell>
          <cell r="J134"/>
          <cell r="L134">
            <v>78</v>
          </cell>
          <cell r="M134" t="str">
            <v>±</v>
          </cell>
          <cell r="N134">
            <v>5</v>
          </cell>
          <cell r="R134" t="str">
            <v>จับจีบ4"</v>
          </cell>
          <cell r="T134" t="str">
            <v>ไม่สวมถุงใน</v>
          </cell>
          <cell r="U134"/>
          <cell r="V134"/>
          <cell r="X134" t="str">
            <v>รอแจ้ง</v>
          </cell>
          <cell r="Z134" t="str">
            <v>มัด80 ใช้สายรัด</v>
          </cell>
          <cell r="AA134">
            <v>290000</v>
          </cell>
          <cell r="AB134">
            <v>0</v>
          </cell>
          <cell r="AC134">
            <v>0</v>
          </cell>
          <cell r="AD134">
            <v>0</v>
          </cell>
          <cell r="AG134"/>
          <cell r="AI134" t="str">
            <v>ห้ามขาด-ห้ามเกิน</v>
          </cell>
          <cell r="AJ134">
            <v>0</v>
          </cell>
          <cell r="AL134">
            <v>290000</v>
          </cell>
          <cell r="AM134">
            <v>0</v>
          </cell>
          <cell r="AN134">
            <v>304500</v>
          </cell>
          <cell r="AO134" t="str">
            <v>WSWT2025800</v>
          </cell>
          <cell r="AQ134">
            <v>303847.5</v>
          </cell>
          <cell r="AR134">
            <v>59416</v>
          </cell>
          <cell r="AS134">
            <v>244431.5</v>
          </cell>
          <cell r="AT134">
            <v>0</v>
          </cell>
          <cell r="AU134">
            <v>0</v>
          </cell>
          <cell r="BZ134" t="str">
            <v>WRWT25800/WRWT25800</v>
          </cell>
          <cell r="CA134">
            <v>18685.430222222225</v>
          </cell>
          <cell r="DL134" t="str">
            <v>P7</v>
          </cell>
          <cell r="DM134">
            <v>2</v>
          </cell>
          <cell r="DN134" t="str">
            <v>รอแจ้ง</v>
          </cell>
          <cell r="DP134" t="e">
            <v>#VALUE!</v>
          </cell>
          <cell r="DQ134"/>
          <cell r="DR134" t="e">
            <v>#VALUE!</v>
          </cell>
          <cell r="DS134" t="e">
            <v>#VALUE!</v>
          </cell>
          <cell r="DT134" t="e">
            <v>#VALUE!</v>
          </cell>
          <cell r="DU134" t="e">
            <v>#VALUE!</v>
          </cell>
          <cell r="DW134"/>
          <cell r="DX134"/>
          <cell r="DY134"/>
          <cell r="DZ134"/>
          <cell r="EA134"/>
          <cell r="EB134"/>
          <cell r="EC134" t="str">
            <v>งานพิมพ์</v>
          </cell>
          <cell r="ED134" t="str">
            <v xml:space="preserve"> /</v>
          </cell>
          <cell r="EG134"/>
          <cell r="EH134"/>
          <cell r="EI134"/>
        </row>
        <row r="135">
          <cell r="B135">
            <v>0</v>
          </cell>
          <cell r="C135"/>
          <cell r="E135"/>
          <cell r="F135"/>
          <cell r="G135">
            <v>20</v>
          </cell>
          <cell r="H135">
            <v>37</v>
          </cell>
          <cell r="I135"/>
          <cell r="J135"/>
          <cell r="L135">
            <v>80</v>
          </cell>
          <cell r="M135" t="str">
            <v>±</v>
          </cell>
          <cell r="N135">
            <v>3</v>
          </cell>
          <cell r="R135"/>
          <cell r="T135"/>
          <cell r="U135"/>
          <cell r="V135"/>
          <cell r="X135"/>
          <cell r="Z135"/>
          <cell r="AA135"/>
          <cell r="AB135">
            <v>0</v>
          </cell>
          <cell r="AC135">
            <v>0</v>
          </cell>
          <cell r="AD135"/>
          <cell r="AG135"/>
          <cell r="AI135" t="str">
            <v>ระบุในSD</v>
          </cell>
          <cell r="AJ135"/>
          <cell r="AL135">
            <v>0</v>
          </cell>
          <cell r="AM135"/>
          <cell r="AN135">
            <v>0</v>
          </cell>
          <cell r="AO135" t="str">
            <v>WSWT2025800</v>
          </cell>
          <cell r="AQ135">
            <v>335280</v>
          </cell>
          <cell r="AR135">
            <v>90848.5</v>
          </cell>
          <cell r="AS135">
            <v>244431.5</v>
          </cell>
          <cell r="AT135">
            <v>0</v>
          </cell>
          <cell r="AU135">
            <v>0</v>
          </cell>
          <cell r="BZ135" t="str">
            <v>WRWT25800/WRWT25800</v>
          </cell>
          <cell r="CA135">
            <v>0</v>
          </cell>
          <cell r="DL135"/>
          <cell r="DM135" t="str">
            <v>Lead time</v>
          </cell>
          <cell r="DN135"/>
          <cell r="DP135"/>
          <cell r="DQ135"/>
          <cell r="DR135"/>
          <cell r="DS135"/>
          <cell r="DT135"/>
          <cell r="DU135"/>
          <cell r="DW135"/>
          <cell r="DX135"/>
          <cell r="DY135"/>
          <cell r="DZ135"/>
          <cell r="EA135"/>
          <cell r="EB135"/>
          <cell r="EC135"/>
          <cell r="ED135"/>
          <cell r="EG135"/>
          <cell r="EH135"/>
          <cell r="EI135">
            <v>0</v>
          </cell>
        </row>
        <row r="136">
          <cell r="B136">
            <v>0</v>
          </cell>
          <cell r="C136"/>
          <cell r="E136"/>
          <cell r="F136"/>
          <cell r="G136">
            <v>20</v>
          </cell>
          <cell r="H136">
            <v>34</v>
          </cell>
          <cell r="I136"/>
          <cell r="J136"/>
          <cell r="L136">
            <v>98</v>
          </cell>
          <cell r="M136" t="str">
            <v>±</v>
          </cell>
          <cell r="N136">
            <v>5</v>
          </cell>
          <cell r="R136"/>
          <cell r="T136"/>
          <cell r="U136"/>
          <cell r="V136"/>
          <cell r="X136"/>
          <cell r="Z136"/>
          <cell r="AA136"/>
          <cell r="AB136"/>
          <cell r="AC136">
            <v>0</v>
          </cell>
          <cell r="AD136"/>
          <cell r="AG136"/>
          <cell r="AI136" t="str">
            <v>ระบุในSD</v>
          </cell>
          <cell r="AJ136"/>
          <cell r="AL136">
            <v>0</v>
          </cell>
          <cell r="AM136"/>
          <cell r="AN136">
            <v>0</v>
          </cell>
          <cell r="AO136" t="str">
            <v>WSWT2021950UV</v>
          </cell>
          <cell r="AQ136" t="e">
            <v>#REF!</v>
          </cell>
          <cell r="AR136" t="e">
            <v>#REF!</v>
          </cell>
          <cell r="AS136" t="e">
            <v>#REF!</v>
          </cell>
          <cell r="AT136" t="e">
            <v>#REF!</v>
          </cell>
          <cell r="AU136" t="e">
            <v>#REF!</v>
          </cell>
          <cell r="BZ136" t="str">
            <v>WRWT200950/WRWT21950</v>
          </cell>
          <cell r="CA136">
            <v>0</v>
          </cell>
          <cell r="DL136"/>
          <cell r="DM136" t="str">
            <v>Lead time</v>
          </cell>
          <cell r="DN136"/>
          <cell r="DP136"/>
          <cell r="DQ136"/>
          <cell r="DR136"/>
          <cell r="DS136"/>
          <cell r="DT136"/>
          <cell r="DU136"/>
          <cell r="DW136"/>
          <cell r="DX136"/>
          <cell r="DY136"/>
          <cell r="DZ136"/>
          <cell r="EA136"/>
          <cell r="EB136"/>
          <cell r="EC136"/>
          <cell r="ED136"/>
          <cell r="EG136"/>
          <cell r="EH136"/>
          <cell r="EI136"/>
        </row>
        <row r="137">
          <cell r="B137">
            <v>0</v>
          </cell>
          <cell r="C137"/>
          <cell r="E137"/>
          <cell r="F137"/>
          <cell r="G137">
            <v>20</v>
          </cell>
          <cell r="H137">
            <v>34</v>
          </cell>
          <cell r="I137"/>
          <cell r="J137"/>
          <cell r="L137">
            <v>95</v>
          </cell>
          <cell r="M137" t="str">
            <v>±</v>
          </cell>
          <cell r="N137">
            <v>5</v>
          </cell>
          <cell r="R137"/>
          <cell r="T137"/>
          <cell r="U137"/>
          <cell r="V137"/>
          <cell r="X137"/>
          <cell r="Z137"/>
          <cell r="AA137"/>
          <cell r="AB137"/>
          <cell r="AC137">
            <v>0</v>
          </cell>
          <cell r="AD137"/>
          <cell r="AG137"/>
          <cell r="AI137" t="str">
            <v>ระบุในSD</v>
          </cell>
          <cell r="AJ137"/>
          <cell r="AL137">
            <v>0</v>
          </cell>
          <cell r="AM137"/>
          <cell r="AN137">
            <v>0</v>
          </cell>
          <cell r="AO137" t="str">
            <v>WSWT2021900UV</v>
          </cell>
          <cell r="AQ137" t="e">
            <v>#REF!</v>
          </cell>
          <cell r="AR137" t="e">
            <v>#REF!</v>
          </cell>
          <cell r="AS137" t="e">
            <v>#REF!</v>
          </cell>
          <cell r="AT137" t="e">
            <v>#REF!</v>
          </cell>
          <cell r="AU137" t="e">
            <v>#REF!</v>
          </cell>
          <cell r="BZ137" t="str">
            <v>WRWT200900/WRWT21900</v>
          </cell>
          <cell r="CA137">
            <v>0</v>
          </cell>
          <cell r="DL137"/>
          <cell r="DM137" t="str">
            <v>Lead time</v>
          </cell>
          <cell r="DN137"/>
          <cell r="DP137"/>
          <cell r="DQ137"/>
          <cell r="DR137"/>
          <cell r="DS137"/>
          <cell r="DT137"/>
          <cell r="DU137"/>
          <cell r="DW137"/>
          <cell r="DX137"/>
          <cell r="DY137"/>
          <cell r="DZ137"/>
          <cell r="EA137"/>
          <cell r="EB137"/>
          <cell r="EC137"/>
          <cell r="ED137"/>
          <cell r="EG137"/>
          <cell r="EH137"/>
          <cell r="EI137"/>
        </row>
        <row r="138">
          <cell r="B138">
            <v>0</v>
          </cell>
          <cell r="C138"/>
          <cell r="E138"/>
          <cell r="F138"/>
          <cell r="G138">
            <v>20</v>
          </cell>
          <cell r="H138">
            <v>34</v>
          </cell>
          <cell r="I138"/>
          <cell r="J138"/>
          <cell r="L138">
            <v>80</v>
          </cell>
          <cell r="M138" t="str">
            <v>±</v>
          </cell>
          <cell r="N138">
            <v>5</v>
          </cell>
          <cell r="R138"/>
          <cell r="T138"/>
          <cell r="U138"/>
          <cell r="V138"/>
          <cell r="X138"/>
          <cell r="Z138"/>
          <cell r="AA138"/>
          <cell r="AB138"/>
          <cell r="AC138">
            <v>0</v>
          </cell>
          <cell r="AD138"/>
          <cell r="AG138"/>
          <cell r="AI138" t="str">
            <v>ระบุในSD</v>
          </cell>
          <cell r="AJ138"/>
          <cell r="AL138">
            <v>0</v>
          </cell>
          <cell r="AM138"/>
          <cell r="AN138">
            <v>0</v>
          </cell>
          <cell r="AO138" t="str">
            <v>WSWT2021750UV</v>
          </cell>
          <cell r="AQ138" t="e">
            <v>#REF!</v>
          </cell>
          <cell r="AR138" t="e">
            <v>#REF!</v>
          </cell>
          <cell r="AS138" t="e">
            <v>#REF!</v>
          </cell>
          <cell r="AT138" t="e">
            <v>#REF!</v>
          </cell>
          <cell r="AU138" t="e">
            <v>#REF!</v>
          </cell>
          <cell r="BZ138" t="str">
            <v>WRWT200750/WRWT21750</v>
          </cell>
          <cell r="CA138">
            <v>0</v>
          </cell>
          <cell r="DL138"/>
          <cell r="DM138" t="str">
            <v>Lead time</v>
          </cell>
          <cell r="DN138"/>
          <cell r="DP138"/>
          <cell r="DQ138"/>
          <cell r="DR138"/>
          <cell r="DS138"/>
          <cell r="DT138"/>
          <cell r="DU138"/>
          <cell r="DW138"/>
          <cell r="DX138"/>
          <cell r="DY138"/>
          <cell r="DZ138"/>
          <cell r="EA138"/>
          <cell r="EB138"/>
          <cell r="EC138"/>
          <cell r="ED138"/>
          <cell r="EG138"/>
          <cell r="EH138"/>
          <cell r="EI138"/>
        </row>
        <row r="139">
          <cell r="B139">
            <v>0</v>
          </cell>
          <cell r="C139"/>
          <cell r="E139"/>
          <cell r="F139"/>
          <cell r="G139">
            <v>20</v>
          </cell>
          <cell r="H139">
            <v>34</v>
          </cell>
          <cell r="I139"/>
          <cell r="J139"/>
          <cell r="L139">
            <v>80</v>
          </cell>
          <cell r="M139" t="str">
            <v>±</v>
          </cell>
          <cell r="N139">
            <v>5</v>
          </cell>
          <cell r="R139"/>
          <cell r="T139"/>
          <cell r="U139"/>
          <cell r="V139"/>
          <cell r="X139"/>
          <cell r="Z139"/>
          <cell r="AA139"/>
          <cell r="AB139"/>
          <cell r="AC139">
            <v>0</v>
          </cell>
          <cell r="AD139"/>
          <cell r="AG139"/>
          <cell r="AI139" t="str">
            <v>ระบุในSD</v>
          </cell>
          <cell r="AJ139"/>
          <cell r="AL139">
            <v>0</v>
          </cell>
          <cell r="AM139"/>
          <cell r="AN139">
            <v>0</v>
          </cell>
          <cell r="AO139" t="str">
            <v>WSWT2021800UV</v>
          </cell>
          <cell r="AQ139" t="e">
            <v>#REF!</v>
          </cell>
          <cell r="AR139" t="e">
            <v>#REF!</v>
          </cell>
          <cell r="AS139" t="e">
            <v>#REF!</v>
          </cell>
          <cell r="AT139" t="e">
            <v>#REF!</v>
          </cell>
          <cell r="AU139" t="e">
            <v>#REF!</v>
          </cell>
          <cell r="BZ139" t="str">
            <v>WRWT200800/WRWT21800</v>
          </cell>
          <cell r="CA139">
            <v>0</v>
          </cell>
          <cell r="DL139"/>
          <cell r="DM139" t="str">
            <v>Lead time</v>
          </cell>
          <cell r="DN139"/>
          <cell r="DP139"/>
          <cell r="DQ139"/>
          <cell r="DR139"/>
          <cell r="DS139"/>
          <cell r="DT139"/>
          <cell r="DU139"/>
          <cell r="DW139"/>
          <cell r="DX139"/>
          <cell r="DY139"/>
          <cell r="DZ139"/>
          <cell r="EA139"/>
          <cell r="EB139"/>
          <cell r="EC139"/>
          <cell r="ED139"/>
          <cell r="EG139"/>
          <cell r="EH139">
            <v>0</v>
          </cell>
          <cell r="EI139"/>
        </row>
        <row r="140">
          <cell r="B140">
            <v>0</v>
          </cell>
          <cell r="C140"/>
          <cell r="E140"/>
          <cell r="F140"/>
          <cell r="G140">
            <v>20</v>
          </cell>
          <cell r="H140">
            <v>37</v>
          </cell>
          <cell r="I140" t="str">
            <v>ขาว</v>
          </cell>
          <cell r="J140"/>
          <cell r="L140">
            <v>70</v>
          </cell>
          <cell r="M140" t="str">
            <v>±</v>
          </cell>
          <cell r="N140">
            <v>5</v>
          </cell>
          <cell r="R140"/>
          <cell r="T140"/>
          <cell r="U140"/>
          <cell r="V140"/>
          <cell r="X140"/>
          <cell r="Z140"/>
          <cell r="AA140"/>
          <cell r="AB140"/>
          <cell r="AC140">
            <v>0</v>
          </cell>
          <cell r="AD140"/>
          <cell r="AG140"/>
          <cell r="AI140" t="str">
            <v>ระบุในSD</v>
          </cell>
          <cell r="AJ140"/>
          <cell r="AL140">
            <v>0</v>
          </cell>
          <cell r="AM140"/>
          <cell r="AN140">
            <v>0</v>
          </cell>
          <cell r="AO140" t="str">
            <v>WSWT2025700(1)</v>
          </cell>
          <cell r="AQ140" t="e">
            <v>#REF!</v>
          </cell>
          <cell r="AR140" t="e">
            <v>#REF!</v>
          </cell>
          <cell r="AS140" t="e">
            <v>#REF!</v>
          </cell>
          <cell r="AT140" t="e">
            <v>#REF!</v>
          </cell>
          <cell r="AU140" t="e">
            <v>#REF!</v>
          </cell>
          <cell r="BZ140" t="str">
            <v>WRWT200800/WRWT25650</v>
          </cell>
          <cell r="CA140">
            <v>0</v>
          </cell>
          <cell r="DL140"/>
          <cell r="DM140" t="str">
            <v>Lead time</v>
          </cell>
          <cell r="DN140"/>
          <cell r="DP140"/>
          <cell r="DQ140"/>
          <cell r="DR140"/>
          <cell r="DS140"/>
          <cell r="DT140"/>
          <cell r="DU140"/>
          <cell r="DW140"/>
          <cell r="DX140"/>
          <cell r="DY140"/>
          <cell r="DZ140"/>
          <cell r="EA140"/>
          <cell r="EB140"/>
          <cell r="EC140"/>
          <cell r="ED140"/>
          <cell r="EG140"/>
          <cell r="EH140"/>
          <cell r="EI140"/>
        </row>
        <row r="141">
          <cell r="B141">
            <v>0</v>
          </cell>
          <cell r="C141"/>
          <cell r="E141"/>
          <cell r="F141"/>
          <cell r="G141">
            <v>20</v>
          </cell>
          <cell r="H141">
            <v>34</v>
          </cell>
          <cell r="I141"/>
          <cell r="J141"/>
          <cell r="L141">
            <v>85</v>
          </cell>
          <cell r="M141" t="str">
            <v>±</v>
          </cell>
          <cell r="N141">
            <v>5</v>
          </cell>
          <cell r="R141"/>
          <cell r="T141"/>
          <cell r="U141"/>
          <cell r="V141"/>
          <cell r="X141"/>
          <cell r="Z141"/>
          <cell r="AA141"/>
          <cell r="AB141"/>
          <cell r="AC141">
            <v>0</v>
          </cell>
          <cell r="AD141"/>
          <cell r="AG141"/>
          <cell r="AI141" t="str">
            <v>ระบุในSD</v>
          </cell>
          <cell r="AJ141"/>
          <cell r="AL141">
            <v>0</v>
          </cell>
          <cell r="AM141"/>
          <cell r="AN141">
            <v>0</v>
          </cell>
          <cell r="AO141" t="str">
            <v>WSWT2021850UV</v>
          </cell>
          <cell r="AQ141" t="e">
            <v>#REF!</v>
          </cell>
          <cell r="AR141" t="e">
            <v>#REF!</v>
          </cell>
          <cell r="AS141" t="e">
            <v>#REF!</v>
          </cell>
          <cell r="AT141" t="e">
            <v>#REF!</v>
          </cell>
          <cell r="AU141" t="e">
            <v>#REF!</v>
          </cell>
          <cell r="BZ141" t="str">
            <v>WRWT200850/WRWT21850</v>
          </cell>
          <cell r="CA141">
            <v>0</v>
          </cell>
          <cell r="DL141"/>
          <cell r="DM141"/>
          <cell r="DN141"/>
          <cell r="DP141"/>
          <cell r="DQ141"/>
          <cell r="DR141"/>
          <cell r="DS141"/>
          <cell r="DT141"/>
          <cell r="DU141"/>
          <cell r="DW141"/>
          <cell r="DX141"/>
          <cell r="DY141"/>
          <cell r="DZ141"/>
          <cell r="EA141"/>
          <cell r="EB141"/>
          <cell r="EC141"/>
          <cell r="ED141"/>
          <cell r="EG141"/>
          <cell r="EH141">
            <v>0</v>
          </cell>
          <cell r="EI141"/>
        </row>
        <row r="142">
          <cell r="B142">
            <v>0</v>
          </cell>
          <cell r="C142"/>
          <cell r="E142"/>
          <cell r="F142"/>
          <cell r="G142">
            <v>20</v>
          </cell>
          <cell r="H142">
            <v>34</v>
          </cell>
          <cell r="I142"/>
          <cell r="J142"/>
          <cell r="L142">
            <v>80</v>
          </cell>
          <cell r="M142" t="str">
            <v>±</v>
          </cell>
          <cell r="N142">
            <v>5</v>
          </cell>
          <cell r="R142"/>
          <cell r="T142"/>
          <cell r="U142"/>
          <cell r="V142"/>
          <cell r="X142"/>
          <cell r="Z142"/>
          <cell r="AA142"/>
          <cell r="AB142"/>
          <cell r="AC142">
            <v>0</v>
          </cell>
          <cell r="AD142"/>
          <cell r="AG142"/>
          <cell r="AI142" t="str">
            <v>ระบุในSD</v>
          </cell>
          <cell r="AJ142"/>
          <cell r="AL142">
            <v>0</v>
          </cell>
          <cell r="AM142"/>
          <cell r="AN142">
            <v>0</v>
          </cell>
          <cell r="AO142" t="str">
            <v>WSWT2021750UV</v>
          </cell>
          <cell r="AQ142" t="e">
            <v>#REF!</v>
          </cell>
          <cell r="AR142" t="e">
            <v>#REF!</v>
          </cell>
          <cell r="AS142" t="e">
            <v>#REF!</v>
          </cell>
          <cell r="AT142" t="e">
            <v>#REF!</v>
          </cell>
          <cell r="AU142" t="e">
            <v>#REF!</v>
          </cell>
          <cell r="BZ142" t="str">
            <v>WRWT200750/WRWT21750</v>
          </cell>
          <cell r="CA142">
            <v>0</v>
          </cell>
          <cell r="DL142"/>
          <cell r="DM142"/>
          <cell r="DN142"/>
          <cell r="DP142"/>
          <cell r="DQ142"/>
          <cell r="DR142"/>
          <cell r="DS142"/>
          <cell r="DT142"/>
          <cell r="DU142"/>
          <cell r="DW142"/>
          <cell r="DX142"/>
          <cell r="DY142"/>
          <cell r="DZ142"/>
          <cell r="EA142"/>
          <cell r="EB142"/>
          <cell r="EC142"/>
          <cell r="ED142"/>
          <cell r="EG142"/>
          <cell r="EH142">
            <v>0</v>
          </cell>
          <cell r="EI142"/>
        </row>
        <row r="143">
          <cell r="B143">
            <v>0</v>
          </cell>
          <cell r="C143"/>
          <cell r="E143"/>
          <cell r="F143"/>
          <cell r="G143">
            <v>21</v>
          </cell>
          <cell r="H143">
            <v>39</v>
          </cell>
          <cell r="I143"/>
          <cell r="J143"/>
          <cell r="L143">
            <v>78</v>
          </cell>
          <cell r="M143" t="str">
            <v>±</v>
          </cell>
          <cell r="N143">
            <v>3</v>
          </cell>
          <cell r="R143"/>
          <cell r="T143"/>
          <cell r="U143"/>
          <cell r="V143"/>
          <cell r="X143"/>
          <cell r="Z143"/>
          <cell r="AA143"/>
          <cell r="AB143"/>
          <cell r="AC143">
            <v>0</v>
          </cell>
          <cell r="AD143"/>
          <cell r="AG143"/>
          <cell r="AI143" t="str">
            <v>ระบุในSD</v>
          </cell>
          <cell r="AJ143"/>
          <cell r="AL143">
            <v>0</v>
          </cell>
          <cell r="AM143"/>
          <cell r="AN143">
            <v>0</v>
          </cell>
          <cell r="AO143" t="str">
            <v>WSWT2125700</v>
          </cell>
          <cell r="AQ143" t="e">
            <v>#REF!</v>
          </cell>
          <cell r="AR143" t="e">
            <v>#REF!</v>
          </cell>
          <cell r="AS143" t="e">
            <v>#REF!</v>
          </cell>
          <cell r="AT143" t="e">
            <v>#REF!</v>
          </cell>
          <cell r="AU143" t="e">
            <v>#REF!</v>
          </cell>
          <cell r="BZ143" t="str">
            <v>WRWT210800/WRWT25650</v>
          </cell>
          <cell r="CA143">
            <v>0</v>
          </cell>
          <cell r="DL143"/>
          <cell r="DM143"/>
          <cell r="DN143"/>
          <cell r="DP143"/>
          <cell r="DQ143"/>
          <cell r="DR143"/>
          <cell r="DS143"/>
          <cell r="DT143"/>
          <cell r="DU143"/>
          <cell r="DW143"/>
          <cell r="DX143"/>
          <cell r="DY143"/>
          <cell r="DZ143"/>
          <cell r="EA143"/>
          <cell r="EB143"/>
          <cell r="EC143"/>
          <cell r="ED143"/>
          <cell r="EG143"/>
          <cell r="EH143">
            <v>0</v>
          </cell>
          <cell r="EI143"/>
        </row>
        <row r="144">
          <cell r="B144" t="str">
            <v>MK68-001072</v>
          </cell>
          <cell r="C144">
            <v>45903</v>
          </cell>
          <cell r="E144" t="str">
            <v>บจก.เอเชี่ยนเคมิคัล</v>
          </cell>
          <cell r="F144" t="str">
            <v>ไม่พิมพ์</v>
          </cell>
          <cell r="G144">
            <v>21</v>
          </cell>
          <cell r="H144">
            <v>31</v>
          </cell>
          <cell r="I144" t="str">
            <v>ขาว</v>
          </cell>
          <cell r="J144"/>
          <cell r="L144">
            <v>60</v>
          </cell>
          <cell r="M144" t="str">
            <v>±</v>
          </cell>
          <cell r="N144">
            <v>5</v>
          </cell>
          <cell r="R144" t="str">
            <v>ไม่</v>
          </cell>
          <cell r="T144" t="str">
            <v>ไม่สวมถุงใน</v>
          </cell>
          <cell r="U144"/>
          <cell r="V144"/>
          <cell r="X144">
            <v>45906</v>
          </cell>
          <cell r="Z144" t="str">
            <v>มัด100</v>
          </cell>
          <cell r="AA144">
            <v>5000</v>
          </cell>
          <cell r="AB144">
            <v>0</v>
          </cell>
          <cell r="AC144">
            <v>0</v>
          </cell>
          <cell r="AD144">
            <v>0</v>
          </cell>
          <cell r="AG144" t="str">
            <v>เย็น 6/9</v>
          </cell>
          <cell r="AI144" t="str">
            <v>ห้ามขาด-ห้ามเกิน</v>
          </cell>
          <cell r="AJ144">
            <v>0</v>
          </cell>
          <cell r="AL144">
            <v>5000</v>
          </cell>
          <cell r="AM144"/>
          <cell r="AN144">
            <v>0</v>
          </cell>
          <cell r="AO144" t="str">
            <v>WSWT2125650</v>
          </cell>
          <cell r="AQ144">
            <v>4540.25</v>
          </cell>
          <cell r="AR144">
            <v>4540.25</v>
          </cell>
          <cell r="AS144">
            <v>0</v>
          </cell>
          <cell r="AT144">
            <v>0</v>
          </cell>
          <cell r="AU144">
            <v>0</v>
          </cell>
          <cell r="BZ144" t="str">
            <v>WRWT25650/WRWT25650</v>
          </cell>
          <cell r="CA144">
            <v>0</v>
          </cell>
          <cell r="DL144" t="str">
            <v>P3</v>
          </cell>
          <cell r="DM144">
            <v>1</v>
          </cell>
          <cell r="DN144">
            <v>45906</v>
          </cell>
          <cell r="DP144">
            <v>45901</v>
          </cell>
          <cell r="DQ144"/>
          <cell r="DR144"/>
          <cell r="DS144"/>
          <cell r="DT144"/>
          <cell r="DU144">
            <v>45905</v>
          </cell>
          <cell r="DW144"/>
          <cell r="DX144"/>
          <cell r="DY144"/>
          <cell r="DZ144"/>
          <cell r="EA144"/>
          <cell r="EB144"/>
          <cell r="EC144" t="str">
            <v>ตัด</v>
          </cell>
          <cell r="ED144"/>
          <cell r="EG144"/>
          <cell r="EH144"/>
          <cell r="EI144"/>
        </row>
        <row r="145">
          <cell r="B145">
            <v>0</v>
          </cell>
          <cell r="C145"/>
          <cell r="E145"/>
          <cell r="F145"/>
          <cell r="G145">
            <v>21</v>
          </cell>
          <cell r="H145">
            <v>37</v>
          </cell>
          <cell r="I145" t="str">
            <v>ขาว</v>
          </cell>
          <cell r="J145"/>
          <cell r="L145">
            <v>67</v>
          </cell>
          <cell r="M145" t="str">
            <v>±</v>
          </cell>
          <cell r="N145">
            <v>5</v>
          </cell>
          <cell r="R145"/>
          <cell r="T145"/>
          <cell r="U145"/>
          <cell r="V145"/>
          <cell r="X145"/>
          <cell r="Z145"/>
          <cell r="AA145"/>
          <cell r="AB145">
            <v>0</v>
          </cell>
          <cell r="AC145">
            <v>0</v>
          </cell>
          <cell r="AD145"/>
          <cell r="AG145"/>
          <cell r="AI145" t="str">
            <v>ระบุในSD</v>
          </cell>
          <cell r="AJ145"/>
          <cell r="AL145">
            <v>0</v>
          </cell>
          <cell r="AM145"/>
          <cell r="AN145">
            <v>0</v>
          </cell>
          <cell r="AO145" t="str">
            <v>WSWT2125650</v>
          </cell>
          <cell r="AQ145">
            <v>4540.25</v>
          </cell>
          <cell r="AR145">
            <v>4540.25</v>
          </cell>
          <cell r="AS145">
            <v>0</v>
          </cell>
          <cell r="AT145">
            <v>0</v>
          </cell>
          <cell r="AU145">
            <v>0</v>
          </cell>
          <cell r="BZ145" t="str">
            <v>WRWT25650/WRWT25650</v>
          </cell>
          <cell r="CA145">
            <v>0</v>
          </cell>
          <cell r="DL145"/>
          <cell r="DM145" t="str">
            <v>Lead time</v>
          </cell>
          <cell r="DN145"/>
          <cell r="DP145"/>
          <cell r="DQ145"/>
          <cell r="DR145"/>
          <cell r="DS145"/>
          <cell r="DT145"/>
          <cell r="DU145"/>
          <cell r="DW145"/>
          <cell r="DX145"/>
          <cell r="DY145"/>
          <cell r="DZ145"/>
          <cell r="EA145"/>
          <cell r="EB145"/>
          <cell r="EC145"/>
          <cell r="ED145"/>
          <cell r="EG145"/>
          <cell r="EH145"/>
          <cell r="EI145">
            <v>0</v>
          </cell>
        </row>
        <row r="146">
          <cell r="B146">
            <v>0</v>
          </cell>
          <cell r="C146"/>
          <cell r="E146"/>
          <cell r="F146"/>
          <cell r="G146">
            <v>21</v>
          </cell>
          <cell r="H146">
            <v>37</v>
          </cell>
          <cell r="I146" t="str">
            <v>ขาวแถบใส5</v>
          </cell>
          <cell r="J146"/>
          <cell r="L146">
            <v>67</v>
          </cell>
          <cell r="M146" t="str">
            <v>±</v>
          </cell>
          <cell r="N146">
            <v>5</v>
          </cell>
          <cell r="R146"/>
          <cell r="T146"/>
          <cell r="U146"/>
          <cell r="V146"/>
          <cell r="X146"/>
          <cell r="Z146"/>
          <cell r="AA146"/>
          <cell r="AB146">
            <v>0</v>
          </cell>
          <cell r="AC146">
            <v>0</v>
          </cell>
          <cell r="AD146"/>
          <cell r="AG146"/>
          <cell r="AI146" t="str">
            <v>ระบุในSD</v>
          </cell>
          <cell r="AJ146"/>
          <cell r="AL146">
            <v>0</v>
          </cell>
          <cell r="AM146"/>
          <cell r="AN146">
            <v>0</v>
          </cell>
          <cell r="AO146" t="str">
            <v>WSWTSCL052125650</v>
          </cell>
          <cell r="AQ146" t="e">
            <v>#REF!</v>
          </cell>
          <cell r="AR146" t="e">
            <v>#REF!</v>
          </cell>
          <cell r="AS146" t="e">
            <v>#REF!</v>
          </cell>
          <cell r="AT146" t="e">
            <v>#REF!</v>
          </cell>
          <cell r="AU146" t="e">
            <v>#REF!</v>
          </cell>
          <cell r="BZ146" t="str">
            <v>WRWT25650/WRCL25680</v>
          </cell>
          <cell r="CA146">
            <v>0</v>
          </cell>
          <cell r="DL146"/>
          <cell r="DM146" t="str">
            <v>Lead time</v>
          </cell>
          <cell r="DN146"/>
          <cell r="DP146"/>
          <cell r="DQ146"/>
          <cell r="DR146"/>
          <cell r="DS146"/>
          <cell r="DT146"/>
          <cell r="DU146"/>
          <cell r="DW146"/>
          <cell r="DX146"/>
          <cell r="DY146"/>
          <cell r="DZ146"/>
          <cell r="EA146"/>
          <cell r="EB146"/>
          <cell r="EC146"/>
          <cell r="ED146"/>
          <cell r="EG146"/>
          <cell r="EH146">
            <v>0</v>
          </cell>
          <cell r="EI146">
            <v>0</v>
          </cell>
        </row>
        <row r="147">
          <cell r="B147">
            <v>0</v>
          </cell>
          <cell r="C147"/>
          <cell r="E147"/>
          <cell r="F147"/>
          <cell r="G147">
            <v>21</v>
          </cell>
          <cell r="H147">
            <v>37</v>
          </cell>
          <cell r="I147" t="str">
            <v>ขาว</v>
          </cell>
          <cell r="J147"/>
          <cell r="L147">
            <v>83</v>
          </cell>
          <cell r="M147" t="str">
            <v>±</v>
          </cell>
          <cell r="N147">
            <v>5</v>
          </cell>
          <cell r="R147"/>
          <cell r="T147"/>
          <cell r="U147"/>
          <cell r="V147"/>
          <cell r="X147"/>
          <cell r="Z147"/>
          <cell r="AA147"/>
          <cell r="AB147"/>
          <cell r="AC147">
            <v>0</v>
          </cell>
          <cell r="AD147"/>
          <cell r="AG147"/>
          <cell r="AI147" t="str">
            <v>ระบุในSD</v>
          </cell>
          <cell r="AJ147"/>
          <cell r="AL147">
            <v>0</v>
          </cell>
          <cell r="AM147"/>
          <cell r="AN147">
            <v>0</v>
          </cell>
          <cell r="AO147" t="str">
            <v>WSWT2125800</v>
          </cell>
          <cell r="AQ147" t="e">
            <v>#REF!</v>
          </cell>
          <cell r="AR147" t="e">
            <v>#REF!</v>
          </cell>
          <cell r="AS147" t="e">
            <v>#REF!</v>
          </cell>
          <cell r="AT147" t="e">
            <v>#REF!</v>
          </cell>
          <cell r="AU147" t="e">
            <v>#REF!</v>
          </cell>
          <cell r="BZ147" t="str">
            <v>WRWT210800/WRWT25800</v>
          </cell>
          <cell r="CA147">
            <v>0</v>
          </cell>
          <cell r="DL147"/>
          <cell r="DM147"/>
          <cell r="DN147"/>
          <cell r="DP147"/>
          <cell r="DQ147"/>
          <cell r="DR147"/>
          <cell r="DS147"/>
          <cell r="DT147"/>
          <cell r="DU147"/>
          <cell r="DW147"/>
          <cell r="DX147"/>
          <cell r="DY147"/>
          <cell r="DZ147"/>
          <cell r="EA147"/>
          <cell r="EB147"/>
          <cell r="EC147"/>
          <cell r="ED147"/>
          <cell r="EG147"/>
          <cell r="EH147"/>
          <cell r="EI147"/>
        </row>
        <row r="148">
          <cell r="B148" t="str">
            <v>MK68/001028</v>
          </cell>
          <cell r="C148">
            <v>45892</v>
          </cell>
          <cell r="E148" t="str">
            <v>บจก.เอสพีเอ็ม อาหารสัตว์</v>
          </cell>
          <cell r="F148" t="str">
            <v>มาซู ฟีดซี 0434</v>
          </cell>
          <cell r="G148">
            <v>21</v>
          </cell>
          <cell r="H148">
            <v>40</v>
          </cell>
          <cell r="I148" t="str">
            <v>ขาว</v>
          </cell>
          <cell r="J148" t="str">
            <v>ด้าน</v>
          </cell>
          <cell r="L148">
            <v>108</v>
          </cell>
          <cell r="M148" t="str">
            <v>±</v>
          </cell>
          <cell r="N148">
            <v>5</v>
          </cell>
          <cell r="R148" t="str">
            <v>บิด</v>
          </cell>
          <cell r="T148">
            <v>22</v>
          </cell>
          <cell r="U148">
            <v>42</v>
          </cell>
          <cell r="V148">
            <v>40</v>
          </cell>
          <cell r="X148">
            <v>45906</v>
          </cell>
          <cell r="Z148" t="str">
            <v>500กระสอบแบน</v>
          </cell>
          <cell r="AA148">
            <v>3000</v>
          </cell>
          <cell r="AB148">
            <v>0</v>
          </cell>
          <cell r="AC148">
            <v>0</v>
          </cell>
          <cell r="AD148">
            <v>0</v>
          </cell>
          <cell r="AG148"/>
          <cell r="AI148"/>
          <cell r="AJ148">
            <v>3000</v>
          </cell>
          <cell r="AL148">
            <v>0</v>
          </cell>
          <cell r="AM148">
            <v>3100</v>
          </cell>
          <cell r="AN148">
            <v>0</v>
          </cell>
          <cell r="AO148" t="str">
            <v>WSWT2121670SM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BZ148" t="str">
            <v>WRWT21670/WRWT21670</v>
          </cell>
          <cell r="CA148">
            <v>0</v>
          </cell>
          <cell r="DL148" t="str">
            <v>P8</v>
          </cell>
          <cell r="DM148">
            <v>4</v>
          </cell>
          <cell r="DN148">
            <v>45906</v>
          </cell>
          <cell r="DP148">
            <v>45901</v>
          </cell>
          <cell r="DQ148">
            <v>45902</v>
          </cell>
          <cell r="DR148">
            <v>45896</v>
          </cell>
          <cell r="DS148">
            <v>45903</v>
          </cell>
          <cell r="DT148">
            <v>45904</v>
          </cell>
          <cell r="DU148">
            <v>45904</v>
          </cell>
          <cell r="DW148">
            <v>45905</v>
          </cell>
          <cell r="DX148"/>
          <cell r="DY148"/>
          <cell r="DZ148"/>
          <cell r="EA148"/>
          <cell r="EB148"/>
          <cell r="EC148" t="str">
            <v>งานเคลือบ+พิมพ์</v>
          </cell>
          <cell r="ED148" t="str">
            <v xml:space="preserve"> /</v>
          </cell>
          <cell r="EG148"/>
          <cell r="EH148"/>
          <cell r="EI148"/>
        </row>
        <row r="149">
          <cell r="B149" t="str">
            <v>MK68-000977</v>
          </cell>
          <cell r="C149">
            <v>45876</v>
          </cell>
          <cell r="E149" t="str">
            <v>บจก.เอพีเอ็ม อะโกร</v>
          </cell>
          <cell r="F149" t="str">
            <v>โมโม่ 4131</v>
          </cell>
          <cell r="G149">
            <v>21</v>
          </cell>
          <cell r="H149">
            <v>38</v>
          </cell>
          <cell r="I149" t="str">
            <v>ขาว</v>
          </cell>
          <cell r="J149" t="str">
            <v>ใส</v>
          </cell>
          <cell r="L149">
            <v>102</v>
          </cell>
          <cell r="M149" t="str">
            <v>±</v>
          </cell>
          <cell r="N149">
            <v>5</v>
          </cell>
          <cell r="R149" t="str">
            <v>จับจีบ</v>
          </cell>
          <cell r="T149">
            <v>22</v>
          </cell>
          <cell r="U149">
            <v>40</v>
          </cell>
          <cell r="V149">
            <v>40</v>
          </cell>
          <cell r="X149">
            <v>45926</v>
          </cell>
          <cell r="Z149" t="str">
            <v>500กระสอบแบน</v>
          </cell>
          <cell r="AA149">
            <v>3000</v>
          </cell>
          <cell r="AB149">
            <v>65.13122457599998</v>
          </cell>
          <cell r="AC149">
            <v>0</v>
          </cell>
          <cell r="AD149">
            <v>65.13122457599998</v>
          </cell>
          <cell r="AG149"/>
          <cell r="AI149"/>
          <cell r="AJ149">
            <v>0</v>
          </cell>
          <cell r="AL149">
            <v>3000</v>
          </cell>
          <cell r="AM149"/>
          <cell r="AN149">
            <v>3150</v>
          </cell>
          <cell r="AO149" t="str">
            <v>WSWT2121670SM</v>
          </cell>
          <cell r="AQ149">
            <v>3310.89</v>
          </cell>
          <cell r="AR149">
            <v>3310.89</v>
          </cell>
          <cell r="AS149">
            <v>0</v>
          </cell>
          <cell r="AT149">
            <v>3310.89</v>
          </cell>
          <cell r="AU149">
            <v>0</v>
          </cell>
          <cell r="BZ149" t="str">
            <v>WRWT21670/WRWT21670</v>
          </cell>
          <cell r="CA149">
            <v>0</v>
          </cell>
          <cell r="DL149" t="str">
            <v>P8</v>
          </cell>
          <cell r="DM149">
            <v>4</v>
          </cell>
          <cell r="DN149">
            <v>45926</v>
          </cell>
          <cell r="DP149">
            <v>45921</v>
          </cell>
          <cell r="DQ149">
            <v>45922</v>
          </cell>
          <cell r="DR149">
            <v>45916</v>
          </cell>
          <cell r="DS149">
            <v>45923</v>
          </cell>
          <cell r="DT149">
            <v>45924</v>
          </cell>
          <cell r="DU149">
            <v>45924</v>
          </cell>
          <cell r="DW149">
            <v>45925</v>
          </cell>
          <cell r="DX149"/>
          <cell r="DY149"/>
          <cell r="DZ149"/>
          <cell r="EA149"/>
          <cell r="EB149"/>
          <cell r="EC149" t="str">
            <v>งานเคลือบ+พิมพ์</v>
          </cell>
          <cell r="ED149" t="str">
            <v xml:space="preserve"> /</v>
          </cell>
          <cell r="EG149"/>
          <cell r="EH149"/>
          <cell r="EI149"/>
        </row>
        <row r="150">
          <cell r="B150" t="str">
            <v>MK67-001643</v>
          </cell>
          <cell r="C150">
            <v>45631</v>
          </cell>
          <cell r="E150" t="str">
            <v>บจก.ที.ซี.ยูเนี่ยน อโกรเทค</v>
          </cell>
          <cell r="F150" t="str">
            <v>Zhejiang UN</v>
          </cell>
          <cell r="G150">
            <v>21</v>
          </cell>
          <cell r="H150">
            <v>37</v>
          </cell>
          <cell r="I150" t="str">
            <v>ขาว</v>
          </cell>
          <cell r="J150" t="str">
            <v>ใส</v>
          </cell>
          <cell r="L150">
            <v>100</v>
          </cell>
          <cell r="M150" t="str">
            <v>±</v>
          </cell>
          <cell r="N150">
            <v>5</v>
          </cell>
          <cell r="R150" t="str">
            <v>ไม่</v>
          </cell>
          <cell r="T150" t="str">
            <v>ไม่สวมถุงใน</v>
          </cell>
          <cell r="U150"/>
          <cell r="V150"/>
          <cell r="X150" t="str">
            <v>รอแจ้ง</v>
          </cell>
          <cell r="Z150" t="str">
            <v xml:space="preserve">300กระสอบแบนเต็มใบ </v>
          </cell>
          <cell r="AA150">
            <v>16000</v>
          </cell>
          <cell r="AB150">
            <v>0</v>
          </cell>
          <cell r="AC150">
            <v>0</v>
          </cell>
          <cell r="AD150">
            <v>0</v>
          </cell>
          <cell r="AG150" t="str">
            <v>17/2---28/3 ลูกค้าแจ้งเลื่อน</v>
          </cell>
          <cell r="AI150"/>
          <cell r="AJ150">
            <v>0</v>
          </cell>
          <cell r="AL150">
            <v>16000</v>
          </cell>
          <cell r="AM150"/>
          <cell r="AN150">
            <v>16800</v>
          </cell>
          <cell r="AO150" t="str">
            <v>WSWT2121670SM</v>
          </cell>
          <cell r="AQ150">
            <v>17211.04</v>
          </cell>
          <cell r="AR150">
            <v>17211.04</v>
          </cell>
          <cell r="AS150">
            <v>0</v>
          </cell>
          <cell r="AT150">
            <v>0</v>
          </cell>
          <cell r="AU150">
            <v>17211.04</v>
          </cell>
          <cell r="BZ150" t="str">
            <v>WRWT21670/WRWT21670</v>
          </cell>
          <cell r="CA150">
            <v>0</v>
          </cell>
          <cell r="DL150" t="str">
            <v>P8</v>
          </cell>
          <cell r="DM150">
            <v>4</v>
          </cell>
          <cell r="DN150" t="str">
            <v>รอแจ้ง</v>
          </cell>
          <cell r="DP150" t="e">
            <v>#VALUE!</v>
          </cell>
          <cell r="DQ150" t="e">
            <v>#VALUE!</v>
          </cell>
          <cell r="DR150" t="e">
            <v>#VALUE!</v>
          </cell>
          <cell r="DS150" t="e">
            <v>#VALUE!</v>
          </cell>
          <cell r="DT150" t="e">
            <v>#VALUE!</v>
          </cell>
          <cell r="DU150" t="e">
            <v>#VALUE!</v>
          </cell>
          <cell r="DW150"/>
          <cell r="DX150"/>
          <cell r="DY150"/>
          <cell r="DZ150"/>
          <cell r="EA150"/>
          <cell r="EB150"/>
          <cell r="EC150" t="str">
            <v>งานเคลือบ+พิมพ์</v>
          </cell>
          <cell r="ED150" t="str">
            <v xml:space="preserve"> /</v>
          </cell>
          <cell r="EG150"/>
          <cell r="EH150"/>
          <cell r="EI150"/>
        </row>
        <row r="151">
          <cell r="B151" t="str">
            <v>MK67-001642</v>
          </cell>
          <cell r="C151">
            <v>45631</v>
          </cell>
          <cell r="E151" t="str">
            <v>บจก.ที.ซี.ยูเนี่ยน อโกรเทค</v>
          </cell>
          <cell r="F151" t="str">
            <v>Zhejiang UN</v>
          </cell>
          <cell r="G151">
            <v>21</v>
          </cell>
          <cell r="H151">
            <v>37</v>
          </cell>
          <cell r="I151" t="str">
            <v>ขาว</v>
          </cell>
          <cell r="J151" t="str">
            <v>ใส</v>
          </cell>
          <cell r="L151">
            <v>100</v>
          </cell>
          <cell r="M151" t="str">
            <v>±</v>
          </cell>
          <cell r="N151">
            <v>5</v>
          </cell>
          <cell r="R151" t="str">
            <v>ไม่</v>
          </cell>
          <cell r="T151" t="str">
            <v>ไม่สวมถุงใน</v>
          </cell>
          <cell r="U151"/>
          <cell r="V151"/>
          <cell r="X151" t="str">
            <v>รอแจ้ง</v>
          </cell>
          <cell r="Z151" t="str">
            <v xml:space="preserve">300กระสอบแบนเต็มใบ </v>
          </cell>
          <cell r="AA151">
            <v>9000</v>
          </cell>
          <cell r="AB151">
            <v>0</v>
          </cell>
          <cell r="AC151">
            <v>0</v>
          </cell>
          <cell r="AD151">
            <v>0</v>
          </cell>
          <cell r="AG151" t="str">
            <v>3/2---19/3 ลูกค้าแจ้งเลื่อน</v>
          </cell>
          <cell r="AI151"/>
          <cell r="AJ151">
            <v>0</v>
          </cell>
          <cell r="AL151">
            <v>9000</v>
          </cell>
          <cell r="AM151"/>
          <cell r="AN151">
            <v>9450</v>
          </cell>
          <cell r="AO151" t="str">
            <v>WSWT2121670SM</v>
          </cell>
          <cell r="AQ151">
            <v>9681.2100000000009</v>
          </cell>
          <cell r="AR151">
            <v>9681.2100000000009</v>
          </cell>
          <cell r="AS151">
            <v>0</v>
          </cell>
          <cell r="AT151">
            <v>0</v>
          </cell>
          <cell r="AU151">
            <v>9681.2100000000009</v>
          </cell>
          <cell r="BZ151" t="str">
            <v>WRWT21670/WRWT21670</v>
          </cell>
          <cell r="CA151">
            <v>0</v>
          </cell>
          <cell r="DL151" t="str">
            <v>P8</v>
          </cell>
          <cell r="DM151">
            <v>4</v>
          </cell>
          <cell r="DN151" t="str">
            <v>รอแจ้ง</v>
          </cell>
          <cell r="DP151" t="e">
            <v>#VALUE!</v>
          </cell>
          <cell r="DQ151" t="e">
            <v>#VALUE!</v>
          </cell>
          <cell r="DR151" t="e">
            <v>#VALUE!</v>
          </cell>
          <cell r="DS151" t="e">
            <v>#VALUE!</v>
          </cell>
          <cell r="DT151" t="e">
            <v>#VALUE!</v>
          </cell>
          <cell r="DU151" t="e">
            <v>#VALUE!</v>
          </cell>
          <cell r="DW151"/>
          <cell r="DX151"/>
          <cell r="DY151"/>
          <cell r="DZ151"/>
          <cell r="EA151"/>
          <cell r="EB151"/>
          <cell r="EC151" t="str">
            <v>งานเคลือบ+พิมพ์</v>
          </cell>
          <cell r="ED151" t="str">
            <v xml:space="preserve"> /</v>
          </cell>
          <cell r="EG151"/>
          <cell r="EH151"/>
          <cell r="EI151"/>
        </row>
        <row r="152">
          <cell r="B152" t="str">
            <v>MK68-001073</v>
          </cell>
          <cell r="C152">
            <v>45904</v>
          </cell>
          <cell r="E152" t="str">
            <v>บจก.ทีเจที.เทรดเดอร์</v>
          </cell>
          <cell r="F152" t="str">
            <v>เอ็มเค 914</v>
          </cell>
          <cell r="G152">
            <v>21</v>
          </cell>
          <cell r="H152">
            <v>40</v>
          </cell>
          <cell r="I152" t="str">
            <v>ขาว</v>
          </cell>
          <cell r="J152" t="str">
            <v>ใส</v>
          </cell>
          <cell r="L152">
            <v>108</v>
          </cell>
          <cell r="M152" t="str">
            <v>±</v>
          </cell>
          <cell r="N152">
            <v>5</v>
          </cell>
          <cell r="R152" t="str">
            <v>ไม่</v>
          </cell>
          <cell r="T152" t="str">
            <v>ไม่สวมถุงใน</v>
          </cell>
          <cell r="U152"/>
          <cell r="V152"/>
          <cell r="X152">
            <v>45911</v>
          </cell>
          <cell r="Z152" t="str">
            <v>500กระสอบ</v>
          </cell>
          <cell r="AA152">
            <v>4000</v>
          </cell>
          <cell r="AB152">
            <v>0</v>
          </cell>
          <cell r="AC152">
            <v>0</v>
          </cell>
          <cell r="AD152">
            <v>0</v>
          </cell>
          <cell r="AG152"/>
          <cell r="AI152"/>
          <cell r="AJ152">
            <v>0</v>
          </cell>
          <cell r="AL152">
            <v>4000</v>
          </cell>
          <cell r="AM152"/>
          <cell r="AN152">
            <v>4200</v>
          </cell>
          <cell r="AO152" t="str">
            <v>WSWT2121670SM</v>
          </cell>
          <cell r="AQ152">
            <v>4638.0400000000009</v>
          </cell>
          <cell r="AR152">
            <v>0</v>
          </cell>
          <cell r="AS152">
            <v>4638.0400000000009</v>
          </cell>
          <cell r="AT152">
            <v>0</v>
          </cell>
          <cell r="AU152">
            <v>4638.0400000000009</v>
          </cell>
          <cell r="BZ152" t="str">
            <v>WRWT21670/WRWT21670</v>
          </cell>
          <cell r="CA152">
            <v>333.53691653333334</v>
          </cell>
          <cell r="DL152" t="str">
            <v>P8</v>
          </cell>
          <cell r="DM152">
            <v>4</v>
          </cell>
          <cell r="DN152">
            <v>45911</v>
          </cell>
          <cell r="DP152">
            <v>45906</v>
          </cell>
          <cell r="DQ152">
            <v>45907</v>
          </cell>
          <cell r="DR152">
            <v>45901</v>
          </cell>
          <cell r="DS152">
            <v>45908</v>
          </cell>
          <cell r="DT152">
            <v>45909</v>
          </cell>
          <cell r="DU152">
            <v>45909</v>
          </cell>
          <cell r="DW152"/>
          <cell r="DX152"/>
          <cell r="DY152"/>
          <cell r="DZ152"/>
          <cell r="EA152"/>
          <cell r="EB152"/>
          <cell r="EC152" t="str">
            <v>งานเคลือบ+พิมพ์</v>
          </cell>
          <cell r="ED152"/>
          <cell r="EG152"/>
          <cell r="EH152"/>
          <cell r="EI152"/>
        </row>
        <row r="153">
          <cell r="B153" t="str">
            <v>ประมาณการ</v>
          </cell>
          <cell r="C153" t="str">
            <v>ประมาณการ</v>
          </cell>
          <cell r="E153" t="str">
            <v>บจก.แอมโก้เวท</v>
          </cell>
          <cell r="F153" t="str">
            <v>รอแบบ</v>
          </cell>
          <cell r="G153">
            <v>21</v>
          </cell>
          <cell r="H153">
            <v>37</v>
          </cell>
          <cell r="I153" t="str">
            <v>ขาว</v>
          </cell>
          <cell r="J153" t="str">
            <v>ใส</v>
          </cell>
          <cell r="L153">
            <v>100</v>
          </cell>
          <cell r="M153" t="str">
            <v>±</v>
          </cell>
          <cell r="N153">
            <v>5</v>
          </cell>
          <cell r="R153" t="str">
            <v>บิด</v>
          </cell>
          <cell r="T153" t="str">
            <v>ไม่สวมถุงใน</v>
          </cell>
          <cell r="U153"/>
          <cell r="V153"/>
          <cell r="X153">
            <v>45925</v>
          </cell>
          <cell r="Z153" t="str">
            <v>500กระสอบ</v>
          </cell>
          <cell r="AA153">
            <v>100000</v>
          </cell>
          <cell r="AB153">
            <v>0</v>
          </cell>
          <cell r="AC153">
            <v>0</v>
          </cell>
          <cell r="AD153">
            <v>0</v>
          </cell>
          <cell r="AG153"/>
          <cell r="AI153"/>
          <cell r="AJ153">
            <v>0</v>
          </cell>
          <cell r="AL153">
            <v>100000</v>
          </cell>
          <cell r="AM153"/>
          <cell r="AN153">
            <v>105000</v>
          </cell>
          <cell r="AO153" t="str">
            <v>WSWT2121670SM</v>
          </cell>
          <cell r="AQ153">
            <v>107569.00000000001</v>
          </cell>
          <cell r="AR153">
            <v>107569.00000000001</v>
          </cell>
          <cell r="AS153">
            <v>0</v>
          </cell>
          <cell r="AT153">
            <v>107569.00000000001</v>
          </cell>
          <cell r="AU153">
            <v>0</v>
          </cell>
          <cell r="BZ153" t="str">
            <v>WRWT21670/WRWT21670</v>
          </cell>
          <cell r="CA153">
            <v>0</v>
          </cell>
          <cell r="DL153" t="str">
            <v>P8</v>
          </cell>
          <cell r="DM153">
            <v>4</v>
          </cell>
          <cell r="DN153">
            <v>45925</v>
          </cell>
          <cell r="DP153">
            <v>45920</v>
          </cell>
          <cell r="DQ153">
            <v>45921</v>
          </cell>
          <cell r="DR153">
            <v>45915</v>
          </cell>
          <cell r="DS153">
            <v>45922</v>
          </cell>
          <cell r="DT153">
            <v>45923</v>
          </cell>
          <cell r="DU153">
            <v>45923</v>
          </cell>
          <cell r="DW153"/>
          <cell r="DX153"/>
          <cell r="DY153"/>
          <cell r="DZ153"/>
          <cell r="EA153"/>
          <cell r="EB153"/>
          <cell r="EC153" t="str">
            <v>งานเคลือบ+พิมพ์</v>
          </cell>
          <cell r="ED153" t="str">
            <v xml:space="preserve"> /</v>
          </cell>
          <cell r="EG153"/>
          <cell r="EH153"/>
          <cell r="EI153"/>
        </row>
        <row r="154">
          <cell r="B154" t="str">
            <v>MK68-001036</v>
          </cell>
          <cell r="C154">
            <v>45896</v>
          </cell>
          <cell r="E154" t="str">
            <v>บจก.เอพีเอ็ม อะโกร</v>
          </cell>
          <cell r="F154" t="str">
            <v>โมโม่ 491</v>
          </cell>
          <cell r="G154">
            <v>21</v>
          </cell>
          <cell r="H154">
            <v>38</v>
          </cell>
          <cell r="I154" t="str">
            <v>ขาว</v>
          </cell>
          <cell r="J154" t="str">
            <v>ใส</v>
          </cell>
          <cell r="L154">
            <v>102</v>
          </cell>
          <cell r="M154" t="str">
            <v>±</v>
          </cell>
          <cell r="N154">
            <v>5</v>
          </cell>
          <cell r="R154" t="str">
            <v>จับจีบ</v>
          </cell>
          <cell r="T154">
            <v>22</v>
          </cell>
          <cell r="U154">
            <v>40</v>
          </cell>
          <cell r="V154">
            <v>40</v>
          </cell>
          <cell r="X154" t="str">
            <v>รอแจ้ง</v>
          </cell>
          <cell r="Z154" t="str">
            <v>500กระสอบแบน</v>
          </cell>
          <cell r="AA154">
            <v>3000</v>
          </cell>
          <cell r="AB154">
            <v>65.13122457599998</v>
          </cell>
          <cell r="AC154">
            <v>0</v>
          </cell>
          <cell r="AD154">
            <v>65.13122457599998</v>
          </cell>
          <cell r="AG154"/>
          <cell r="AI154"/>
          <cell r="AJ154">
            <v>0</v>
          </cell>
          <cell r="AL154">
            <v>3000</v>
          </cell>
          <cell r="AM154"/>
          <cell r="AN154">
            <v>3150</v>
          </cell>
          <cell r="AO154" t="str">
            <v>WSWT2121670SM</v>
          </cell>
          <cell r="AQ154">
            <v>3310.89</v>
          </cell>
          <cell r="AR154">
            <v>3310.89</v>
          </cell>
          <cell r="AS154">
            <v>0</v>
          </cell>
          <cell r="AT154">
            <v>0</v>
          </cell>
          <cell r="AU154">
            <v>3310.89</v>
          </cell>
          <cell r="BZ154" t="str">
            <v>WRWT21670/WRWT21670</v>
          </cell>
          <cell r="CA154">
            <v>0</v>
          </cell>
          <cell r="DL154" t="str">
            <v>P8</v>
          </cell>
          <cell r="DM154">
            <v>4</v>
          </cell>
          <cell r="DN154" t="str">
            <v>รอแจ้ง</v>
          </cell>
          <cell r="DP154" t="e">
            <v>#VALUE!</v>
          </cell>
          <cell r="DQ154" t="e">
            <v>#VALUE!</v>
          </cell>
          <cell r="DR154" t="e">
            <v>#VALUE!</v>
          </cell>
          <cell r="DS154" t="e">
            <v>#VALUE!</v>
          </cell>
          <cell r="DT154" t="e">
            <v>#VALUE!</v>
          </cell>
          <cell r="DU154" t="e">
            <v>#VALUE!</v>
          </cell>
          <cell r="DW154" t="e">
            <v>#VALUE!</v>
          </cell>
          <cell r="DX154"/>
          <cell r="DY154"/>
          <cell r="DZ154"/>
          <cell r="EA154"/>
          <cell r="EB154"/>
          <cell r="EC154" t="str">
            <v>งานเคลือบ+พิมพ์</v>
          </cell>
          <cell r="ED154" t="str">
            <v xml:space="preserve"> /</v>
          </cell>
          <cell r="EG154"/>
          <cell r="EH154"/>
          <cell r="EI154"/>
        </row>
        <row r="155">
          <cell r="B155" t="str">
            <v>MK68-001038</v>
          </cell>
          <cell r="C155">
            <v>45896</v>
          </cell>
          <cell r="E155" t="str">
            <v>บจก.เอพีเอ็ม อะโกร</v>
          </cell>
          <cell r="F155" t="str">
            <v>โมโม่ 492</v>
          </cell>
          <cell r="G155">
            <v>21</v>
          </cell>
          <cell r="H155">
            <v>38</v>
          </cell>
          <cell r="I155" t="str">
            <v>ขาว</v>
          </cell>
          <cell r="J155" t="str">
            <v>ใส</v>
          </cell>
          <cell r="L155">
            <v>102</v>
          </cell>
          <cell r="M155" t="str">
            <v>±</v>
          </cell>
          <cell r="N155">
            <v>5</v>
          </cell>
          <cell r="R155" t="str">
            <v>จับจีบ</v>
          </cell>
          <cell r="T155">
            <v>22</v>
          </cell>
          <cell r="U155">
            <v>40</v>
          </cell>
          <cell r="V155">
            <v>40</v>
          </cell>
          <cell r="X155" t="str">
            <v>รอแจ้ง</v>
          </cell>
          <cell r="Z155" t="str">
            <v>500กระสอบแบน</v>
          </cell>
          <cell r="AA155">
            <v>5000</v>
          </cell>
          <cell r="AB155">
            <v>108.55204095999999</v>
          </cell>
          <cell r="AC155">
            <v>0</v>
          </cell>
          <cell r="AD155">
            <v>108.55204095999999</v>
          </cell>
          <cell r="AG155"/>
          <cell r="AI155"/>
          <cell r="AJ155">
            <v>0</v>
          </cell>
          <cell r="AL155">
            <v>5000</v>
          </cell>
          <cell r="AM155"/>
          <cell r="AN155">
            <v>5250</v>
          </cell>
          <cell r="AO155" t="str">
            <v>WSWT2121670SM</v>
          </cell>
          <cell r="AQ155">
            <v>5518.15</v>
          </cell>
          <cell r="AR155">
            <v>5518.15</v>
          </cell>
          <cell r="AS155">
            <v>0</v>
          </cell>
          <cell r="AT155">
            <v>0</v>
          </cell>
          <cell r="AU155">
            <v>5518.15</v>
          </cell>
          <cell r="BZ155" t="str">
            <v>WRWT21670/WRWT21670</v>
          </cell>
          <cell r="CA155">
            <v>0</v>
          </cell>
          <cell r="DL155" t="str">
            <v>P8</v>
          </cell>
          <cell r="DM155">
            <v>4</v>
          </cell>
          <cell r="DN155" t="str">
            <v>รอแจ้ง</v>
          </cell>
          <cell r="DP155" t="e">
            <v>#VALUE!</v>
          </cell>
          <cell r="DQ155" t="e">
            <v>#VALUE!</v>
          </cell>
          <cell r="DR155" t="e">
            <v>#VALUE!</v>
          </cell>
          <cell r="DS155" t="e">
            <v>#VALUE!</v>
          </cell>
          <cell r="DT155" t="e">
            <v>#VALUE!</v>
          </cell>
          <cell r="DU155" t="e">
            <v>#VALUE!</v>
          </cell>
          <cell r="DW155" t="e">
            <v>#VALUE!</v>
          </cell>
          <cell r="DX155"/>
          <cell r="DY155"/>
          <cell r="DZ155"/>
          <cell r="EA155"/>
          <cell r="EB155"/>
          <cell r="EC155" t="str">
            <v>งานเคลือบ+พิมพ์</v>
          </cell>
          <cell r="ED155" t="str">
            <v xml:space="preserve"> /</v>
          </cell>
          <cell r="EG155"/>
          <cell r="EH155"/>
          <cell r="EI155"/>
        </row>
        <row r="156">
          <cell r="B156" t="str">
            <v>MK68-001037</v>
          </cell>
          <cell r="C156">
            <v>45896</v>
          </cell>
          <cell r="E156" t="str">
            <v>บจก.เอพีเอ็ม อะโกร</v>
          </cell>
          <cell r="F156" t="str">
            <v>โมโม่ 401</v>
          </cell>
          <cell r="G156">
            <v>21</v>
          </cell>
          <cell r="H156">
            <v>38</v>
          </cell>
          <cell r="I156" t="str">
            <v>ขาว</v>
          </cell>
          <cell r="J156" t="str">
            <v>ใส</v>
          </cell>
          <cell r="L156">
            <v>102</v>
          </cell>
          <cell r="M156" t="str">
            <v>±</v>
          </cell>
          <cell r="N156">
            <v>5</v>
          </cell>
          <cell r="R156" t="str">
            <v>จับจีบ</v>
          </cell>
          <cell r="T156">
            <v>22</v>
          </cell>
          <cell r="U156">
            <v>40</v>
          </cell>
          <cell r="V156">
            <v>40</v>
          </cell>
          <cell r="X156" t="str">
            <v>รอแจ้ง</v>
          </cell>
          <cell r="Z156" t="str">
            <v>500กระสอบแบน</v>
          </cell>
          <cell r="AA156">
            <v>3000</v>
          </cell>
          <cell r="AB156">
            <v>65.13122457599998</v>
          </cell>
          <cell r="AC156">
            <v>0</v>
          </cell>
          <cell r="AD156">
            <v>65.13122457599998</v>
          </cell>
          <cell r="AG156"/>
          <cell r="AI156"/>
          <cell r="AJ156">
            <v>0</v>
          </cell>
          <cell r="AL156">
            <v>3000</v>
          </cell>
          <cell r="AM156"/>
          <cell r="AN156">
            <v>3150</v>
          </cell>
          <cell r="AO156" t="str">
            <v>WSWT2121670SM</v>
          </cell>
          <cell r="AQ156">
            <v>3310.89</v>
          </cell>
          <cell r="AR156">
            <v>3310.89</v>
          </cell>
          <cell r="AS156">
            <v>0</v>
          </cell>
          <cell r="AT156">
            <v>0</v>
          </cell>
          <cell r="AU156">
            <v>3310.89</v>
          </cell>
          <cell r="BZ156" t="str">
            <v>WRWT21670/WRWT21670</v>
          </cell>
          <cell r="CA156">
            <v>0</v>
          </cell>
          <cell r="DL156" t="str">
            <v>P8</v>
          </cell>
          <cell r="DM156">
            <v>4</v>
          </cell>
          <cell r="DN156" t="str">
            <v>รอแจ้ง</v>
          </cell>
          <cell r="DP156" t="e">
            <v>#VALUE!</v>
          </cell>
          <cell r="DQ156" t="e">
            <v>#VALUE!</v>
          </cell>
          <cell r="DR156" t="e">
            <v>#VALUE!</v>
          </cell>
          <cell r="DS156" t="e">
            <v>#VALUE!</v>
          </cell>
          <cell r="DT156" t="e">
            <v>#VALUE!</v>
          </cell>
          <cell r="DU156" t="e">
            <v>#VALUE!</v>
          </cell>
          <cell r="DW156" t="e">
            <v>#VALUE!</v>
          </cell>
          <cell r="DX156"/>
          <cell r="DY156"/>
          <cell r="DZ156"/>
          <cell r="EA156"/>
          <cell r="EB156"/>
          <cell r="EC156" t="str">
            <v>งานเคลือบ+พิมพ์</v>
          </cell>
          <cell r="ED156" t="str">
            <v xml:space="preserve"> /</v>
          </cell>
          <cell r="EG156"/>
          <cell r="EH156"/>
          <cell r="EI156"/>
        </row>
        <row r="157">
          <cell r="B157" t="str">
            <v>MK68-000982</v>
          </cell>
          <cell r="C157">
            <v>45876</v>
          </cell>
          <cell r="E157" t="str">
            <v>บจก.เอพีเอ็ม อะโกร</v>
          </cell>
          <cell r="F157" t="str">
            <v>ฟีล กู๊ด 893</v>
          </cell>
          <cell r="G157">
            <v>21</v>
          </cell>
          <cell r="H157">
            <v>40</v>
          </cell>
          <cell r="I157" t="str">
            <v>ขาว</v>
          </cell>
          <cell r="J157" t="str">
            <v>ใส</v>
          </cell>
          <cell r="L157">
            <v>108</v>
          </cell>
          <cell r="M157" t="str">
            <v>±</v>
          </cell>
          <cell r="N157">
            <v>5</v>
          </cell>
          <cell r="R157" t="str">
            <v>บิด</v>
          </cell>
          <cell r="T157">
            <v>22</v>
          </cell>
          <cell r="U157">
            <v>42</v>
          </cell>
          <cell r="V157">
            <v>40</v>
          </cell>
          <cell r="X157" t="str">
            <v>รอแจ้ง</v>
          </cell>
          <cell r="Z157" t="str">
            <v>500กระสอบ</v>
          </cell>
          <cell r="AA157">
            <v>3000</v>
          </cell>
          <cell r="AB157">
            <v>68.387785804799989</v>
          </cell>
          <cell r="AC157">
            <v>0</v>
          </cell>
          <cell r="AD157">
            <v>68.387785804799989</v>
          </cell>
          <cell r="AG157"/>
          <cell r="AI157"/>
          <cell r="AJ157">
            <v>0</v>
          </cell>
          <cell r="AL157">
            <v>3000</v>
          </cell>
          <cell r="AM157"/>
          <cell r="AN157">
            <v>3150</v>
          </cell>
          <cell r="AO157" t="str">
            <v>WSWT2121670SM</v>
          </cell>
          <cell r="AQ157">
            <v>3478.5300000000007</v>
          </cell>
          <cell r="AR157">
            <v>3478.5300000000007</v>
          </cell>
          <cell r="AS157">
            <v>0</v>
          </cell>
          <cell r="AT157">
            <v>0</v>
          </cell>
          <cell r="AU157">
            <v>3478.5300000000007</v>
          </cell>
          <cell r="BZ157" t="str">
            <v>WRWT21670/WRWT21670</v>
          </cell>
          <cell r="CA157">
            <v>0</v>
          </cell>
          <cell r="DL157" t="str">
            <v>P8</v>
          </cell>
          <cell r="DM157">
            <v>4</v>
          </cell>
          <cell r="DN157" t="str">
            <v>รอแจ้ง</v>
          </cell>
          <cell r="DP157" t="e">
            <v>#VALUE!</v>
          </cell>
          <cell r="DQ157" t="e">
            <v>#VALUE!</v>
          </cell>
          <cell r="DR157" t="e">
            <v>#VALUE!</v>
          </cell>
          <cell r="DS157" t="e">
            <v>#VALUE!</v>
          </cell>
          <cell r="DT157" t="e">
            <v>#VALUE!</v>
          </cell>
          <cell r="DU157" t="e">
            <v>#VALUE!</v>
          </cell>
          <cell r="DW157" t="e">
            <v>#VALUE!</v>
          </cell>
          <cell r="DX157"/>
          <cell r="DY157"/>
          <cell r="DZ157"/>
          <cell r="EA157"/>
          <cell r="EB157"/>
          <cell r="EC157" t="str">
            <v>งานเคลือบ+พิมพ์</v>
          </cell>
          <cell r="ED157" t="str">
            <v>รอART</v>
          </cell>
          <cell r="EG157"/>
          <cell r="EH157"/>
          <cell r="EI157"/>
        </row>
        <row r="158">
          <cell r="B158" t="str">
            <v>MK68-000978</v>
          </cell>
          <cell r="C158">
            <v>45876</v>
          </cell>
          <cell r="E158" t="str">
            <v>บจก.เอพีเอ็ม อะโกร</v>
          </cell>
          <cell r="F158" t="str">
            <v>โมโม่ 4132</v>
          </cell>
          <cell r="G158">
            <v>21</v>
          </cell>
          <cell r="H158">
            <v>40</v>
          </cell>
          <cell r="I158" t="str">
            <v>ขาว</v>
          </cell>
          <cell r="J158" t="str">
            <v>ใส</v>
          </cell>
          <cell r="L158">
            <v>108</v>
          </cell>
          <cell r="M158" t="str">
            <v>±</v>
          </cell>
          <cell r="N158">
            <v>5</v>
          </cell>
          <cell r="R158" t="str">
            <v>บิด</v>
          </cell>
          <cell r="T158">
            <v>22</v>
          </cell>
          <cell r="U158">
            <v>42</v>
          </cell>
          <cell r="V158">
            <v>40</v>
          </cell>
          <cell r="X158" t="str">
            <v>รอแจ้ง</v>
          </cell>
          <cell r="Z158" t="str">
            <v>500กระสอบ</v>
          </cell>
          <cell r="AA158">
            <v>5000</v>
          </cell>
          <cell r="AB158">
            <v>113.97964300799998</v>
          </cell>
          <cell r="AC158">
            <v>0</v>
          </cell>
          <cell r="AD158">
            <v>113.97964300799998</v>
          </cell>
          <cell r="AG158"/>
          <cell r="AI158"/>
          <cell r="AJ158">
            <v>0</v>
          </cell>
          <cell r="AL158">
            <v>5000</v>
          </cell>
          <cell r="AM158"/>
          <cell r="AN158">
            <v>5250</v>
          </cell>
          <cell r="AO158" t="str">
            <v>WSWT2121670SM</v>
          </cell>
          <cell r="AQ158">
            <v>5797.55</v>
          </cell>
          <cell r="AR158">
            <v>5797.55</v>
          </cell>
          <cell r="AS158">
            <v>0</v>
          </cell>
          <cell r="AT158">
            <v>0</v>
          </cell>
          <cell r="AU158">
            <v>5797.55</v>
          </cell>
          <cell r="BZ158" t="str">
            <v>WRWT21670/WRWT21670</v>
          </cell>
          <cell r="CA158">
            <v>0</v>
          </cell>
          <cell r="DL158" t="str">
            <v>P8</v>
          </cell>
          <cell r="DM158">
            <v>4</v>
          </cell>
          <cell r="DN158" t="str">
            <v>รอแจ้ง</v>
          </cell>
          <cell r="DP158" t="e">
            <v>#VALUE!</v>
          </cell>
          <cell r="DQ158" t="e">
            <v>#VALUE!</v>
          </cell>
          <cell r="DR158" t="e">
            <v>#VALUE!</v>
          </cell>
          <cell r="DS158" t="e">
            <v>#VALUE!</v>
          </cell>
          <cell r="DT158" t="e">
            <v>#VALUE!</v>
          </cell>
          <cell r="DU158" t="e">
            <v>#VALUE!</v>
          </cell>
          <cell r="DW158" t="e">
            <v>#VALUE!</v>
          </cell>
          <cell r="DX158"/>
          <cell r="DY158"/>
          <cell r="DZ158"/>
          <cell r="EA158"/>
          <cell r="EB158"/>
          <cell r="EC158" t="str">
            <v>งานเคลือบ+พิมพ์</v>
          </cell>
          <cell r="ED158" t="str">
            <v>รอART</v>
          </cell>
          <cell r="EG158"/>
          <cell r="EH158"/>
          <cell r="EI158"/>
        </row>
        <row r="159">
          <cell r="B159" t="str">
            <v>ประมาณการ</v>
          </cell>
          <cell r="C159" t="str">
            <v>ประมาณการ</v>
          </cell>
          <cell r="E159" t="str">
            <v>บจก.ที.ซี.ยูเนี่ยน อโกรเทค</v>
          </cell>
          <cell r="F159" t="str">
            <v>Zhejiang UN</v>
          </cell>
          <cell r="G159">
            <v>21</v>
          </cell>
          <cell r="H159">
            <v>37</v>
          </cell>
          <cell r="I159" t="str">
            <v>ขาว</v>
          </cell>
          <cell r="J159" t="str">
            <v>ใส</v>
          </cell>
          <cell r="L159">
            <v>100</v>
          </cell>
          <cell r="M159" t="str">
            <v>±</v>
          </cell>
          <cell r="N159">
            <v>5</v>
          </cell>
          <cell r="R159" t="str">
            <v>ไม่</v>
          </cell>
          <cell r="T159" t="str">
            <v>ไม่สวมถุงใน</v>
          </cell>
          <cell r="U159"/>
          <cell r="V159"/>
          <cell r="X159" t="str">
            <v>รอแจ้ง</v>
          </cell>
          <cell r="Z159" t="str">
            <v xml:space="preserve">300กระสอบแบนเต็มใบ </v>
          </cell>
          <cell r="AA159">
            <v>10000</v>
          </cell>
          <cell r="AB159">
            <v>0</v>
          </cell>
          <cell r="AC159">
            <v>0</v>
          </cell>
          <cell r="AD159">
            <v>0</v>
          </cell>
          <cell r="AG159"/>
          <cell r="AI159"/>
          <cell r="AJ159">
            <v>0</v>
          </cell>
          <cell r="AL159">
            <v>10000</v>
          </cell>
          <cell r="AM159"/>
          <cell r="AN159">
            <v>10500</v>
          </cell>
          <cell r="AO159" t="str">
            <v>WSWT2121670SM</v>
          </cell>
          <cell r="AQ159">
            <v>10756.900000000001</v>
          </cell>
          <cell r="AR159">
            <v>10756.900000000001</v>
          </cell>
          <cell r="AS159">
            <v>0</v>
          </cell>
          <cell r="AT159">
            <v>0</v>
          </cell>
          <cell r="AU159">
            <v>10756.900000000001</v>
          </cell>
          <cell r="BZ159" t="str">
            <v>WRWT21670/WRWT21670</v>
          </cell>
          <cell r="CA159">
            <v>0</v>
          </cell>
          <cell r="DL159" t="str">
            <v>P8</v>
          </cell>
          <cell r="DM159">
            <v>4</v>
          </cell>
          <cell r="DN159" t="str">
            <v>รอแจ้ง</v>
          </cell>
          <cell r="DP159" t="e">
            <v>#VALUE!</v>
          </cell>
          <cell r="DQ159" t="e">
            <v>#VALUE!</v>
          </cell>
          <cell r="DR159" t="e">
            <v>#VALUE!</v>
          </cell>
          <cell r="DS159" t="e">
            <v>#VALUE!</v>
          </cell>
          <cell r="DT159" t="e">
            <v>#VALUE!</v>
          </cell>
          <cell r="DU159" t="e">
            <v>#VALUE!</v>
          </cell>
          <cell r="DW159"/>
          <cell r="DX159"/>
          <cell r="DY159"/>
          <cell r="DZ159"/>
          <cell r="EA159"/>
          <cell r="EB159"/>
          <cell r="EC159" t="str">
            <v>งานเคลือบ+พิมพ์</v>
          </cell>
          <cell r="ED159" t="str">
            <v xml:space="preserve"> /</v>
          </cell>
          <cell r="EG159"/>
          <cell r="EH159"/>
          <cell r="EI159"/>
        </row>
        <row r="160">
          <cell r="B160" t="str">
            <v>MK68-000892</v>
          </cell>
          <cell r="C160">
            <v>45854</v>
          </cell>
          <cell r="E160" t="str">
            <v>บจก.เอสพีเอ็ม อาหารสัตว์</v>
          </cell>
          <cell r="F160" t="str">
            <v>มาซู ฟีดซี042</v>
          </cell>
          <cell r="G160">
            <v>21</v>
          </cell>
          <cell r="H160">
            <v>38</v>
          </cell>
          <cell r="I160" t="str">
            <v>ขาว</v>
          </cell>
          <cell r="J160" t="str">
            <v>ด้าน</v>
          </cell>
          <cell r="L160">
            <v>102</v>
          </cell>
          <cell r="M160" t="str">
            <v>±</v>
          </cell>
          <cell r="N160">
            <v>5</v>
          </cell>
          <cell r="R160" t="str">
            <v>บิด</v>
          </cell>
          <cell r="T160">
            <v>22</v>
          </cell>
          <cell r="U160">
            <v>40</v>
          </cell>
          <cell r="V160">
            <v>40</v>
          </cell>
          <cell r="X160" t="str">
            <v>รอแจ้ง</v>
          </cell>
          <cell r="Z160" t="str">
            <v>500กระสอบแบน</v>
          </cell>
          <cell r="AA160">
            <v>3000</v>
          </cell>
          <cell r="AB160">
            <v>65.13122457599998</v>
          </cell>
          <cell r="AC160">
            <v>0</v>
          </cell>
          <cell r="AD160">
            <v>65.13122457599998</v>
          </cell>
          <cell r="AG160"/>
          <cell r="AI160"/>
          <cell r="AJ160">
            <v>0</v>
          </cell>
          <cell r="AL160">
            <v>3000</v>
          </cell>
          <cell r="AM160"/>
          <cell r="AN160">
            <v>3150</v>
          </cell>
          <cell r="AO160" t="str">
            <v>WSWT2121670SM</v>
          </cell>
          <cell r="AQ160">
            <v>3310.89</v>
          </cell>
          <cell r="AR160">
            <v>3310.89</v>
          </cell>
          <cell r="AS160">
            <v>0</v>
          </cell>
          <cell r="AT160">
            <v>0</v>
          </cell>
          <cell r="AU160">
            <v>3310.89</v>
          </cell>
          <cell r="BZ160" t="str">
            <v>WRWT21670/WRWT21670</v>
          </cell>
          <cell r="CA160">
            <v>0</v>
          </cell>
          <cell r="DL160" t="str">
            <v>P8</v>
          </cell>
          <cell r="DM160">
            <v>4</v>
          </cell>
          <cell r="DN160" t="str">
            <v>รอแจ้ง</v>
          </cell>
          <cell r="DP160" t="e">
            <v>#VALUE!</v>
          </cell>
          <cell r="DQ160" t="e">
            <v>#VALUE!</v>
          </cell>
          <cell r="DR160" t="e">
            <v>#VALUE!</v>
          </cell>
          <cell r="DS160" t="e">
            <v>#VALUE!</v>
          </cell>
          <cell r="DT160" t="e">
            <v>#VALUE!</v>
          </cell>
          <cell r="DU160" t="e">
            <v>#VALUE!</v>
          </cell>
          <cell r="DW160" t="e">
            <v>#VALUE!</v>
          </cell>
          <cell r="DX160"/>
          <cell r="DY160"/>
          <cell r="DZ160"/>
          <cell r="EA160"/>
          <cell r="EB160"/>
          <cell r="EC160" t="str">
            <v>งานเคลือบ+พิมพ์</v>
          </cell>
          <cell r="ED160" t="str">
            <v xml:space="preserve"> /</v>
          </cell>
          <cell r="EG160"/>
          <cell r="EH160"/>
          <cell r="EI160"/>
        </row>
        <row r="161">
          <cell r="B161" t="str">
            <v>MK68-000893</v>
          </cell>
          <cell r="C161">
            <v>45854</v>
          </cell>
          <cell r="E161" t="str">
            <v>บจก.เอสพีเอ็ม อาหารสัตว์</v>
          </cell>
          <cell r="F161" t="str">
            <v>มาซู ฟีดจี041</v>
          </cell>
          <cell r="G161">
            <v>21</v>
          </cell>
          <cell r="H161">
            <v>38</v>
          </cell>
          <cell r="I161" t="str">
            <v>ขาว</v>
          </cell>
          <cell r="J161" t="str">
            <v>ด้าน</v>
          </cell>
          <cell r="L161">
            <v>102</v>
          </cell>
          <cell r="M161" t="str">
            <v>±</v>
          </cell>
          <cell r="N161">
            <v>5</v>
          </cell>
          <cell r="R161" t="str">
            <v>บิด</v>
          </cell>
          <cell r="T161">
            <v>22</v>
          </cell>
          <cell r="U161">
            <v>40</v>
          </cell>
          <cell r="V161">
            <v>40</v>
          </cell>
          <cell r="X161" t="str">
            <v>รอแจ้ง</v>
          </cell>
          <cell r="Z161" t="str">
            <v>500กระสอบแบน</v>
          </cell>
          <cell r="AA161">
            <v>3000</v>
          </cell>
          <cell r="AB161">
            <v>65.13122457599998</v>
          </cell>
          <cell r="AC161">
            <v>0</v>
          </cell>
          <cell r="AD161">
            <v>65.13122457599998</v>
          </cell>
          <cell r="AG161"/>
          <cell r="AI161"/>
          <cell r="AJ161">
            <v>0</v>
          </cell>
          <cell r="AL161">
            <v>3000</v>
          </cell>
          <cell r="AM161"/>
          <cell r="AN161">
            <v>3150</v>
          </cell>
          <cell r="AO161" t="str">
            <v>WSWT2121670SM</v>
          </cell>
          <cell r="AQ161">
            <v>3310.89</v>
          </cell>
          <cell r="AR161">
            <v>3310.89</v>
          </cell>
          <cell r="AS161">
            <v>0</v>
          </cell>
          <cell r="AT161">
            <v>0</v>
          </cell>
          <cell r="AU161">
            <v>3310.89</v>
          </cell>
          <cell r="BZ161" t="str">
            <v>WRWT21670/WRWT21670</v>
          </cell>
          <cell r="CA161">
            <v>0</v>
          </cell>
          <cell r="DL161" t="str">
            <v>P8</v>
          </cell>
          <cell r="DM161">
            <v>4</v>
          </cell>
          <cell r="DN161" t="str">
            <v>รอแจ้ง</v>
          </cell>
          <cell r="DP161" t="e">
            <v>#VALUE!</v>
          </cell>
          <cell r="DQ161" t="e">
            <v>#VALUE!</v>
          </cell>
          <cell r="DR161" t="e">
            <v>#VALUE!</v>
          </cell>
          <cell r="DS161" t="e">
            <v>#VALUE!</v>
          </cell>
          <cell r="DT161" t="e">
            <v>#VALUE!</v>
          </cell>
          <cell r="DU161" t="e">
            <v>#VALUE!</v>
          </cell>
          <cell r="DW161" t="e">
            <v>#VALUE!</v>
          </cell>
          <cell r="DX161"/>
          <cell r="DY161"/>
          <cell r="DZ161"/>
          <cell r="EA161"/>
          <cell r="EB161"/>
          <cell r="EC161" t="str">
            <v>งานเคลือบ+พิมพ์</v>
          </cell>
          <cell r="ED161" t="str">
            <v xml:space="preserve"> /</v>
          </cell>
          <cell r="EG161"/>
          <cell r="EH161"/>
          <cell r="EI161"/>
        </row>
        <row r="162">
          <cell r="B162" t="str">
            <v>MK68-000804</v>
          </cell>
          <cell r="C162">
            <v>45826</v>
          </cell>
          <cell r="E162" t="str">
            <v>บจก.เอพีเอ็ม อะโกร</v>
          </cell>
          <cell r="F162" t="str">
            <v>ฟีล กู๊ด 802</v>
          </cell>
          <cell r="G162">
            <v>21</v>
          </cell>
          <cell r="H162">
            <v>38</v>
          </cell>
          <cell r="I162" t="str">
            <v>ขาว</v>
          </cell>
          <cell r="J162" t="str">
            <v>ใส</v>
          </cell>
          <cell r="L162">
            <v>102</v>
          </cell>
          <cell r="M162" t="str">
            <v>±</v>
          </cell>
          <cell r="N162">
            <v>5</v>
          </cell>
          <cell r="R162" t="str">
            <v>บิด</v>
          </cell>
          <cell r="T162">
            <v>22</v>
          </cell>
          <cell r="U162">
            <v>40</v>
          </cell>
          <cell r="V162">
            <v>40</v>
          </cell>
          <cell r="X162" t="str">
            <v>รอแจ้ง</v>
          </cell>
          <cell r="Z162" t="str">
            <v>500กระสอบแบน</v>
          </cell>
          <cell r="AA162">
            <v>8000</v>
          </cell>
          <cell r="AB162">
            <v>163.47937368575995</v>
          </cell>
          <cell r="AC162">
            <v>0</v>
          </cell>
          <cell r="AD162">
            <v>163.47937368575995</v>
          </cell>
          <cell r="AG162"/>
          <cell r="AI162"/>
          <cell r="AJ162">
            <v>470</v>
          </cell>
          <cell r="AL162">
            <v>7530</v>
          </cell>
          <cell r="AM162"/>
          <cell r="AN162">
            <v>7906.5</v>
          </cell>
          <cell r="AO162" t="str">
            <v>WSWT2121670SM</v>
          </cell>
          <cell r="AQ162">
            <v>8310.3338999999996</v>
          </cell>
          <cell r="AR162">
            <v>8310.3338999999996</v>
          </cell>
          <cell r="AS162">
            <v>0</v>
          </cell>
          <cell r="AT162">
            <v>0</v>
          </cell>
          <cell r="AU162">
            <v>8310.3338999999996</v>
          </cell>
          <cell r="BZ162" t="str">
            <v>WRWT21670/WRWT21670</v>
          </cell>
          <cell r="CA162">
            <v>0</v>
          </cell>
          <cell r="DL162" t="str">
            <v>P8</v>
          </cell>
          <cell r="DM162">
            <v>4</v>
          </cell>
          <cell r="DN162" t="str">
            <v>รอแจ้ง</v>
          </cell>
          <cell r="DP162" t="e">
            <v>#VALUE!</v>
          </cell>
          <cell r="DQ162" t="e">
            <v>#VALUE!</v>
          </cell>
          <cell r="DR162" t="e">
            <v>#VALUE!</v>
          </cell>
          <cell r="DS162" t="e">
            <v>#VALUE!</v>
          </cell>
          <cell r="DT162" t="e">
            <v>#VALUE!</v>
          </cell>
          <cell r="DU162" t="e">
            <v>#VALUE!</v>
          </cell>
          <cell r="DW162" t="e">
            <v>#VALUE!</v>
          </cell>
          <cell r="DX162"/>
          <cell r="DY162"/>
          <cell r="DZ162"/>
          <cell r="EA162"/>
          <cell r="EB162"/>
          <cell r="EC162" t="str">
            <v>งานเคลือบ+พิมพ์</v>
          </cell>
          <cell r="ED162" t="str">
            <v xml:space="preserve"> /</v>
          </cell>
          <cell r="EG162"/>
          <cell r="EH162"/>
          <cell r="EI162"/>
        </row>
        <row r="163">
          <cell r="B163" t="str">
            <v>MK66-000701</v>
          </cell>
          <cell r="C163">
            <v>45066</v>
          </cell>
          <cell r="E163" t="str">
            <v>บจก.เอสพีเอ็ม อาหารสัตว์</v>
          </cell>
          <cell r="F163" t="str">
            <v>มาซูฟีด ซี041</v>
          </cell>
          <cell r="G163">
            <v>21</v>
          </cell>
          <cell r="H163">
            <v>38</v>
          </cell>
          <cell r="I163" t="str">
            <v>ขาว</v>
          </cell>
          <cell r="J163" t="str">
            <v>ด้าน</v>
          </cell>
          <cell r="L163">
            <v>102</v>
          </cell>
          <cell r="M163" t="str">
            <v>±</v>
          </cell>
          <cell r="N163">
            <v>5</v>
          </cell>
          <cell r="R163" t="str">
            <v>บิด</v>
          </cell>
          <cell r="T163">
            <v>22</v>
          </cell>
          <cell r="U163">
            <v>40</v>
          </cell>
          <cell r="V163">
            <v>40</v>
          </cell>
          <cell r="X163" t="str">
            <v>รอแจ้ง</v>
          </cell>
          <cell r="Z163" t="str">
            <v>500กระสอบแบน</v>
          </cell>
          <cell r="AA163">
            <v>5000</v>
          </cell>
          <cell r="AB163">
            <v>108.55204095999999</v>
          </cell>
          <cell r="AC163">
            <v>0</v>
          </cell>
          <cell r="AD163">
            <v>108.55204095999999</v>
          </cell>
          <cell r="AG163"/>
          <cell r="AI163"/>
          <cell r="AJ163">
            <v>0</v>
          </cell>
          <cell r="AL163">
            <v>5000</v>
          </cell>
          <cell r="AM163"/>
          <cell r="AN163">
            <v>5250</v>
          </cell>
          <cell r="AO163" t="str">
            <v>WSWT2121670SM</v>
          </cell>
          <cell r="AQ163">
            <v>5518.15</v>
          </cell>
          <cell r="AR163">
            <v>5518.15</v>
          </cell>
          <cell r="AS163">
            <v>0</v>
          </cell>
          <cell r="AT163">
            <v>0</v>
          </cell>
          <cell r="AU163">
            <v>5518.15</v>
          </cell>
          <cell r="BZ163" t="str">
            <v>WRWT21670/WRWT21670</v>
          </cell>
          <cell r="CA163">
            <v>0</v>
          </cell>
          <cell r="DL163" t="str">
            <v>P8</v>
          </cell>
          <cell r="DM163">
            <v>4</v>
          </cell>
          <cell r="DN163" t="str">
            <v>รอแจ้ง</v>
          </cell>
          <cell r="DP163" t="e">
            <v>#VALUE!</v>
          </cell>
          <cell r="DQ163" t="e">
            <v>#VALUE!</v>
          </cell>
          <cell r="DR163" t="e">
            <v>#VALUE!</v>
          </cell>
          <cell r="DS163" t="e">
            <v>#VALUE!</v>
          </cell>
          <cell r="DT163" t="e">
            <v>#VALUE!</v>
          </cell>
          <cell r="DU163" t="e">
            <v>#VALUE!</v>
          </cell>
          <cell r="DW163" t="e">
            <v>#VALUE!</v>
          </cell>
          <cell r="DX163"/>
          <cell r="DY163"/>
          <cell r="DZ163"/>
          <cell r="EA163"/>
          <cell r="EB163"/>
          <cell r="EC163" t="str">
            <v>งานเคลือบ+พิมพ์</v>
          </cell>
          <cell r="ED163" t="str">
            <v xml:space="preserve"> /</v>
          </cell>
          <cell r="EG163"/>
          <cell r="EH163"/>
          <cell r="EI163"/>
        </row>
        <row r="164">
          <cell r="B164">
            <v>0</v>
          </cell>
          <cell r="C164"/>
          <cell r="E164"/>
          <cell r="F164"/>
          <cell r="G164">
            <v>21</v>
          </cell>
          <cell r="H164">
            <v>37</v>
          </cell>
          <cell r="I164"/>
          <cell r="J164"/>
          <cell r="L164">
            <v>74</v>
          </cell>
          <cell r="M164" t="str">
            <v>±</v>
          </cell>
          <cell r="N164">
            <v>5</v>
          </cell>
          <cell r="R164"/>
          <cell r="T164"/>
          <cell r="U164"/>
          <cell r="V164"/>
          <cell r="X164"/>
          <cell r="Z164"/>
          <cell r="AA164"/>
          <cell r="AB164"/>
          <cell r="AC164" t="str">
            <v>ว</v>
          </cell>
          <cell r="AD164"/>
          <cell r="AG164"/>
          <cell r="AI164" t="str">
            <v>ระบุในSD</v>
          </cell>
          <cell r="AJ164"/>
          <cell r="AL164">
            <v>0</v>
          </cell>
          <cell r="AM164"/>
          <cell r="AN164">
            <v>0</v>
          </cell>
          <cell r="AO164" t="str">
            <v>WSWT2121670SM</v>
          </cell>
          <cell r="AQ164">
            <v>195033.35390000005</v>
          </cell>
          <cell r="AR164">
            <v>190395.31390000004</v>
          </cell>
          <cell r="AS164">
            <v>4638.0400000000009</v>
          </cell>
          <cell r="AT164">
            <v>110879.89000000001</v>
          </cell>
          <cell r="AU164">
            <v>84153.463900000002</v>
          </cell>
          <cell r="BZ164" t="str">
            <v>WRWT210670/WRWT21670</v>
          </cell>
          <cell r="CA164">
            <v>0</v>
          </cell>
          <cell r="DL164"/>
          <cell r="DM164" t="str">
            <v>Lead time</v>
          </cell>
          <cell r="DN164"/>
          <cell r="DP164"/>
          <cell r="DQ164"/>
          <cell r="DR164"/>
          <cell r="DS164"/>
          <cell r="DT164"/>
          <cell r="DU164"/>
          <cell r="DW164"/>
          <cell r="DX164"/>
          <cell r="DY164"/>
          <cell r="DZ164"/>
          <cell r="EA164"/>
          <cell r="EB164"/>
          <cell r="EC164"/>
          <cell r="ED164"/>
          <cell r="EG164"/>
          <cell r="EH164">
            <v>0</v>
          </cell>
          <cell r="EI164">
            <v>0</v>
          </cell>
        </row>
        <row r="165">
          <cell r="B165">
            <v>0</v>
          </cell>
          <cell r="C165"/>
          <cell r="E165"/>
          <cell r="F165"/>
          <cell r="G165">
            <v>21.6</v>
          </cell>
          <cell r="H165">
            <v>34</v>
          </cell>
          <cell r="I165"/>
          <cell r="J165"/>
          <cell r="L165">
            <v>97</v>
          </cell>
          <cell r="M165" t="str">
            <v>±</v>
          </cell>
          <cell r="N165">
            <v>5</v>
          </cell>
          <cell r="R165"/>
          <cell r="T165"/>
          <cell r="U165"/>
          <cell r="V165"/>
          <cell r="X165"/>
          <cell r="Z165"/>
          <cell r="AA165"/>
          <cell r="AB165">
            <v>0</v>
          </cell>
          <cell r="AC165">
            <v>0</v>
          </cell>
          <cell r="AD165"/>
          <cell r="AG165"/>
          <cell r="AI165" t="str">
            <v>ระบุในSD</v>
          </cell>
          <cell r="AJ165"/>
          <cell r="AL165">
            <v>0</v>
          </cell>
          <cell r="AM165"/>
          <cell r="AN165">
            <v>0</v>
          </cell>
          <cell r="AO165" t="str">
            <v>WSWT2221940</v>
          </cell>
          <cell r="AQ165" t="e">
            <v>#REF!</v>
          </cell>
          <cell r="AR165" t="e">
            <v>#REF!</v>
          </cell>
          <cell r="AS165" t="e">
            <v>#REF!</v>
          </cell>
          <cell r="AT165" t="e">
            <v>#REF!</v>
          </cell>
          <cell r="AU165" t="e">
            <v>#REF!</v>
          </cell>
          <cell r="BZ165" t="str">
            <v>WRWT21940/WRWT21940</v>
          </cell>
          <cell r="CA165">
            <v>0</v>
          </cell>
          <cell r="DL165"/>
          <cell r="DM165" t="str">
            <v>Lead time</v>
          </cell>
          <cell r="DN165"/>
          <cell r="DP165"/>
          <cell r="DQ165"/>
          <cell r="DR165"/>
          <cell r="DS165"/>
          <cell r="DT165"/>
          <cell r="DU165"/>
          <cell r="DW165"/>
          <cell r="DX165"/>
          <cell r="DY165"/>
          <cell r="DZ165"/>
          <cell r="EA165"/>
          <cell r="EB165"/>
          <cell r="EC165"/>
          <cell r="ED165"/>
          <cell r="EG165"/>
          <cell r="EH165"/>
          <cell r="EI165">
            <v>0</v>
          </cell>
        </row>
        <row r="166">
          <cell r="B166" t="str">
            <v>ประมาณการ</v>
          </cell>
          <cell r="C166" t="str">
            <v>ประมาณการ</v>
          </cell>
          <cell r="E166" t="str">
            <v>พันธุ์ข้าว</v>
          </cell>
          <cell r="F166" t="str">
            <v>พันธุ์ข้าว</v>
          </cell>
          <cell r="G166">
            <v>23</v>
          </cell>
          <cell r="H166">
            <v>34</v>
          </cell>
          <cell r="I166" t="str">
            <v>ขาว</v>
          </cell>
          <cell r="J166"/>
          <cell r="L166">
            <v>68</v>
          </cell>
          <cell r="M166" t="str">
            <v>±</v>
          </cell>
          <cell r="N166">
            <v>5</v>
          </cell>
          <cell r="R166" t="str">
            <v>บิด</v>
          </cell>
          <cell r="T166" t="str">
            <v>ไม่สวมถุงใน</v>
          </cell>
          <cell r="U166"/>
          <cell r="V166"/>
          <cell r="X166">
            <v>45930</v>
          </cell>
          <cell r="Z166" t="str">
            <v>500กระสอบ</v>
          </cell>
          <cell r="AA166">
            <v>30000</v>
          </cell>
          <cell r="AB166">
            <v>0</v>
          </cell>
          <cell r="AC166">
            <v>0</v>
          </cell>
          <cell r="AD166">
            <v>0</v>
          </cell>
          <cell r="AG166"/>
          <cell r="AI166"/>
          <cell r="AJ166">
            <v>0</v>
          </cell>
          <cell r="AL166">
            <v>30000</v>
          </cell>
          <cell r="AM166"/>
          <cell r="AN166">
            <v>31500</v>
          </cell>
          <cell r="AO166" t="str">
            <v>WSWT2325650</v>
          </cell>
          <cell r="AQ166">
            <v>29756.100000000002</v>
          </cell>
          <cell r="AR166">
            <v>29756.100000000002</v>
          </cell>
          <cell r="AS166">
            <v>0</v>
          </cell>
          <cell r="AT166">
            <v>0</v>
          </cell>
          <cell r="AU166">
            <v>0</v>
          </cell>
          <cell r="BZ166" t="str">
            <v>WRWT25650/WRWT25650</v>
          </cell>
          <cell r="CA166">
            <v>0</v>
          </cell>
          <cell r="DL166" t="str">
            <v>P7</v>
          </cell>
          <cell r="DM166">
            <v>2</v>
          </cell>
          <cell r="DN166">
            <v>45930</v>
          </cell>
          <cell r="DP166">
            <v>45925</v>
          </cell>
          <cell r="DQ166"/>
          <cell r="DR166">
            <v>45921</v>
          </cell>
          <cell r="DS166">
            <v>45928</v>
          </cell>
          <cell r="DT166">
            <v>45929</v>
          </cell>
          <cell r="DU166">
            <v>45929</v>
          </cell>
          <cell r="DW166"/>
          <cell r="DX166"/>
          <cell r="DY166"/>
          <cell r="DZ166"/>
          <cell r="EA166"/>
          <cell r="EB166"/>
          <cell r="EC166" t="str">
            <v>งานพิมพ์</v>
          </cell>
          <cell r="ED166"/>
          <cell r="EG166"/>
          <cell r="EH166"/>
          <cell r="EI166"/>
        </row>
        <row r="167">
          <cell r="B167" t="str">
            <v>ประมาณการ</v>
          </cell>
          <cell r="C167" t="str">
            <v>ประมาณการ</v>
          </cell>
          <cell r="E167" t="str">
            <v>บจก.ซิเบลโก้(สบปราบ)</v>
          </cell>
          <cell r="F167" t="str">
            <v>รอแบบ</v>
          </cell>
          <cell r="G167">
            <v>23</v>
          </cell>
          <cell r="H167">
            <v>34</v>
          </cell>
          <cell r="I167" t="str">
            <v>ขาว</v>
          </cell>
          <cell r="J167"/>
          <cell r="L167">
            <v>68</v>
          </cell>
          <cell r="M167" t="str">
            <v>±</v>
          </cell>
          <cell r="N167">
            <v>5</v>
          </cell>
          <cell r="R167" t="str">
            <v>ไม่</v>
          </cell>
          <cell r="T167">
            <v>24</v>
          </cell>
          <cell r="U167">
            <v>37</v>
          </cell>
          <cell r="V167">
            <v>50</v>
          </cell>
          <cell r="X167">
            <v>45930</v>
          </cell>
          <cell r="Z167" t="str">
            <v>มัด100</v>
          </cell>
          <cell r="AA167">
            <v>30000</v>
          </cell>
          <cell r="AB167">
            <v>821.54158271999995</v>
          </cell>
          <cell r="AC167">
            <v>0</v>
          </cell>
          <cell r="AD167">
            <v>821.54158271999995</v>
          </cell>
          <cell r="AG167"/>
          <cell r="AI167"/>
          <cell r="AJ167">
            <v>0</v>
          </cell>
          <cell r="AL167">
            <v>30000</v>
          </cell>
          <cell r="AM167"/>
          <cell r="AN167">
            <v>31500</v>
          </cell>
          <cell r="AO167" t="str">
            <v>WSWT2325650</v>
          </cell>
          <cell r="AQ167">
            <v>29756.100000000002</v>
          </cell>
          <cell r="AR167">
            <v>8028</v>
          </cell>
          <cell r="AS167">
            <v>21728.100000000002</v>
          </cell>
          <cell r="AT167">
            <v>0</v>
          </cell>
          <cell r="AU167">
            <v>0</v>
          </cell>
          <cell r="BZ167" t="str">
            <v>WRWT25650/WRWT25650</v>
          </cell>
          <cell r="CA167">
            <v>1624.1754749999998</v>
          </cell>
          <cell r="DL167" t="str">
            <v>P9</v>
          </cell>
          <cell r="DM167">
            <v>3</v>
          </cell>
          <cell r="DN167">
            <v>45930</v>
          </cell>
          <cell r="DP167">
            <v>45925</v>
          </cell>
          <cell r="DQ167"/>
          <cell r="DR167">
            <v>45920</v>
          </cell>
          <cell r="DS167">
            <v>45927</v>
          </cell>
          <cell r="DT167">
            <v>45928</v>
          </cell>
          <cell r="DU167">
            <v>45928</v>
          </cell>
          <cell r="DW167">
            <v>45929</v>
          </cell>
          <cell r="DX167"/>
          <cell r="DY167"/>
          <cell r="DZ167"/>
          <cell r="EA167"/>
          <cell r="EB167"/>
          <cell r="EC167" t="str">
            <v>งานพิมพ์</v>
          </cell>
          <cell r="ED167" t="str">
            <v>รอART</v>
          </cell>
          <cell r="EG167"/>
          <cell r="EH167"/>
          <cell r="EI167"/>
        </row>
        <row r="168">
          <cell r="B168">
            <v>0</v>
          </cell>
          <cell r="C168"/>
          <cell r="E168"/>
          <cell r="F168"/>
          <cell r="G168">
            <v>23</v>
          </cell>
          <cell r="H168">
            <v>34</v>
          </cell>
          <cell r="I168" t="str">
            <v>ขาว</v>
          </cell>
          <cell r="J168"/>
          <cell r="L168">
            <v>68</v>
          </cell>
          <cell r="M168" t="str">
            <v>±</v>
          </cell>
          <cell r="N168">
            <v>5</v>
          </cell>
          <cell r="R168"/>
          <cell r="T168"/>
          <cell r="U168"/>
          <cell r="V168"/>
          <cell r="X168"/>
          <cell r="Z168"/>
          <cell r="AA168"/>
          <cell r="AB168">
            <v>0</v>
          </cell>
          <cell r="AC168">
            <v>0</v>
          </cell>
          <cell r="AD168"/>
          <cell r="AG168"/>
          <cell r="AI168" t="str">
            <v>ระบุในSD</v>
          </cell>
          <cell r="AJ168"/>
          <cell r="AL168">
            <v>0</v>
          </cell>
          <cell r="AM168"/>
          <cell r="AN168">
            <v>0</v>
          </cell>
          <cell r="AO168" t="str">
            <v>WSWT2325650</v>
          </cell>
          <cell r="AQ168">
            <v>59512.200000000004</v>
          </cell>
          <cell r="AR168">
            <v>37784.100000000006</v>
          </cell>
          <cell r="AS168">
            <v>21728.100000000002</v>
          </cell>
          <cell r="AT168">
            <v>0</v>
          </cell>
          <cell r="AU168">
            <v>0</v>
          </cell>
          <cell r="BZ168" t="str">
            <v>WRWT25650/WRWT25650</v>
          </cell>
          <cell r="CA168">
            <v>0</v>
          </cell>
          <cell r="DL168"/>
          <cell r="DM168" t="str">
            <v>Lead time</v>
          </cell>
          <cell r="DN168"/>
          <cell r="DP168"/>
          <cell r="DQ168"/>
          <cell r="DR168"/>
          <cell r="DS168"/>
          <cell r="DT168"/>
          <cell r="DU168"/>
          <cell r="DW168"/>
          <cell r="DX168"/>
          <cell r="DY168"/>
          <cell r="DZ168"/>
          <cell r="EA168"/>
          <cell r="EB168"/>
          <cell r="EC168"/>
          <cell r="ED168"/>
          <cell r="EG168"/>
          <cell r="EH168"/>
          <cell r="EI168">
            <v>0</v>
          </cell>
        </row>
        <row r="169">
          <cell r="B169">
            <v>0</v>
          </cell>
          <cell r="C169"/>
          <cell r="E169"/>
          <cell r="F169"/>
          <cell r="G169">
            <v>23</v>
          </cell>
          <cell r="H169">
            <v>34</v>
          </cell>
          <cell r="I169" t="str">
            <v>ขาวแถบใส5</v>
          </cell>
          <cell r="J169"/>
          <cell r="L169">
            <v>68</v>
          </cell>
          <cell r="M169" t="str">
            <v>±</v>
          </cell>
          <cell r="N169">
            <v>5</v>
          </cell>
          <cell r="R169"/>
          <cell r="T169"/>
          <cell r="U169"/>
          <cell r="V169"/>
          <cell r="X169"/>
          <cell r="Z169"/>
          <cell r="AA169"/>
          <cell r="AB169">
            <v>0</v>
          </cell>
          <cell r="AC169">
            <v>0</v>
          </cell>
          <cell r="AD169"/>
          <cell r="AG169"/>
          <cell r="AI169"/>
          <cell r="AJ169"/>
          <cell r="AL169">
            <v>0</v>
          </cell>
          <cell r="AM169"/>
          <cell r="AN169">
            <v>0</v>
          </cell>
          <cell r="AO169" t="str">
            <v>WSWTSCL052325650</v>
          </cell>
          <cell r="AQ169" t="e">
            <v>#REF!</v>
          </cell>
          <cell r="AR169" t="e">
            <v>#REF!</v>
          </cell>
          <cell r="AS169" t="e">
            <v>#REF!</v>
          </cell>
          <cell r="AT169" t="e">
            <v>#REF!</v>
          </cell>
          <cell r="AU169" t="e">
            <v>#REF!</v>
          </cell>
          <cell r="BZ169" t="str">
            <v>WRWT25650/WRCL25680</v>
          </cell>
          <cell r="CA169">
            <v>0</v>
          </cell>
          <cell r="DL169"/>
          <cell r="DM169" t="str">
            <v>Lead time</v>
          </cell>
          <cell r="DN169"/>
          <cell r="DP169"/>
          <cell r="DQ169"/>
          <cell r="DR169"/>
          <cell r="DS169"/>
          <cell r="DT169"/>
          <cell r="DU169"/>
          <cell r="DW169"/>
          <cell r="DX169"/>
          <cell r="DY169"/>
          <cell r="DZ169"/>
          <cell r="EA169"/>
          <cell r="EB169"/>
          <cell r="EC169"/>
          <cell r="ED169"/>
          <cell r="EG169"/>
          <cell r="EH169"/>
          <cell r="EI169">
            <v>0</v>
          </cell>
        </row>
        <row r="170">
          <cell r="B170">
            <v>0</v>
          </cell>
          <cell r="C170"/>
          <cell r="E170"/>
          <cell r="F170"/>
          <cell r="G170">
            <v>23</v>
          </cell>
          <cell r="H170">
            <v>34</v>
          </cell>
          <cell r="I170" t="str">
            <v>ขาวแถบใส2</v>
          </cell>
          <cell r="J170"/>
          <cell r="L170">
            <v>68</v>
          </cell>
          <cell r="M170" t="str">
            <v>±</v>
          </cell>
          <cell r="N170">
            <v>5</v>
          </cell>
          <cell r="R170"/>
          <cell r="T170"/>
          <cell r="U170"/>
          <cell r="V170"/>
          <cell r="X170"/>
          <cell r="Z170"/>
          <cell r="AA170"/>
          <cell r="AB170">
            <v>0</v>
          </cell>
          <cell r="AC170">
            <v>0</v>
          </cell>
          <cell r="AD170"/>
          <cell r="AG170"/>
          <cell r="AI170" t="str">
            <v>ระบุในSD</v>
          </cell>
          <cell r="AJ170"/>
          <cell r="AL170">
            <v>0</v>
          </cell>
          <cell r="AM170"/>
          <cell r="AN170">
            <v>0</v>
          </cell>
          <cell r="AO170" t="str">
            <v>WSWTFCL022325650</v>
          </cell>
          <cell r="AQ170" t="e">
            <v>#REF!</v>
          </cell>
          <cell r="AR170" t="e">
            <v>#REF!</v>
          </cell>
          <cell r="AS170" t="e">
            <v>#REF!</v>
          </cell>
          <cell r="AT170" t="e">
            <v>#REF!</v>
          </cell>
          <cell r="AU170" t="e">
            <v>#REF!</v>
          </cell>
          <cell r="BZ170" t="str">
            <v>WRWT25650/WRCL25680</v>
          </cell>
          <cell r="CA170">
            <v>0</v>
          </cell>
          <cell r="DL170"/>
          <cell r="DM170" t="str">
            <v>Lead time</v>
          </cell>
          <cell r="DN170"/>
          <cell r="DP170"/>
          <cell r="DQ170"/>
          <cell r="DR170"/>
          <cell r="DS170"/>
          <cell r="DT170"/>
          <cell r="DU170"/>
          <cell r="DW170"/>
          <cell r="DX170"/>
          <cell r="DY170"/>
          <cell r="DZ170"/>
          <cell r="EA170"/>
          <cell r="EB170"/>
          <cell r="EC170"/>
          <cell r="ED170"/>
          <cell r="EG170"/>
          <cell r="EH170">
            <v>0</v>
          </cell>
          <cell r="EI170">
            <v>0</v>
          </cell>
        </row>
        <row r="171">
          <cell r="B171">
            <v>0</v>
          </cell>
          <cell r="C171"/>
          <cell r="E171"/>
          <cell r="F171"/>
          <cell r="G171">
            <v>23</v>
          </cell>
          <cell r="H171">
            <v>37</v>
          </cell>
          <cell r="I171" t="str">
            <v>ขาว</v>
          </cell>
          <cell r="J171"/>
          <cell r="L171">
            <v>85</v>
          </cell>
          <cell r="M171" t="str">
            <v>±</v>
          </cell>
          <cell r="N171">
            <v>5</v>
          </cell>
          <cell r="R171"/>
          <cell r="T171"/>
          <cell r="U171"/>
          <cell r="V171"/>
          <cell r="X171"/>
          <cell r="Z171"/>
          <cell r="AA171"/>
          <cell r="AB171">
            <v>0</v>
          </cell>
          <cell r="AC171">
            <v>0</v>
          </cell>
          <cell r="AD171"/>
          <cell r="AG171"/>
          <cell r="AI171" t="str">
            <v>ระบุในSD</v>
          </cell>
          <cell r="AJ171"/>
          <cell r="AL171">
            <v>0</v>
          </cell>
          <cell r="AM171"/>
          <cell r="AN171">
            <v>0</v>
          </cell>
          <cell r="AO171" t="str">
            <v>WSWT2325800</v>
          </cell>
          <cell r="AQ171" t="e">
            <v>#REF!</v>
          </cell>
          <cell r="AR171" t="e">
            <v>#REF!</v>
          </cell>
          <cell r="AS171" t="e">
            <v>#REF!</v>
          </cell>
          <cell r="AT171" t="e">
            <v>#REF!</v>
          </cell>
          <cell r="AU171" t="e">
            <v>#REF!</v>
          </cell>
          <cell r="BZ171" t="str">
            <v>WRWT25800/WRWT28750</v>
          </cell>
          <cell r="CA171">
            <v>0</v>
          </cell>
          <cell r="DL171"/>
          <cell r="DM171" t="str">
            <v>Lead time</v>
          </cell>
          <cell r="DN171"/>
          <cell r="DP171"/>
          <cell r="DQ171"/>
          <cell r="DR171"/>
          <cell r="DS171"/>
          <cell r="DT171"/>
          <cell r="DU171"/>
          <cell r="DW171"/>
          <cell r="DX171"/>
          <cell r="DY171"/>
          <cell r="DZ171"/>
          <cell r="EA171"/>
          <cell r="EB171"/>
          <cell r="EC171"/>
          <cell r="ED171"/>
          <cell r="EG171"/>
          <cell r="EH171">
            <v>0</v>
          </cell>
          <cell r="EI171">
            <v>0</v>
          </cell>
        </row>
        <row r="172">
          <cell r="B172" t="str">
            <v>MK68-000378</v>
          </cell>
          <cell r="C172">
            <v>45727</v>
          </cell>
          <cell r="E172" t="str">
            <v>บจก.แอมโก้เวท</v>
          </cell>
          <cell r="F172" t="str">
            <v>ไม่พิมพ์</v>
          </cell>
          <cell r="G172">
            <v>23</v>
          </cell>
          <cell r="H172">
            <v>40</v>
          </cell>
          <cell r="I172" t="str">
            <v>ขาว</v>
          </cell>
          <cell r="J172" t="str">
            <v>ใส</v>
          </cell>
          <cell r="L172">
            <v>125</v>
          </cell>
          <cell r="M172" t="str">
            <v>±</v>
          </cell>
          <cell r="N172">
            <v>5</v>
          </cell>
          <cell r="R172" t="str">
            <v>จับจีบ4"</v>
          </cell>
          <cell r="T172" t="str">
            <v>ไม่สวมถุงใน</v>
          </cell>
          <cell r="U172"/>
          <cell r="V172"/>
          <cell r="X172" t="str">
            <v>รอแจ้ง</v>
          </cell>
          <cell r="Z172" t="str">
            <v>500กระสอบแบน</v>
          </cell>
          <cell r="AA172">
            <v>1000</v>
          </cell>
          <cell r="AB172">
            <v>0</v>
          </cell>
          <cell r="AC172">
            <v>0</v>
          </cell>
          <cell r="AD172">
            <v>0</v>
          </cell>
          <cell r="AG172"/>
          <cell r="AI172" t="str">
            <v>ห้ามขาด-เกินได้5%</v>
          </cell>
          <cell r="AJ172">
            <v>0</v>
          </cell>
          <cell r="AL172">
            <v>1000</v>
          </cell>
          <cell r="AM172"/>
          <cell r="AN172">
            <v>0</v>
          </cell>
          <cell r="AO172" t="str">
            <v>WSWT2321750</v>
          </cell>
          <cell r="AQ172">
            <v>1159.5100000000002</v>
          </cell>
          <cell r="AR172">
            <v>1159.5100000000002</v>
          </cell>
          <cell r="AS172">
            <v>0</v>
          </cell>
          <cell r="AT172">
            <v>1159.5100000000002</v>
          </cell>
          <cell r="AU172">
            <v>0</v>
          </cell>
          <cell r="BZ172" t="str">
            <v>WRWT21750/WRWT21750</v>
          </cell>
          <cell r="CA172">
            <v>0</v>
          </cell>
          <cell r="DL172" t="str">
            <v>P11</v>
          </cell>
          <cell r="DM172">
            <v>2</v>
          </cell>
          <cell r="DN172" t="str">
            <v>รอแจ้ง</v>
          </cell>
          <cell r="DP172" t="e">
            <v>#VALUE!</v>
          </cell>
          <cell r="DQ172" t="e">
            <v>#VALUE!</v>
          </cell>
          <cell r="DR172"/>
          <cell r="DS172"/>
          <cell r="DT172"/>
          <cell r="DU172" t="e">
            <v>#VALUE!</v>
          </cell>
          <cell r="DW172"/>
          <cell r="DX172"/>
          <cell r="DY172"/>
          <cell r="DZ172"/>
          <cell r="EA172"/>
          <cell r="EB172"/>
          <cell r="EC172" t="str">
            <v>งานเคลือบ+ตัด</v>
          </cell>
          <cell r="ED172"/>
          <cell r="EG172"/>
          <cell r="EH172"/>
          <cell r="EI172"/>
        </row>
        <row r="173">
          <cell r="B173">
            <v>0</v>
          </cell>
          <cell r="C173"/>
          <cell r="E173"/>
          <cell r="F173"/>
          <cell r="G173">
            <v>23</v>
          </cell>
          <cell r="H173">
            <v>37</v>
          </cell>
          <cell r="I173"/>
          <cell r="J173"/>
          <cell r="L173">
            <v>85</v>
          </cell>
          <cell r="M173" t="str">
            <v>±</v>
          </cell>
          <cell r="N173">
            <v>5</v>
          </cell>
          <cell r="R173"/>
          <cell r="T173"/>
          <cell r="U173"/>
          <cell r="V173"/>
          <cell r="X173"/>
          <cell r="Z173"/>
          <cell r="AA173"/>
          <cell r="AB173"/>
          <cell r="AC173">
            <v>0</v>
          </cell>
          <cell r="AD173"/>
          <cell r="AG173"/>
          <cell r="AI173" t="str">
            <v>ระบุในSD</v>
          </cell>
          <cell r="AJ173"/>
          <cell r="AL173">
            <v>0</v>
          </cell>
          <cell r="AM173"/>
          <cell r="AN173">
            <v>0</v>
          </cell>
          <cell r="AO173" t="str">
            <v>WSWT2321750</v>
          </cell>
          <cell r="AQ173">
            <v>1159.5100000000002</v>
          </cell>
          <cell r="AR173">
            <v>1159.5100000000002</v>
          </cell>
          <cell r="AS173">
            <v>0</v>
          </cell>
          <cell r="AT173">
            <v>1159.5100000000002</v>
          </cell>
          <cell r="AU173">
            <v>0</v>
          </cell>
          <cell r="BZ173" t="str">
            <v>WRWT230750/WRWT21750</v>
          </cell>
          <cell r="CA173">
            <v>0</v>
          </cell>
          <cell r="DL173"/>
          <cell r="DM173" t="str">
            <v>Lead time</v>
          </cell>
          <cell r="DN173"/>
          <cell r="DP173"/>
          <cell r="DQ173"/>
          <cell r="DR173"/>
          <cell r="DS173"/>
          <cell r="DT173"/>
          <cell r="DU173"/>
          <cell r="DW173"/>
          <cell r="DX173"/>
          <cell r="DY173"/>
          <cell r="DZ173"/>
          <cell r="EA173"/>
          <cell r="EB173"/>
          <cell r="EC173"/>
          <cell r="ED173"/>
          <cell r="EG173"/>
          <cell r="EH173">
            <v>0</v>
          </cell>
          <cell r="EI173">
            <v>0</v>
          </cell>
        </row>
        <row r="174">
          <cell r="B174">
            <v>0</v>
          </cell>
          <cell r="C174"/>
          <cell r="E174"/>
          <cell r="F174"/>
          <cell r="G174">
            <v>23</v>
          </cell>
          <cell r="H174">
            <v>34</v>
          </cell>
          <cell r="I174"/>
          <cell r="J174"/>
          <cell r="L174">
            <v>68</v>
          </cell>
          <cell r="M174" t="str">
            <v>±</v>
          </cell>
          <cell r="N174">
            <v>5</v>
          </cell>
          <cell r="R174"/>
          <cell r="T174"/>
          <cell r="U174"/>
          <cell r="V174"/>
          <cell r="X174"/>
          <cell r="Z174"/>
          <cell r="AA174"/>
          <cell r="AB174"/>
          <cell r="AC174">
            <v>0</v>
          </cell>
          <cell r="AD174"/>
          <cell r="AG174"/>
          <cell r="AI174" t="str">
            <v>ระบุในSD</v>
          </cell>
          <cell r="AJ174"/>
          <cell r="AL174">
            <v>0</v>
          </cell>
          <cell r="AM174"/>
          <cell r="AN174">
            <v>0</v>
          </cell>
          <cell r="AO174" t="str">
            <v>WSWTSCL1R042325650</v>
          </cell>
          <cell r="AQ174" t="e">
            <v>#REF!</v>
          </cell>
          <cell r="AR174" t="e">
            <v>#REF!</v>
          </cell>
          <cell r="AS174" t="e">
            <v>#REF!</v>
          </cell>
          <cell r="AT174" t="e">
            <v>#REF!</v>
          </cell>
          <cell r="AU174" t="e">
            <v>#REF!</v>
          </cell>
          <cell r="BZ174" t="str">
            <v>WRWT230650/WRWT25680</v>
          </cell>
          <cell r="CA174">
            <v>0</v>
          </cell>
          <cell r="DL174"/>
          <cell r="DM174" t="str">
            <v>Lead time</v>
          </cell>
          <cell r="DN174"/>
          <cell r="DP174"/>
          <cell r="DQ174"/>
          <cell r="DR174"/>
          <cell r="DS174"/>
          <cell r="DT174"/>
          <cell r="DU174"/>
          <cell r="DW174"/>
          <cell r="DX174"/>
          <cell r="DY174"/>
          <cell r="DZ174"/>
          <cell r="EA174"/>
          <cell r="EB174"/>
          <cell r="EC174"/>
          <cell r="ED174"/>
          <cell r="EG174"/>
          <cell r="EH174"/>
          <cell r="EI174">
            <v>0</v>
          </cell>
        </row>
        <row r="175">
          <cell r="B175">
            <v>0</v>
          </cell>
          <cell r="C175"/>
          <cell r="E175"/>
          <cell r="F175"/>
          <cell r="G175">
            <v>23</v>
          </cell>
          <cell r="H175">
            <v>37</v>
          </cell>
          <cell r="I175" t="str">
            <v>ขาว</v>
          </cell>
          <cell r="J175"/>
          <cell r="L175">
            <v>90</v>
          </cell>
          <cell r="M175" t="str">
            <v>±</v>
          </cell>
          <cell r="N175">
            <v>5</v>
          </cell>
          <cell r="R175"/>
          <cell r="T175"/>
          <cell r="U175"/>
          <cell r="V175"/>
          <cell r="X175"/>
          <cell r="Z175"/>
          <cell r="AA175"/>
          <cell r="AB175">
            <v>0</v>
          </cell>
          <cell r="AC175">
            <v>0</v>
          </cell>
          <cell r="AD175"/>
          <cell r="AG175"/>
          <cell r="AI175" t="str">
            <v>ระบุในSD</v>
          </cell>
          <cell r="AJ175"/>
          <cell r="AL175">
            <v>0</v>
          </cell>
          <cell r="AM175"/>
          <cell r="AN175">
            <v>0</v>
          </cell>
          <cell r="AO175" t="str">
            <v>WSWT2325800SM</v>
          </cell>
          <cell r="AQ175" t="e">
            <v>#REF!</v>
          </cell>
          <cell r="AR175" t="e">
            <v>#REF!</v>
          </cell>
          <cell r="AS175" t="e">
            <v>#REF!</v>
          </cell>
          <cell r="AT175" t="e">
            <v>#REF!</v>
          </cell>
          <cell r="AU175" t="e">
            <v>#REF!</v>
          </cell>
          <cell r="BZ175" t="str">
            <v>WRWT21800/WRWT21800</v>
          </cell>
          <cell r="CA175">
            <v>0</v>
          </cell>
          <cell r="DL175"/>
          <cell r="DM175" t="str">
            <v>Lead time</v>
          </cell>
          <cell r="DN175"/>
          <cell r="DP175"/>
          <cell r="DQ175"/>
          <cell r="DR175"/>
          <cell r="DS175"/>
          <cell r="DT175"/>
          <cell r="DU175"/>
          <cell r="DW175"/>
          <cell r="DX175"/>
          <cell r="DY175"/>
          <cell r="DZ175"/>
          <cell r="EA175"/>
          <cell r="EB175"/>
          <cell r="EC175"/>
          <cell r="ED175"/>
          <cell r="EG175"/>
          <cell r="EH175"/>
          <cell r="EI175">
            <v>0</v>
          </cell>
        </row>
        <row r="176">
          <cell r="B176">
            <v>0</v>
          </cell>
          <cell r="C176"/>
          <cell r="E176"/>
          <cell r="F176"/>
          <cell r="G176">
            <v>23</v>
          </cell>
          <cell r="H176">
            <v>37</v>
          </cell>
          <cell r="I176"/>
          <cell r="J176"/>
          <cell r="L176">
            <v>120</v>
          </cell>
          <cell r="M176" t="str">
            <v>+</v>
          </cell>
          <cell r="N176">
            <v>5</v>
          </cell>
          <cell r="R176"/>
          <cell r="T176"/>
          <cell r="U176"/>
          <cell r="V176"/>
          <cell r="X176"/>
          <cell r="Z176"/>
          <cell r="AA176"/>
          <cell r="AB176"/>
          <cell r="AC176">
            <v>0</v>
          </cell>
          <cell r="AD176"/>
          <cell r="AG176"/>
          <cell r="AI176" t="str">
            <v>ระบุในSD</v>
          </cell>
          <cell r="AJ176"/>
          <cell r="AL176">
            <v>0</v>
          </cell>
          <cell r="AM176"/>
          <cell r="AN176">
            <v>0</v>
          </cell>
          <cell r="AO176" t="str">
            <v>WSWT23211125120SMFX</v>
          </cell>
          <cell r="AQ176" t="e">
            <v>#REF!</v>
          </cell>
          <cell r="AR176" t="e">
            <v>#REF!</v>
          </cell>
          <cell r="AS176" t="e">
            <v>#REF!</v>
          </cell>
          <cell r="AT176" t="e">
            <v>#REF!</v>
          </cell>
          <cell r="AU176" t="e">
            <v>#REF!</v>
          </cell>
          <cell r="BZ176" t="str">
            <v>WROP2301125/WRBR21940</v>
          </cell>
          <cell r="CA176">
            <v>0</v>
          </cell>
          <cell r="DL176"/>
          <cell r="DM176" t="str">
            <v>Lead time</v>
          </cell>
          <cell r="DN176"/>
          <cell r="DP176"/>
          <cell r="DQ176"/>
          <cell r="DR176"/>
          <cell r="DS176"/>
          <cell r="DT176"/>
          <cell r="DU176"/>
          <cell r="DW176"/>
          <cell r="DX176"/>
          <cell r="DY176"/>
          <cell r="DZ176"/>
          <cell r="EA176"/>
          <cell r="EB176"/>
          <cell r="EC176"/>
          <cell r="ED176"/>
          <cell r="EG176"/>
          <cell r="EH176"/>
          <cell r="EI176">
            <v>0</v>
          </cell>
        </row>
        <row r="177">
          <cell r="B177">
            <v>0</v>
          </cell>
          <cell r="C177"/>
          <cell r="E177"/>
          <cell r="F177" t="str">
            <v xml:space="preserve">  </v>
          </cell>
          <cell r="G177">
            <v>23</v>
          </cell>
          <cell r="H177">
            <v>37</v>
          </cell>
          <cell r="I177" t="str">
            <v>ขาว</v>
          </cell>
          <cell r="J177"/>
          <cell r="L177">
            <v>130</v>
          </cell>
          <cell r="M177" t="str">
            <v>+</v>
          </cell>
          <cell r="N177">
            <v>3</v>
          </cell>
          <cell r="R177"/>
          <cell r="T177"/>
          <cell r="U177"/>
          <cell r="V177"/>
          <cell r="X177"/>
          <cell r="Z177"/>
          <cell r="AA177"/>
          <cell r="AB177">
            <v>0</v>
          </cell>
          <cell r="AC177">
            <v>0</v>
          </cell>
          <cell r="AD177"/>
          <cell r="AG177"/>
          <cell r="AI177" t="str">
            <v>ระบุในSD</v>
          </cell>
          <cell r="AJ177"/>
          <cell r="AL177">
            <v>0</v>
          </cell>
          <cell r="AM177"/>
          <cell r="AN177">
            <v>0</v>
          </cell>
          <cell r="AO177" t="str">
            <v>WSWT23211125130</v>
          </cell>
          <cell r="AQ177" t="e">
            <v>#REF!</v>
          </cell>
          <cell r="AR177" t="e">
            <v>#REF!</v>
          </cell>
          <cell r="AS177" t="e">
            <v>#REF!</v>
          </cell>
          <cell r="AT177" t="e">
            <v>#REF!</v>
          </cell>
          <cell r="AU177" t="e">
            <v>#REF!</v>
          </cell>
          <cell r="BZ177" t="str">
            <v>WRWT211125/WRWT251080</v>
          </cell>
          <cell r="CA177">
            <v>0</v>
          </cell>
          <cell r="DL177"/>
          <cell r="DM177" t="str">
            <v>Lead time</v>
          </cell>
          <cell r="DN177"/>
          <cell r="DP177"/>
          <cell r="DQ177"/>
          <cell r="DR177"/>
          <cell r="DS177"/>
          <cell r="DT177"/>
          <cell r="DU177"/>
          <cell r="DW177"/>
          <cell r="DX177"/>
          <cell r="DY177"/>
          <cell r="DZ177"/>
          <cell r="EA177"/>
          <cell r="EB177"/>
          <cell r="EC177"/>
          <cell r="ED177"/>
          <cell r="EG177"/>
          <cell r="EH177"/>
          <cell r="EI177">
            <v>0</v>
          </cell>
        </row>
        <row r="178">
          <cell r="B178">
            <v>0</v>
          </cell>
          <cell r="C178"/>
          <cell r="E178"/>
          <cell r="F178"/>
          <cell r="G178">
            <v>23</v>
          </cell>
          <cell r="H178">
            <v>37</v>
          </cell>
          <cell r="I178"/>
          <cell r="J178"/>
          <cell r="L178">
            <v>120</v>
          </cell>
          <cell r="M178" t="str">
            <v>±</v>
          </cell>
          <cell r="N178">
            <v>3</v>
          </cell>
          <cell r="R178"/>
          <cell r="T178"/>
          <cell r="U178"/>
          <cell r="V178"/>
          <cell r="X178"/>
          <cell r="Z178"/>
          <cell r="AA178"/>
          <cell r="AB178">
            <v>0</v>
          </cell>
          <cell r="AC178">
            <v>0</v>
          </cell>
          <cell r="AD178"/>
          <cell r="AG178"/>
          <cell r="AI178" t="str">
            <v>ระบุในSD</v>
          </cell>
          <cell r="AJ178"/>
          <cell r="AL178">
            <v>0</v>
          </cell>
          <cell r="AM178"/>
          <cell r="AN178">
            <v>0</v>
          </cell>
          <cell r="AO178" t="str">
            <v>WSWT2321112512051</v>
          </cell>
          <cell r="AQ178" t="e">
            <v>#REF!</v>
          </cell>
          <cell r="AR178" t="e">
            <v>#REF!</v>
          </cell>
          <cell r="AS178" t="e">
            <v>#REF!</v>
          </cell>
          <cell r="AT178" t="e">
            <v>#REF!</v>
          </cell>
          <cell r="AU178" t="e">
            <v>#REF!</v>
          </cell>
          <cell r="BZ178" t="str">
            <v>WRWT211125/WRWT21900</v>
          </cell>
          <cell r="CA178">
            <v>0</v>
          </cell>
          <cell r="DL178"/>
          <cell r="DM178" t="str">
            <v>Lead time</v>
          </cell>
          <cell r="DN178"/>
          <cell r="DP178"/>
          <cell r="DQ178"/>
          <cell r="DR178"/>
          <cell r="DS178"/>
          <cell r="DT178"/>
          <cell r="DU178"/>
          <cell r="DW178"/>
          <cell r="DX178"/>
          <cell r="DY178"/>
          <cell r="DZ178"/>
          <cell r="EA178"/>
          <cell r="EB178"/>
          <cell r="EC178"/>
          <cell r="ED178"/>
          <cell r="EG178"/>
          <cell r="EH178"/>
          <cell r="EI178">
            <v>0</v>
          </cell>
        </row>
        <row r="179">
          <cell r="B179" t="str">
            <v>MK67-001490</v>
          </cell>
          <cell r="C179">
            <v>45601</v>
          </cell>
          <cell r="E179" t="str">
            <v>บจก.น้ำตาลทิพย์สุโขทัย</v>
          </cell>
          <cell r="F179" t="str">
            <v>Green for white sugar</v>
          </cell>
          <cell r="G179">
            <v>23</v>
          </cell>
          <cell r="H179">
            <v>37</v>
          </cell>
          <cell r="I179" t="str">
            <v>ขาว</v>
          </cell>
          <cell r="J179"/>
          <cell r="L179">
            <v>130</v>
          </cell>
          <cell r="M179" t="str">
            <v>±</v>
          </cell>
          <cell r="N179">
            <v>5</v>
          </cell>
          <cell r="R179" t="str">
            <v>บิด</v>
          </cell>
          <cell r="T179">
            <v>24</v>
          </cell>
          <cell r="U179">
            <v>40</v>
          </cell>
          <cell r="V179">
            <v>55</v>
          </cell>
          <cell r="X179" t="str">
            <v>รอแจ้ง</v>
          </cell>
          <cell r="Z179" t="str">
            <v>300แบน</v>
          </cell>
          <cell r="AA179">
            <v>100000</v>
          </cell>
          <cell r="AB179">
            <v>3207.7128103679997</v>
          </cell>
          <cell r="AC179">
            <v>0</v>
          </cell>
          <cell r="AD179">
            <v>3207.7128103679997</v>
          </cell>
          <cell r="AG179"/>
          <cell r="AI179"/>
          <cell r="AJ179">
            <v>1500</v>
          </cell>
          <cell r="AL179">
            <v>98500</v>
          </cell>
          <cell r="AM179"/>
          <cell r="AN179">
            <v>103425</v>
          </cell>
          <cell r="AO179" t="str">
            <v>WSWT2321112512551</v>
          </cell>
          <cell r="AQ179">
            <v>105955.465</v>
          </cell>
          <cell r="AR179">
            <v>13611</v>
          </cell>
          <cell r="AS179">
            <v>92344.464999999997</v>
          </cell>
          <cell r="AT179">
            <v>0</v>
          </cell>
          <cell r="AU179">
            <v>0</v>
          </cell>
          <cell r="BZ179" t="str">
            <v>WRWT211125/WRWT251030</v>
          </cell>
          <cell r="CA179">
            <v>11829.65943262361</v>
          </cell>
          <cell r="DL179" t="str">
            <v>P9</v>
          </cell>
          <cell r="DM179">
            <v>3</v>
          </cell>
          <cell r="DN179" t="str">
            <v>รอแจ้ง</v>
          </cell>
          <cell r="DP179" t="e">
            <v>#VALUE!</v>
          </cell>
          <cell r="DQ179"/>
          <cell r="DR179" t="e">
            <v>#VALUE!</v>
          </cell>
          <cell r="DS179" t="e">
            <v>#VALUE!</v>
          </cell>
          <cell r="DT179" t="e">
            <v>#VALUE!</v>
          </cell>
          <cell r="DU179" t="e">
            <v>#VALUE!</v>
          </cell>
          <cell r="DW179" t="e">
            <v>#VALUE!</v>
          </cell>
          <cell r="DX179"/>
          <cell r="DY179"/>
          <cell r="DZ179"/>
          <cell r="EA179"/>
          <cell r="EB179"/>
          <cell r="EC179" t="str">
            <v>งานพิมพ์</v>
          </cell>
          <cell r="ED179" t="str">
            <v xml:space="preserve"> /</v>
          </cell>
          <cell r="EG179"/>
          <cell r="EH179"/>
          <cell r="EI179"/>
        </row>
        <row r="180">
          <cell r="B180" t="str">
            <v>MK67-001490</v>
          </cell>
          <cell r="C180">
            <v>45601</v>
          </cell>
          <cell r="E180" t="str">
            <v>บจก.น้ำตาลทิพย์สุโขทัย</v>
          </cell>
          <cell r="F180" t="str">
            <v>Green for white sugar</v>
          </cell>
          <cell r="G180">
            <v>23</v>
          </cell>
          <cell r="H180">
            <v>37</v>
          </cell>
          <cell r="I180" t="str">
            <v>ขาว</v>
          </cell>
          <cell r="J180"/>
          <cell r="L180">
            <v>130</v>
          </cell>
          <cell r="M180" t="str">
            <v>±</v>
          </cell>
          <cell r="N180">
            <v>5</v>
          </cell>
          <cell r="R180" t="str">
            <v>บิด</v>
          </cell>
          <cell r="T180">
            <v>24</v>
          </cell>
          <cell r="U180">
            <v>40</v>
          </cell>
          <cell r="V180">
            <v>55</v>
          </cell>
          <cell r="X180" t="str">
            <v>รอแจ้ง</v>
          </cell>
          <cell r="Z180" t="str">
            <v>300แบน</v>
          </cell>
          <cell r="AA180">
            <v>337878</v>
          </cell>
          <cell r="AB180">
            <v>11003.203948644863</v>
          </cell>
          <cell r="AC180">
            <v>0</v>
          </cell>
          <cell r="AD180">
            <v>11003.203948644863</v>
          </cell>
          <cell r="AG180"/>
          <cell r="AI180"/>
          <cell r="AJ180">
            <v>0</v>
          </cell>
          <cell r="AL180">
            <v>337878</v>
          </cell>
          <cell r="AM180"/>
          <cell r="AN180">
            <v>354771.9</v>
          </cell>
          <cell r="AO180" t="str">
            <v>WSWT2321112512551</v>
          </cell>
          <cell r="AQ180">
            <v>363451.98582000006</v>
          </cell>
          <cell r="AR180">
            <v>0</v>
          </cell>
          <cell r="AS180">
            <v>363451.98582000006</v>
          </cell>
          <cell r="AT180">
            <v>0</v>
          </cell>
          <cell r="AU180">
            <v>0</v>
          </cell>
          <cell r="BZ180" t="str">
            <v>WRWT211125/WRWT251030</v>
          </cell>
          <cell r="CA180">
            <v>46559.511849046357</v>
          </cell>
          <cell r="DL180" t="str">
            <v>P9</v>
          </cell>
          <cell r="DM180">
            <v>3</v>
          </cell>
          <cell r="DN180" t="str">
            <v>รอแจ้ง</v>
          </cell>
          <cell r="DP180" t="e">
            <v>#VALUE!</v>
          </cell>
          <cell r="DQ180"/>
          <cell r="DR180" t="e">
            <v>#VALUE!</v>
          </cell>
          <cell r="DS180" t="e">
            <v>#VALUE!</v>
          </cell>
          <cell r="DT180" t="e">
            <v>#VALUE!</v>
          </cell>
          <cell r="DU180" t="e">
            <v>#VALUE!</v>
          </cell>
          <cell r="DW180" t="e">
            <v>#VALUE!</v>
          </cell>
          <cell r="DX180"/>
          <cell r="DY180"/>
          <cell r="DZ180"/>
          <cell r="EA180"/>
          <cell r="EB180"/>
          <cell r="EC180" t="str">
            <v>งานพิมพ์</v>
          </cell>
          <cell r="ED180" t="str">
            <v xml:space="preserve"> /</v>
          </cell>
          <cell r="EG180"/>
          <cell r="EH180"/>
          <cell r="EI180"/>
        </row>
        <row r="181">
          <cell r="B181">
            <v>0</v>
          </cell>
          <cell r="C181"/>
          <cell r="E181"/>
          <cell r="F181"/>
          <cell r="G181">
            <v>23</v>
          </cell>
          <cell r="H181">
            <v>37</v>
          </cell>
          <cell r="I181"/>
          <cell r="J181"/>
          <cell r="L181">
            <v>128</v>
          </cell>
          <cell r="M181" t="str">
            <v>±</v>
          </cell>
          <cell r="N181">
            <v>5</v>
          </cell>
          <cell r="R181"/>
          <cell r="T181"/>
          <cell r="U181"/>
          <cell r="V181"/>
          <cell r="X181"/>
          <cell r="Z181"/>
          <cell r="AA181"/>
          <cell r="AB181"/>
          <cell r="AC181">
            <v>0</v>
          </cell>
          <cell r="AD181"/>
          <cell r="AG181"/>
          <cell r="AI181" t="str">
            <v>ระบุในSD</v>
          </cell>
          <cell r="AJ181"/>
          <cell r="AL181">
            <v>0</v>
          </cell>
          <cell r="AM181"/>
          <cell r="AN181">
            <v>0</v>
          </cell>
          <cell r="AO181" t="str">
            <v>WSWT2321112512551</v>
          </cell>
          <cell r="AQ181">
            <v>469407.45082000003</v>
          </cell>
          <cell r="AR181">
            <v>13611</v>
          </cell>
          <cell r="AS181">
            <v>455796.45082000003</v>
          </cell>
          <cell r="AT181">
            <v>0</v>
          </cell>
          <cell r="AU181">
            <v>0</v>
          </cell>
          <cell r="BZ181" t="str">
            <v>WRWT2301125/WRWT251030</v>
          </cell>
          <cell r="CA181">
            <v>0</v>
          </cell>
          <cell r="DL181"/>
          <cell r="DM181"/>
          <cell r="DN181"/>
          <cell r="DP181"/>
          <cell r="DQ181"/>
          <cell r="DR181"/>
          <cell r="DS181"/>
          <cell r="DT181"/>
          <cell r="DU181"/>
          <cell r="DW181"/>
          <cell r="DX181"/>
          <cell r="DY181"/>
          <cell r="DZ181"/>
          <cell r="EA181"/>
          <cell r="EB181"/>
          <cell r="EC181"/>
          <cell r="ED181"/>
          <cell r="EG181"/>
          <cell r="EH181">
            <v>0</v>
          </cell>
          <cell r="EI181">
            <v>0</v>
          </cell>
        </row>
        <row r="182">
          <cell r="B182">
            <v>0</v>
          </cell>
          <cell r="C182"/>
          <cell r="E182"/>
          <cell r="F182"/>
          <cell r="G182">
            <v>24</v>
          </cell>
          <cell r="H182">
            <v>37</v>
          </cell>
          <cell r="I182"/>
          <cell r="J182"/>
          <cell r="L182">
            <v>120</v>
          </cell>
          <cell r="M182" t="str">
            <v>+</v>
          </cell>
          <cell r="N182">
            <v>3</v>
          </cell>
          <cell r="R182"/>
          <cell r="T182"/>
          <cell r="U182"/>
          <cell r="V182"/>
          <cell r="X182"/>
          <cell r="Z182"/>
          <cell r="AA182"/>
          <cell r="AB182"/>
          <cell r="AC182">
            <v>0</v>
          </cell>
          <cell r="AD182"/>
          <cell r="AG182"/>
          <cell r="AI182" t="str">
            <v>ระบุในSD</v>
          </cell>
          <cell r="AJ182"/>
          <cell r="AL182">
            <v>0</v>
          </cell>
          <cell r="AM182"/>
          <cell r="AN182">
            <v>0</v>
          </cell>
          <cell r="AO182" t="str">
            <v>WSWT24211125120</v>
          </cell>
          <cell r="AQ182" t="e">
            <v>#REF!</v>
          </cell>
          <cell r="AR182" t="e">
            <v>#REF!</v>
          </cell>
          <cell r="AS182" t="e">
            <v>#REF!</v>
          </cell>
          <cell r="AT182" t="e">
            <v>#REF!</v>
          </cell>
          <cell r="AU182" t="e">
            <v>#REF!</v>
          </cell>
          <cell r="BZ182" t="str">
            <v>WRWT2401125/WRWT25850</v>
          </cell>
          <cell r="CA182">
            <v>0</v>
          </cell>
          <cell r="DL182"/>
          <cell r="DM182"/>
          <cell r="DN182"/>
          <cell r="DP182"/>
          <cell r="DQ182"/>
          <cell r="DR182"/>
          <cell r="DS182"/>
          <cell r="DT182"/>
          <cell r="DU182"/>
          <cell r="DW182"/>
          <cell r="DX182"/>
          <cell r="DY182"/>
          <cell r="DZ182"/>
          <cell r="EA182"/>
          <cell r="EB182"/>
          <cell r="EC182"/>
          <cell r="ED182"/>
          <cell r="EG182"/>
          <cell r="EH182">
            <v>0</v>
          </cell>
          <cell r="EI182">
            <v>0</v>
          </cell>
        </row>
        <row r="183">
          <cell r="B183">
            <v>0</v>
          </cell>
          <cell r="C183"/>
          <cell r="E183"/>
          <cell r="F183" t="str">
            <v xml:space="preserve"> </v>
          </cell>
          <cell r="G183">
            <v>24</v>
          </cell>
          <cell r="H183">
            <v>37</v>
          </cell>
          <cell r="I183"/>
          <cell r="J183"/>
          <cell r="L183">
            <v>125</v>
          </cell>
          <cell r="M183" t="str">
            <v>+</v>
          </cell>
          <cell r="N183">
            <v>3</v>
          </cell>
          <cell r="R183"/>
          <cell r="T183"/>
          <cell r="U183"/>
          <cell r="V183"/>
          <cell r="X183"/>
          <cell r="Z183"/>
          <cell r="AA183"/>
          <cell r="AB183"/>
          <cell r="AC183">
            <v>0</v>
          </cell>
          <cell r="AD183"/>
          <cell r="AG183"/>
          <cell r="AI183" t="str">
            <v>ระบุในSD</v>
          </cell>
          <cell r="AJ183"/>
          <cell r="AL183">
            <v>0</v>
          </cell>
          <cell r="AM183"/>
          <cell r="AN183">
            <v>0</v>
          </cell>
          <cell r="AO183" t="str">
            <v>WSWT2421112512551</v>
          </cell>
          <cell r="AQ183" t="e">
            <v>#REF!</v>
          </cell>
          <cell r="AR183" t="e">
            <v>#REF!</v>
          </cell>
          <cell r="AS183" t="e">
            <v>#REF!</v>
          </cell>
          <cell r="AT183" t="e">
            <v>#REF!</v>
          </cell>
          <cell r="AU183" t="e">
            <v>#REF!</v>
          </cell>
          <cell r="BZ183" t="str">
            <v>WRWT2401125/WRWT25960</v>
          </cell>
          <cell r="CA183">
            <v>0</v>
          </cell>
          <cell r="DL183"/>
          <cell r="DM183" t="str">
            <v>Lead time</v>
          </cell>
          <cell r="DN183"/>
          <cell r="DP183"/>
          <cell r="DQ183"/>
          <cell r="DR183"/>
          <cell r="DS183"/>
          <cell r="DT183"/>
          <cell r="DU183"/>
          <cell r="DW183"/>
          <cell r="DX183"/>
          <cell r="DY183"/>
          <cell r="DZ183"/>
          <cell r="EA183"/>
          <cell r="EB183"/>
          <cell r="EC183"/>
          <cell r="ED183"/>
          <cell r="EG183"/>
          <cell r="EH183">
            <v>0</v>
          </cell>
          <cell r="EI183">
            <v>0</v>
          </cell>
        </row>
        <row r="184">
          <cell r="B184">
            <v>0</v>
          </cell>
          <cell r="C184"/>
          <cell r="E184"/>
          <cell r="F184"/>
          <cell r="G184">
            <v>26</v>
          </cell>
          <cell r="H184">
            <v>38</v>
          </cell>
          <cell r="I184" t="str">
            <v>เหลือง</v>
          </cell>
          <cell r="J184"/>
          <cell r="L184">
            <v>105</v>
          </cell>
          <cell r="M184" t="str">
            <v>±</v>
          </cell>
          <cell r="N184">
            <v>5</v>
          </cell>
          <cell r="R184"/>
          <cell r="T184"/>
          <cell r="U184"/>
          <cell r="V184"/>
          <cell r="X184"/>
          <cell r="Z184"/>
          <cell r="AA184"/>
          <cell r="AB184">
            <v>0</v>
          </cell>
          <cell r="AC184">
            <v>0</v>
          </cell>
          <cell r="AD184"/>
          <cell r="AG184"/>
          <cell r="AI184" t="str">
            <v>ระบุในSD</v>
          </cell>
          <cell r="AJ184"/>
          <cell r="AL184">
            <v>0</v>
          </cell>
          <cell r="AM184"/>
          <cell r="AN184">
            <v>0</v>
          </cell>
          <cell r="AO184" t="str">
            <v>WSYL2625850</v>
          </cell>
          <cell r="AQ184" t="e">
            <v>#REF!</v>
          </cell>
          <cell r="AR184" t="e">
            <v>#REF!</v>
          </cell>
          <cell r="AS184" t="e">
            <v>#REF!</v>
          </cell>
          <cell r="AT184" t="e">
            <v>#REF!</v>
          </cell>
          <cell r="AU184" t="e">
            <v>#REF!</v>
          </cell>
          <cell r="BZ184" t="str">
            <v>WRYL25850/WRYL25850</v>
          </cell>
          <cell r="CA184">
            <v>0</v>
          </cell>
          <cell r="DL184"/>
          <cell r="DM184" t="str">
            <v>Lead time</v>
          </cell>
          <cell r="DN184"/>
          <cell r="DP184"/>
          <cell r="DQ184"/>
          <cell r="DR184"/>
          <cell r="DS184"/>
          <cell r="DT184"/>
          <cell r="DU184"/>
          <cell r="DW184"/>
          <cell r="DX184"/>
          <cell r="DY184"/>
          <cell r="DZ184"/>
          <cell r="EA184"/>
          <cell r="EB184"/>
          <cell r="EC184"/>
          <cell r="ED184"/>
          <cell r="EG184"/>
          <cell r="EH184"/>
          <cell r="EI184">
            <v>0</v>
          </cell>
        </row>
        <row r="185">
          <cell r="B185" t="str">
            <v>MK68-001030</v>
          </cell>
          <cell r="C185">
            <v>45894</v>
          </cell>
          <cell r="E185" t="str">
            <v>คุณธนนท์ อุทัยไพศาลวงศ์</v>
          </cell>
          <cell r="F185" t="str">
            <v>ไม่พิมพ์</v>
          </cell>
          <cell r="G185">
            <v>26</v>
          </cell>
          <cell r="H185">
            <v>39</v>
          </cell>
          <cell r="I185" t="str">
            <v>ขาว</v>
          </cell>
          <cell r="J185"/>
          <cell r="L185">
            <v>93</v>
          </cell>
          <cell r="M185" t="str">
            <v>±</v>
          </cell>
          <cell r="N185">
            <v>5</v>
          </cell>
          <cell r="R185" t="str">
            <v>ไม่</v>
          </cell>
          <cell r="T185" t="str">
            <v>ไม่สวมถุงใน</v>
          </cell>
          <cell r="U185"/>
          <cell r="V185"/>
          <cell r="X185">
            <v>45910</v>
          </cell>
          <cell r="Z185" t="str">
            <v>มัด100</v>
          </cell>
          <cell r="AA185">
            <v>5000</v>
          </cell>
          <cell r="AB185">
            <v>0</v>
          </cell>
          <cell r="AC185">
            <v>0</v>
          </cell>
          <cell r="AD185">
            <v>0</v>
          </cell>
          <cell r="AG185"/>
          <cell r="AI185"/>
          <cell r="AJ185">
            <v>1800</v>
          </cell>
          <cell r="AL185">
            <v>3200</v>
          </cell>
          <cell r="AM185"/>
          <cell r="AN185">
            <v>0</v>
          </cell>
          <cell r="AO185" t="str">
            <v>WSWT2625650</v>
          </cell>
          <cell r="AQ185">
            <v>3621.0239999999999</v>
          </cell>
          <cell r="AR185">
            <v>3621.0239999999999</v>
          </cell>
          <cell r="AS185">
            <v>0</v>
          </cell>
          <cell r="AT185">
            <v>0</v>
          </cell>
          <cell r="AU185">
            <v>0</v>
          </cell>
          <cell r="BZ185" t="str">
            <v>WRWT25650/WRWT25650</v>
          </cell>
          <cell r="CA185">
            <v>0</v>
          </cell>
          <cell r="DL185" t="str">
            <v>P3</v>
          </cell>
          <cell r="DM185">
            <v>1</v>
          </cell>
          <cell r="DN185">
            <v>45910</v>
          </cell>
          <cell r="DP185">
            <v>45905</v>
          </cell>
          <cell r="DQ185"/>
          <cell r="DR185"/>
          <cell r="DS185"/>
          <cell r="DT185"/>
          <cell r="DU185">
            <v>45909</v>
          </cell>
          <cell r="DW185"/>
          <cell r="DX185"/>
          <cell r="DY185"/>
          <cell r="DZ185"/>
          <cell r="EA185"/>
          <cell r="EB185"/>
          <cell r="EC185" t="str">
            <v>ตัด</v>
          </cell>
          <cell r="ED185"/>
          <cell r="EG185"/>
          <cell r="EH185"/>
          <cell r="EI185"/>
        </row>
        <row r="186">
          <cell r="B186" t="str">
            <v>ประมาณการ</v>
          </cell>
          <cell r="C186" t="str">
            <v>ประมาณการ</v>
          </cell>
          <cell r="E186" t="str">
            <v>บจก.กบินทร์อินทรีย์</v>
          </cell>
          <cell r="F186" t="str">
            <v>รอแบบ</v>
          </cell>
          <cell r="G186">
            <v>26</v>
          </cell>
          <cell r="H186">
            <v>41</v>
          </cell>
          <cell r="I186" t="str">
            <v>ขาว</v>
          </cell>
          <cell r="J186"/>
          <cell r="L186">
            <v>97</v>
          </cell>
          <cell r="M186" t="str">
            <v>±</v>
          </cell>
          <cell r="N186">
            <v>5</v>
          </cell>
          <cell r="R186" t="str">
            <v>บิด</v>
          </cell>
          <cell r="T186">
            <v>27</v>
          </cell>
          <cell r="U186">
            <v>43</v>
          </cell>
          <cell r="V186">
            <v>40</v>
          </cell>
          <cell r="X186">
            <v>45930</v>
          </cell>
          <cell r="Z186" t="str">
            <v>300กระสอบ</v>
          </cell>
          <cell r="AA186">
            <v>8000</v>
          </cell>
          <cell r="AB186">
            <v>229.14349009919997</v>
          </cell>
          <cell r="AC186">
            <v>0</v>
          </cell>
          <cell r="AD186">
            <v>229.14349009919997</v>
          </cell>
          <cell r="AG186"/>
          <cell r="AI186"/>
          <cell r="AJ186">
            <v>0</v>
          </cell>
          <cell r="AL186">
            <v>8000</v>
          </cell>
          <cell r="AM186"/>
          <cell r="AN186">
            <v>8400</v>
          </cell>
          <cell r="AO186" t="str">
            <v>WSWT2625650</v>
          </cell>
          <cell r="AQ186">
            <v>9499.6</v>
          </cell>
          <cell r="AR186">
            <v>0</v>
          </cell>
          <cell r="AS186">
            <v>9499.6</v>
          </cell>
          <cell r="AT186">
            <v>0</v>
          </cell>
          <cell r="AU186">
            <v>0</v>
          </cell>
          <cell r="BZ186" t="str">
            <v>WRWT25650/WRWT25650</v>
          </cell>
          <cell r="CA186">
            <v>767.03992444444452</v>
          </cell>
          <cell r="DL186" t="str">
            <v>P9</v>
          </cell>
          <cell r="DM186">
            <v>3</v>
          </cell>
          <cell r="DN186">
            <v>45930</v>
          </cell>
          <cell r="DP186">
            <v>45925</v>
          </cell>
          <cell r="DQ186"/>
          <cell r="DR186">
            <v>45920</v>
          </cell>
          <cell r="DS186">
            <v>45927</v>
          </cell>
          <cell r="DT186">
            <v>45928</v>
          </cell>
          <cell r="DU186">
            <v>45928</v>
          </cell>
          <cell r="DW186">
            <v>45929</v>
          </cell>
          <cell r="DX186"/>
          <cell r="DY186"/>
          <cell r="DZ186"/>
          <cell r="EA186"/>
          <cell r="EB186"/>
          <cell r="EC186" t="str">
            <v>งานพิมพ์</v>
          </cell>
          <cell r="ED186" t="str">
            <v>รอART</v>
          </cell>
          <cell r="EG186"/>
          <cell r="EH186"/>
          <cell r="EI186"/>
        </row>
        <row r="187">
          <cell r="B187">
            <v>0</v>
          </cell>
          <cell r="C187"/>
          <cell r="E187"/>
          <cell r="F187"/>
          <cell r="G187">
            <v>26</v>
          </cell>
          <cell r="H187">
            <v>43</v>
          </cell>
          <cell r="I187" t="str">
            <v>ขาว</v>
          </cell>
          <cell r="J187"/>
          <cell r="L187">
            <v>102</v>
          </cell>
          <cell r="M187" t="str">
            <v>±</v>
          </cell>
          <cell r="N187">
            <v>5</v>
          </cell>
          <cell r="R187"/>
          <cell r="T187"/>
          <cell r="U187"/>
          <cell r="V187"/>
          <cell r="X187"/>
          <cell r="Z187"/>
          <cell r="AA187"/>
          <cell r="AB187">
            <v>0</v>
          </cell>
          <cell r="AC187">
            <v>0</v>
          </cell>
          <cell r="AD187"/>
          <cell r="AG187"/>
          <cell r="AI187" t="str">
            <v>ระบุในSD</v>
          </cell>
          <cell r="AJ187"/>
          <cell r="AL187">
            <v>0</v>
          </cell>
          <cell r="AM187"/>
          <cell r="AN187">
            <v>0</v>
          </cell>
          <cell r="AO187" t="str">
            <v>WSWT2625650</v>
          </cell>
          <cell r="AQ187">
            <v>13120.624</v>
          </cell>
          <cell r="AR187">
            <v>3621.0239999999999</v>
          </cell>
          <cell r="AS187">
            <v>9499.6</v>
          </cell>
          <cell r="AT187">
            <v>0</v>
          </cell>
          <cell r="AU187">
            <v>0</v>
          </cell>
          <cell r="BZ187" t="str">
            <v>WRWT25650/WRWT25650</v>
          </cell>
          <cell r="CA187">
            <v>0</v>
          </cell>
          <cell r="DL187"/>
          <cell r="DM187" t="str">
            <v>Lead time</v>
          </cell>
          <cell r="DN187"/>
          <cell r="DP187"/>
          <cell r="DQ187"/>
          <cell r="DR187"/>
          <cell r="DS187"/>
          <cell r="DT187"/>
          <cell r="DU187"/>
          <cell r="DW187"/>
          <cell r="DX187"/>
          <cell r="DY187"/>
          <cell r="DZ187"/>
          <cell r="EA187"/>
          <cell r="EB187"/>
          <cell r="EC187"/>
          <cell r="ED187"/>
          <cell r="EG187"/>
          <cell r="EH187"/>
          <cell r="EI187">
            <v>0</v>
          </cell>
        </row>
        <row r="188">
          <cell r="B188" t="str">
            <v>MK68-001074</v>
          </cell>
          <cell r="C188">
            <v>45904</v>
          </cell>
          <cell r="E188" t="str">
            <v>บจก.ทีพีเค แอ็บโซลูท สตาร์ช</v>
          </cell>
          <cell r="F188" t="str">
            <v>MASTER CHEF</v>
          </cell>
          <cell r="G188">
            <v>26</v>
          </cell>
          <cell r="H188">
            <v>43</v>
          </cell>
          <cell r="I188" t="str">
            <v>ขาว</v>
          </cell>
          <cell r="J188" t="str">
            <v>ใส</v>
          </cell>
          <cell r="L188">
            <v>140</v>
          </cell>
          <cell r="M188" t="str">
            <v>±</v>
          </cell>
          <cell r="N188">
            <v>5</v>
          </cell>
          <cell r="R188" t="str">
            <v>ไม่</v>
          </cell>
          <cell r="T188" t="str">
            <v>ไม่สวมถุงใน</v>
          </cell>
          <cell r="U188"/>
          <cell r="V188"/>
          <cell r="X188">
            <v>45912</v>
          </cell>
          <cell r="Z188" t="str">
            <v xml:space="preserve">300กระสอบแบน  </v>
          </cell>
          <cell r="AA188">
            <v>10000</v>
          </cell>
          <cell r="AB188">
            <v>0</v>
          </cell>
          <cell r="AC188">
            <v>0</v>
          </cell>
          <cell r="AD188">
            <v>0</v>
          </cell>
          <cell r="AG188"/>
          <cell r="AI188" t="str">
            <v>ห้ามใช้เชือกฟาง</v>
          </cell>
          <cell r="AJ188">
            <v>0</v>
          </cell>
          <cell r="AL188">
            <v>10000</v>
          </cell>
          <cell r="AM188"/>
          <cell r="AN188">
            <v>10500</v>
          </cell>
          <cell r="AO188" t="str">
            <v>WSWT262575051</v>
          </cell>
          <cell r="AQ188">
            <v>12433.3</v>
          </cell>
          <cell r="AR188">
            <v>7225</v>
          </cell>
          <cell r="AS188">
            <v>5208.2999999999993</v>
          </cell>
          <cell r="AT188">
            <v>0</v>
          </cell>
          <cell r="AU188">
            <v>12433.3</v>
          </cell>
          <cell r="BZ188" t="str">
            <v>WRWT25800/WRWT25650</v>
          </cell>
          <cell r="CA188">
            <v>467.9368199999999</v>
          </cell>
          <cell r="DL188" t="str">
            <v>P6</v>
          </cell>
          <cell r="DM188">
            <v>4</v>
          </cell>
          <cell r="DN188">
            <v>45912</v>
          </cell>
          <cell r="DP188">
            <v>45907</v>
          </cell>
          <cell r="DQ188">
            <v>45908</v>
          </cell>
          <cell r="DR188">
            <v>45901</v>
          </cell>
          <cell r="DS188">
            <v>45909</v>
          </cell>
          <cell r="DT188">
            <v>45910</v>
          </cell>
          <cell r="DU188">
            <v>45911</v>
          </cell>
          <cell r="DW188"/>
          <cell r="DX188"/>
          <cell r="DY188"/>
          <cell r="DZ188"/>
          <cell r="EA188"/>
          <cell r="EB188"/>
          <cell r="EC188" t="str">
            <v>งานเคลือบ+พิมพ์</v>
          </cell>
          <cell r="ED188"/>
          <cell r="EG188"/>
          <cell r="EH188"/>
          <cell r="EI188"/>
        </row>
        <row r="189">
          <cell r="B189">
            <v>0</v>
          </cell>
          <cell r="C189"/>
          <cell r="E189"/>
          <cell r="F189"/>
          <cell r="G189">
            <v>26</v>
          </cell>
          <cell r="H189">
            <v>43</v>
          </cell>
          <cell r="I189"/>
          <cell r="J189"/>
          <cell r="L189">
            <v>100</v>
          </cell>
          <cell r="M189" t="str">
            <v>±</v>
          </cell>
          <cell r="N189">
            <v>5</v>
          </cell>
          <cell r="R189"/>
          <cell r="T189"/>
          <cell r="U189"/>
          <cell r="V189"/>
          <cell r="X189"/>
          <cell r="Z189"/>
          <cell r="AA189"/>
          <cell r="AB189"/>
          <cell r="AC189">
            <v>0</v>
          </cell>
          <cell r="AD189"/>
          <cell r="AG189"/>
          <cell r="AI189" t="str">
            <v>ระบุในSD</v>
          </cell>
          <cell r="AJ189"/>
          <cell r="AL189">
            <v>0</v>
          </cell>
          <cell r="AM189"/>
          <cell r="AN189">
            <v>0</v>
          </cell>
          <cell r="AO189" t="str">
            <v>WSWT262575051</v>
          </cell>
          <cell r="AQ189">
            <v>12433.3</v>
          </cell>
          <cell r="AR189">
            <v>7225</v>
          </cell>
          <cell r="AS189">
            <v>5208.2999999999993</v>
          </cell>
          <cell r="AT189">
            <v>0</v>
          </cell>
          <cell r="AU189">
            <v>12433.3</v>
          </cell>
          <cell r="BZ189" t="str">
            <v>WRWT25800/WRWT25650</v>
          </cell>
          <cell r="CA189">
            <v>0</v>
          </cell>
          <cell r="DL189"/>
          <cell r="DM189" t="str">
            <v>Lead time</v>
          </cell>
          <cell r="DN189"/>
          <cell r="DP189"/>
          <cell r="DQ189"/>
          <cell r="DR189"/>
          <cell r="DS189"/>
          <cell r="DT189"/>
          <cell r="DU189"/>
          <cell r="DW189"/>
          <cell r="DX189"/>
          <cell r="DY189"/>
          <cell r="DZ189"/>
          <cell r="EA189"/>
          <cell r="EB189"/>
          <cell r="EC189"/>
          <cell r="ED189"/>
          <cell r="EG189"/>
          <cell r="EH189">
            <v>0</v>
          </cell>
          <cell r="EI189">
            <v>0</v>
          </cell>
        </row>
        <row r="190">
          <cell r="B190">
            <v>0</v>
          </cell>
          <cell r="C190"/>
          <cell r="E190"/>
          <cell r="F190"/>
          <cell r="G190">
            <v>26</v>
          </cell>
          <cell r="H190">
            <v>43</v>
          </cell>
          <cell r="I190"/>
          <cell r="J190"/>
          <cell r="L190">
            <v>113</v>
          </cell>
          <cell r="M190" t="str">
            <v>±</v>
          </cell>
          <cell r="N190">
            <v>5</v>
          </cell>
          <cell r="R190"/>
          <cell r="T190"/>
          <cell r="U190"/>
          <cell r="V190"/>
          <cell r="X190"/>
          <cell r="Z190"/>
          <cell r="AA190"/>
          <cell r="AB190"/>
          <cell r="AC190">
            <v>0</v>
          </cell>
          <cell r="AD190"/>
          <cell r="AG190"/>
          <cell r="AI190" t="str">
            <v>ระบุในSD</v>
          </cell>
          <cell r="AJ190"/>
          <cell r="AL190">
            <v>0</v>
          </cell>
          <cell r="AM190"/>
          <cell r="AN190">
            <v>0</v>
          </cell>
          <cell r="AO190" t="str">
            <v>WSWT2625700</v>
          </cell>
          <cell r="AQ190" t="e">
            <v>#REF!</v>
          </cell>
          <cell r="AR190" t="e">
            <v>#REF!</v>
          </cell>
          <cell r="AS190" t="e">
            <v>#REF!</v>
          </cell>
          <cell r="AT190" t="e">
            <v>#REF!</v>
          </cell>
          <cell r="AU190" t="e">
            <v>#REF!</v>
          </cell>
          <cell r="BZ190" t="str">
            <v>WRWT260800/WRWT25650</v>
          </cell>
          <cell r="CA190">
            <v>0</v>
          </cell>
          <cell r="DL190"/>
          <cell r="DM190" t="str">
            <v>Lead time</v>
          </cell>
          <cell r="DN190"/>
          <cell r="DP190"/>
          <cell r="DQ190"/>
          <cell r="DR190"/>
          <cell r="DS190"/>
          <cell r="DT190"/>
          <cell r="DU190"/>
          <cell r="DW190"/>
          <cell r="DX190"/>
          <cell r="DY190"/>
          <cell r="DZ190"/>
          <cell r="EA190"/>
          <cell r="EB190"/>
          <cell r="EC190"/>
          <cell r="ED190"/>
          <cell r="EG190"/>
          <cell r="EH190">
            <v>0</v>
          </cell>
          <cell r="EI190">
            <v>0</v>
          </cell>
        </row>
        <row r="191">
          <cell r="B191">
            <v>0</v>
          </cell>
          <cell r="C191"/>
          <cell r="E191"/>
          <cell r="F191"/>
          <cell r="G191">
            <v>26</v>
          </cell>
          <cell r="H191">
            <v>41</v>
          </cell>
          <cell r="I191"/>
          <cell r="J191"/>
          <cell r="L191">
            <v>90</v>
          </cell>
          <cell r="M191" t="str">
            <v>±</v>
          </cell>
          <cell r="N191">
            <v>5</v>
          </cell>
          <cell r="R191"/>
          <cell r="T191"/>
          <cell r="U191"/>
          <cell r="V191"/>
          <cell r="X191"/>
          <cell r="Z191"/>
          <cell r="AA191"/>
          <cell r="AB191"/>
          <cell r="AC191">
            <v>0</v>
          </cell>
          <cell r="AD191"/>
          <cell r="AG191"/>
          <cell r="AI191" t="str">
            <v>ระบุในSD</v>
          </cell>
          <cell r="AJ191"/>
          <cell r="AL191">
            <v>0</v>
          </cell>
          <cell r="AM191"/>
          <cell r="AN191">
            <v>0</v>
          </cell>
          <cell r="AO191" t="str">
            <v>WSWT2625800SM</v>
          </cell>
          <cell r="AQ191" t="e">
            <v>#REF!</v>
          </cell>
          <cell r="AR191" t="e">
            <v>#REF!</v>
          </cell>
          <cell r="AS191" t="e">
            <v>#REF!</v>
          </cell>
          <cell r="AT191" t="e">
            <v>#REF!</v>
          </cell>
          <cell r="AU191" t="e">
            <v>#REF!</v>
          </cell>
          <cell r="BZ191" t="str">
            <v>WRWT260800/WRWT25650</v>
          </cell>
          <cell r="CA191">
            <v>0</v>
          </cell>
          <cell r="DL191"/>
          <cell r="DM191" t="str">
            <v>Lead time</v>
          </cell>
          <cell r="DN191"/>
          <cell r="DP191"/>
          <cell r="DQ191"/>
          <cell r="DR191"/>
          <cell r="DS191"/>
          <cell r="DT191"/>
          <cell r="DU191"/>
          <cell r="DW191"/>
          <cell r="DX191"/>
          <cell r="DY191"/>
          <cell r="DZ191"/>
          <cell r="EA191"/>
          <cell r="EB191"/>
          <cell r="EC191"/>
          <cell r="ED191"/>
          <cell r="EG191"/>
          <cell r="EH191">
            <v>0</v>
          </cell>
          <cell r="EI191">
            <v>0</v>
          </cell>
        </row>
        <row r="192">
          <cell r="B192" t="str">
            <v>ประมาณการ</v>
          </cell>
          <cell r="C192" t="str">
            <v>ประมาณการ</v>
          </cell>
          <cell r="E192" t="str">
            <v>บจก.ที.ซี.ยูเนี่ยน อโกรเทค</v>
          </cell>
          <cell r="F192" t="str">
            <v>ไม่พิมพ์</v>
          </cell>
          <cell r="G192">
            <v>26</v>
          </cell>
          <cell r="H192">
            <v>43</v>
          </cell>
          <cell r="I192" t="str">
            <v>ขาว</v>
          </cell>
          <cell r="J192"/>
          <cell r="L192">
            <v>116</v>
          </cell>
          <cell r="M192" t="str">
            <v>±</v>
          </cell>
          <cell r="N192">
            <v>5</v>
          </cell>
          <cell r="R192" t="str">
            <v>ไม่</v>
          </cell>
          <cell r="T192" t="str">
            <v>ไม่สวมถุงใน</v>
          </cell>
          <cell r="U192"/>
          <cell r="V192"/>
          <cell r="X192">
            <v>45925</v>
          </cell>
          <cell r="Z192" t="str">
            <v xml:space="preserve">300กระสอบแบนเต็มใบ </v>
          </cell>
          <cell r="AA192">
            <v>10000</v>
          </cell>
          <cell r="AB192">
            <v>0</v>
          </cell>
          <cell r="AC192">
            <v>0</v>
          </cell>
          <cell r="AD192">
            <v>0</v>
          </cell>
          <cell r="AG192"/>
          <cell r="AI192"/>
          <cell r="AJ192">
            <v>0</v>
          </cell>
          <cell r="AL192">
            <v>10000</v>
          </cell>
          <cell r="AM192"/>
          <cell r="AN192">
            <v>0</v>
          </cell>
          <cell r="AO192" t="str">
            <v xml:space="preserve">WSWT2625800 </v>
          </cell>
          <cell r="AQ192">
            <v>12433.3</v>
          </cell>
          <cell r="AR192">
            <v>12433.3</v>
          </cell>
          <cell r="AS192">
            <v>0</v>
          </cell>
          <cell r="AT192">
            <v>0</v>
          </cell>
          <cell r="AU192">
            <v>0</v>
          </cell>
          <cell r="BZ192" t="str">
            <v>WRWT25800/WRWT25800</v>
          </cell>
          <cell r="CA192">
            <v>0</v>
          </cell>
          <cell r="DL192" t="str">
            <v>P3</v>
          </cell>
          <cell r="DM192">
            <v>1</v>
          </cell>
          <cell r="DN192">
            <v>45925</v>
          </cell>
          <cell r="DP192">
            <v>45920</v>
          </cell>
          <cell r="DQ192"/>
          <cell r="DR192"/>
          <cell r="DS192"/>
          <cell r="DT192"/>
          <cell r="DU192">
            <v>45924</v>
          </cell>
          <cell r="DW192"/>
          <cell r="DX192"/>
          <cell r="DY192"/>
          <cell r="DZ192"/>
          <cell r="EA192"/>
          <cell r="EB192"/>
          <cell r="EC192" t="str">
            <v>ตัด</v>
          </cell>
          <cell r="ED192"/>
          <cell r="EG192"/>
          <cell r="EH192"/>
          <cell r="EI192"/>
        </row>
        <row r="193">
          <cell r="B193">
            <v>0</v>
          </cell>
          <cell r="C193"/>
          <cell r="E193"/>
          <cell r="F193"/>
          <cell r="G193">
            <v>26</v>
          </cell>
          <cell r="H193">
            <v>43</v>
          </cell>
          <cell r="I193"/>
          <cell r="J193"/>
          <cell r="L193">
            <v>116</v>
          </cell>
          <cell r="M193" t="str">
            <v>±</v>
          </cell>
          <cell r="N193">
            <v>5</v>
          </cell>
          <cell r="R193"/>
          <cell r="T193"/>
          <cell r="U193"/>
          <cell r="V193"/>
          <cell r="X193"/>
          <cell r="Z193"/>
          <cell r="AA193"/>
          <cell r="AB193"/>
          <cell r="AC193">
            <v>0</v>
          </cell>
          <cell r="AD193"/>
          <cell r="AG193"/>
          <cell r="AI193" t="str">
            <v>ระบุในSD</v>
          </cell>
          <cell r="AJ193"/>
          <cell r="AL193">
            <v>0</v>
          </cell>
          <cell r="AM193"/>
          <cell r="AN193">
            <v>0</v>
          </cell>
          <cell r="AO193" t="str">
            <v xml:space="preserve">WSWT2625800 </v>
          </cell>
          <cell r="AQ193">
            <v>12433.3</v>
          </cell>
          <cell r="AR193">
            <v>12433.3</v>
          </cell>
          <cell r="AS193">
            <v>0</v>
          </cell>
          <cell r="AT193">
            <v>0</v>
          </cell>
          <cell r="AU193">
            <v>0</v>
          </cell>
          <cell r="BZ193" t="str">
            <v>WRWT260800/WRWT25800</v>
          </cell>
          <cell r="CA193">
            <v>0</v>
          </cell>
          <cell r="DL193"/>
          <cell r="DM193" t="str">
            <v>Lead time</v>
          </cell>
          <cell r="DN193"/>
          <cell r="DP193"/>
          <cell r="DQ193"/>
          <cell r="DR193"/>
          <cell r="DS193"/>
          <cell r="DT193"/>
          <cell r="DU193"/>
          <cell r="DW193"/>
          <cell r="DX193"/>
          <cell r="DY193"/>
          <cell r="DZ193"/>
          <cell r="EA193"/>
          <cell r="EB193"/>
          <cell r="EC193"/>
          <cell r="ED193"/>
          <cell r="EG193"/>
          <cell r="EH193">
            <v>0</v>
          </cell>
          <cell r="EI193">
            <v>0</v>
          </cell>
        </row>
        <row r="194">
          <cell r="B194" t="str">
            <v>MK68-001065</v>
          </cell>
          <cell r="C194">
            <v>45901</v>
          </cell>
          <cell r="E194" t="str">
            <v>บจก.ที.ซี.ยูเนี่ยน อโกรเทค</v>
          </cell>
          <cell r="F194" t="str">
            <v>Zhejiang UN</v>
          </cell>
          <cell r="G194">
            <v>26</v>
          </cell>
          <cell r="H194">
            <v>43</v>
          </cell>
          <cell r="I194" t="str">
            <v>ขาว</v>
          </cell>
          <cell r="J194" t="str">
            <v>ใส</v>
          </cell>
          <cell r="L194">
            <v>150</v>
          </cell>
          <cell r="M194" t="str">
            <v>±</v>
          </cell>
          <cell r="N194">
            <v>5</v>
          </cell>
          <cell r="R194" t="str">
            <v>บิด</v>
          </cell>
          <cell r="T194" t="str">
            <v>ไม่สวมถุงใน</v>
          </cell>
          <cell r="U194"/>
          <cell r="V194"/>
          <cell r="X194">
            <v>45908</v>
          </cell>
          <cell r="Z194" t="str">
            <v xml:space="preserve">300กระสอบแบนเต็มใบ </v>
          </cell>
          <cell r="AA194">
            <v>30000</v>
          </cell>
          <cell r="AB194">
            <v>0</v>
          </cell>
          <cell r="AC194">
            <v>0</v>
          </cell>
          <cell r="AD194">
            <v>0</v>
          </cell>
          <cell r="AG194" t="str">
            <v>สีลอก3250จอดเครื่องรอสีใหม่</v>
          </cell>
          <cell r="AI194"/>
          <cell r="AJ194">
            <v>15000</v>
          </cell>
          <cell r="AL194">
            <v>15000</v>
          </cell>
          <cell r="AM194">
            <v>32730</v>
          </cell>
          <cell r="AN194">
            <v>0</v>
          </cell>
          <cell r="AO194" t="str">
            <v>WSWT2625850SM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BZ194" t="str">
            <v>WRWT25850/WRWT25850</v>
          </cell>
          <cell r="CA194">
            <v>0</v>
          </cell>
          <cell r="DL194" t="str">
            <v>P6</v>
          </cell>
          <cell r="DM194">
            <v>4</v>
          </cell>
          <cell r="DN194">
            <v>45908</v>
          </cell>
          <cell r="DP194">
            <v>45903</v>
          </cell>
          <cell r="DQ194">
            <v>45904</v>
          </cell>
          <cell r="DR194">
            <v>45897</v>
          </cell>
          <cell r="DS194">
            <v>45905</v>
          </cell>
          <cell r="DT194">
            <v>45906</v>
          </cell>
          <cell r="DU194">
            <v>45907</v>
          </cell>
          <cell r="DW194"/>
          <cell r="DX194"/>
          <cell r="DY194"/>
          <cell r="DZ194"/>
          <cell r="EA194"/>
          <cell r="EB194"/>
          <cell r="EC194" t="str">
            <v>งานเคลือบ+พิมพ์</v>
          </cell>
          <cell r="ED194"/>
          <cell r="EG194"/>
          <cell r="EH194"/>
          <cell r="EI194"/>
        </row>
        <row r="195">
          <cell r="B195" t="str">
            <v>MK68-001051</v>
          </cell>
          <cell r="C195">
            <v>45898</v>
          </cell>
          <cell r="E195" t="str">
            <v>บจก.ที.ซี.ยูเนี่ยน อโกรเทค</v>
          </cell>
          <cell r="F195" t="str">
            <v>ไม่พิมพ์</v>
          </cell>
          <cell r="G195">
            <v>26</v>
          </cell>
          <cell r="H195">
            <v>43</v>
          </cell>
          <cell r="I195" t="str">
            <v>ขาว</v>
          </cell>
          <cell r="J195" t="str">
            <v>ใส</v>
          </cell>
          <cell r="L195">
            <v>150</v>
          </cell>
          <cell r="M195" t="str">
            <v>±</v>
          </cell>
          <cell r="N195">
            <v>5</v>
          </cell>
          <cell r="R195" t="str">
            <v>บิด</v>
          </cell>
          <cell r="T195" t="str">
            <v>ไม่สวมถุงใน</v>
          </cell>
          <cell r="U195"/>
          <cell r="V195"/>
          <cell r="X195">
            <v>45909</v>
          </cell>
          <cell r="Z195" t="str">
            <v xml:space="preserve">300กระสอบแบนเต็มใบ </v>
          </cell>
          <cell r="AA195">
            <v>15000</v>
          </cell>
          <cell r="AB195">
            <v>0</v>
          </cell>
          <cell r="AC195">
            <v>0</v>
          </cell>
          <cell r="AD195">
            <v>0</v>
          </cell>
          <cell r="AG195"/>
          <cell r="AI195"/>
          <cell r="AJ195">
            <v>10000</v>
          </cell>
          <cell r="AL195">
            <v>5000</v>
          </cell>
          <cell r="AM195"/>
          <cell r="AN195">
            <v>0</v>
          </cell>
          <cell r="AO195" t="str">
            <v>WSWT2625850SM</v>
          </cell>
          <cell r="AQ195">
            <v>6216.65</v>
          </cell>
          <cell r="AR195">
            <v>6216.65</v>
          </cell>
          <cell r="AS195">
            <v>0</v>
          </cell>
          <cell r="AT195">
            <v>6216.65</v>
          </cell>
          <cell r="AU195">
            <v>0</v>
          </cell>
          <cell r="BZ195" t="str">
            <v>WRWT25850/WRWT25850</v>
          </cell>
          <cell r="CA195">
            <v>0</v>
          </cell>
          <cell r="DL195" t="str">
            <v>P11</v>
          </cell>
          <cell r="DM195">
            <v>2</v>
          </cell>
          <cell r="DN195">
            <v>45909</v>
          </cell>
          <cell r="DP195">
            <v>45904</v>
          </cell>
          <cell r="DQ195">
            <v>45907</v>
          </cell>
          <cell r="DR195"/>
          <cell r="DS195"/>
          <cell r="DT195"/>
          <cell r="DU195">
            <v>45908</v>
          </cell>
          <cell r="DW195"/>
          <cell r="DX195"/>
          <cell r="DY195"/>
          <cell r="DZ195"/>
          <cell r="EA195"/>
          <cell r="EB195"/>
          <cell r="EC195" t="str">
            <v>งานเคลือบ+ตัด</v>
          </cell>
          <cell r="ED195"/>
          <cell r="EG195"/>
          <cell r="EH195"/>
          <cell r="EI195"/>
        </row>
        <row r="196">
          <cell r="B196" t="str">
            <v>MK68-001052</v>
          </cell>
          <cell r="C196">
            <v>45898</v>
          </cell>
          <cell r="E196" t="str">
            <v>บจก.ที.ซี.ยูเนี่ยน อโกรเทค</v>
          </cell>
          <cell r="F196" t="str">
            <v>ไม่พิมพ์</v>
          </cell>
          <cell r="G196">
            <v>26</v>
          </cell>
          <cell r="H196">
            <v>43</v>
          </cell>
          <cell r="I196" t="str">
            <v>ขาว</v>
          </cell>
          <cell r="J196" t="str">
            <v>ใส</v>
          </cell>
          <cell r="L196">
            <v>150</v>
          </cell>
          <cell r="M196" t="str">
            <v>±</v>
          </cell>
          <cell r="N196">
            <v>5</v>
          </cell>
          <cell r="R196" t="str">
            <v>บิด</v>
          </cell>
          <cell r="T196" t="str">
            <v>ไม่สวมถุงใน</v>
          </cell>
          <cell r="U196"/>
          <cell r="V196"/>
          <cell r="X196">
            <v>45917</v>
          </cell>
          <cell r="Z196" t="str">
            <v xml:space="preserve">300กระสอบแบนเต็มใบ </v>
          </cell>
          <cell r="AA196">
            <v>15000</v>
          </cell>
          <cell r="AB196">
            <v>0</v>
          </cell>
          <cell r="AC196">
            <v>0</v>
          </cell>
          <cell r="AD196">
            <v>0</v>
          </cell>
          <cell r="AG196"/>
          <cell r="AI196"/>
          <cell r="AJ196">
            <v>0</v>
          </cell>
          <cell r="AL196">
            <v>15000</v>
          </cell>
          <cell r="AM196"/>
          <cell r="AN196">
            <v>0</v>
          </cell>
          <cell r="AO196" t="str">
            <v>WSWT2625850SM</v>
          </cell>
          <cell r="AQ196">
            <v>18649.949999999997</v>
          </cell>
          <cell r="AR196">
            <v>18649.949999999997</v>
          </cell>
          <cell r="AS196">
            <v>0</v>
          </cell>
          <cell r="AT196">
            <v>0</v>
          </cell>
          <cell r="AU196">
            <v>18649.949999999997</v>
          </cell>
          <cell r="BZ196" t="str">
            <v>WRWT25850/WRWT25850</v>
          </cell>
          <cell r="CA196">
            <v>0</v>
          </cell>
          <cell r="DL196" t="str">
            <v>P11</v>
          </cell>
          <cell r="DM196">
            <v>2</v>
          </cell>
          <cell r="DN196">
            <v>45917</v>
          </cell>
          <cell r="DP196">
            <v>45912</v>
          </cell>
          <cell r="DQ196">
            <v>45915</v>
          </cell>
          <cell r="DR196"/>
          <cell r="DS196"/>
          <cell r="DT196"/>
          <cell r="DU196">
            <v>45916</v>
          </cell>
          <cell r="DW196"/>
          <cell r="DX196"/>
          <cell r="DY196"/>
          <cell r="DZ196"/>
          <cell r="EA196"/>
          <cell r="EB196"/>
          <cell r="EC196" t="str">
            <v>งานเคลือบ+ตัด</v>
          </cell>
          <cell r="ED196"/>
          <cell r="EG196"/>
          <cell r="EH196"/>
          <cell r="EI196"/>
        </row>
        <row r="197">
          <cell r="B197" t="str">
            <v>MK68-001066</v>
          </cell>
          <cell r="C197">
            <v>45901</v>
          </cell>
          <cell r="E197" t="str">
            <v>บจก.ที.ซี.ยูเนี่ยน อโกรเทค</v>
          </cell>
          <cell r="F197" t="str">
            <v>Zhejiang UN</v>
          </cell>
          <cell r="G197">
            <v>26</v>
          </cell>
          <cell r="H197">
            <v>43</v>
          </cell>
          <cell r="I197" t="str">
            <v>ขาว</v>
          </cell>
          <cell r="J197" t="str">
            <v>ใส</v>
          </cell>
          <cell r="L197">
            <v>150</v>
          </cell>
          <cell r="M197" t="str">
            <v>±</v>
          </cell>
          <cell r="N197">
            <v>5</v>
          </cell>
          <cell r="R197" t="str">
            <v>บิด</v>
          </cell>
          <cell r="T197" t="str">
            <v>ไม่สวมถุงใน</v>
          </cell>
          <cell r="U197"/>
          <cell r="V197"/>
          <cell r="X197">
            <v>45930</v>
          </cell>
          <cell r="Z197" t="str">
            <v xml:space="preserve">300กระสอบแบนเต็มใบ </v>
          </cell>
          <cell r="AA197">
            <v>30000</v>
          </cell>
          <cell r="AB197">
            <v>0</v>
          </cell>
          <cell r="AC197">
            <v>0</v>
          </cell>
          <cell r="AD197">
            <v>0</v>
          </cell>
          <cell r="AG197"/>
          <cell r="AI197"/>
          <cell r="AJ197">
            <v>0</v>
          </cell>
          <cell r="AL197">
            <v>30000</v>
          </cell>
          <cell r="AM197">
            <v>0</v>
          </cell>
          <cell r="AN197">
            <v>31500</v>
          </cell>
          <cell r="AO197" t="str">
            <v>WSWT2625850SM</v>
          </cell>
          <cell r="AQ197">
            <v>37299.899999999994</v>
          </cell>
          <cell r="AR197">
            <v>0</v>
          </cell>
          <cell r="AS197">
            <v>37299.899999999994</v>
          </cell>
          <cell r="AT197">
            <v>0</v>
          </cell>
          <cell r="AU197">
            <v>37299.899999999994</v>
          </cell>
          <cell r="BZ197" t="str">
            <v>WRWT25850/WRWT25850</v>
          </cell>
          <cell r="CA197">
            <v>3846.8630200000002</v>
          </cell>
          <cell r="DL197" t="str">
            <v>P6</v>
          </cell>
          <cell r="DM197">
            <v>4</v>
          </cell>
          <cell r="DN197">
            <v>45930</v>
          </cell>
          <cell r="DP197">
            <v>45925</v>
          </cell>
          <cell r="DQ197">
            <v>45926</v>
          </cell>
          <cell r="DR197">
            <v>45919</v>
          </cell>
          <cell r="DS197">
            <v>45927</v>
          </cell>
          <cell r="DT197">
            <v>45928</v>
          </cell>
          <cell r="DU197">
            <v>45929</v>
          </cell>
          <cell r="DW197"/>
          <cell r="DX197"/>
          <cell r="DY197"/>
          <cell r="DZ197"/>
          <cell r="EA197"/>
          <cell r="EB197"/>
          <cell r="EC197" t="str">
            <v>งานเคลือบ+พิมพ์</v>
          </cell>
          <cell r="ED197"/>
          <cell r="EG197"/>
          <cell r="EH197"/>
          <cell r="EI197"/>
        </row>
        <row r="198">
          <cell r="B198" t="str">
            <v>MK68-001067</v>
          </cell>
          <cell r="C198">
            <v>45901</v>
          </cell>
          <cell r="E198" t="str">
            <v>บจก.ที.ซี.ยูเนี่ยน อโกรเทค</v>
          </cell>
          <cell r="F198" t="str">
            <v>Zhejiang UN</v>
          </cell>
          <cell r="G198">
            <v>26</v>
          </cell>
          <cell r="H198">
            <v>43</v>
          </cell>
          <cell r="I198" t="str">
            <v>ขาว</v>
          </cell>
          <cell r="J198" t="str">
            <v>ใส</v>
          </cell>
          <cell r="L198">
            <v>150</v>
          </cell>
          <cell r="M198" t="str">
            <v>±</v>
          </cell>
          <cell r="N198">
            <v>5</v>
          </cell>
          <cell r="R198" t="str">
            <v>บิด</v>
          </cell>
          <cell r="T198" t="str">
            <v>ไม่สวมถุงใน</v>
          </cell>
          <cell r="U198"/>
          <cell r="V198"/>
          <cell r="X198">
            <v>45945</v>
          </cell>
          <cell r="Z198" t="str">
            <v xml:space="preserve">300กระสอบแบนเต็มใบ </v>
          </cell>
          <cell r="AA198">
            <v>10000</v>
          </cell>
          <cell r="AB198">
            <v>0</v>
          </cell>
          <cell r="AC198">
            <v>0</v>
          </cell>
          <cell r="AD198">
            <v>0</v>
          </cell>
          <cell r="AG198"/>
          <cell r="AI198"/>
          <cell r="AJ198">
            <v>0</v>
          </cell>
          <cell r="AL198">
            <v>10000</v>
          </cell>
          <cell r="AM198"/>
          <cell r="AN198">
            <v>10500</v>
          </cell>
          <cell r="AO198" t="str">
            <v>WSWT2625850SM</v>
          </cell>
          <cell r="AQ198">
            <v>12433.3</v>
          </cell>
          <cell r="AR198">
            <v>0</v>
          </cell>
          <cell r="AS198">
            <v>12433.3</v>
          </cell>
          <cell r="AT198">
            <v>0</v>
          </cell>
          <cell r="AU198">
            <v>12433.3</v>
          </cell>
          <cell r="BZ198" t="str">
            <v>WRWT25850/WRWT25850</v>
          </cell>
          <cell r="CA198">
            <v>1282.2876733333333</v>
          </cell>
          <cell r="DL198" t="str">
            <v>P6</v>
          </cell>
          <cell r="DM198">
            <v>4</v>
          </cell>
          <cell r="DN198">
            <v>45945</v>
          </cell>
          <cell r="DP198">
            <v>45940</v>
          </cell>
          <cell r="DQ198">
            <v>45941</v>
          </cell>
          <cell r="DR198">
            <v>45934</v>
          </cell>
          <cell r="DS198">
            <v>45942</v>
          </cell>
          <cell r="DT198">
            <v>45943</v>
          </cell>
          <cell r="DU198">
            <v>45944</v>
          </cell>
          <cell r="DW198"/>
          <cell r="DX198"/>
          <cell r="DY198"/>
          <cell r="DZ198"/>
          <cell r="EA198"/>
          <cell r="EB198"/>
          <cell r="EC198" t="str">
            <v>งานเคลือบ+พิมพ์</v>
          </cell>
          <cell r="ED198"/>
          <cell r="EG198"/>
          <cell r="EH198"/>
          <cell r="EI198"/>
        </row>
        <row r="199">
          <cell r="B199">
            <v>0</v>
          </cell>
          <cell r="C199"/>
          <cell r="E199"/>
          <cell r="F199"/>
          <cell r="G199">
            <v>26</v>
          </cell>
          <cell r="H199">
            <v>43</v>
          </cell>
          <cell r="I199"/>
          <cell r="J199"/>
          <cell r="L199">
            <v>120</v>
          </cell>
          <cell r="M199" t="str">
            <v>±</v>
          </cell>
          <cell r="N199">
            <v>5</v>
          </cell>
          <cell r="R199"/>
          <cell r="T199"/>
          <cell r="U199"/>
          <cell r="V199"/>
          <cell r="X199"/>
          <cell r="Z199"/>
          <cell r="AA199"/>
          <cell r="AB199"/>
          <cell r="AC199">
            <v>0</v>
          </cell>
          <cell r="AD199"/>
          <cell r="AG199"/>
          <cell r="AI199" t="str">
            <v>ระบุในSD</v>
          </cell>
          <cell r="AJ199"/>
          <cell r="AL199">
            <v>0</v>
          </cell>
          <cell r="AM199"/>
          <cell r="AN199">
            <v>0</v>
          </cell>
          <cell r="AO199" t="str">
            <v>WSWT2625850SM</v>
          </cell>
          <cell r="AQ199">
            <v>74599.799999999988</v>
          </cell>
          <cell r="AR199">
            <v>24866.6</v>
          </cell>
          <cell r="AS199">
            <v>49733.2</v>
          </cell>
          <cell r="AT199">
            <v>6216.65</v>
          </cell>
          <cell r="AU199">
            <v>68383.149999999994</v>
          </cell>
          <cell r="BZ199" t="str">
            <v>WRWT260850/WRWT25850</v>
          </cell>
          <cell r="CA199">
            <v>0</v>
          </cell>
          <cell r="DL199"/>
          <cell r="DM199" t="str">
            <v>Lead time</v>
          </cell>
          <cell r="DN199"/>
          <cell r="DP199"/>
          <cell r="DQ199"/>
          <cell r="DR199"/>
          <cell r="DS199"/>
          <cell r="DT199"/>
          <cell r="DU199"/>
          <cell r="DW199"/>
          <cell r="DX199"/>
          <cell r="DY199"/>
          <cell r="DZ199"/>
          <cell r="EA199"/>
          <cell r="EB199"/>
          <cell r="EC199"/>
          <cell r="ED199"/>
          <cell r="EG199"/>
          <cell r="EH199">
            <v>0</v>
          </cell>
          <cell r="EI199">
            <v>0</v>
          </cell>
        </row>
        <row r="200">
          <cell r="B200">
            <v>0</v>
          </cell>
          <cell r="C200"/>
          <cell r="E200"/>
          <cell r="F200"/>
          <cell r="G200">
            <v>28</v>
          </cell>
          <cell r="H200">
            <v>41</v>
          </cell>
          <cell r="I200" t="str">
            <v>ขาว</v>
          </cell>
          <cell r="J200"/>
          <cell r="L200">
            <v>122</v>
          </cell>
          <cell r="M200" t="str">
            <v>+</v>
          </cell>
          <cell r="N200">
            <v>3</v>
          </cell>
          <cell r="R200"/>
          <cell r="T200"/>
          <cell r="U200"/>
          <cell r="V200"/>
          <cell r="X200"/>
          <cell r="Z200"/>
          <cell r="AA200"/>
          <cell r="AB200">
            <v>0</v>
          </cell>
          <cell r="AC200">
            <v>0</v>
          </cell>
          <cell r="AD200"/>
          <cell r="AG200"/>
          <cell r="AI200" t="str">
            <v>ระบุในSD</v>
          </cell>
          <cell r="AJ200"/>
          <cell r="AL200">
            <v>0</v>
          </cell>
          <cell r="AM200"/>
          <cell r="AN200">
            <v>0</v>
          </cell>
          <cell r="AO200" t="str">
            <v>WSWT2825800</v>
          </cell>
          <cell r="AQ200" t="e">
            <v>#REF!</v>
          </cell>
          <cell r="AR200" t="e">
            <v>#REF!</v>
          </cell>
          <cell r="AS200" t="e">
            <v>#REF!</v>
          </cell>
          <cell r="AT200" t="e">
            <v>#REF!</v>
          </cell>
          <cell r="AU200" t="e">
            <v>#REF!</v>
          </cell>
          <cell r="BZ200" t="str">
            <v>WRWT25850/WRWT25800</v>
          </cell>
          <cell r="CA200">
            <v>0</v>
          </cell>
          <cell r="DL200"/>
          <cell r="DM200" t="str">
            <v>Lead time</v>
          </cell>
          <cell r="DN200"/>
          <cell r="DP200"/>
          <cell r="DQ200"/>
          <cell r="DR200"/>
          <cell r="DS200"/>
          <cell r="DT200"/>
          <cell r="DU200"/>
          <cell r="DW200"/>
          <cell r="DX200"/>
          <cell r="DY200"/>
          <cell r="DZ200"/>
          <cell r="EA200"/>
          <cell r="EB200"/>
          <cell r="EC200"/>
          <cell r="ED200"/>
          <cell r="EG200"/>
          <cell r="EH200"/>
          <cell r="EI200">
            <v>0</v>
          </cell>
        </row>
        <row r="201">
          <cell r="B201" t="str">
            <v>MK68-001032</v>
          </cell>
          <cell r="C201">
            <v>45895</v>
          </cell>
          <cell r="E201" t="str">
            <v>บจก.ไทยร่วมใจน้ำมันพืช</v>
          </cell>
          <cell r="F201" t="str">
            <v>TRJ</v>
          </cell>
          <cell r="G201">
            <v>28</v>
          </cell>
          <cell r="H201">
            <v>41</v>
          </cell>
          <cell r="I201" t="str">
            <v>ขาว</v>
          </cell>
          <cell r="J201"/>
          <cell r="L201">
            <v>120</v>
          </cell>
          <cell r="M201" t="str">
            <v>+</v>
          </cell>
          <cell r="N201">
            <v>3</v>
          </cell>
          <cell r="R201" t="str">
            <v>ไม่</v>
          </cell>
          <cell r="T201" t="str">
            <v>ไม่สวมถุงใน</v>
          </cell>
          <cell r="U201"/>
          <cell r="V201"/>
          <cell r="X201">
            <v>45909</v>
          </cell>
          <cell r="Z201" t="str">
            <v>500กระสอบ</v>
          </cell>
          <cell r="AA201">
            <v>13000</v>
          </cell>
          <cell r="AB201">
            <v>0</v>
          </cell>
          <cell r="AC201">
            <v>0</v>
          </cell>
          <cell r="AD201">
            <v>0</v>
          </cell>
          <cell r="AG201" t="str">
            <v>มีน้ำหนักต่ำ รอผสม</v>
          </cell>
          <cell r="AI201"/>
          <cell r="AJ201">
            <v>13000</v>
          </cell>
          <cell r="AL201">
            <v>0</v>
          </cell>
          <cell r="AM201">
            <v>53544</v>
          </cell>
          <cell r="AN201">
            <v>0</v>
          </cell>
          <cell r="AO201" t="str">
            <v>WSWT2825850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BZ201" t="str">
            <v>WRWT25850/WRWT25850</v>
          </cell>
          <cell r="CA201">
            <v>0</v>
          </cell>
          <cell r="DL201" t="str">
            <v>P7</v>
          </cell>
          <cell r="DM201">
            <v>2</v>
          </cell>
          <cell r="DN201">
            <v>45909</v>
          </cell>
          <cell r="DP201">
            <v>45904</v>
          </cell>
          <cell r="DQ201"/>
          <cell r="DR201">
            <v>45900</v>
          </cell>
          <cell r="DS201">
            <v>45907</v>
          </cell>
          <cell r="DT201">
            <v>45908</v>
          </cell>
          <cell r="DU201">
            <v>45908</v>
          </cell>
          <cell r="DW201"/>
          <cell r="DX201"/>
          <cell r="DY201"/>
          <cell r="DZ201"/>
          <cell r="EA201"/>
          <cell r="EB201"/>
          <cell r="EC201" t="str">
            <v>งานพิมพ์</v>
          </cell>
          <cell r="ED201" t="str">
            <v xml:space="preserve"> /</v>
          </cell>
          <cell r="EG201"/>
          <cell r="EH201"/>
          <cell r="EI201"/>
        </row>
        <row r="202">
          <cell r="B202" t="str">
            <v>ประมาณการ</v>
          </cell>
          <cell r="C202" t="str">
            <v>ประมาณการ</v>
          </cell>
          <cell r="E202" t="str">
            <v>บจก.ไทยร่วมใจน้ำมันพืช</v>
          </cell>
          <cell r="F202" t="str">
            <v>TRJ</v>
          </cell>
          <cell r="G202">
            <v>28</v>
          </cell>
          <cell r="H202">
            <v>41</v>
          </cell>
          <cell r="I202" t="str">
            <v>ขาว</v>
          </cell>
          <cell r="J202"/>
          <cell r="L202">
            <v>120</v>
          </cell>
          <cell r="M202" t="str">
            <v>+</v>
          </cell>
          <cell r="N202">
            <v>3</v>
          </cell>
          <cell r="R202" t="str">
            <v>ไม่</v>
          </cell>
          <cell r="T202" t="str">
            <v>ไม่สวมถุงใน</v>
          </cell>
          <cell r="U202"/>
          <cell r="V202"/>
          <cell r="X202">
            <v>45920</v>
          </cell>
          <cell r="Z202" t="str">
            <v>500กระสอบ</v>
          </cell>
          <cell r="AA202">
            <v>50000</v>
          </cell>
          <cell r="AB202">
            <v>0</v>
          </cell>
          <cell r="AC202">
            <v>0</v>
          </cell>
          <cell r="AD202">
            <v>0</v>
          </cell>
          <cell r="AG202"/>
          <cell r="AI202"/>
          <cell r="AJ202">
            <v>0</v>
          </cell>
          <cell r="AL202">
            <v>50000</v>
          </cell>
          <cell r="AM202">
            <v>0</v>
          </cell>
          <cell r="AN202">
            <v>52500</v>
          </cell>
          <cell r="AO202" t="str">
            <v>WSWT2825850</v>
          </cell>
          <cell r="AQ202">
            <v>59372.5</v>
          </cell>
          <cell r="AR202">
            <v>12130</v>
          </cell>
          <cell r="AS202">
            <v>47242.5</v>
          </cell>
          <cell r="AT202">
            <v>0</v>
          </cell>
          <cell r="AU202">
            <v>0</v>
          </cell>
          <cell r="BZ202" t="str">
            <v>WRWT25850/WRWT25850</v>
          </cell>
          <cell r="CA202">
            <v>5309.5320833333335</v>
          </cell>
          <cell r="DL202" t="str">
            <v>P7</v>
          </cell>
          <cell r="DM202">
            <v>2</v>
          </cell>
          <cell r="DN202">
            <v>45920</v>
          </cell>
          <cell r="DP202">
            <v>45915</v>
          </cell>
          <cell r="DQ202"/>
          <cell r="DR202">
            <v>45911</v>
          </cell>
          <cell r="DS202">
            <v>45918</v>
          </cell>
          <cell r="DT202">
            <v>45919</v>
          </cell>
          <cell r="DU202">
            <v>45919</v>
          </cell>
          <cell r="DW202"/>
          <cell r="DX202"/>
          <cell r="DY202"/>
          <cell r="DZ202"/>
          <cell r="EA202"/>
          <cell r="EB202"/>
          <cell r="EC202" t="str">
            <v>งานพิมพ์</v>
          </cell>
          <cell r="ED202" t="str">
            <v>รอART</v>
          </cell>
          <cell r="EG202"/>
          <cell r="EH202"/>
          <cell r="EI202"/>
        </row>
        <row r="203">
          <cell r="B203" t="str">
            <v>ประมาณการ</v>
          </cell>
          <cell r="C203" t="str">
            <v>ประมาณการ</v>
          </cell>
          <cell r="E203" t="str">
            <v>บจก.ที.ซี.ยูเนี่ยน อโกรเทค</v>
          </cell>
          <cell r="F203" t="str">
            <v>ไม่พิมพ์</v>
          </cell>
          <cell r="G203">
            <v>28</v>
          </cell>
          <cell r="H203">
            <v>47</v>
          </cell>
          <cell r="I203" t="str">
            <v>ขาว</v>
          </cell>
          <cell r="J203" t="str">
            <v>ใส</v>
          </cell>
          <cell r="L203">
            <v>180</v>
          </cell>
          <cell r="M203" t="str">
            <v>±</v>
          </cell>
          <cell r="N203">
            <v>5</v>
          </cell>
          <cell r="R203" t="str">
            <v>ไม่</v>
          </cell>
          <cell r="T203" t="str">
            <v>ไม่สวมถุงใน</v>
          </cell>
          <cell r="U203"/>
          <cell r="V203"/>
          <cell r="X203">
            <v>45925</v>
          </cell>
          <cell r="Z203" t="str">
            <v xml:space="preserve">300กระสอบแบนเต็มใบ </v>
          </cell>
          <cell r="AA203">
            <v>5000</v>
          </cell>
          <cell r="AB203">
            <v>0</v>
          </cell>
          <cell r="AC203">
            <v>0</v>
          </cell>
          <cell r="AD203">
            <v>0</v>
          </cell>
          <cell r="AG203"/>
          <cell r="AI203"/>
          <cell r="AJ203">
            <v>0</v>
          </cell>
          <cell r="AL203">
            <v>5000</v>
          </cell>
          <cell r="AM203"/>
          <cell r="AN203">
            <v>0</v>
          </cell>
          <cell r="AO203" t="str">
            <v>WSWT2825850</v>
          </cell>
          <cell r="AQ203">
            <v>6775.4500000000007</v>
          </cell>
          <cell r="AR203">
            <v>0</v>
          </cell>
          <cell r="AS203">
            <v>6775.4500000000007</v>
          </cell>
          <cell r="AT203">
            <v>0</v>
          </cell>
          <cell r="AU203">
            <v>6775.4500000000007</v>
          </cell>
          <cell r="BZ203" t="str">
            <v>WRWT25850/WRWT25850</v>
          </cell>
          <cell r="CA203">
            <v>761.48529722222236</v>
          </cell>
          <cell r="DL203" t="str">
            <v>P11</v>
          </cell>
          <cell r="DM203">
            <v>2</v>
          </cell>
          <cell r="DN203">
            <v>45925</v>
          </cell>
          <cell r="DP203">
            <v>45920</v>
          </cell>
          <cell r="DQ203">
            <v>45923</v>
          </cell>
          <cell r="DR203"/>
          <cell r="DS203"/>
          <cell r="DT203"/>
          <cell r="DU203">
            <v>45924</v>
          </cell>
          <cell r="DW203"/>
          <cell r="DX203"/>
          <cell r="DY203"/>
          <cell r="DZ203"/>
          <cell r="EA203"/>
          <cell r="EB203"/>
          <cell r="EC203" t="str">
            <v>งานเคลือบ+ตัด</v>
          </cell>
          <cell r="ED203"/>
          <cell r="EG203"/>
          <cell r="EH203"/>
          <cell r="EI203"/>
        </row>
        <row r="204">
          <cell r="B204">
            <v>0</v>
          </cell>
          <cell r="C204"/>
          <cell r="E204"/>
          <cell r="F204"/>
          <cell r="G204">
            <v>28</v>
          </cell>
          <cell r="H204">
            <v>43</v>
          </cell>
          <cell r="I204"/>
          <cell r="J204"/>
          <cell r="L204">
            <v>130</v>
          </cell>
          <cell r="M204" t="str">
            <v>±</v>
          </cell>
          <cell r="N204">
            <v>3</v>
          </cell>
          <cell r="R204"/>
          <cell r="T204"/>
          <cell r="U204"/>
          <cell r="V204"/>
          <cell r="X204"/>
          <cell r="Z204"/>
          <cell r="AA204"/>
          <cell r="AB204"/>
          <cell r="AC204">
            <v>0</v>
          </cell>
          <cell r="AD204"/>
          <cell r="AG204"/>
          <cell r="AI204" t="str">
            <v>ระบุในSD</v>
          </cell>
          <cell r="AJ204"/>
          <cell r="AL204">
            <v>0</v>
          </cell>
          <cell r="AM204"/>
          <cell r="AN204">
            <v>0</v>
          </cell>
          <cell r="AO204" t="str">
            <v>WSWT2825850</v>
          </cell>
          <cell r="AQ204">
            <v>66147.95</v>
          </cell>
          <cell r="AR204">
            <v>12130</v>
          </cell>
          <cell r="AS204">
            <v>54017.95</v>
          </cell>
          <cell r="AT204">
            <v>0</v>
          </cell>
          <cell r="AU204">
            <v>6775.4500000000007</v>
          </cell>
          <cell r="BZ204" t="str">
            <v>WRWT280850/WRWT25850</v>
          </cell>
          <cell r="CA204">
            <v>0</v>
          </cell>
          <cell r="DL204"/>
          <cell r="DM204"/>
          <cell r="DN204"/>
          <cell r="DP204"/>
          <cell r="DQ204"/>
          <cell r="DR204"/>
          <cell r="DS204"/>
          <cell r="DT204"/>
          <cell r="DU204"/>
          <cell r="DW204"/>
          <cell r="DX204"/>
          <cell r="DY204"/>
          <cell r="DZ204"/>
          <cell r="EA204"/>
          <cell r="EB204"/>
          <cell r="EC204"/>
          <cell r="ED204"/>
          <cell r="EG204"/>
          <cell r="EH204"/>
          <cell r="EI204"/>
        </row>
        <row r="205">
          <cell r="B205">
            <v>0</v>
          </cell>
          <cell r="C205"/>
          <cell r="E205"/>
          <cell r="F205"/>
          <cell r="G205">
            <v>30</v>
          </cell>
          <cell r="H205">
            <v>41</v>
          </cell>
          <cell r="I205"/>
          <cell r="J205"/>
          <cell r="L205">
            <v>122</v>
          </cell>
          <cell r="M205" t="str">
            <v>±</v>
          </cell>
          <cell r="N205">
            <v>5</v>
          </cell>
          <cell r="R205"/>
          <cell r="T205"/>
          <cell r="U205"/>
          <cell r="V205"/>
          <cell r="X205"/>
          <cell r="Z205"/>
          <cell r="AA205"/>
          <cell r="AB205">
            <v>0</v>
          </cell>
          <cell r="AC205">
            <v>0</v>
          </cell>
          <cell r="AD205"/>
          <cell r="AG205"/>
          <cell r="AI205" t="str">
            <v>ระบุในSD</v>
          </cell>
          <cell r="AJ205"/>
          <cell r="AL205">
            <v>0</v>
          </cell>
          <cell r="AM205"/>
          <cell r="AN205">
            <v>0</v>
          </cell>
          <cell r="AO205" t="str">
            <v>WSWT3025800</v>
          </cell>
          <cell r="AQ205" t="e">
            <v>#REF!</v>
          </cell>
          <cell r="AR205" t="e">
            <v>#REF!</v>
          </cell>
          <cell r="AS205" t="e">
            <v>#REF!</v>
          </cell>
          <cell r="AT205" t="e">
            <v>#REF!</v>
          </cell>
          <cell r="AU205" t="e">
            <v>#REF!</v>
          </cell>
          <cell r="BZ205" t="str">
            <v>WRWT25800/WRWT28750</v>
          </cell>
          <cell r="CA205">
            <v>0</v>
          </cell>
          <cell r="DL205"/>
          <cell r="DM205" t="str">
            <v>Lead time</v>
          </cell>
          <cell r="DN205"/>
          <cell r="DP205"/>
          <cell r="DQ205"/>
          <cell r="DR205"/>
          <cell r="DS205"/>
          <cell r="DT205"/>
          <cell r="DU205"/>
          <cell r="DW205"/>
          <cell r="DX205"/>
          <cell r="DY205"/>
          <cell r="DZ205"/>
          <cell r="EA205"/>
          <cell r="EB205"/>
          <cell r="EC205"/>
          <cell r="ED205"/>
          <cell r="EG205"/>
          <cell r="EH205"/>
          <cell r="EI205">
            <v>0</v>
          </cell>
        </row>
        <row r="206">
          <cell r="B206"/>
          <cell r="C206"/>
          <cell r="E206"/>
          <cell r="F206"/>
          <cell r="G206"/>
          <cell r="H206"/>
          <cell r="I206"/>
          <cell r="J206"/>
          <cell r="L206"/>
          <cell r="M206"/>
          <cell r="N206"/>
          <cell r="R206"/>
          <cell r="T206"/>
          <cell r="U206"/>
          <cell r="V206"/>
          <cell r="X206" t="str">
            <v>ค้างส่งทั้งหมด</v>
          </cell>
          <cell r="Z206"/>
          <cell r="AA206">
            <v>2433098</v>
          </cell>
          <cell r="AB206"/>
          <cell r="AC206"/>
          <cell r="AD206"/>
          <cell r="AG206"/>
          <cell r="AI206"/>
          <cell r="AJ206">
            <v>164046</v>
          </cell>
          <cell r="AL206"/>
          <cell r="AM206"/>
          <cell r="AN206"/>
          <cell r="AO206"/>
          <cell r="AQ206" t="e">
            <v>#REF!</v>
          </cell>
          <cell r="AR206" t="e">
            <v>#REF!</v>
          </cell>
          <cell r="AS206" t="e">
            <v>#REF!</v>
          </cell>
          <cell r="AT206"/>
          <cell r="AU206"/>
          <cell r="BZ206"/>
          <cell r="CA206">
            <v>144772.60525236663</v>
          </cell>
          <cell r="DL206"/>
          <cell r="DM206" t="str">
            <v>Lead time</v>
          </cell>
          <cell r="DN206"/>
          <cell r="DP206">
            <v>-5</v>
          </cell>
          <cell r="DQ206"/>
          <cell r="DR206"/>
          <cell r="DS206"/>
          <cell r="DT206"/>
          <cell r="DU206"/>
          <cell r="DW206"/>
          <cell r="DX206"/>
          <cell r="DY206"/>
          <cell r="DZ206"/>
          <cell r="EA206"/>
          <cell r="EB206"/>
          <cell r="EC206"/>
          <cell r="ED206"/>
          <cell r="EG206"/>
          <cell r="EH206"/>
          <cell r="EI206"/>
        </row>
        <row r="207">
          <cell r="B207"/>
          <cell r="C207"/>
          <cell r="E207"/>
          <cell r="F207"/>
          <cell r="G207"/>
          <cell r="H207"/>
          <cell r="I207"/>
          <cell r="J207"/>
          <cell r="L207"/>
          <cell r="M207"/>
          <cell r="N207"/>
          <cell r="R207"/>
          <cell r="T207"/>
          <cell r="U207"/>
          <cell r="V207"/>
          <cell r="X207"/>
          <cell r="Z207">
            <v>140000</v>
          </cell>
          <cell r="AA207">
            <v>17.379271428571428</v>
          </cell>
          <cell r="AB207"/>
          <cell r="AC207"/>
          <cell r="AD207"/>
          <cell r="AG207"/>
          <cell r="AI207"/>
          <cell r="AJ207"/>
          <cell r="AL207">
            <v>0</v>
          </cell>
          <cell r="AM207"/>
          <cell r="AN207">
            <v>0</v>
          </cell>
          <cell r="AO207"/>
          <cell r="AQ207" t="e">
            <v>#REF!</v>
          </cell>
          <cell r="AR207"/>
          <cell r="AS207" t="e">
            <v>#REF!</v>
          </cell>
          <cell r="AT207"/>
          <cell r="AU207"/>
          <cell r="BZ207"/>
          <cell r="CA207" t="str">
            <v>ห้ามลบ</v>
          </cell>
          <cell r="DL207" t="str">
            <v>P1</v>
          </cell>
          <cell r="DM207">
            <v>2</v>
          </cell>
          <cell r="DN207">
            <v>0</v>
          </cell>
          <cell r="DP207">
            <v>-5</v>
          </cell>
          <cell r="DQ207"/>
          <cell r="DR207">
            <v>-9</v>
          </cell>
          <cell r="DS207">
            <v>-2</v>
          </cell>
          <cell r="DT207"/>
          <cell r="DU207">
            <v>-1</v>
          </cell>
          <cell r="DW207"/>
          <cell r="DX207"/>
          <cell r="DY207"/>
          <cell r="DZ207"/>
          <cell r="EA207"/>
          <cell r="EB207"/>
          <cell r="EC207" t="str">
            <v>งานพิมพ์</v>
          </cell>
          <cell r="ED207" t="str">
            <v>รอART</v>
          </cell>
          <cell r="EG207"/>
          <cell r="EH207"/>
          <cell r="EI207"/>
        </row>
        <row r="208">
          <cell r="B208"/>
          <cell r="C208"/>
          <cell r="E208"/>
          <cell r="F208"/>
          <cell r="G208"/>
          <cell r="H208"/>
          <cell r="I208"/>
          <cell r="J208"/>
          <cell r="L208"/>
          <cell r="M208"/>
          <cell r="N208"/>
          <cell r="R208"/>
          <cell r="T208"/>
          <cell r="U208"/>
          <cell r="V208"/>
          <cell r="X208" t="str">
            <v>ประมาณการ</v>
          </cell>
          <cell r="Z208"/>
          <cell r="AA208">
            <v>1088000</v>
          </cell>
          <cell r="AB208"/>
          <cell r="AC208"/>
          <cell r="AD208"/>
          <cell r="AG208"/>
          <cell r="AI208"/>
          <cell r="AJ208"/>
          <cell r="AL208"/>
          <cell r="AM208"/>
          <cell r="AN208"/>
          <cell r="AO208"/>
          <cell r="AQ208"/>
          <cell r="AR208"/>
          <cell r="AS208">
            <v>0</v>
          </cell>
          <cell r="AT208"/>
          <cell r="AU208"/>
          <cell r="BZ208"/>
          <cell r="CA208"/>
          <cell r="DL208" t="str">
            <v>P3</v>
          </cell>
          <cell r="DM208">
            <v>1</v>
          </cell>
          <cell r="DN208" t="str">
            <v>ประมาณการ</v>
          </cell>
          <cell r="DP208" t="e">
            <v>#VALUE!</v>
          </cell>
          <cell r="DQ208"/>
          <cell r="DR208"/>
          <cell r="DS208"/>
          <cell r="DT208"/>
          <cell r="DU208" t="e">
            <v>#VALUE!</v>
          </cell>
          <cell r="DW208"/>
          <cell r="DX208"/>
          <cell r="DY208"/>
          <cell r="DZ208"/>
          <cell r="EA208"/>
          <cell r="EB208"/>
          <cell r="EC208" t="str">
            <v>ตัด</v>
          </cell>
          <cell r="ED208"/>
          <cell r="EG208"/>
          <cell r="EH208"/>
          <cell r="EI208"/>
        </row>
        <row r="209">
          <cell r="B209"/>
          <cell r="C209"/>
          <cell r="E209"/>
          <cell r="F209"/>
          <cell r="G209"/>
          <cell r="H209"/>
          <cell r="I209"/>
          <cell r="J209"/>
          <cell r="L209"/>
          <cell r="M209"/>
          <cell r="N209"/>
          <cell r="R209"/>
          <cell r="T209"/>
          <cell r="U209"/>
          <cell r="V209"/>
          <cell r="X209" t="str">
            <v>รอแจ้ง</v>
          </cell>
          <cell r="Z209"/>
          <cell r="AA209">
            <v>1060019</v>
          </cell>
          <cell r="AB209"/>
          <cell r="AC209"/>
          <cell r="AD209"/>
          <cell r="AG209"/>
          <cell r="AI209"/>
          <cell r="AJ209"/>
          <cell r="AL209"/>
          <cell r="AM209"/>
          <cell r="AN209"/>
          <cell r="AO209"/>
          <cell r="AQ209"/>
          <cell r="AR209"/>
          <cell r="AS209">
            <v>883247.48082000006</v>
          </cell>
          <cell r="AT209"/>
          <cell r="AU209"/>
          <cell r="BZ209"/>
          <cell r="CA209"/>
          <cell r="DL209" t="str">
            <v>P2</v>
          </cell>
          <cell r="DM209">
            <v>3</v>
          </cell>
          <cell r="DN209" t="str">
            <v>รอแจ้ง</v>
          </cell>
          <cell r="DP209" t="e">
            <v>#VALUE!</v>
          </cell>
          <cell r="DQ209" t="e">
            <v>#VALUE!</v>
          </cell>
          <cell r="DR209" t="e">
            <v>#VALUE!</v>
          </cell>
          <cell r="DS209" t="e">
            <v>#VALUE!</v>
          </cell>
          <cell r="DT209"/>
          <cell r="DU209" t="e">
            <v>#VALUE!</v>
          </cell>
          <cell r="DW209"/>
          <cell r="DX209"/>
          <cell r="DY209"/>
          <cell r="DZ209"/>
          <cell r="EA209"/>
          <cell r="EB209"/>
          <cell r="EC209" t="str">
            <v>งานเคลือบ+พิมพ์</v>
          </cell>
          <cell r="ED209"/>
          <cell r="EG209"/>
          <cell r="EH209"/>
          <cell r="EI209"/>
        </row>
        <row r="210">
          <cell r="B210"/>
          <cell r="C210"/>
          <cell r="E210"/>
          <cell r="F210"/>
          <cell r="G210"/>
          <cell r="H210"/>
          <cell r="I210"/>
          <cell r="J210"/>
          <cell r="L210"/>
          <cell r="M210"/>
          <cell r="N210"/>
          <cell r="R210"/>
          <cell r="T210"/>
          <cell r="U210"/>
          <cell r="V210"/>
          <cell r="X210" t="str">
            <v>รอส่ง</v>
          </cell>
          <cell r="Z210"/>
          <cell r="AA210">
            <v>25000</v>
          </cell>
          <cell r="AB210"/>
          <cell r="AC210"/>
          <cell r="AD210"/>
          <cell r="AG210"/>
          <cell r="AI210"/>
          <cell r="AJ210"/>
          <cell r="AL210"/>
          <cell r="AM210"/>
          <cell r="AN210"/>
          <cell r="AO210"/>
          <cell r="AQ210"/>
          <cell r="AR210"/>
          <cell r="AS210">
            <v>0</v>
          </cell>
          <cell r="AT210"/>
          <cell r="AU210"/>
          <cell r="BZ210"/>
          <cell r="CA210"/>
          <cell r="DL210" t="str">
            <v>P6</v>
          </cell>
          <cell r="DM210">
            <v>4</v>
          </cell>
          <cell r="DN210" t="str">
            <v>รอส่ง</v>
          </cell>
          <cell r="DP210" t="e">
            <v>#VALUE!</v>
          </cell>
          <cell r="DQ210" t="e">
            <v>#VALUE!</v>
          </cell>
          <cell r="DR210" t="e">
            <v>#VALUE!</v>
          </cell>
          <cell r="DS210" t="e">
            <v>#VALUE!</v>
          </cell>
          <cell r="DT210" t="e">
            <v>#VALUE!</v>
          </cell>
          <cell r="DU210" t="e">
            <v>#VALUE!</v>
          </cell>
          <cell r="DW210"/>
          <cell r="DX210"/>
          <cell r="DY210"/>
          <cell r="DZ210"/>
          <cell r="EA210"/>
          <cell r="EB210"/>
          <cell r="EC210" t="str">
            <v>งานเคลือบ+พิมพ์</v>
          </cell>
          <cell r="ED210"/>
          <cell r="EG210"/>
          <cell r="EH210"/>
          <cell r="EI210"/>
        </row>
        <row r="211">
          <cell r="B211"/>
          <cell r="C211"/>
          <cell r="E211"/>
          <cell r="F211"/>
          <cell r="G211"/>
          <cell r="H211"/>
          <cell r="I211"/>
          <cell r="J211"/>
          <cell r="L211"/>
          <cell r="M211"/>
          <cell r="N211"/>
          <cell r="R211"/>
          <cell r="T211"/>
          <cell r="U211"/>
          <cell r="V211"/>
          <cell r="X211" t="str">
            <v>มีกำหนดส่ง</v>
          </cell>
          <cell r="Z211"/>
          <cell r="AA211">
            <v>260079</v>
          </cell>
          <cell r="AB211"/>
          <cell r="AC211"/>
          <cell r="AD211"/>
          <cell r="AG211"/>
          <cell r="AI211"/>
          <cell r="AJ211"/>
          <cell r="AL211"/>
          <cell r="AM211"/>
          <cell r="AN211"/>
          <cell r="AO211"/>
          <cell r="AQ211"/>
          <cell r="AR211"/>
          <cell r="AS211" t="e">
            <v>#REF!</v>
          </cell>
          <cell r="AT211" t="e">
            <v>#REF!</v>
          </cell>
          <cell r="AU211"/>
          <cell r="BZ211"/>
          <cell r="CA211"/>
          <cell r="DL211" t="str">
            <v>P11</v>
          </cell>
          <cell r="DM211">
            <v>2</v>
          </cell>
          <cell r="DN211" t="str">
            <v>มีกำหนดส่ง</v>
          </cell>
          <cell r="DP211" t="e">
            <v>#VALUE!</v>
          </cell>
          <cell r="DQ211" t="e">
            <v>#VALUE!</v>
          </cell>
          <cell r="DR211"/>
          <cell r="DS211"/>
          <cell r="DT211"/>
          <cell r="DU211" t="e">
            <v>#VALUE!</v>
          </cell>
          <cell r="DW211"/>
          <cell r="DX211"/>
          <cell r="DY211"/>
          <cell r="DZ211"/>
          <cell r="EA211"/>
          <cell r="EB211"/>
          <cell r="EC211" t="str">
            <v>งานเคลือบ+ตัด</v>
          </cell>
          <cell r="ED211"/>
          <cell r="EG211"/>
          <cell r="EH211"/>
          <cell r="EI211"/>
        </row>
        <row r="212">
          <cell r="B212"/>
          <cell r="C212"/>
          <cell r="E212" t="str">
            <v>ผู้สั่งผลิต..................................................</v>
          </cell>
          <cell r="F212"/>
          <cell r="G212"/>
          <cell r="H212"/>
          <cell r="I212" t="str">
            <v xml:space="preserve"> </v>
          </cell>
          <cell r="J212"/>
          <cell r="L212"/>
          <cell r="M212" t="str">
            <v xml:space="preserve"> </v>
          </cell>
          <cell r="N212"/>
          <cell r="R212"/>
          <cell r="T212"/>
          <cell r="U212"/>
          <cell r="V212"/>
          <cell r="X212"/>
          <cell r="Z212"/>
          <cell r="AA212"/>
          <cell r="AB212"/>
          <cell r="AC212"/>
          <cell r="AD212"/>
          <cell r="AG212"/>
          <cell r="AI212"/>
          <cell r="AJ212"/>
          <cell r="AL212"/>
          <cell r="AM212"/>
          <cell r="AN212"/>
          <cell r="AO212"/>
          <cell r="AQ212"/>
          <cell r="AR212"/>
          <cell r="AS212"/>
          <cell r="AT212"/>
          <cell r="AU212"/>
          <cell r="BZ212"/>
          <cell r="CA212"/>
          <cell r="DL212" t="str">
            <v>P9</v>
          </cell>
          <cell r="DM212">
            <v>3</v>
          </cell>
          <cell r="DN212">
            <v>0</v>
          </cell>
          <cell r="DP212">
            <v>-5</v>
          </cell>
          <cell r="DQ212"/>
          <cell r="DR212">
            <v>-10</v>
          </cell>
          <cell r="DS212">
            <v>-3</v>
          </cell>
          <cell r="DT212">
            <v>-2</v>
          </cell>
          <cell r="DU212">
            <v>-1</v>
          </cell>
          <cell r="DW212">
            <v>0</v>
          </cell>
          <cell r="DX212"/>
          <cell r="DY212"/>
          <cell r="DZ212"/>
          <cell r="EA212"/>
          <cell r="EB212"/>
          <cell r="EC212" t="str">
            <v>งานพิมพ์</v>
          </cell>
          <cell r="ED212"/>
          <cell r="EG212"/>
          <cell r="EH212"/>
          <cell r="EI212"/>
        </row>
        <row r="213">
          <cell r="B213"/>
          <cell r="C213"/>
          <cell r="E213" t="str">
            <v>เจ้าหน้าที่วางแผนการผลิต</v>
          </cell>
          <cell r="F213"/>
          <cell r="G213"/>
          <cell r="H213"/>
          <cell r="I213"/>
          <cell r="J213"/>
          <cell r="L213"/>
          <cell r="M213" t="str">
            <v>ผู้อนุมัติ..................................................</v>
          </cell>
          <cell r="N213"/>
          <cell r="R213"/>
          <cell r="T213"/>
          <cell r="U213"/>
          <cell r="V213"/>
          <cell r="X213"/>
          <cell r="Z213"/>
          <cell r="AA213"/>
          <cell r="AB213"/>
          <cell r="AC213"/>
          <cell r="AD213"/>
          <cell r="AG213"/>
          <cell r="AI213"/>
          <cell r="AJ213"/>
          <cell r="AL213"/>
          <cell r="AM213"/>
          <cell r="AN213"/>
          <cell r="AO213"/>
          <cell r="AQ213"/>
          <cell r="AR213"/>
          <cell r="AS213"/>
          <cell r="AT213" t="str">
            <v xml:space="preserve"> </v>
          </cell>
          <cell r="AU213"/>
          <cell r="BZ213"/>
          <cell r="CA213"/>
          <cell r="DL213" t="str">
            <v>P4</v>
          </cell>
          <cell r="DM213">
            <v>3</v>
          </cell>
          <cell r="DN213">
            <v>0</v>
          </cell>
          <cell r="DP213">
            <v>-5</v>
          </cell>
          <cell r="DQ213"/>
          <cell r="DR213">
            <v>-10</v>
          </cell>
          <cell r="DS213">
            <v>-3</v>
          </cell>
          <cell r="DT213"/>
          <cell r="DU213">
            <v>-2</v>
          </cell>
          <cell r="DW213">
            <v>-1</v>
          </cell>
          <cell r="DX213"/>
          <cell r="DY213"/>
          <cell r="DZ213"/>
          <cell r="EA213"/>
          <cell r="EB213"/>
          <cell r="EC213" t="str">
            <v>งานพิมพ์</v>
          </cell>
          <cell r="ED213"/>
          <cell r="EG213"/>
          <cell r="EH213"/>
          <cell r="EI213"/>
        </row>
        <row r="214">
          <cell r="B214"/>
          <cell r="C214"/>
          <cell r="E214" t="str">
            <v xml:space="preserve">        /         /        .</v>
          </cell>
          <cell r="F214"/>
          <cell r="G214"/>
          <cell r="H214"/>
          <cell r="I214"/>
          <cell r="J214"/>
          <cell r="L214"/>
          <cell r="M214" t="str">
            <v>ผู้จัดการฝ่ายผลิต</v>
          </cell>
          <cell r="N214"/>
          <cell r="R214"/>
          <cell r="T214"/>
          <cell r="U214"/>
          <cell r="V214" t="str">
            <v xml:space="preserve"> </v>
          </cell>
          <cell r="X214"/>
          <cell r="Z214"/>
          <cell r="AA214"/>
          <cell r="AB214"/>
          <cell r="AC214"/>
          <cell r="AD214"/>
          <cell r="AG214"/>
          <cell r="AI214"/>
          <cell r="AJ214"/>
          <cell r="AL214"/>
          <cell r="AM214"/>
          <cell r="AN214"/>
          <cell r="AO214"/>
          <cell r="AQ214"/>
          <cell r="AR214"/>
          <cell r="AS214"/>
          <cell r="AT214"/>
          <cell r="AU214"/>
          <cell r="BZ214"/>
          <cell r="CA214"/>
          <cell r="DL214" t="str">
            <v>P7</v>
          </cell>
          <cell r="DM214">
            <v>2</v>
          </cell>
          <cell r="DN214">
            <v>0</v>
          </cell>
          <cell r="DP214">
            <v>-5</v>
          </cell>
          <cell r="DQ214"/>
          <cell r="DR214">
            <v>-9</v>
          </cell>
          <cell r="DS214">
            <v>-2</v>
          </cell>
          <cell r="DT214">
            <v>-1</v>
          </cell>
          <cell r="DU214">
            <v>-1</v>
          </cell>
          <cell r="DW214"/>
          <cell r="DX214"/>
          <cell r="DY214"/>
          <cell r="DZ214"/>
          <cell r="EA214"/>
          <cell r="EB214"/>
          <cell r="EC214" t="str">
            <v>งานพิมพ์</v>
          </cell>
          <cell r="ED214"/>
          <cell r="EG214"/>
          <cell r="EH214"/>
          <cell r="EI214"/>
        </row>
        <row r="215">
          <cell r="B215"/>
          <cell r="C215"/>
          <cell r="E215"/>
          <cell r="F215"/>
          <cell r="G215"/>
          <cell r="H215"/>
          <cell r="I215"/>
          <cell r="J215"/>
          <cell r="L215"/>
          <cell r="M215" t="str">
            <v xml:space="preserve">        /         /        .</v>
          </cell>
          <cell r="N215"/>
          <cell r="R215"/>
          <cell r="T215"/>
          <cell r="U215"/>
          <cell r="V215"/>
          <cell r="X215"/>
          <cell r="Z215"/>
          <cell r="AA215"/>
          <cell r="AB215"/>
          <cell r="AC215"/>
          <cell r="AD215"/>
          <cell r="AG215"/>
          <cell r="AI215"/>
          <cell r="AJ215"/>
          <cell r="AL215"/>
          <cell r="AM215"/>
          <cell r="AN215"/>
          <cell r="AO215"/>
          <cell r="AQ215"/>
          <cell r="AR215"/>
          <cell r="AS215"/>
          <cell r="AT215"/>
          <cell r="AU215"/>
          <cell r="BZ215"/>
          <cell r="CA215"/>
          <cell r="DL215" t="str">
            <v>P8</v>
          </cell>
          <cell r="DM215">
            <v>4</v>
          </cell>
          <cell r="DN215">
            <v>0</v>
          </cell>
          <cell r="DP215">
            <v>-5</v>
          </cell>
          <cell r="DQ215">
            <v>-4</v>
          </cell>
          <cell r="DR215">
            <v>-10</v>
          </cell>
          <cell r="DS215">
            <v>-3</v>
          </cell>
          <cell r="DT215">
            <v>-2</v>
          </cell>
          <cell r="DU215">
            <v>-2</v>
          </cell>
          <cell r="DW215">
            <v>-1</v>
          </cell>
          <cell r="DX215"/>
          <cell r="DY215"/>
          <cell r="DZ215"/>
          <cell r="EA215"/>
          <cell r="EB215"/>
          <cell r="EC215" t="str">
            <v>งานเคลือบ+พิมพ์</v>
          </cell>
          <cell r="ED215"/>
          <cell r="EG215"/>
          <cell r="EH215"/>
          <cell r="EI215"/>
        </row>
        <row r="216">
          <cell r="B216"/>
          <cell r="C216"/>
          <cell r="E216"/>
          <cell r="F216" t="str">
            <v xml:space="preserve"> </v>
          </cell>
          <cell r="G216" t="str">
            <v xml:space="preserve"> </v>
          </cell>
          <cell r="H216"/>
          <cell r="I216"/>
          <cell r="J216"/>
          <cell r="L216"/>
          <cell r="M216"/>
          <cell r="N216"/>
          <cell r="R216"/>
          <cell r="T216"/>
          <cell r="U216"/>
          <cell r="V216"/>
          <cell r="X216"/>
          <cell r="Z216"/>
          <cell r="AA216"/>
          <cell r="AB216"/>
          <cell r="AC216"/>
          <cell r="AD216"/>
          <cell r="AG216"/>
          <cell r="AI216"/>
          <cell r="AJ216"/>
          <cell r="AL216"/>
          <cell r="AM216"/>
          <cell r="AN216"/>
          <cell r="AO216"/>
          <cell r="AQ216"/>
          <cell r="AR216"/>
          <cell r="AS216"/>
          <cell r="AT216"/>
          <cell r="AU216"/>
          <cell r="BZ216"/>
          <cell r="CA216"/>
          <cell r="DL216" t="str">
            <v>P13</v>
          </cell>
          <cell r="DM216">
            <v>2</v>
          </cell>
          <cell r="DN216">
            <v>0</v>
          </cell>
          <cell r="DP216">
            <v>-5</v>
          </cell>
          <cell r="DQ216"/>
          <cell r="DR216"/>
          <cell r="DS216"/>
          <cell r="DT216"/>
          <cell r="DU216">
            <v>-2</v>
          </cell>
          <cell r="DW216">
            <v>-1</v>
          </cell>
          <cell r="DX216"/>
          <cell r="DY216"/>
          <cell r="DZ216"/>
          <cell r="EA216"/>
          <cell r="EB216"/>
          <cell r="EC216" t="str">
            <v>ตัด</v>
          </cell>
          <cell r="ED216"/>
          <cell r="EG216"/>
          <cell r="EH216"/>
          <cell r="EI216"/>
        </row>
        <row r="217">
          <cell r="B217"/>
          <cell r="C217"/>
          <cell r="E217"/>
          <cell r="F217"/>
          <cell r="G217"/>
          <cell r="H217"/>
          <cell r="I217"/>
          <cell r="J217"/>
          <cell r="L217"/>
          <cell r="M217"/>
          <cell r="N217"/>
          <cell r="R217"/>
          <cell r="T217"/>
          <cell r="U217"/>
          <cell r="V217" t="str">
            <v xml:space="preserve"> </v>
          </cell>
          <cell r="X217"/>
          <cell r="Z217"/>
          <cell r="AA217"/>
          <cell r="AB217"/>
          <cell r="AC217"/>
          <cell r="AD217"/>
          <cell r="AG217"/>
          <cell r="AI217"/>
          <cell r="AJ217"/>
          <cell r="AL217"/>
          <cell r="AM217"/>
          <cell r="AN217"/>
          <cell r="AO217"/>
          <cell r="AQ217"/>
          <cell r="AR217"/>
          <cell r="AS217"/>
          <cell r="AT217"/>
          <cell r="AU217"/>
          <cell r="BZ217"/>
          <cell r="CA217"/>
          <cell r="DL217" t="str">
            <v>P10</v>
          </cell>
          <cell r="DM217">
            <v>3</v>
          </cell>
          <cell r="DN217">
            <v>0</v>
          </cell>
          <cell r="DP217">
            <v>-5</v>
          </cell>
          <cell r="DQ217">
            <v>-3</v>
          </cell>
          <cell r="DR217">
            <v>-9</v>
          </cell>
          <cell r="DS217">
            <v>-2</v>
          </cell>
          <cell r="DT217"/>
          <cell r="DU217">
            <v>-1</v>
          </cell>
          <cell r="DW217">
            <v>0</v>
          </cell>
          <cell r="DX217"/>
          <cell r="DY217"/>
          <cell r="DZ217"/>
          <cell r="EA217"/>
          <cell r="EB217"/>
          <cell r="EC217" t="str">
            <v>งานเคลือบ+พิมพ์</v>
          </cell>
          <cell r="ED217"/>
          <cell r="EG217"/>
          <cell r="EH217"/>
          <cell r="EI217"/>
        </row>
        <row r="218">
          <cell r="B218"/>
          <cell r="C218"/>
          <cell r="E218"/>
          <cell r="F218"/>
          <cell r="G218"/>
          <cell r="H218"/>
          <cell r="I218"/>
          <cell r="J218"/>
          <cell r="L218"/>
          <cell r="M218"/>
          <cell r="N218"/>
          <cell r="R218"/>
          <cell r="T218"/>
          <cell r="U218"/>
          <cell r="V218"/>
          <cell r="X218"/>
          <cell r="Z218"/>
          <cell r="AA218" t="str">
            <v xml:space="preserve"> </v>
          </cell>
          <cell r="AB218"/>
          <cell r="AC218"/>
          <cell r="AD218"/>
          <cell r="AG218"/>
          <cell r="AI218"/>
          <cell r="AJ218" t="str">
            <v>.</v>
          </cell>
          <cell r="AL218"/>
          <cell r="AM218"/>
          <cell r="AN218"/>
          <cell r="AO218"/>
          <cell r="AQ218"/>
          <cell r="AR218"/>
          <cell r="AS218"/>
          <cell r="AT218"/>
          <cell r="AU218"/>
          <cell r="BZ218"/>
          <cell r="CA218"/>
          <cell r="DL218"/>
          <cell r="DM218" t="str">
            <v>Lead time</v>
          </cell>
          <cell r="DN218"/>
          <cell r="DP218">
            <v>-5</v>
          </cell>
          <cell r="DQ218"/>
          <cell r="DR218"/>
          <cell r="DS218"/>
          <cell r="DT218"/>
          <cell r="DU218"/>
          <cell r="DW218"/>
          <cell r="DX218"/>
          <cell r="DY218"/>
          <cell r="DZ218"/>
          <cell r="EA218"/>
          <cell r="EB218"/>
          <cell r="EC218"/>
          <cell r="ED218"/>
          <cell r="EG218"/>
          <cell r="EH218"/>
          <cell r="EI218"/>
        </row>
        <row r="219">
          <cell r="B219"/>
          <cell r="C219"/>
          <cell r="E219"/>
          <cell r="F219"/>
          <cell r="G219"/>
          <cell r="H219"/>
          <cell r="I219"/>
          <cell r="J219"/>
          <cell r="L219"/>
          <cell r="M219"/>
          <cell r="N219"/>
          <cell r="R219"/>
          <cell r="T219"/>
          <cell r="U219"/>
          <cell r="V219"/>
          <cell r="X219"/>
          <cell r="Z219"/>
          <cell r="AA219"/>
          <cell r="AB219"/>
          <cell r="AC219"/>
          <cell r="AD219"/>
          <cell r="AG219"/>
          <cell r="AI219"/>
          <cell r="AJ219"/>
          <cell r="AL219"/>
          <cell r="AM219"/>
          <cell r="AN219"/>
          <cell r="AO219"/>
          <cell r="AQ219"/>
          <cell r="AR219"/>
          <cell r="AS219"/>
          <cell r="AT219"/>
          <cell r="AU219"/>
          <cell r="BZ219"/>
          <cell r="CA219"/>
          <cell r="DL219" t="str">
            <v>P5.2</v>
          </cell>
          <cell r="DM219">
            <v>4</v>
          </cell>
          <cell r="DN219">
            <v>0</v>
          </cell>
          <cell r="DP219">
            <v>-15</v>
          </cell>
          <cell r="DQ219"/>
          <cell r="DR219">
            <v>-11</v>
          </cell>
          <cell r="DS219">
            <v>-4</v>
          </cell>
          <cell r="DT219">
            <v>-3</v>
          </cell>
          <cell r="DU219">
            <v>-3</v>
          </cell>
          <cell r="DW219">
            <v>-2</v>
          </cell>
          <cell r="DX219">
            <v>-1</v>
          </cell>
          <cell r="DY219"/>
          <cell r="DZ219"/>
          <cell r="EA219"/>
          <cell r="EB219"/>
          <cell r="EC219"/>
          <cell r="ED219"/>
          <cell r="EG219"/>
          <cell r="EH219"/>
          <cell r="EI219"/>
        </row>
        <row r="220">
          <cell r="B220"/>
          <cell r="C220"/>
          <cell r="E220"/>
          <cell r="F220"/>
          <cell r="G220"/>
          <cell r="H220"/>
          <cell r="I220"/>
          <cell r="J220"/>
          <cell r="L220"/>
          <cell r="M220"/>
          <cell r="N220"/>
          <cell r="R220"/>
          <cell r="T220"/>
          <cell r="U220"/>
          <cell r="V220"/>
          <cell r="X220"/>
          <cell r="Z220"/>
          <cell r="AA220"/>
          <cell r="AB220"/>
          <cell r="AC220"/>
          <cell r="AD220"/>
          <cell r="AG220"/>
          <cell r="AI220"/>
          <cell r="AJ220"/>
          <cell r="AL220"/>
          <cell r="AM220"/>
          <cell r="AN220"/>
          <cell r="AO220"/>
          <cell r="AQ220"/>
          <cell r="AR220"/>
          <cell r="AS220"/>
          <cell r="AT220"/>
          <cell r="AU220"/>
          <cell r="BZ220"/>
          <cell r="CA220"/>
          <cell r="DL220" t="str">
            <v>P5.3</v>
          </cell>
          <cell r="DM220">
            <v>6</v>
          </cell>
          <cell r="DN220">
            <v>0</v>
          </cell>
          <cell r="DP220">
            <v>-15</v>
          </cell>
          <cell r="DQ220">
            <v>-6</v>
          </cell>
          <cell r="DR220">
            <v>-12</v>
          </cell>
          <cell r="DS220">
            <v>-5</v>
          </cell>
          <cell r="DT220">
            <v>-4</v>
          </cell>
          <cell r="DU220">
            <v>-3</v>
          </cell>
          <cell r="DW220">
            <v>-2</v>
          </cell>
          <cell r="DX220">
            <v>-1</v>
          </cell>
          <cell r="DY220"/>
          <cell r="DZ220"/>
          <cell r="EA220"/>
          <cell r="EB220"/>
          <cell r="EC220"/>
          <cell r="ED220"/>
          <cell r="EG220"/>
          <cell r="EH220"/>
          <cell r="EI220"/>
        </row>
        <row r="221">
          <cell r="B221"/>
          <cell r="C221"/>
          <cell r="E221"/>
          <cell r="F221"/>
          <cell r="G221"/>
          <cell r="H221"/>
          <cell r="I221"/>
          <cell r="J221"/>
          <cell r="L221"/>
          <cell r="M221"/>
          <cell r="N221"/>
          <cell r="R221"/>
          <cell r="T221"/>
          <cell r="U221"/>
          <cell r="V221"/>
          <cell r="X221"/>
          <cell r="Z221"/>
          <cell r="AA221"/>
          <cell r="AB221"/>
          <cell r="AC221"/>
          <cell r="AD221"/>
          <cell r="AG221"/>
          <cell r="AI221"/>
          <cell r="AJ221"/>
          <cell r="AL221"/>
          <cell r="AM221"/>
          <cell r="AN221"/>
          <cell r="AO221"/>
          <cell r="AQ221"/>
          <cell r="AR221"/>
          <cell r="AS221"/>
          <cell r="AT221"/>
          <cell r="AU221"/>
          <cell r="BZ221"/>
          <cell r="CA221"/>
          <cell r="DL221"/>
          <cell r="DM221"/>
          <cell r="DN221"/>
          <cell r="DP221"/>
          <cell r="DQ221"/>
          <cell r="DR221"/>
          <cell r="DS221"/>
          <cell r="DT221"/>
          <cell r="DU221"/>
          <cell r="DW221"/>
          <cell r="DX221"/>
          <cell r="DY221"/>
          <cell r="DZ221"/>
          <cell r="EA221"/>
          <cell r="EB221"/>
          <cell r="EC221"/>
          <cell r="ED221"/>
          <cell r="EG221"/>
          <cell r="EH221"/>
          <cell r="EI221"/>
        </row>
        <row r="222">
          <cell r="B222"/>
          <cell r="C222"/>
          <cell r="E222"/>
          <cell r="F222"/>
          <cell r="G222"/>
          <cell r="H222"/>
          <cell r="I222"/>
          <cell r="J222"/>
          <cell r="L222"/>
          <cell r="M222"/>
          <cell r="N222"/>
          <cell r="R222"/>
          <cell r="T222"/>
          <cell r="U222"/>
          <cell r="V222"/>
          <cell r="X222"/>
          <cell r="Z222"/>
          <cell r="AA222"/>
          <cell r="AB222"/>
          <cell r="AC222"/>
          <cell r="AD222"/>
          <cell r="AG222"/>
          <cell r="AI222"/>
          <cell r="AJ222"/>
          <cell r="AL222"/>
          <cell r="AM222"/>
          <cell r="AN222"/>
          <cell r="AO222"/>
          <cell r="AQ222"/>
          <cell r="AR222"/>
          <cell r="AS222"/>
          <cell r="AT222"/>
          <cell r="AU222"/>
          <cell r="BZ222"/>
          <cell r="CA222"/>
          <cell r="DL222"/>
          <cell r="DM222"/>
          <cell r="DN222"/>
          <cell r="DP222"/>
          <cell r="DQ222"/>
          <cell r="DR222"/>
          <cell r="DS222"/>
          <cell r="DT222"/>
          <cell r="DU222"/>
          <cell r="DW222"/>
          <cell r="DX222"/>
          <cell r="DY222"/>
          <cell r="DZ222"/>
          <cell r="EA222"/>
          <cell r="EB222"/>
          <cell r="EC222"/>
          <cell r="ED222"/>
          <cell r="EG222"/>
          <cell r="EH222"/>
          <cell r="EI222"/>
        </row>
        <row r="223">
          <cell r="B223"/>
          <cell r="C223"/>
          <cell r="E223"/>
          <cell r="F223"/>
          <cell r="G223"/>
          <cell r="H223"/>
          <cell r="I223"/>
          <cell r="J223"/>
          <cell r="L223"/>
          <cell r="M223"/>
          <cell r="N223"/>
          <cell r="R223"/>
          <cell r="T223"/>
          <cell r="U223"/>
          <cell r="V223"/>
          <cell r="X223"/>
          <cell r="Z223"/>
          <cell r="AA223"/>
          <cell r="AB223"/>
          <cell r="AC223"/>
          <cell r="AD223"/>
          <cell r="AG223"/>
          <cell r="AI223"/>
          <cell r="AJ223"/>
          <cell r="AL223"/>
          <cell r="AM223"/>
          <cell r="AN223"/>
          <cell r="AO223"/>
          <cell r="AQ223"/>
          <cell r="AR223"/>
          <cell r="AS223"/>
          <cell r="AT223"/>
          <cell r="AU223"/>
          <cell r="BZ223"/>
          <cell r="CA223"/>
          <cell r="DL223"/>
          <cell r="DM223"/>
          <cell r="DN223"/>
          <cell r="DP223"/>
          <cell r="DQ223"/>
          <cell r="DR223"/>
          <cell r="DS223"/>
          <cell r="DT223"/>
          <cell r="DU223"/>
          <cell r="DW223"/>
          <cell r="DX223"/>
          <cell r="DY223"/>
          <cell r="DZ223"/>
          <cell r="EA223"/>
          <cell r="EB223"/>
          <cell r="EC223"/>
          <cell r="ED223"/>
          <cell r="EG223"/>
          <cell r="EH223"/>
          <cell r="EI223"/>
        </row>
        <row r="224">
          <cell r="B224"/>
          <cell r="C224"/>
          <cell r="E224"/>
          <cell r="F224"/>
          <cell r="G224"/>
          <cell r="H224"/>
          <cell r="I224"/>
          <cell r="J224"/>
          <cell r="L224"/>
          <cell r="M224"/>
          <cell r="N224"/>
          <cell r="R224"/>
          <cell r="T224"/>
          <cell r="U224"/>
          <cell r="V224"/>
          <cell r="X224"/>
          <cell r="Z224"/>
          <cell r="AA224"/>
          <cell r="AB224"/>
          <cell r="AC224"/>
          <cell r="AD224"/>
          <cell r="AG224"/>
          <cell r="AI224"/>
          <cell r="AJ224"/>
          <cell r="AL224"/>
          <cell r="AM224"/>
          <cell r="AN224"/>
          <cell r="AO224"/>
          <cell r="AQ224"/>
          <cell r="AR224"/>
          <cell r="AS224"/>
          <cell r="AT224"/>
          <cell r="AU224"/>
          <cell r="BZ224"/>
          <cell r="CA224"/>
          <cell r="DL224"/>
          <cell r="DM224"/>
          <cell r="DN224"/>
          <cell r="DP224"/>
          <cell r="DQ224"/>
          <cell r="DR224"/>
          <cell r="DS224"/>
          <cell r="DT224"/>
          <cell r="DU224"/>
          <cell r="DW224"/>
          <cell r="DX224"/>
          <cell r="DY224"/>
          <cell r="DZ224"/>
          <cell r="EA224"/>
          <cell r="EB224"/>
          <cell r="EC224"/>
          <cell r="ED224"/>
          <cell r="EG224"/>
          <cell r="EH224"/>
          <cell r="EI224"/>
        </row>
        <row r="225">
          <cell r="B225"/>
          <cell r="C225"/>
          <cell r="E225"/>
          <cell r="F225"/>
          <cell r="G225"/>
          <cell r="H225"/>
          <cell r="I225"/>
          <cell r="J225"/>
          <cell r="L225"/>
          <cell r="M225"/>
          <cell r="N225"/>
          <cell r="R225"/>
          <cell r="T225"/>
          <cell r="U225"/>
          <cell r="V225"/>
          <cell r="X225"/>
          <cell r="Z225"/>
          <cell r="AA225"/>
          <cell r="AB225"/>
          <cell r="AC225"/>
          <cell r="AD225"/>
          <cell r="AG225"/>
          <cell r="AI225"/>
          <cell r="AJ225"/>
          <cell r="AL225"/>
          <cell r="AM225"/>
          <cell r="AN225"/>
          <cell r="AO225"/>
          <cell r="AQ225"/>
          <cell r="AR225"/>
          <cell r="AS225"/>
          <cell r="AT225"/>
          <cell r="AU225"/>
          <cell r="BZ225"/>
          <cell r="CA225"/>
          <cell r="DL225"/>
          <cell r="DM225"/>
          <cell r="DN225"/>
          <cell r="DP225"/>
          <cell r="DQ225"/>
          <cell r="DR225"/>
          <cell r="DS225"/>
          <cell r="DT225"/>
          <cell r="DU225"/>
          <cell r="DW225"/>
          <cell r="DX225"/>
          <cell r="DY225"/>
          <cell r="DZ225"/>
          <cell r="EA225"/>
          <cell r="EB225"/>
          <cell r="EC225"/>
          <cell r="ED225"/>
          <cell r="EG225"/>
          <cell r="EH225"/>
          <cell r="EI225"/>
        </row>
        <row r="226">
          <cell r="B226"/>
          <cell r="C226"/>
          <cell r="E226"/>
          <cell r="F226"/>
          <cell r="G226"/>
          <cell r="H226"/>
          <cell r="I226"/>
          <cell r="J226"/>
          <cell r="L226"/>
          <cell r="M226"/>
          <cell r="N226"/>
          <cell r="R226"/>
          <cell r="T226"/>
          <cell r="U226"/>
          <cell r="V226"/>
          <cell r="X226"/>
          <cell r="Z226"/>
          <cell r="AA226"/>
          <cell r="AB226"/>
          <cell r="AC226"/>
          <cell r="AD226"/>
          <cell r="AG226"/>
          <cell r="AI226"/>
          <cell r="AJ226"/>
          <cell r="AL226"/>
          <cell r="AM226"/>
          <cell r="AN226"/>
          <cell r="AO226"/>
          <cell r="AQ226"/>
          <cell r="AR226"/>
          <cell r="AS226"/>
          <cell r="AT226"/>
          <cell r="AU226"/>
          <cell r="BZ226"/>
          <cell r="CA226"/>
          <cell r="DL226"/>
          <cell r="DM226"/>
          <cell r="DN226"/>
          <cell r="DP226"/>
          <cell r="DQ226"/>
          <cell r="DR226"/>
          <cell r="DS226"/>
          <cell r="DT226"/>
          <cell r="DU226"/>
          <cell r="DW226"/>
          <cell r="DX226"/>
          <cell r="DY226"/>
          <cell r="DZ226"/>
          <cell r="EA226"/>
          <cell r="EB226"/>
          <cell r="EC226"/>
          <cell r="ED226"/>
          <cell r="EG226"/>
          <cell r="EH226"/>
          <cell r="EI226"/>
        </row>
        <row r="227">
          <cell r="B227"/>
          <cell r="C227"/>
          <cell r="E227"/>
          <cell r="F227"/>
          <cell r="G227"/>
          <cell r="H227"/>
          <cell r="I227"/>
          <cell r="J227"/>
          <cell r="L227"/>
          <cell r="M227"/>
          <cell r="N227"/>
          <cell r="R227"/>
          <cell r="T227"/>
          <cell r="U227"/>
          <cell r="V227"/>
          <cell r="X227"/>
          <cell r="Z227"/>
          <cell r="AA227"/>
          <cell r="AB227"/>
          <cell r="AC227"/>
          <cell r="AD227"/>
          <cell r="AG227"/>
          <cell r="AI227"/>
          <cell r="AJ227"/>
          <cell r="AL227"/>
          <cell r="AM227"/>
          <cell r="AN227"/>
          <cell r="AO227"/>
          <cell r="AQ227"/>
          <cell r="AR227"/>
          <cell r="AS227"/>
          <cell r="AT227"/>
          <cell r="AU227"/>
          <cell r="BZ227"/>
          <cell r="CA227"/>
          <cell r="DL227"/>
          <cell r="DM227"/>
          <cell r="DN227"/>
          <cell r="DP227"/>
          <cell r="DQ227"/>
          <cell r="DR227"/>
          <cell r="DS227"/>
          <cell r="DT227"/>
          <cell r="DU227"/>
          <cell r="DW227"/>
          <cell r="DX227"/>
          <cell r="DY227"/>
          <cell r="DZ227"/>
          <cell r="EA227"/>
          <cell r="EB227"/>
          <cell r="EC227"/>
          <cell r="ED227"/>
          <cell r="EG227"/>
          <cell r="EH227"/>
          <cell r="EI227"/>
        </row>
        <row r="228">
          <cell r="B228"/>
          <cell r="C228"/>
          <cell r="E228"/>
          <cell r="F228"/>
          <cell r="G228"/>
          <cell r="H228"/>
          <cell r="I228"/>
          <cell r="J228"/>
          <cell r="L228"/>
          <cell r="M228"/>
          <cell r="N228"/>
          <cell r="R228"/>
          <cell r="T228"/>
          <cell r="U228"/>
          <cell r="V228"/>
          <cell r="X228"/>
          <cell r="Z228"/>
          <cell r="AA228"/>
          <cell r="AB228"/>
          <cell r="AC228"/>
          <cell r="AD228"/>
          <cell r="AG228"/>
          <cell r="AI228"/>
          <cell r="AJ228"/>
          <cell r="AL228"/>
          <cell r="AM228"/>
          <cell r="AN228"/>
          <cell r="AO228"/>
          <cell r="AQ228"/>
          <cell r="AR228"/>
          <cell r="AS228"/>
          <cell r="AT228"/>
          <cell r="AU228"/>
          <cell r="BZ228"/>
          <cell r="CA228"/>
          <cell r="DL228"/>
          <cell r="DM228"/>
          <cell r="DN228"/>
          <cell r="DP228"/>
          <cell r="DQ228"/>
          <cell r="DR228"/>
          <cell r="DS228"/>
          <cell r="DT228"/>
          <cell r="DU228"/>
          <cell r="DW228"/>
          <cell r="DX228"/>
          <cell r="DY228"/>
          <cell r="DZ228"/>
          <cell r="EA228"/>
          <cell r="EB228"/>
          <cell r="EC228"/>
          <cell r="ED228"/>
          <cell r="EG228"/>
          <cell r="EH228"/>
          <cell r="EI228"/>
        </row>
        <row r="229">
          <cell r="B229"/>
          <cell r="C229"/>
          <cell r="E229"/>
          <cell r="F229"/>
          <cell r="G229"/>
          <cell r="H229"/>
          <cell r="I229"/>
          <cell r="J229"/>
          <cell r="L229"/>
          <cell r="M229"/>
          <cell r="N229"/>
          <cell r="R229"/>
          <cell r="T229"/>
          <cell r="U229"/>
          <cell r="V229"/>
          <cell r="X229"/>
          <cell r="Z229"/>
          <cell r="AA229"/>
          <cell r="AB229"/>
          <cell r="AC229"/>
          <cell r="AD229"/>
          <cell r="AG229"/>
          <cell r="AI229"/>
          <cell r="AJ229"/>
          <cell r="AL229"/>
          <cell r="AM229"/>
          <cell r="AN229"/>
          <cell r="AO229"/>
          <cell r="AQ229"/>
          <cell r="AR229"/>
          <cell r="AS229"/>
          <cell r="AT229"/>
          <cell r="AU229"/>
          <cell r="BZ229"/>
          <cell r="CA229"/>
          <cell r="DL229"/>
          <cell r="DM229"/>
          <cell r="DN229"/>
          <cell r="DP229"/>
          <cell r="DQ229"/>
          <cell r="DR229"/>
          <cell r="DS229"/>
          <cell r="DT229"/>
          <cell r="DU229"/>
          <cell r="DW229"/>
          <cell r="DX229"/>
          <cell r="DY229"/>
          <cell r="DZ229"/>
          <cell r="EA229"/>
          <cell r="EB229"/>
          <cell r="EC229"/>
          <cell r="ED229"/>
          <cell r="EG229"/>
          <cell r="EH229"/>
          <cell r="EI229"/>
        </row>
        <row r="230">
          <cell r="B230"/>
          <cell r="C230"/>
          <cell r="E230"/>
          <cell r="F230"/>
          <cell r="G230"/>
          <cell r="H230"/>
          <cell r="I230"/>
          <cell r="J230"/>
          <cell r="L230"/>
          <cell r="M230"/>
          <cell r="N230"/>
          <cell r="R230"/>
          <cell r="T230"/>
          <cell r="U230"/>
          <cell r="V230"/>
          <cell r="X230"/>
          <cell r="Z230"/>
          <cell r="AA230"/>
          <cell r="AB230"/>
          <cell r="AC230"/>
          <cell r="AD230"/>
          <cell r="AG230"/>
          <cell r="AI230"/>
          <cell r="AJ230"/>
          <cell r="AL230"/>
          <cell r="AM230"/>
          <cell r="AN230"/>
          <cell r="AO230"/>
          <cell r="AQ230"/>
          <cell r="AR230"/>
          <cell r="AS230"/>
          <cell r="AT230"/>
          <cell r="AU230"/>
          <cell r="BZ230"/>
          <cell r="CA230"/>
          <cell r="DL230"/>
          <cell r="DM230"/>
          <cell r="DN230"/>
          <cell r="DP230"/>
          <cell r="DQ230"/>
          <cell r="DR230"/>
          <cell r="DS230"/>
          <cell r="DT230"/>
          <cell r="DU230"/>
          <cell r="DW230"/>
          <cell r="DX230"/>
          <cell r="DY230"/>
          <cell r="DZ230"/>
          <cell r="EA230"/>
          <cell r="EB230"/>
          <cell r="EC230"/>
          <cell r="ED230"/>
          <cell r="EG230"/>
          <cell r="EH230"/>
          <cell r="EI230"/>
        </row>
        <row r="231">
          <cell r="B231"/>
          <cell r="C231"/>
          <cell r="E231"/>
          <cell r="F231"/>
          <cell r="G231"/>
          <cell r="H231"/>
          <cell r="I231"/>
          <cell r="J231"/>
          <cell r="L231"/>
          <cell r="M231"/>
          <cell r="N231"/>
          <cell r="R231"/>
          <cell r="T231"/>
          <cell r="U231"/>
          <cell r="V231"/>
          <cell r="X231"/>
          <cell r="Z231"/>
          <cell r="AA231"/>
          <cell r="AB231"/>
          <cell r="AC231"/>
          <cell r="AD231"/>
          <cell r="AG231"/>
          <cell r="AI231"/>
          <cell r="AJ231"/>
          <cell r="AL231"/>
          <cell r="AM231"/>
          <cell r="AN231"/>
          <cell r="AO231"/>
          <cell r="AQ231"/>
          <cell r="AR231"/>
          <cell r="AS231"/>
          <cell r="AT231"/>
          <cell r="AU231"/>
          <cell r="BZ231"/>
          <cell r="CA231"/>
          <cell r="DL231"/>
          <cell r="DM231"/>
          <cell r="DN231"/>
          <cell r="DP231"/>
          <cell r="DQ231"/>
          <cell r="DR231"/>
          <cell r="DS231"/>
          <cell r="DT231"/>
          <cell r="DU231"/>
          <cell r="DW231"/>
          <cell r="DX231"/>
          <cell r="DY231"/>
          <cell r="DZ231"/>
          <cell r="EA231"/>
          <cell r="EB231"/>
          <cell r="EC231"/>
          <cell r="ED231"/>
          <cell r="EG231"/>
          <cell r="EH231"/>
          <cell r="EI231"/>
        </row>
        <row r="232">
          <cell r="B232"/>
          <cell r="C232"/>
          <cell r="E232"/>
          <cell r="F232"/>
          <cell r="G232"/>
          <cell r="H232"/>
          <cell r="I232"/>
          <cell r="J232"/>
          <cell r="L232"/>
          <cell r="M232"/>
          <cell r="N232"/>
          <cell r="R232"/>
          <cell r="T232"/>
          <cell r="U232"/>
          <cell r="V232"/>
          <cell r="X232"/>
          <cell r="Z232"/>
          <cell r="AA232"/>
          <cell r="AB232"/>
          <cell r="AC232"/>
          <cell r="AD232"/>
          <cell r="AG232"/>
          <cell r="AI232"/>
          <cell r="AJ232"/>
          <cell r="AL232"/>
          <cell r="AM232"/>
          <cell r="AN232"/>
          <cell r="AO232"/>
          <cell r="AQ232"/>
          <cell r="AR232"/>
          <cell r="AS232"/>
          <cell r="AT232"/>
          <cell r="AU232"/>
          <cell r="BZ232"/>
          <cell r="CA232"/>
          <cell r="DL232"/>
          <cell r="DM232"/>
          <cell r="DN232"/>
          <cell r="DP232"/>
          <cell r="DQ232"/>
          <cell r="DR232"/>
          <cell r="DS232"/>
          <cell r="DT232"/>
          <cell r="DU232"/>
          <cell r="DW232"/>
          <cell r="DX232"/>
          <cell r="DY232"/>
          <cell r="DZ232"/>
          <cell r="EA232"/>
          <cell r="EB232"/>
          <cell r="EC232"/>
          <cell r="ED232"/>
          <cell r="EG232"/>
          <cell r="EH232"/>
          <cell r="EI232"/>
        </row>
        <row r="233">
          <cell r="B233"/>
          <cell r="C233"/>
          <cell r="E233"/>
          <cell r="F233"/>
          <cell r="G233"/>
          <cell r="H233"/>
          <cell r="I233"/>
          <cell r="J233"/>
          <cell r="L233"/>
          <cell r="M233"/>
          <cell r="N233"/>
          <cell r="R233"/>
          <cell r="T233"/>
          <cell r="U233"/>
          <cell r="V233"/>
          <cell r="X233"/>
          <cell r="Z233"/>
          <cell r="AA233"/>
          <cell r="AB233"/>
          <cell r="AC233"/>
          <cell r="AD233"/>
          <cell r="AG233"/>
          <cell r="AI233"/>
          <cell r="AJ233"/>
          <cell r="AL233"/>
          <cell r="AM233"/>
          <cell r="AN233"/>
          <cell r="AO233"/>
          <cell r="AQ233"/>
          <cell r="AR233"/>
          <cell r="AS233"/>
          <cell r="AT233"/>
          <cell r="AU233"/>
          <cell r="BZ233"/>
          <cell r="CA233"/>
          <cell r="DL233"/>
          <cell r="DM233"/>
          <cell r="DN233"/>
          <cell r="DP233"/>
          <cell r="DQ233"/>
          <cell r="DR233"/>
          <cell r="DS233"/>
          <cell r="DT233"/>
          <cell r="DU233"/>
          <cell r="DW233"/>
          <cell r="DX233"/>
          <cell r="DY233"/>
          <cell r="DZ233"/>
          <cell r="EA233"/>
          <cell r="EB233"/>
          <cell r="EC233"/>
          <cell r="ED233"/>
          <cell r="EG233"/>
          <cell r="EH233"/>
          <cell r="EI233"/>
        </row>
        <row r="234">
          <cell r="B234"/>
          <cell r="C234"/>
          <cell r="E234"/>
          <cell r="F234"/>
          <cell r="G234"/>
          <cell r="H234"/>
          <cell r="I234"/>
          <cell r="J234"/>
          <cell r="L234"/>
          <cell r="M234"/>
          <cell r="N234"/>
          <cell r="R234"/>
          <cell r="T234"/>
          <cell r="U234"/>
          <cell r="V234"/>
          <cell r="X234"/>
          <cell r="Z234"/>
          <cell r="AA234"/>
          <cell r="AB234"/>
          <cell r="AC234"/>
          <cell r="AD234"/>
          <cell r="AG234"/>
          <cell r="AI234"/>
          <cell r="AJ234"/>
          <cell r="AL234"/>
          <cell r="AM234"/>
          <cell r="AN234"/>
          <cell r="AO234"/>
          <cell r="AQ234"/>
          <cell r="AR234"/>
          <cell r="AS234"/>
          <cell r="AT234"/>
          <cell r="AU234"/>
          <cell r="BZ234"/>
          <cell r="CA234"/>
          <cell r="DL234"/>
          <cell r="DM234"/>
          <cell r="DN234"/>
          <cell r="DP234"/>
          <cell r="DQ234"/>
          <cell r="DR234"/>
          <cell r="DS234"/>
          <cell r="DT234"/>
          <cell r="DU234"/>
          <cell r="DW234"/>
          <cell r="DX234"/>
          <cell r="DY234"/>
          <cell r="DZ234"/>
          <cell r="EA234"/>
          <cell r="EB234"/>
          <cell r="EC234"/>
          <cell r="ED234"/>
          <cell r="EG234"/>
          <cell r="EH234"/>
          <cell r="EI234"/>
        </row>
        <row r="235">
          <cell r="B235"/>
          <cell r="C235"/>
          <cell r="E235"/>
          <cell r="F235"/>
          <cell r="G235"/>
          <cell r="H235"/>
          <cell r="I235"/>
          <cell r="J235"/>
          <cell r="L235"/>
          <cell r="M235"/>
          <cell r="N235"/>
          <cell r="R235"/>
          <cell r="T235"/>
          <cell r="U235"/>
          <cell r="V235"/>
          <cell r="X235"/>
          <cell r="Z235"/>
          <cell r="AA235"/>
          <cell r="AB235"/>
          <cell r="AC235"/>
          <cell r="AD235"/>
          <cell r="AG235"/>
          <cell r="AI235"/>
          <cell r="AJ235"/>
          <cell r="AL235"/>
          <cell r="AM235"/>
          <cell r="AN235"/>
          <cell r="AO235"/>
          <cell r="AQ235"/>
          <cell r="AR235"/>
          <cell r="AS235"/>
          <cell r="AT235"/>
          <cell r="AU235"/>
          <cell r="BZ235"/>
          <cell r="CA235"/>
          <cell r="DL235"/>
          <cell r="DM235"/>
          <cell r="DN235"/>
          <cell r="DP235"/>
          <cell r="DQ235"/>
          <cell r="DR235"/>
          <cell r="DS235"/>
          <cell r="DT235"/>
          <cell r="DU235"/>
          <cell r="DW235"/>
          <cell r="DX235"/>
          <cell r="DY235"/>
          <cell r="DZ235"/>
          <cell r="EA235"/>
          <cell r="EB235"/>
          <cell r="EC235"/>
          <cell r="ED235"/>
          <cell r="EG235"/>
          <cell r="EH235"/>
          <cell r="EI235"/>
        </row>
        <row r="236">
          <cell r="B236"/>
          <cell r="C236"/>
          <cell r="E236"/>
          <cell r="F236"/>
          <cell r="G236"/>
          <cell r="H236"/>
          <cell r="I236"/>
          <cell r="J236"/>
          <cell r="L236"/>
          <cell r="M236"/>
          <cell r="N236"/>
          <cell r="R236"/>
          <cell r="T236"/>
          <cell r="U236"/>
          <cell r="V236"/>
          <cell r="X236"/>
          <cell r="Z236"/>
          <cell r="AA236"/>
          <cell r="AB236"/>
          <cell r="AC236"/>
          <cell r="AD236"/>
          <cell r="AG236"/>
          <cell r="AI236"/>
          <cell r="AJ236"/>
          <cell r="AL236"/>
          <cell r="AM236"/>
          <cell r="AN236"/>
          <cell r="AO236"/>
          <cell r="AQ236"/>
          <cell r="AR236"/>
          <cell r="AS236"/>
          <cell r="AT236"/>
          <cell r="AU236"/>
          <cell r="BZ236"/>
          <cell r="CA236"/>
          <cell r="DL236"/>
          <cell r="DM236"/>
          <cell r="DN236"/>
          <cell r="DP236"/>
          <cell r="DQ236"/>
          <cell r="DR236"/>
          <cell r="DS236"/>
          <cell r="DT236"/>
          <cell r="DU236"/>
          <cell r="DW236"/>
          <cell r="DX236"/>
          <cell r="DY236"/>
          <cell r="DZ236"/>
          <cell r="EA236"/>
          <cell r="EB236"/>
          <cell r="EC236"/>
          <cell r="ED236"/>
          <cell r="EG236"/>
          <cell r="EH236"/>
          <cell r="EI236"/>
        </row>
        <row r="237">
          <cell r="B237"/>
          <cell r="C237"/>
          <cell r="E237"/>
          <cell r="F237"/>
          <cell r="G237"/>
          <cell r="H237" t="str">
            <v xml:space="preserve"> </v>
          </cell>
          <cell r="I237"/>
          <cell r="J237"/>
          <cell r="L237"/>
          <cell r="M237"/>
          <cell r="N237"/>
          <cell r="R237"/>
          <cell r="T237"/>
          <cell r="U237"/>
          <cell r="V237"/>
          <cell r="X237"/>
          <cell r="Z237"/>
          <cell r="AA237"/>
          <cell r="AB237"/>
          <cell r="AC237"/>
          <cell r="AD237"/>
          <cell r="AG237"/>
          <cell r="AI237"/>
          <cell r="AJ237"/>
          <cell r="AL237"/>
          <cell r="AM237"/>
          <cell r="AN237"/>
          <cell r="AO237"/>
          <cell r="AQ237"/>
          <cell r="AR237"/>
          <cell r="AS237"/>
          <cell r="AT237"/>
          <cell r="AU237"/>
          <cell r="BZ237"/>
          <cell r="CA237"/>
          <cell r="DL237"/>
          <cell r="DM237"/>
          <cell r="DN237"/>
          <cell r="DP237"/>
          <cell r="DQ237"/>
          <cell r="DR237"/>
          <cell r="DS237"/>
          <cell r="DT237"/>
          <cell r="DU237"/>
          <cell r="DW237"/>
          <cell r="DX237"/>
          <cell r="DY237"/>
          <cell r="DZ237"/>
          <cell r="EA237"/>
          <cell r="EB237"/>
          <cell r="EC237"/>
          <cell r="ED237"/>
          <cell r="EG237"/>
          <cell r="EH237"/>
          <cell r="EI237"/>
        </row>
        <row r="238">
          <cell r="B238"/>
          <cell r="C238"/>
          <cell r="E238"/>
          <cell r="F238"/>
          <cell r="G238"/>
          <cell r="H238"/>
          <cell r="I238"/>
          <cell r="J238"/>
          <cell r="L238"/>
          <cell r="M238"/>
          <cell r="N238"/>
          <cell r="R238"/>
          <cell r="T238"/>
          <cell r="U238"/>
          <cell r="V238"/>
          <cell r="X238"/>
          <cell r="Z238"/>
          <cell r="AA238"/>
          <cell r="AB238"/>
          <cell r="AC238"/>
          <cell r="AD238"/>
          <cell r="AG238"/>
          <cell r="AI238"/>
          <cell r="AJ238"/>
          <cell r="AL238"/>
          <cell r="AM238"/>
          <cell r="AN238"/>
          <cell r="AO238"/>
          <cell r="AQ238"/>
          <cell r="AR238"/>
          <cell r="AS238"/>
          <cell r="AT238"/>
          <cell r="AU238"/>
          <cell r="BZ238"/>
          <cell r="CA238"/>
          <cell r="DL238"/>
          <cell r="DM238"/>
          <cell r="DN238"/>
          <cell r="DP238"/>
          <cell r="DQ238"/>
          <cell r="DR238"/>
          <cell r="DS238"/>
          <cell r="DT238"/>
          <cell r="DU238"/>
          <cell r="DW238"/>
          <cell r="DX238"/>
          <cell r="DY238"/>
          <cell r="DZ238"/>
          <cell r="EA238"/>
          <cell r="EB238"/>
          <cell r="EC238"/>
          <cell r="ED238"/>
          <cell r="EG238"/>
          <cell r="EH238"/>
          <cell r="EI238"/>
        </row>
        <row r="239">
          <cell r="B239"/>
          <cell r="C239"/>
          <cell r="E239"/>
          <cell r="F239"/>
          <cell r="G239"/>
          <cell r="H239"/>
          <cell r="I239"/>
          <cell r="J239"/>
          <cell r="L239"/>
          <cell r="M239"/>
          <cell r="N239"/>
          <cell r="R239"/>
          <cell r="T239"/>
          <cell r="U239"/>
          <cell r="V239"/>
          <cell r="X239"/>
          <cell r="Z239"/>
          <cell r="AA239"/>
          <cell r="AB239"/>
          <cell r="AC239"/>
          <cell r="AD239"/>
          <cell r="AG239"/>
          <cell r="AI239"/>
          <cell r="AJ239"/>
          <cell r="AL239"/>
          <cell r="AM239"/>
          <cell r="AN239"/>
          <cell r="AO239"/>
          <cell r="AQ239"/>
          <cell r="AR239"/>
          <cell r="AS239"/>
          <cell r="AT239"/>
          <cell r="AU239"/>
          <cell r="BZ239"/>
          <cell r="CA239"/>
          <cell r="DL239"/>
          <cell r="DM239"/>
          <cell r="DN239"/>
          <cell r="DP239"/>
          <cell r="DQ239"/>
          <cell r="DR239"/>
          <cell r="DS239"/>
          <cell r="DT239"/>
          <cell r="DU239"/>
          <cell r="DW239"/>
          <cell r="DX239"/>
          <cell r="DY239"/>
          <cell r="DZ239"/>
          <cell r="EA239"/>
          <cell r="EB239"/>
          <cell r="EC239"/>
          <cell r="ED239"/>
          <cell r="EG239"/>
          <cell r="EH239"/>
          <cell r="EI239"/>
        </row>
        <row r="240">
          <cell r="B240"/>
          <cell r="C240"/>
          <cell r="E240"/>
          <cell r="F240"/>
          <cell r="G240"/>
          <cell r="H240"/>
          <cell r="I240"/>
          <cell r="J240"/>
          <cell r="L240"/>
          <cell r="M240"/>
          <cell r="N240"/>
          <cell r="R240"/>
          <cell r="T240"/>
          <cell r="U240"/>
          <cell r="V240"/>
          <cell r="X240"/>
          <cell r="Z240"/>
          <cell r="AA240"/>
          <cell r="AB240"/>
          <cell r="AC240"/>
          <cell r="AD240"/>
          <cell r="AG240"/>
          <cell r="AI240"/>
          <cell r="AJ240"/>
          <cell r="AL240"/>
          <cell r="AM240"/>
          <cell r="AN240"/>
          <cell r="AO240"/>
          <cell r="AQ240"/>
          <cell r="AR240"/>
          <cell r="AS240"/>
          <cell r="AT240"/>
          <cell r="AU240"/>
          <cell r="BZ240"/>
          <cell r="CA240"/>
          <cell r="DL240"/>
          <cell r="DM240"/>
          <cell r="DN240"/>
          <cell r="DP240"/>
          <cell r="DQ240"/>
          <cell r="DR240"/>
          <cell r="DS240"/>
          <cell r="DT240"/>
          <cell r="DU240"/>
          <cell r="DW240"/>
          <cell r="DX240"/>
          <cell r="DY240"/>
          <cell r="DZ240"/>
          <cell r="EA240"/>
          <cell r="EB240"/>
          <cell r="EC240"/>
          <cell r="ED240"/>
          <cell r="EG240"/>
          <cell r="EH240"/>
          <cell r="EI240"/>
        </row>
        <row r="241">
          <cell r="B241"/>
          <cell r="C241"/>
          <cell r="E241"/>
          <cell r="F241"/>
          <cell r="G241"/>
          <cell r="H241"/>
          <cell r="I241"/>
          <cell r="J241"/>
          <cell r="L241"/>
          <cell r="M241"/>
          <cell r="N241"/>
          <cell r="R241"/>
          <cell r="T241"/>
          <cell r="U241"/>
          <cell r="V241"/>
          <cell r="X241"/>
          <cell r="Z241"/>
          <cell r="AA241"/>
          <cell r="AB241"/>
          <cell r="AC241"/>
          <cell r="AD241"/>
          <cell r="AG241"/>
          <cell r="AI241"/>
          <cell r="AJ241"/>
          <cell r="AL241"/>
          <cell r="AM241"/>
          <cell r="AN241"/>
          <cell r="AO241"/>
          <cell r="AQ241"/>
          <cell r="AR241"/>
          <cell r="AS241"/>
          <cell r="AT241"/>
          <cell r="AU241"/>
          <cell r="BZ241"/>
          <cell r="CA241"/>
          <cell r="DL241"/>
          <cell r="DM241"/>
          <cell r="DN241"/>
          <cell r="DP241"/>
          <cell r="DQ241"/>
          <cell r="DR241"/>
          <cell r="DS241"/>
          <cell r="DT241"/>
          <cell r="DU241"/>
          <cell r="DW241"/>
          <cell r="DX241"/>
          <cell r="DY241"/>
          <cell r="DZ241"/>
          <cell r="EA241"/>
          <cell r="EB241"/>
          <cell r="EC241"/>
          <cell r="ED241"/>
          <cell r="EG241"/>
          <cell r="EH241"/>
          <cell r="EI241"/>
        </row>
        <row r="242">
          <cell r="B242"/>
          <cell r="C242"/>
          <cell r="E242"/>
          <cell r="F242"/>
          <cell r="G242"/>
          <cell r="H242"/>
          <cell r="I242"/>
          <cell r="J242"/>
          <cell r="L242"/>
          <cell r="M242"/>
          <cell r="N242"/>
          <cell r="R242"/>
          <cell r="T242"/>
          <cell r="U242"/>
          <cell r="V242"/>
          <cell r="X242"/>
          <cell r="Z242"/>
          <cell r="AA242"/>
          <cell r="AB242"/>
          <cell r="AC242"/>
          <cell r="AD242"/>
          <cell r="AG242"/>
          <cell r="AI242"/>
          <cell r="AJ242"/>
          <cell r="AL242"/>
          <cell r="AM242"/>
          <cell r="AN242"/>
          <cell r="AO242"/>
          <cell r="AQ242"/>
          <cell r="AR242"/>
          <cell r="AS242"/>
          <cell r="AT242"/>
          <cell r="AU242"/>
          <cell r="BZ242"/>
          <cell r="CA242"/>
          <cell r="DL242"/>
          <cell r="DM242"/>
          <cell r="DN242"/>
          <cell r="DP242"/>
          <cell r="DQ242"/>
          <cell r="DR242"/>
          <cell r="DS242"/>
          <cell r="DT242"/>
          <cell r="DU242"/>
          <cell r="DW242"/>
          <cell r="DX242"/>
          <cell r="DY242"/>
          <cell r="DZ242"/>
          <cell r="EA242"/>
          <cell r="EB242"/>
          <cell r="EC242"/>
          <cell r="ED242"/>
          <cell r="EG242"/>
          <cell r="EH242"/>
          <cell r="EI242"/>
        </row>
        <row r="243">
          <cell r="B243"/>
          <cell r="C243"/>
          <cell r="E243"/>
          <cell r="F243"/>
          <cell r="G243"/>
          <cell r="H243"/>
          <cell r="I243"/>
          <cell r="J243"/>
          <cell r="L243"/>
          <cell r="M243"/>
          <cell r="N243"/>
          <cell r="R243"/>
          <cell r="T243"/>
          <cell r="U243"/>
          <cell r="V243"/>
          <cell r="X243"/>
          <cell r="Z243"/>
          <cell r="AA243"/>
          <cell r="AB243"/>
          <cell r="AC243"/>
          <cell r="AD243"/>
          <cell r="AG243"/>
          <cell r="AI243"/>
          <cell r="AJ243"/>
          <cell r="AL243"/>
          <cell r="AM243"/>
          <cell r="AN243"/>
          <cell r="AO243"/>
          <cell r="AQ243"/>
          <cell r="AR243"/>
          <cell r="AS243"/>
          <cell r="AT243"/>
          <cell r="AU243"/>
          <cell r="BZ243"/>
          <cell r="CA243"/>
          <cell r="DL243"/>
          <cell r="DM243"/>
          <cell r="DN243"/>
          <cell r="DP243"/>
          <cell r="DQ243"/>
          <cell r="DR243"/>
          <cell r="DS243"/>
          <cell r="DT243"/>
          <cell r="DU243"/>
          <cell r="DW243"/>
          <cell r="DX243"/>
          <cell r="DY243"/>
          <cell r="DZ243"/>
          <cell r="EA243"/>
          <cell r="EB243"/>
          <cell r="EC243"/>
          <cell r="ED243"/>
          <cell r="EG243"/>
          <cell r="EH243"/>
          <cell r="EI243"/>
        </row>
        <row r="244">
          <cell r="B244"/>
          <cell r="C244"/>
          <cell r="E244"/>
          <cell r="F244"/>
          <cell r="G244"/>
          <cell r="H244"/>
          <cell r="I244"/>
          <cell r="J244"/>
          <cell r="L244"/>
          <cell r="M244"/>
          <cell r="N244"/>
          <cell r="R244"/>
          <cell r="T244"/>
          <cell r="U244"/>
          <cell r="V244"/>
          <cell r="X244"/>
          <cell r="Z244"/>
          <cell r="AA244"/>
          <cell r="AB244"/>
          <cell r="AC244"/>
          <cell r="AD244"/>
          <cell r="AG244"/>
          <cell r="AI244"/>
          <cell r="AJ244"/>
          <cell r="AL244"/>
          <cell r="AM244"/>
          <cell r="AN244"/>
          <cell r="AO244"/>
          <cell r="AQ244"/>
          <cell r="AR244"/>
          <cell r="AS244"/>
          <cell r="AT244"/>
          <cell r="AU244"/>
          <cell r="BZ244"/>
          <cell r="CA244"/>
          <cell r="DL244"/>
          <cell r="DM244"/>
          <cell r="DN244"/>
          <cell r="DP244"/>
          <cell r="DQ244"/>
          <cell r="DR244"/>
          <cell r="DS244"/>
          <cell r="DT244"/>
          <cell r="DU244"/>
          <cell r="DW244"/>
          <cell r="DX244"/>
          <cell r="DY244"/>
          <cell r="DZ244"/>
          <cell r="EA244"/>
          <cell r="EB244"/>
          <cell r="EC244"/>
          <cell r="ED244"/>
          <cell r="EG244"/>
          <cell r="EH244"/>
          <cell r="EI244"/>
        </row>
        <row r="245">
          <cell r="B245"/>
          <cell r="C245"/>
          <cell r="E245"/>
          <cell r="F245"/>
          <cell r="G245"/>
          <cell r="H245"/>
          <cell r="I245"/>
          <cell r="J245"/>
          <cell r="L245"/>
          <cell r="M245"/>
          <cell r="N245"/>
          <cell r="R245"/>
          <cell r="T245"/>
          <cell r="U245"/>
          <cell r="V245"/>
          <cell r="X245"/>
          <cell r="Z245"/>
          <cell r="AA245"/>
          <cell r="AB245"/>
          <cell r="AC245"/>
          <cell r="AD245"/>
          <cell r="AG245"/>
          <cell r="AI245"/>
          <cell r="AJ245"/>
          <cell r="AL245"/>
          <cell r="AM245"/>
          <cell r="AN245"/>
          <cell r="AO245"/>
          <cell r="AQ245"/>
          <cell r="AR245"/>
          <cell r="AS245"/>
          <cell r="AT245"/>
          <cell r="AU245"/>
          <cell r="BZ245"/>
          <cell r="CA245"/>
          <cell r="DL245"/>
          <cell r="DM245"/>
          <cell r="DN245"/>
          <cell r="DP245"/>
          <cell r="DQ245"/>
          <cell r="DR245"/>
          <cell r="DS245"/>
          <cell r="DT245"/>
          <cell r="DU245"/>
          <cell r="DW245"/>
          <cell r="DX245"/>
          <cell r="DY245"/>
          <cell r="DZ245"/>
          <cell r="EA245"/>
          <cell r="EB245"/>
          <cell r="EC245"/>
          <cell r="ED245"/>
          <cell r="EG245"/>
          <cell r="EH245"/>
          <cell r="EI245"/>
        </row>
        <row r="246">
          <cell r="B246"/>
          <cell r="C246"/>
          <cell r="E246"/>
          <cell r="F246"/>
          <cell r="G246"/>
          <cell r="H246"/>
          <cell r="I246"/>
          <cell r="J246"/>
          <cell r="L246"/>
          <cell r="M246"/>
          <cell r="N246"/>
          <cell r="R246"/>
          <cell r="T246"/>
          <cell r="U246"/>
          <cell r="V246"/>
          <cell r="X246"/>
          <cell r="Z246"/>
          <cell r="AA246"/>
          <cell r="AB246"/>
          <cell r="AC246"/>
          <cell r="AD246"/>
          <cell r="AG246"/>
          <cell r="AI246"/>
          <cell r="AJ246"/>
          <cell r="AL246"/>
          <cell r="AM246"/>
          <cell r="AN246"/>
          <cell r="AO246"/>
          <cell r="AQ246"/>
          <cell r="AR246"/>
          <cell r="AS246"/>
          <cell r="AT246"/>
          <cell r="AU246"/>
          <cell r="BZ246"/>
          <cell r="CA246"/>
          <cell r="DL246"/>
          <cell r="DM246"/>
          <cell r="DN246"/>
          <cell r="DP246"/>
          <cell r="DQ246"/>
          <cell r="DR246"/>
          <cell r="DS246"/>
          <cell r="DT246"/>
          <cell r="DU246"/>
          <cell r="DW246"/>
          <cell r="DX246"/>
          <cell r="DY246"/>
          <cell r="DZ246"/>
          <cell r="EA246"/>
          <cell r="EB246"/>
          <cell r="EC246"/>
          <cell r="ED246"/>
          <cell r="EG246"/>
          <cell r="EH246"/>
          <cell r="EI246"/>
        </row>
        <row r="247">
          <cell r="B247"/>
          <cell r="C247"/>
          <cell r="E247"/>
          <cell r="F247"/>
          <cell r="G247"/>
          <cell r="H247"/>
          <cell r="I247"/>
          <cell r="J247"/>
          <cell r="L247"/>
          <cell r="M247"/>
          <cell r="N247"/>
          <cell r="R247"/>
          <cell r="T247"/>
          <cell r="U247"/>
          <cell r="V247"/>
          <cell r="X247"/>
          <cell r="Z247"/>
          <cell r="AA247"/>
          <cell r="AB247"/>
          <cell r="AC247"/>
          <cell r="AD247"/>
          <cell r="AG247"/>
          <cell r="AI247"/>
          <cell r="AJ247"/>
          <cell r="AL247"/>
          <cell r="AM247"/>
          <cell r="AN247"/>
          <cell r="AO247"/>
          <cell r="AQ247"/>
          <cell r="AR247"/>
          <cell r="AS247"/>
          <cell r="AT247"/>
          <cell r="AU247"/>
          <cell r="BZ247"/>
          <cell r="CA247"/>
          <cell r="DL247"/>
          <cell r="DM247"/>
          <cell r="DN247"/>
          <cell r="DP247"/>
          <cell r="DQ247"/>
          <cell r="DR247"/>
          <cell r="DS247"/>
          <cell r="DT247"/>
          <cell r="DU247"/>
          <cell r="DW247"/>
          <cell r="DX247"/>
          <cell r="DY247"/>
          <cell r="DZ247"/>
          <cell r="EA247"/>
          <cell r="EB247"/>
          <cell r="EC247"/>
          <cell r="ED247"/>
          <cell r="EG247"/>
          <cell r="EH247"/>
          <cell r="EI247"/>
        </row>
        <row r="248">
          <cell r="B248"/>
          <cell r="C248"/>
          <cell r="E248"/>
          <cell r="F248"/>
          <cell r="G248"/>
          <cell r="H248"/>
          <cell r="I248"/>
          <cell r="J248"/>
          <cell r="L248"/>
          <cell r="M248"/>
          <cell r="N248"/>
          <cell r="R248"/>
          <cell r="T248"/>
          <cell r="U248"/>
          <cell r="V248"/>
          <cell r="X248"/>
          <cell r="Z248"/>
          <cell r="AA248"/>
          <cell r="AB248"/>
          <cell r="AC248"/>
          <cell r="AD248"/>
          <cell r="AG248"/>
          <cell r="AI248"/>
          <cell r="AJ248"/>
          <cell r="AL248"/>
          <cell r="AM248"/>
          <cell r="AN248"/>
          <cell r="AO248"/>
          <cell r="AQ248"/>
          <cell r="AR248"/>
          <cell r="AS248"/>
          <cell r="AT248"/>
          <cell r="AU248"/>
          <cell r="BZ248"/>
          <cell r="CA248"/>
          <cell r="DL248"/>
          <cell r="DM248"/>
          <cell r="DN248"/>
          <cell r="DP248"/>
          <cell r="DQ248"/>
          <cell r="DR248"/>
          <cell r="DS248"/>
          <cell r="DT248"/>
          <cell r="DU248"/>
          <cell r="DW248"/>
          <cell r="DX248"/>
          <cell r="DY248"/>
          <cell r="DZ248"/>
          <cell r="EA248"/>
          <cell r="EB248"/>
          <cell r="EC248"/>
          <cell r="ED248"/>
          <cell r="EG248"/>
          <cell r="EH248"/>
          <cell r="EI248"/>
        </row>
        <row r="249">
          <cell r="B249"/>
          <cell r="C249"/>
          <cell r="E249"/>
          <cell r="F249"/>
          <cell r="G249"/>
          <cell r="H249"/>
          <cell r="I249"/>
          <cell r="J249"/>
          <cell r="L249"/>
          <cell r="M249"/>
          <cell r="N249"/>
          <cell r="R249"/>
          <cell r="T249"/>
          <cell r="U249"/>
          <cell r="V249"/>
          <cell r="X249"/>
          <cell r="Z249"/>
          <cell r="AA249"/>
          <cell r="AB249"/>
          <cell r="AC249"/>
          <cell r="AD249"/>
          <cell r="AG249"/>
          <cell r="AI249"/>
          <cell r="AJ249"/>
          <cell r="AL249"/>
          <cell r="AM249"/>
          <cell r="AN249"/>
          <cell r="AO249"/>
          <cell r="AQ249"/>
          <cell r="AR249"/>
          <cell r="AS249"/>
          <cell r="AT249"/>
          <cell r="AU249"/>
          <cell r="BZ249"/>
          <cell r="CA249"/>
          <cell r="DL249"/>
          <cell r="DM249"/>
          <cell r="DN249"/>
          <cell r="DP249"/>
          <cell r="DQ249"/>
          <cell r="DR249"/>
          <cell r="DS249"/>
          <cell r="DT249"/>
          <cell r="DU249"/>
          <cell r="DW249"/>
          <cell r="DX249"/>
          <cell r="DY249"/>
          <cell r="DZ249"/>
          <cell r="EA249"/>
          <cell r="EB249"/>
          <cell r="EC249"/>
          <cell r="ED249"/>
          <cell r="EG249"/>
          <cell r="EH249"/>
          <cell r="EI249"/>
        </row>
        <row r="250">
          <cell r="B250"/>
          <cell r="C250"/>
          <cell r="E250"/>
          <cell r="F250"/>
          <cell r="G250"/>
          <cell r="H250"/>
          <cell r="I250"/>
          <cell r="J250"/>
          <cell r="L250"/>
          <cell r="M250"/>
          <cell r="N250"/>
          <cell r="R250"/>
          <cell r="T250"/>
          <cell r="U250"/>
          <cell r="V250"/>
          <cell r="X250"/>
          <cell r="Z250"/>
          <cell r="AA250"/>
          <cell r="AB250"/>
          <cell r="AC250"/>
          <cell r="AD250"/>
          <cell r="AG250"/>
          <cell r="AI250"/>
          <cell r="AJ250"/>
          <cell r="AL250"/>
          <cell r="AM250"/>
          <cell r="AN250"/>
          <cell r="AO250"/>
          <cell r="AQ250"/>
          <cell r="AR250"/>
          <cell r="AS250"/>
          <cell r="AT250"/>
          <cell r="AU250"/>
          <cell r="BZ250"/>
          <cell r="CA250"/>
          <cell r="DL250"/>
          <cell r="DM250"/>
          <cell r="DN250"/>
          <cell r="DP250"/>
          <cell r="DQ250"/>
          <cell r="DR250"/>
          <cell r="DS250"/>
          <cell r="DT250"/>
          <cell r="DU250"/>
          <cell r="DW250"/>
          <cell r="DX250"/>
          <cell r="DY250"/>
          <cell r="DZ250"/>
          <cell r="EA250"/>
          <cell r="EB250"/>
          <cell r="EC250"/>
          <cell r="ED250"/>
          <cell r="EG250"/>
          <cell r="EH250"/>
          <cell r="EI250"/>
        </row>
        <row r="251">
          <cell r="B251"/>
          <cell r="C251"/>
          <cell r="E251"/>
          <cell r="F251"/>
          <cell r="G251"/>
          <cell r="H251"/>
          <cell r="I251"/>
          <cell r="J251"/>
          <cell r="L251"/>
          <cell r="M251"/>
          <cell r="N251"/>
          <cell r="R251"/>
          <cell r="T251"/>
          <cell r="U251"/>
          <cell r="V251"/>
          <cell r="X251"/>
          <cell r="Z251"/>
          <cell r="AA251"/>
          <cell r="AB251"/>
          <cell r="AC251"/>
          <cell r="AD251"/>
          <cell r="AG251"/>
          <cell r="AI251"/>
          <cell r="AJ251"/>
          <cell r="AL251"/>
          <cell r="AM251"/>
          <cell r="AN251"/>
          <cell r="AO251"/>
          <cell r="AQ251"/>
          <cell r="AR251"/>
          <cell r="AS251"/>
          <cell r="AT251"/>
          <cell r="AU251"/>
          <cell r="BZ251"/>
          <cell r="CA251"/>
          <cell r="DL251"/>
          <cell r="DM251"/>
          <cell r="DN251"/>
          <cell r="DP251"/>
          <cell r="DQ251"/>
          <cell r="DR251"/>
          <cell r="DS251"/>
          <cell r="DT251"/>
          <cell r="DU251"/>
          <cell r="DW251"/>
          <cell r="DX251"/>
          <cell r="DY251"/>
          <cell r="DZ251"/>
          <cell r="EA251"/>
          <cell r="EB251"/>
          <cell r="EC251"/>
          <cell r="ED251"/>
          <cell r="EG251"/>
          <cell r="EH251"/>
          <cell r="EI251"/>
        </row>
        <row r="252">
          <cell r="B252"/>
          <cell r="C252"/>
          <cell r="E252"/>
          <cell r="F252"/>
          <cell r="G252"/>
          <cell r="H252"/>
          <cell r="I252"/>
          <cell r="J252"/>
          <cell r="L252"/>
          <cell r="M252"/>
          <cell r="N252"/>
          <cell r="R252"/>
          <cell r="T252"/>
          <cell r="U252"/>
          <cell r="V252"/>
          <cell r="X252"/>
          <cell r="Z252"/>
          <cell r="AA252"/>
          <cell r="AB252"/>
          <cell r="AC252"/>
          <cell r="AD252"/>
          <cell r="AG252"/>
          <cell r="AI252"/>
          <cell r="AJ252"/>
          <cell r="AL252"/>
          <cell r="AM252"/>
          <cell r="AN252"/>
          <cell r="AO252"/>
          <cell r="AQ252"/>
          <cell r="AR252"/>
          <cell r="AS252"/>
          <cell r="AT252"/>
          <cell r="AU252"/>
          <cell r="BZ252"/>
          <cell r="CA252"/>
          <cell r="DL252"/>
          <cell r="DM252"/>
          <cell r="DN252"/>
          <cell r="DP252"/>
          <cell r="DQ252"/>
          <cell r="DR252"/>
          <cell r="DS252"/>
          <cell r="DT252"/>
          <cell r="DU252"/>
          <cell r="DW252"/>
          <cell r="DX252"/>
          <cell r="DY252"/>
          <cell r="DZ252"/>
          <cell r="EA252"/>
          <cell r="EB252"/>
          <cell r="EC252"/>
          <cell r="ED252"/>
          <cell r="EG252"/>
          <cell r="EH252"/>
          <cell r="EI252"/>
        </row>
        <row r="253">
          <cell r="B253"/>
          <cell r="C253"/>
          <cell r="E253"/>
          <cell r="F253"/>
          <cell r="G253"/>
          <cell r="H253"/>
          <cell r="I253"/>
          <cell r="J253"/>
          <cell r="L253"/>
          <cell r="M253"/>
          <cell r="N253"/>
          <cell r="R253"/>
          <cell r="T253"/>
          <cell r="U253"/>
          <cell r="V253"/>
          <cell r="X253"/>
          <cell r="Z253"/>
          <cell r="AA253"/>
          <cell r="AB253"/>
          <cell r="AC253"/>
          <cell r="AD253"/>
          <cell r="AG253"/>
          <cell r="AI253"/>
          <cell r="AJ253"/>
          <cell r="AL253"/>
          <cell r="AM253"/>
          <cell r="AN253"/>
          <cell r="AO253"/>
          <cell r="AQ253"/>
          <cell r="AR253"/>
          <cell r="AS253"/>
          <cell r="AT253"/>
          <cell r="AU253"/>
          <cell r="BZ253"/>
          <cell r="CA253"/>
          <cell r="DL253"/>
          <cell r="DM253"/>
          <cell r="DN253"/>
          <cell r="DP253"/>
          <cell r="DQ253"/>
          <cell r="DR253"/>
          <cell r="DS253"/>
          <cell r="DT253"/>
          <cell r="DU253"/>
          <cell r="DW253"/>
          <cell r="DX253"/>
          <cell r="DY253"/>
          <cell r="DZ253"/>
          <cell r="EA253"/>
          <cell r="EB253"/>
          <cell r="EC253"/>
          <cell r="ED253"/>
          <cell r="EG253"/>
          <cell r="EH253"/>
          <cell r="EI253"/>
        </row>
        <row r="254">
          <cell r="B254"/>
          <cell r="C254"/>
          <cell r="E254"/>
          <cell r="F254"/>
          <cell r="G254"/>
          <cell r="H254"/>
          <cell r="I254"/>
          <cell r="J254"/>
          <cell r="L254"/>
          <cell r="M254"/>
          <cell r="N254"/>
          <cell r="R254"/>
          <cell r="T254"/>
          <cell r="U254"/>
          <cell r="V254"/>
          <cell r="X254"/>
          <cell r="Z254"/>
          <cell r="AA254"/>
          <cell r="AB254"/>
          <cell r="AC254"/>
          <cell r="AD254"/>
          <cell r="AG254"/>
          <cell r="AI254"/>
          <cell r="AJ254"/>
          <cell r="AL254"/>
          <cell r="AM254"/>
          <cell r="AN254"/>
          <cell r="AO254"/>
          <cell r="AQ254"/>
          <cell r="AR254"/>
          <cell r="AS254"/>
          <cell r="AT254"/>
          <cell r="AU254"/>
          <cell r="BZ254"/>
          <cell r="CA254"/>
          <cell r="DL254"/>
          <cell r="DM254"/>
          <cell r="DN254"/>
          <cell r="DP254"/>
          <cell r="DQ254"/>
          <cell r="DR254"/>
          <cell r="DS254"/>
          <cell r="DT254"/>
          <cell r="DU254"/>
          <cell r="DW254"/>
          <cell r="DX254"/>
          <cell r="DY254"/>
          <cell r="DZ254"/>
          <cell r="EA254"/>
          <cell r="EB254"/>
          <cell r="EC254"/>
          <cell r="ED254"/>
          <cell r="EG254"/>
          <cell r="EH254"/>
          <cell r="EI254"/>
        </row>
        <row r="255">
          <cell r="B255"/>
          <cell r="C255"/>
          <cell r="E255"/>
          <cell r="F255"/>
          <cell r="G255"/>
          <cell r="H255"/>
          <cell r="I255"/>
          <cell r="J255"/>
          <cell r="L255"/>
          <cell r="M255"/>
          <cell r="N255"/>
          <cell r="R255"/>
          <cell r="T255"/>
          <cell r="U255"/>
          <cell r="V255"/>
          <cell r="X255"/>
          <cell r="Z255"/>
          <cell r="AA255"/>
          <cell r="AB255"/>
          <cell r="AC255"/>
          <cell r="AD255"/>
          <cell r="AG255"/>
          <cell r="AI255"/>
          <cell r="AJ255"/>
          <cell r="AL255"/>
          <cell r="AM255"/>
          <cell r="AN255"/>
          <cell r="AO255"/>
          <cell r="AQ255"/>
          <cell r="AR255"/>
          <cell r="AS255"/>
          <cell r="AT255"/>
          <cell r="AU255"/>
          <cell r="BZ255"/>
          <cell r="CA255"/>
          <cell r="DL255"/>
          <cell r="DM255"/>
          <cell r="DN255"/>
          <cell r="DP255"/>
          <cell r="DQ255"/>
          <cell r="DR255"/>
          <cell r="DS255"/>
          <cell r="DT255"/>
          <cell r="DU255"/>
          <cell r="DW255"/>
          <cell r="DX255"/>
          <cell r="DY255"/>
          <cell r="DZ255"/>
          <cell r="EA255"/>
          <cell r="EB255"/>
          <cell r="EC255"/>
          <cell r="ED255"/>
          <cell r="EG255"/>
          <cell r="EH255"/>
          <cell r="EI255"/>
        </row>
        <row r="256">
          <cell r="B256"/>
          <cell r="C256"/>
          <cell r="E256"/>
          <cell r="F256"/>
          <cell r="G256"/>
          <cell r="H256"/>
          <cell r="I256"/>
          <cell r="J256"/>
          <cell r="L256"/>
          <cell r="M256"/>
          <cell r="N256"/>
          <cell r="R256"/>
          <cell r="T256"/>
          <cell r="U256"/>
          <cell r="V256"/>
          <cell r="X256"/>
          <cell r="Z256"/>
          <cell r="AA256"/>
          <cell r="AB256"/>
          <cell r="AC256"/>
          <cell r="AD256"/>
          <cell r="AG256"/>
          <cell r="AI256"/>
          <cell r="AJ256"/>
          <cell r="AL256"/>
          <cell r="AM256"/>
          <cell r="AN256"/>
          <cell r="AO256"/>
          <cell r="AQ256"/>
          <cell r="AR256"/>
          <cell r="AS256"/>
          <cell r="AT256"/>
          <cell r="AU256"/>
          <cell r="BZ256"/>
          <cell r="CA256"/>
          <cell r="DL256"/>
          <cell r="DM256"/>
          <cell r="DN256"/>
          <cell r="DP256"/>
          <cell r="DQ256"/>
          <cell r="DR256"/>
          <cell r="DS256"/>
          <cell r="DT256"/>
          <cell r="DU256"/>
          <cell r="DW256"/>
          <cell r="DX256"/>
          <cell r="DY256"/>
          <cell r="DZ256"/>
          <cell r="EA256"/>
          <cell r="EB256"/>
          <cell r="EC256"/>
          <cell r="ED256"/>
          <cell r="EG256"/>
          <cell r="EH256"/>
          <cell r="EI256"/>
        </row>
        <row r="257">
          <cell r="B257"/>
          <cell r="C257"/>
          <cell r="E257"/>
          <cell r="F257"/>
          <cell r="G257"/>
          <cell r="H257"/>
          <cell r="I257"/>
          <cell r="J257"/>
          <cell r="L257"/>
          <cell r="M257"/>
          <cell r="N257"/>
          <cell r="R257"/>
          <cell r="T257"/>
          <cell r="U257"/>
          <cell r="V257"/>
          <cell r="X257"/>
          <cell r="Z257"/>
          <cell r="AA257"/>
          <cell r="AB257"/>
          <cell r="AC257"/>
          <cell r="AD257"/>
          <cell r="AG257"/>
          <cell r="AI257"/>
          <cell r="AJ257"/>
          <cell r="AL257"/>
          <cell r="AM257"/>
          <cell r="AN257"/>
          <cell r="AO257"/>
          <cell r="AQ257"/>
          <cell r="AR257"/>
          <cell r="AS257"/>
          <cell r="AT257"/>
          <cell r="AU257"/>
          <cell r="BZ257"/>
          <cell r="CA257"/>
          <cell r="DL257"/>
          <cell r="DM257"/>
          <cell r="DN257"/>
          <cell r="DP257"/>
          <cell r="DQ257"/>
          <cell r="DR257"/>
          <cell r="DS257"/>
          <cell r="DT257"/>
          <cell r="DU257"/>
          <cell r="DW257"/>
          <cell r="DX257"/>
          <cell r="DY257"/>
          <cell r="DZ257"/>
          <cell r="EA257"/>
          <cell r="EB257"/>
          <cell r="EC257"/>
          <cell r="ED257"/>
          <cell r="EG257"/>
          <cell r="EH257"/>
          <cell r="EI257"/>
        </row>
        <row r="258">
          <cell r="B258"/>
          <cell r="C258"/>
          <cell r="E258"/>
          <cell r="F258"/>
          <cell r="G258"/>
          <cell r="H258"/>
          <cell r="I258"/>
          <cell r="J258"/>
          <cell r="L258"/>
          <cell r="M258"/>
          <cell r="N258"/>
          <cell r="R258"/>
          <cell r="T258"/>
          <cell r="U258"/>
          <cell r="V258"/>
          <cell r="X258"/>
          <cell r="Z258"/>
          <cell r="AA258"/>
          <cell r="AB258"/>
          <cell r="AC258"/>
          <cell r="AD258"/>
          <cell r="AG258"/>
          <cell r="AI258"/>
          <cell r="AJ258"/>
          <cell r="AL258"/>
          <cell r="AM258"/>
          <cell r="AN258"/>
          <cell r="AO258"/>
          <cell r="AQ258"/>
          <cell r="AR258"/>
          <cell r="AS258"/>
          <cell r="AT258"/>
          <cell r="AU258"/>
          <cell r="BZ258"/>
          <cell r="CA258"/>
          <cell r="DL258"/>
          <cell r="DM258"/>
          <cell r="DN258"/>
          <cell r="DP258"/>
          <cell r="DQ258"/>
          <cell r="DR258"/>
          <cell r="DS258"/>
          <cell r="DT258"/>
          <cell r="DU258"/>
          <cell r="DW258"/>
          <cell r="DX258"/>
          <cell r="DY258"/>
          <cell r="DZ258"/>
          <cell r="EA258"/>
          <cell r="EB258"/>
          <cell r="EC258"/>
          <cell r="ED258"/>
          <cell r="EG258"/>
          <cell r="EH258"/>
          <cell r="EI258"/>
        </row>
        <row r="259">
          <cell r="B259"/>
          <cell r="C259"/>
          <cell r="E259"/>
          <cell r="F259"/>
          <cell r="G259"/>
          <cell r="H259"/>
          <cell r="I259"/>
          <cell r="J259"/>
          <cell r="L259"/>
          <cell r="M259"/>
          <cell r="N259"/>
          <cell r="R259"/>
          <cell r="T259"/>
          <cell r="U259"/>
          <cell r="V259"/>
          <cell r="X259"/>
          <cell r="Z259"/>
          <cell r="AA259"/>
          <cell r="AB259"/>
          <cell r="AC259"/>
          <cell r="AD259"/>
          <cell r="AG259"/>
          <cell r="AI259"/>
          <cell r="AJ259"/>
          <cell r="AL259"/>
          <cell r="AM259"/>
          <cell r="AN259"/>
          <cell r="AO259"/>
          <cell r="AQ259"/>
          <cell r="AR259"/>
          <cell r="AS259"/>
          <cell r="AT259"/>
          <cell r="AU259"/>
          <cell r="BZ259"/>
          <cell r="CA259"/>
          <cell r="DL259"/>
          <cell r="DM259"/>
          <cell r="DN259"/>
          <cell r="DP259"/>
          <cell r="DQ259"/>
          <cell r="DR259"/>
          <cell r="DS259"/>
          <cell r="DT259"/>
          <cell r="DU259"/>
          <cell r="DW259"/>
          <cell r="DX259"/>
          <cell r="DY259"/>
          <cell r="DZ259"/>
          <cell r="EA259"/>
          <cell r="EB259"/>
          <cell r="EC259"/>
          <cell r="ED259"/>
          <cell r="EG259"/>
          <cell r="EH259"/>
          <cell r="EI259"/>
        </row>
        <row r="260">
          <cell r="B260"/>
          <cell r="C260"/>
          <cell r="E260"/>
          <cell r="F260"/>
          <cell r="G260"/>
          <cell r="H260"/>
          <cell r="I260"/>
          <cell r="J260"/>
          <cell r="L260"/>
          <cell r="M260"/>
          <cell r="N260"/>
          <cell r="R260"/>
          <cell r="T260"/>
          <cell r="U260"/>
          <cell r="V260"/>
          <cell r="X260"/>
          <cell r="Z260"/>
          <cell r="AA260"/>
          <cell r="AB260"/>
          <cell r="AC260"/>
          <cell r="AD260"/>
          <cell r="AG260"/>
          <cell r="AI260"/>
          <cell r="AJ260"/>
          <cell r="AL260"/>
          <cell r="AM260"/>
          <cell r="AN260"/>
          <cell r="AO260"/>
          <cell r="AQ260"/>
          <cell r="AR260"/>
          <cell r="AS260"/>
          <cell r="AT260"/>
          <cell r="AU260"/>
          <cell r="BZ260"/>
          <cell r="CA260"/>
          <cell r="DL260"/>
          <cell r="DM260"/>
          <cell r="DN260"/>
          <cell r="DP260"/>
          <cell r="DQ260"/>
          <cell r="DR260"/>
          <cell r="DS260"/>
          <cell r="DT260"/>
          <cell r="DU260"/>
          <cell r="DW260"/>
          <cell r="DX260"/>
          <cell r="DY260"/>
          <cell r="DZ260"/>
          <cell r="EA260"/>
          <cell r="EB260"/>
          <cell r="EC260"/>
          <cell r="ED260"/>
          <cell r="EG260"/>
          <cell r="EH260"/>
          <cell r="EI260"/>
        </row>
        <row r="261">
          <cell r="B261"/>
          <cell r="C261"/>
          <cell r="E261"/>
          <cell r="F261"/>
          <cell r="G261"/>
          <cell r="H261"/>
          <cell r="I261"/>
          <cell r="J261"/>
          <cell r="L261"/>
          <cell r="M261"/>
          <cell r="N261"/>
          <cell r="R261"/>
          <cell r="T261"/>
          <cell r="U261"/>
          <cell r="V261"/>
          <cell r="X261"/>
          <cell r="Z261"/>
          <cell r="AA261"/>
          <cell r="AB261"/>
          <cell r="AC261"/>
          <cell r="AD261"/>
          <cell r="AG261"/>
          <cell r="AI261"/>
          <cell r="AJ261"/>
          <cell r="AL261"/>
          <cell r="AM261"/>
          <cell r="AN261"/>
          <cell r="AO261"/>
          <cell r="AQ261"/>
          <cell r="AR261"/>
          <cell r="AS261"/>
          <cell r="AT261"/>
          <cell r="AU261"/>
          <cell r="BZ261"/>
          <cell r="CA261"/>
          <cell r="DL261"/>
          <cell r="DM261"/>
          <cell r="DN261"/>
          <cell r="DP261"/>
          <cell r="DQ261"/>
          <cell r="DR261"/>
          <cell r="DS261"/>
          <cell r="DT261"/>
          <cell r="DU261"/>
          <cell r="DW261"/>
          <cell r="DX261"/>
          <cell r="DY261"/>
          <cell r="DZ261"/>
          <cell r="EA261"/>
          <cell r="EB261"/>
          <cell r="EC261"/>
          <cell r="ED261"/>
          <cell r="EG261"/>
          <cell r="EH261"/>
          <cell r="EI261"/>
        </row>
        <row r="262">
          <cell r="B262"/>
          <cell r="C262"/>
          <cell r="E262"/>
          <cell r="F262"/>
          <cell r="G262"/>
          <cell r="H262"/>
          <cell r="I262"/>
          <cell r="J262"/>
          <cell r="L262"/>
          <cell r="M262"/>
          <cell r="N262"/>
          <cell r="R262"/>
          <cell r="T262"/>
          <cell r="U262"/>
          <cell r="V262"/>
          <cell r="X262"/>
          <cell r="Z262"/>
          <cell r="AA262"/>
          <cell r="AB262"/>
          <cell r="AC262"/>
          <cell r="AD262"/>
          <cell r="AG262"/>
          <cell r="AI262"/>
          <cell r="AJ262"/>
          <cell r="AL262"/>
          <cell r="AM262"/>
          <cell r="AN262"/>
          <cell r="AO262"/>
          <cell r="AQ262"/>
          <cell r="AR262"/>
          <cell r="AS262"/>
          <cell r="AT262"/>
          <cell r="AU262"/>
          <cell r="BZ262"/>
          <cell r="CA262"/>
          <cell r="DL262"/>
          <cell r="DM262"/>
          <cell r="DN262"/>
          <cell r="DP262"/>
          <cell r="DQ262"/>
          <cell r="DR262"/>
          <cell r="DS262"/>
          <cell r="DT262"/>
          <cell r="DU262"/>
          <cell r="DW262"/>
          <cell r="DX262"/>
          <cell r="DY262"/>
          <cell r="DZ262"/>
          <cell r="EA262"/>
          <cell r="EB262"/>
          <cell r="EC262"/>
          <cell r="ED262"/>
          <cell r="EG262"/>
          <cell r="EH262"/>
          <cell r="EI262"/>
        </row>
        <row r="263">
          <cell r="B263"/>
          <cell r="C263"/>
          <cell r="E263"/>
          <cell r="F263"/>
          <cell r="G263"/>
          <cell r="H263"/>
          <cell r="I263"/>
          <cell r="J263"/>
          <cell r="L263"/>
          <cell r="M263"/>
          <cell r="N263"/>
          <cell r="R263"/>
          <cell r="T263"/>
          <cell r="U263"/>
          <cell r="V263"/>
          <cell r="X263"/>
          <cell r="Z263"/>
          <cell r="AA263"/>
          <cell r="AB263"/>
          <cell r="AC263"/>
          <cell r="AD263"/>
          <cell r="AG263"/>
          <cell r="AI263"/>
          <cell r="AJ263"/>
          <cell r="AL263"/>
          <cell r="AM263"/>
          <cell r="AN263"/>
          <cell r="AO263"/>
          <cell r="AQ263"/>
          <cell r="AR263"/>
          <cell r="AS263"/>
          <cell r="AT263"/>
          <cell r="AU263"/>
          <cell r="BZ263"/>
          <cell r="CA263"/>
          <cell r="DL263"/>
          <cell r="DM263"/>
          <cell r="DN263"/>
          <cell r="DP263"/>
          <cell r="DQ263"/>
          <cell r="DR263"/>
          <cell r="DS263"/>
          <cell r="DT263"/>
          <cell r="DU263"/>
          <cell r="DW263"/>
          <cell r="DX263"/>
          <cell r="DY263"/>
          <cell r="DZ263"/>
          <cell r="EA263"/>
          <cell r="EB263"/>
          <cell r="EC263"/>
          <cell r="ED263"/>
          <cell r="EG263"/>
          <cell r="EH263"/>
          <cell r="EI263"/>
        </row>
        <row r="264">
          <cell r="B264"/>
          <cell r="C264"/>
          <cell r="E264"/>
          <cell r="F264"/>
          <cell r="G264"/>
          <cell r="H264"/>
          <cell r="I264"/>
          <cell r="J264"/>
          <cell r="L264"/>
          <cell r="M264"/>
          <cell r="N264"/>
          <cell r="R264"/>
          <cell r="T264"/>
          <cell r="U264"/>
          <cell r="V264"/>
          <cell r="X264"/>
          <cell r="Z264"/>
          <cell r="AA264"/>
          <cell r="AB264"/>
          <cell r="AC264"/>
          <cell r="AD264"/>
          <cell r="AG264"/>
          <cell r="AI264"/>
          <cell r="AJ264"/>
          <cell r="AL264"/>
          <cell r="AM264"/>
          <cell r="AN264"/>
          <cell r="AO264"/>
          <cell r="AQ264"/>
          <cell r="AR264"/>
          <cell r="AS264"/>
          <cell r="AT264"/>
          <cell r="AU264"/>
          <cell r="BZ264"/>
          <cell r="CA264"/>
          <cell r="DL264"/>
          <cell r="DM264"/>
          <cell r="DN264"/>
          <cell r="DP264"/>
          <cell r="DQ264"/>
          <cell r="DR264"/>
          <cell r="DS264"/>
          <cell r="DT264"/>
          <cell r="DU264"/>
          <cell r="DW264"/>
          <cell r="DX264"/>
          <cell r="DY264"/>
          <cell r="DZ264"/>
          <cell r="EA264"/>
          <cell r="EB264"/>
          <cell r="EC264"/>
          <cell r="ED264"/>
          <cell r="EG264"/>
          <cell r="EH264"/>
          <cell r="EI264"/>
        </row>
        <row r="265">
          <cell r="B265"/>
          <cell r="C265"/>
          <cell r="E265"/>
          <cell r="F265"/>
          <cell r="G265"/>
          <cell r="H265"/>
          <cell r="I265"/>
          <cell r="J265"/>
          <cell r="L265"/>
          <cell r="M265"/>
          <cell r="N265"/>
          <cell r="R265"/>
          <cell r="T265"/>
          <cell r="U265"/>
          <cell r="V265"/>
          <cell r="X265"/>
          <cell r="Z265"/>
          <cell r="AA265"/>
          <cell r="AB265"/>
          <cell r="AC265"/>
          <cell r="AD265"/>
          <cell r="AG265"/>
          <cell r="AI265"/>
          <cell r="AJ265"/>
          <cell r="AL265"/>
          <cell r="AM265"/>
          <cell r="AN265"/>
          <cell r="AO265"/>
          <cell r="AQ265"/>
          <cell r="AR265"/>
          <cell r="AS265"/>
          <cell r="AT265"/>
          <cell r="AU265"/>
          <cell r="BZ265"/>
          <cell r="CA265"/>
          <cell r="DL265"/>
          <cell r="DM265"/>
          <cell r="DN265"/>
          <cell r="DP265"/>
          <cell r="DQ265"/>
          <cell r="DR265"/>
          <cell r="DS265"/>
          <cell r="DT265"/>
          <cell r="DU265"/>
          <cell r="DW265"/>
          <cell r="DX265"/>
          <cell r="DY265"/>
          <cell r="DZ265"/>
          <cell r="EA265"/>
          <cell r="EB265"/>
          <cell r="EC265"/>
          <cell r="ED265"/>
          <cell r="EG265"/>
          <cell r="EH265"/>
          <cell r="EI265"/>
        </row>
        <row r="266">
          <cell r="B266"/>
          <cell r="C266"/>
          <cell r="E266"/>
          <cell r="F266"/>
          <cell r="G266"/>
          <cell r="H266"/>
          <cell r="I266"/>
          <cell r="J266"/>
          <cell r="L266"/>
          <cell r="M266"/>
          <cell r="N266"/>
          <cell r="R266"/>
          <cell r="T266"/>
          <cell r="U266"/>
          <cell r="V266"/>
          <cell r="X266"/>
          <cell r="Z266"/>
          <cell r="AA266"/>
          <cell r="AB266"/>
          <cell r="AC266"/>
          <cell r="AD266"/>
          <cell r="AG266"/>
          <cell r="AI266"/>
          <cell r="AJ266"/>
          <cell r="AL266"/>
          <cell r="AM266"/>
          <cell r="AN266"/>
          <cell r="AO266"/>
          <cell r="AQ266"/>
          <cell r="AR266"/>
          <cell r="AS266"/>
          <cell r="AT266"/>
          <cell r="AU266"/>
          <cell r="BZ266"/>
          <cell r="CA266"/>
          <cell r="DL266"/>
          <cell r="DM266"/>
          <cell r="DN266"/>
          <cell r="DP266"/>
          <cell r="DQ266"/>
          <cell r="DR266"/>
          <cell r="DS266"/>
          <cell r="DT266"/>
          <cell r="DU266"/>
          <cell r="DW266"/>
          <cell r="DX266"/>
          <cell r="DY266"/>
          <cell r="DZ266"/>
          <cell r="EA266"/>
          <cell r="EB266"/>
          <cell r="EC266"/>
          <cell r="ED266"/>
          <cell r="EG266"/>
          <cell r="EH266"/>
          <cell r="EI266"/>
        </row>
        <row r="267">
          <cell r="B267"/>
          <cell r="C267"/>
          <cell r="E267"/>
          <cell r="F267"/>
          <cell r="G267"/>
          <cell r="H267"/>
          <cell r="I267"/>
          <cell r="J267"/>
          <cell r="L267"/>
          <cell r="M267"/>
          <cell r="N267"/>
          <cell r="R267"/>
          <cell r="T267"/>
          <cell r="U267"/>
          <cell r="V267"/>
          <cell r="X267"/>
          <cell r="Z267"/>
          <cell r="AA267"/>
          <cell r="AB267"/>
          <cell r="AC267"/>
          <cell r="AD267"/>
          <cell r="AG267"/>
          <cell r="AI267"/>
          <cell r="AJ267"/>
          <cell r="AL267"/>
          <cell r="AM267"/>
          <cell r="AN267"/>
          <cell r="AO267"/>
          <cell r="AQ267"/>
          <cell r="AR267"/>
          <cell r="AS267"/>
          <cell r="AT267"/>
          <cell r="AU267"/>
          <cell r="BZ267"/>
          <cell r="CA267"/>
          <cell r="DL267"/>
          <cell r="DM267"/>
          <cell r="DN267"/>
          <cell r="DP267"/>
          <cell r="DQ267"/>
          <cell r="DR267"/>
          <cell r="DS267"/>
          <cell r="DT267"/>
          <cell r="DU267"/>
          <cell r="DW267"/>
          <cell r="DX267"/>
          <cell r="DY267"/>
          <cell r="DZ267"/>
          <cell r="EA267"/>
          <cell r="EB267"/>
          <cell r="EC267"/>
          <cell r="ED267"/>
          <cell r="EG267"/>
          <cell r="EH267"/>
          <cell r="EI267"/>
        </row>
        <row r="268">
          <cell r="B268"/>
          <cell r="C268"/>
          <cell r="E268"/>
          <cell r="F268"/>
          <cell r="G268"/>
          <cell r="H268"/>
          <cell r="I268"/>
          <cell r="J268"/>
          <cell r="L268"/>
          <cell r="M268"/>
          <cell r="N268"/>
          <cell r="R268"/>
          <cell r="T268"/>
          <cell r="U268"/>
          <cell r="V268"/>
          <cell r="X268"/>
          <cell r="Z268"/>
          <cell r="AA268"/>
          <cell r="AB268"/>
          <cell r="AC268"/>
          <cell r="AD268"/>
          <cell r="AG268"/>
          <cell r="AI268"/>
          <cell r="AJ268"/>
          <cell r="AL268"/>
          <cell r="AM268"/>
          <cell r="AN268"/>
          <cell r="AO268"/>
          <cell r="AQ268"/>
          <cell r="AR268"/>
          <cell r="AS268"/>
          <cell r="AT268"/>
          <cell r="AU268"/>
          <cell r="BZ268"/>
          <cell r="CA268"/>
          <cell r="DL268"/>
          <cell r="DM268"/>
          <cell r="DN268"/>
          <cell r="DP268"/>
          <cell r="DQ268"/>
          <cell r="DR268"/>
          <cell r="DS268"/>
          <cell r="DT268"/>
          <cell r="DU268"/>
          <cell r="DW268"/>
          <cell r="DX268"/>
          <cell r="DY268"/>
          <cell r="DZ268"/>
          <cell r="EA268"/>
          <cell r="EB268"/>
          <cell r="EC268"/>
          <cell r="ED268"/>
          <cell r="EG268"/>
          <cell r="EH268"/>
          <cell r="EI268"/>
        </row>
        <row r="269">
          <cell r="B269"/>
          <cell r="C269"/>
          <cell r="E269"/>
          <cell r="F269"/>
          <cell r="G269"/>
          <cell r="H269"/>
          <cell r="I269"/>
          <cell r="J269"/>
          <cell r="L269"/>
          <cell r="M269"/>
          <cell r="N269"/>
          <cell r="R269"/>
          <cell r="T269"/>
          <cell r="U269"/>
          <cell r="V269"/>
          <cell r="X269"/>
          <cell r="Z269"/>
          <cell r="AA269"/>
          <cell r="AB269"/>
          <cell r="AC269"/>
          <cell r="AD269"/>
          <cell r="AG269"/>
          <cell r="AI269"/>
          <cell r="AJ269"/>
          <cell r="AL269"/>
          <cell r="AM269"/>
          <cell r="AN269"/>
          <cell r="AO269"/>
          <cell r="AQ269"/>
          <cell r="AR269"/>
          <cell r="AS269"/>
          <cell r="AT269"/>
          <cell r="AU269"/>
          <cell r="BZ269"/>
          <cell r="CA269"/>
          <cell r="DL269"/>
          <cell r="DM269"/>
          <cell r="DN269"/>
          <cell r="DP269"/>
          <cell r="DQ269"/>
          <cell r="DR269"/>
          <cell r="DS269"/>
          <cell r="DT269"/>
          <cell r="DU269"/>
          <cell r="DW269"/>
          <cell r="DX269"/>
          <cell r="DY269"/>
          <cell r="DZ269"/>
          <cell r="EA269"/>
          <cell r="EB269"/>
          <cell r="EC269"/>
          <cell r="ED269"/>
          <cell r="EG269"/>
          <cell r="EH269"/>
          <cell r="EI269"/>
        </row>
        <row r="270">
          <cell r="B270"/>
          <cell r="C270"/>
          <cell r="E270"/>
          <cell r="F270"/>
          <cell r="G270"/>
          <cell r="H270"/>
          <cell r="I270"/>
          <cell r="J270"/>
          <cell r="L270"/>
          <cell r="M270"/>
          <cell r="N270"/>
          <cell r="R270"/>
          <cell r="T270"/>
          <cell r="U270"/>
          <cell r="V270"/>
          <cell r="X270"/>
          <cell r="Z270"/>
          <cell r="AA270"/>
          <cell r="AB270"/>
          <cell r="AC270"/>
          <cell r="AD270"/>
          <cell r="AG270"/>
          <cell r="AI270"/>
          <cell r="AJ270"/>
          <cell r="AL270"/>
          <cell r="AM270"/>
          <cell r="AN270"/>
          <cell r="AO270"/>
          <cell r="AQ270"/>
          <cell r="AR270"/>
          <cell r="AS270"/>
          <cell r="AT270"/>
          <cell r="AU270"/>
          <cell r="BZ270"/>
          <cell r="CA270"/>
          <cell r="DL270"/>
          <cell r="DM270"/>
          <cell r="DN270"/>
          <cell r="DP270"/>
          <cell r="DQ270"/>
          <cell r="DR270"/>
          <cell r="DS270"/>
          <cell r="DT270"/>
          <cell r="DU270"/>
          <cell r="DW270"/>
          <cell r="DX270"/>
          <cell r="DY270"/>
          <cell r="DZ270"/>
          <cell r="EA270"/>
          <cell r="EB270"/>
          <cell r="EC270"/>
          <cell r="ED270"/>
          <cell r="EG270"/>
          <cell r="EH270"/>
          <cell r="EI270"/>
        </row>
        <row r="271">
          <cell r="B271"/>
          <cell r="C271"/>
          <cell r="E271"/>
          <cell r="F271"/>
          <cell r="G271"/>
          <cell r="H271"/>
          <cell r="I271"/>
          <cell r="J271"/>
          <cell r="L271"/>
          <cell r="M271"/>
          <cell r="N271"/>
          <cell r="R271"/>
          <cell r="T271"/>
          <cell r="U271"/>
          <cell r="V271"/>
          <cell r="X271"/>
          <cell r="Z271"/>
          <cell r="AA271"/>
          <cell r="AB271"/>
          <cell r="AC271"/>
          <cell r="AD271"/>
          <cell r="AG271"/>
          <cell r="AI271"/>
          <cell r="AJ271"/>
          <cell r="AL271"/>
          <cell r="AM271"/>
          <cell r="AN271"/>
          <cell r="AO271"/>
          <cell r="AQ271"/>
          <cell r="AR271"/>
          <cell r="AS271"/>
          <cell r="AT271"/>
          <cell r="AU271"/>
          <cell r="BZ271"/>
          <cell r="CA271"/>
          <cell r="DL271"/>
          <cell r="DM271"/>
          <cell r="DN271"/>
          <cell r="DP271"/>
          <cell r="DQ271"/>
          <cell r="DR271"/>
          <cell r="DS271"/>
          <cell r="DT271"/>
          <cell r="DU271"/>
          <cell r="DW271"/>
          <cell r="DX271"/>
          <cell r="DY271"/>
          <cell r="DZ271"/>
          <cell r="EA271"/>
          <cell r="EB271"/>
          <cell r="EC271"/>
          <cell r="ED271"/>
          <cell r="EG271"/>
          <cell r="EH271"/>
          <cell r="EI271"/>
        </row>
        <row r="272">
          <cell r="B272"/>
          <cell r="C272"/>
          <cell r="E272"/>
          <cell r="F272"/>
          <cell r="G272"/>
          <cell r="H272"/>
          <cell r="I272"/>
          <cell r="J272"/>
          <cell r="L272"/>
          <cell r="M272"/>
          <cell r="N272"/>
          <cell r="R272"/>
          <cell r="T272"/>
          <cell r="U272"/>
          <cell r="V272"/>
          <cell r="X272"/>
          <cell r="Z272"/>
          <cell r="AA272"/>
          <cell r="AB272"/>
          <cell r="AC272"/>
          <cell r="AD272"/>
          <cell r="AG272"/>
          <cell r="AI272"/>
          <cell r="AJ272"/>
          <cell r="AL272"/>
          <cell r="AM272"/>
          <cell r="AN272"/>
          <cell r="AO272"/>
          <cell r="AQ272"/>
          <cell r="AR272"/>
          <cell r="AS272"/>
          <cell r="AT272"/>
          <cell r="AU272"/>
          <cell r="BZ272"/>
          <cell r="CA272"/>
          <cell r="DL272"/>
          <cell r="DM272"/>
          <cell r="DN272"/>
          <cell r="DP272"/>
          <cell r="DQ272"/>
          <cell r="DR272"/>
          <cell r="DS272"/>
          <cell r="DT272"/>
          <cell r="DU272"/>
          <cell r="DW272"/>
          <cell r="DX272"/>
          <cell r="DY272"/>
          <cell r="DZ272"/>
          <cell r="EA272"/>
          <cell r="EB272"/>
          <cell r="EC272"/>
          <cell r="ED272"/>
          <cell r="EG272"/>
          <cell r="EH272"/>
          <cell r="EI272"/>
        </row>
        <row r="273">
          <cell r="B273"/>
          <cell r="C273"/>
          <cell r="E273"/>
          <cell r="F273"/>
          <cell r="G273"/>
          <cell r="H273"/>
          <cell r="I273"/>
          <cell r="J273"/>
          <cell r="L273"/>
          <cell r="M273"/>
          <cell r="N273"/>
          <cell r="R273"/>
          <cell r="T273"/>
          <cell r="U273"/>
          <cell r="V273"/>
          <cell r="X273"/>
          <cell r="Z273"/>
          <cell r="AA273"/>
          <cell r="AB273"/>
          <cell r="AC273"/>
          <cell r="AD273"/>
          <cell r="AG273"/>
          <cell r="AI273"/>
          <cell r="AJ273"/>
          <cell r="AL273"/>
          <cell r="AM273"/>
          <cell r="AN273"/>
          <cell r="AO273"/>
          <cell r="AQ273"/>
          <cell r="AR273"/>
          <cell r="AS273"/>
          <cell r="AT273"/>
          <cell r="AU273"/>
          <cell r="BZ273"/>
          <cell r="CA273"/>
          <cell r="DL273"/>
          <cell r="DM273"/>
          <cell r="DN273"/>
          <cell r="DP273"/>
          <cell r="DQ273"/>
          <cell r="DR273"/>
          <cell r="DS273"/>
          <cell r="DT273"/>
          <cell r="DU273"/>
          <cell r="DW273"/>
          <cell r="DX273"/>
          <cell r="DY273"/>
          <cell r="DZ273"/>
          <cell r="EA273"/>
          <cell r="EB273"/>
          <cell r="EC273"/>
          <cell r="ED273"/>
          <cell r="EG273"/>
          <cell r="EH273"/>
          <cell r="EI273"/>
        </row>
        <row r="274">
          <cell r="B274"/>
          <cell r="C274"/>
          <cell r="E274"/>
          <cell r="F274"/>
          <cell r="G274"/>
          <cell r="H274"/>
          <cell r="I274"/>
          <cell r="J274"/>
          <cell r="L274"/>
          <cell r="M274"/>
          <cell r="N274"/>
          <cell r="R274"/>
          <cell r="T274"/>
          <cell r="U274"/>
          <cell r="V274"/>
          <cell r="X274"/>
          <cell r="Z274"/>
          <cell r="AA274"/>
          <cell r="AB274"/>
          <cell r="AC274"/>
          <cell r="AD274"/>
          <cell r="AG274"/>
          <cell r="AI274"/>
          <cell r="AJ274"/>
          <cell r="AL274"/>
          <cell r="AM274"/>
          <cell r="AN274"/>
          <cell r="AO274"/>
          <cell r="AQ274"/>
          <cell r="AR274"/>
          <cell r="AS274"/>
          <cell r="AT274"/>
          <cell r="AU274"/>
          <cell r="BZ274"/>
          <cell r="CA274"/>
          <cell r="DL274"/>
          <cell r="DM274"/>
          <cell r="DN274"/>
          <cell r="DP274"/>
          <cell r="DQ274"/>
          <cell r="DR274"/>
          <cell r="DS274"/>
          <cell r="DT274"/>
          <cell r="DU274"/>
          <cell r="DW274"/>
          <cell r="DX274"/>
          <cell r="DY274"/>
          <cell r="DZ274"/>
          <cell r="EA274"/>
          <cell r="EB274"/>
          <cell r="EC274"/>
          <cell r="ED274"/>
          <cell r="EG274"/>
          <cell r="EH274"/>
          <cell r="EI274"/>
        </row>
        <row r="275">
          <cell r="B275"/>
          <cell r="C275"/>
          <cell r="E275"/>
          <cell r="F275"/>
          <cell r="G275"/>
          <cell r="H275"/>
          <cell r="I275"/>
          <cell r="J275"/>
          <cell r="L275"/>
          <cell r="M275"/>
          <cell r="N275"/>
          <cell r="R275"/>
          <cell r="T275"/>
          <cell r="U275"/>
          <cell r="V275"/>
          <cell r="X275"/>
          <cell r="Z275"/>
          <cell r="AA275"/>
          <cell r="AB275"/>
          <cell r="AC275"/>
          <cell r="AD275"/>
          <cell r="AG275"/>
          <cell r="AI275"/>
          <cell r="AJ275"/>
          <cell r="AL275"/>
          <cell r="AM275"/>
          <cell r="AN275"/>
          <cell r="AO275"/>
          <cell r="AQ275"/>
          <cell r="AR275"/>
          <cell r="AS275"/>
          <cell r="AT275"/>
          <cell r="AU275"/>
          <cell r="BZ275"/>
          <cell r="CA275"/>
          <cell r="DL275"/>
          <cell r="DM275"/>
          <cell r="DN275"/>
          <cell r="DP275"/>
          <cell r="DQ275"/>
          <cell r="DR275"/>
          <cell r="DS275"/>
          <cell r="DT275"/>
          <cell r="DU275"/>
          <cell r="DW275"/>
          <cell r="DX275"/>
          <cell r="DY275"/>
          <cell r="DZ275"/>
          <cell r="EA275"/>
          <cell r="EB275"/>
          <cell r="EC275"/>
          <cell r="ED275"/>
          <cell r="EG275"/>
          <cell r="EH275"/>
          <cell r="EI275"/>
        </row>
        <row r="276">
          <cell r="B276"/>
          <cell r="C276"/>
          <cell r="E276"/>
          <cell r="F276"/>
          <cell r="G276"/>
          <cell r="H276"/>
          <cell r="I276"/>
          <cell r="J276"/>
          <cell r="L276"/>
          <cell r="M276"/>
          <cell r="N276"/>
          <cell r="R276"/>
          <cell r="T276"/>
          <cell r="U276"/>
          <cell r="V276"/>
          <cell r="X276"/>
          <cell r="Z276"/>
          <cell r="AA276"/>
          <cell r="AB276"/>
          <cell r="AC276"/>
          <cell r="AD276"/>
          <cell r="AG276"/>
          <cell r="AI276"/>
          <cell r="AJ276"/>
          <cell r="AL276"/>
          <cell r="AM276"/>
          <cell r="AN276"/>
          <cell r="AO276"/>
          <cell r="AQ276"/>
          <cell r="AR276"/>
          <cell r="AS276"/>
          <cell r="AT276"/>
          <cell r="AU276"/>
          <cell r="BZ276"/>
          <cell r="CA276"/>
          <cell r="DL276"/>
          <cell r="DM276"/>
          <cell r="DN276"/>
          <cell r="DP276"/>
          <cell r="DQ276"/>
          <cell r="DR276"/>
          <cell r="DS276"/>
          <cell r="DT276"/>
          <cell r="DU276"/>
          <cell r="DW276"/>
          <cell r="DX276"/>
          <cell r="DY276"/>
          <cell r="DZ276"/>
          <cell r="EA276"/>
          <cell r="EB276"/>
          <cell r="EC276"/>
          <cell r="ED276"/>
          <cell r="EG276"/>
          <cell r="EH276"/>
          <cell r="EI276"/>
        </row>
        <row r="277">
          <cell r="B277"/>
          <cell r="C277"/>
          <cell r="E277"/>
          <cell r="F277"/>
          <cell r="G277"/>
          <cell r="H277"/>
          <cell r="I277"/>
          <cell r="J277"/>
          <cell r="L277"/>
          <cell r="M277"/>
          <cell r="N277"/>
          <cell r="R277"/>
          <cell r="T277"/>
          <cell r="U277"/>
          <cell r="V277"/>
          <cell r="X277"/>
          <cell r="Z277"/>
          <cell r="AA277"/>
          <cell r="AB277"/>
          <cell r="AC277"/>
          <cell r="AD277"/>
          <cell r="AG277"/>
          <cell r="AI277"/>
          <cell r="AJ277"/>
          <cell r="AL277"/>
          <cell r="AM277"/>
          <cell r="AN277"/>
          <cell r="AO277"/>
          <cell r="AQ277"/>
          <cell r="AR277"/>
          <cell r="AS277"/>
          <cell r="AT277"/>
          <cell r="AU277"/>
          <cell r="BZ277"/>
          <cell r="CA277"/>
          <cell r="DL277"/>
          <cell r="DM277"/>
          <cell r="DN277"/>
          <cell r="DP277"/>
          <cell r="DQ277"/>
          <cell r="DR277"/>
          <cell r="DS277"/>
          <cell r="DT277"/>
          <cell r="DU277"/>
          <cell r="DW277"/>
          <cell r="DX277"/>
          <cell r="DY277"/>
          <cell r="DZ277"/>
          <cell r="EA277"/>
          <cell r="EB277"/>
          <cell r="EC277"/>
          <cell r="ED277"/>
          <cell r="EG277"/>
          <cell r="EH277"/>
          <cell r="EI277"/>
        </row>
        <row r="278">
          <cell r="B278"/>
          <cell r="C278"/>
          <cell r="E278"/>
          <cell r="F278"/>
          <cell r="G278"/>
          <cell r="H278"/>
          <cell r="I278"/>
          <cell r="J278"/>
          <cell r="L278"/>
          <cell r="M278"/>
          <cell r="N278"/>
          <cell r="R278"/>
          <cell r="T278"/>
          <cell r="U278"/>
          <cell r="V278"/>
          <cell r="X278"/>
          <cell r="Z278"/>
          <cell r="AA278"/>
          <cell r="AB278"/>
          <cell r="AC278"/>
          <cell r="AD278"/>
          <cell r="AG278"/>
          <cell r="AI278"/>
          <cell r="AJ278"/>
          <cell r="AL278"/>
          <cell r="AM278"/>
          <cell r="AN278"/>
          <cell r="AO278"/>
          <cell r="AQ278"/>
          <cell r="AR278"/>
          <cell r="AS278"/>
          <cell r="AT278"/>
          <cell r="AU278"/>
          <cell r="BZ278"/>
          <cell r="CA278"/>
          <cell r="DL278"/>
          <cell r="DM278"/>
          <cell r="DN278"/>
          <cell r="DP278"/>
          <cell r="DQ278"/>
          <cell r="DR278"/>
          <cell r="DS278"/>
          <cell r="DT278"/>
          <cell r="DU278"/>
          <cell r="DW278"/>
          <cell r="DX278"/>
          <cell r="DY278"/>
          <cell r="DZ278"/>
          <cell r="EA278"/>
          <cell r="EB278"/>
          <cell r="EC278"/>
          <cell r="ED278"/>
          <cell r="EG278"/>
          <cell r="EH278"/>
          <cell r="EI278"/>
        </row>
        <row r="279">
          <cell r="B279"/>
          <cell r="C279"/>
          <cell r="E279"/>
          <cell r="F279"/>
          <cell r="G279"/>
          <cell r="H279"/>
          <cell r="I279"/>
          <cell r="J279"/>
          <cell r="L279"/>
          <cell r="M279"/>
          <cell r="N279"/>
          <cell r="R279"/>
          <cell r="T279"/>
          <cell r="U279"/>
          <cell r="V279"/>
          <cell r="X279"/>
          <cell r="Z279"/>
          <cell r="AA279"/>
          <cell r="AB279"/>
          <cell r="AC279"/>
          <cell r="AD279"/>
          <cell r="AG279"/>
          <cell r="AI279"/>
          <cell r="AJ279"/>
          <cell r="AL279"/>
          <cell r="AM279"/>
          <cell r="AN279"/>
          <cell r="AO279"/>
          <cell r="AQ279"/>
          <cell r="AR279"/>
          <cell r="AS279"/>
          <cell r="AT279"/>
          <cell r="AU279"/>
          <cell r="BZ279"/>
          <cell r="CA279"/>
          <cell r="DL279"/>
          <cell r="DM279"/>
          <cell r="DN279"/>
          <cell r="DP279"/>
          <cell r="DQ279"/>
          <cell r="DR279"/>
          <cell r="DS279"/>
          <cell r="DT279"/>
          <cell r="DU279"/>
          <cell r="DW279"/>
          <cell r="DX279"/>
          <cell r="DY279"/>
          <cell r="DZ279"/>
          <cell r="EA279"/>
          <cell r="EB279"/>
          <cell r="EC279"/>
          <cell r="ED279"/>
          <cell r="EG279"/>
          <cell r="EH279"/>
          <cell r="EI279"/>
        </row>
        <row r="280">
          <cell r="B280"/>
          <cell r="C280"/>
          <cell r="E280"/>
          <cell r="F280"/>
          <cell r="G280"/>
          <cell r="H280"/>
          <cell r="I280"/>
          <cell r="J280"/>
          <cell r="L280"/>
          <cell r="M280"/>
          <cell r="N280"/>
          <cell r="R280"/>
          <cell r="T280"/>
          <cell r="U280"/>
          <cell r="V280"/>
          <cell r="X280"/>
          <cell r="Z280"/>
          <cell r="AA280"/>
          <cell r="AB280"/>
          <cell r="AC280"/>
          <cell r="AD280"/>
          <cell r="AG280"/>
          <cell r="AI280"/>
          <cell r="AJ280"/>
          <cell r="AL280"/>
          <cell r="AM280"/>
          <cell r="AN280"/>
          <cell r="AO280"/>
          <cell r="AQ280"/>
          <cell r="AR280"/>
          <cell r="AS280"/>
          <cell r="AT280"/>
          <cell r="AU280"/>
          <cell r="BZ280"/>
          <cell r="CA280"/>
          <cell r="DL280"/>
          <cell r="DM280"/>
          <cell r="DN280"/>
          <cell r="DP280"/>
          <cell r="DQ280"/>
          <cell r="DR280"/>
          <cell r="DS280"/>
          <cell r="DT280"/>
          <cell r="DU280"/>
          <cell r="DW280"/>
          <cell r="DX280"/>
          <cell r="DY280"/>
          <cell r="DZ280"/>
          <cell r="EA280"/>
          <cell r="EB280"/>
          <cell r="EC280"/>
          <cell r="ED280"/>
          <cell r="EG280"/>
          <cell r="EH280"/>
          <cell r="EI280"/>
        </row>
        <row r="281">
          <cell r="B281"/>
          <cell r="C281"/>
          <cell r="E281"/>
          <cell r="F281"/>
          <cell r="G281"/>
          <cell r="H281"/>
          <cell r="I281"/>
          <cell r="J281"/>
          <cell r="L281"/>
          <cell r="M281"/>
          <cell r="N281"/>
          <cell r="R281"/>
          <cell r="T281"/>
          <cell r="U281"/>
          <cell r="V281"/>
          <cell r="X281"/>
          <cell r="Z281"/>
          <cell r="AA281"/>
          <cell r="AB281"/>
          <cell r="AC281"/>
          <cell r="AD281"/>
          <cell r="AG281"/>
          <cell r="AI281"/>
          <cell r="AJ281"/>
          <cell r="AL281"/>
          <cell r="AM281"/>
          <cell r="AN281"/>
          <cell r="AO281"/>
          <cell r="AQ281"/>
          <cell r="AR281"/>
          <cell r="AS281"/>
          <cell r="AT281"/>
          <cell r="AU281"/>
          <cell r="BZ281"/>
          <cell r="CA281"/>
          <cell r="DL281"/>
          <cell r="DM281"/>
          <cell r="DN281"/>
          <cell r="DP281"/>
          <cell r="DQ281"/>
          <cell r="DR281"/>
          <cell r="DS281"/>
          <cell r="DT281"/>
          <cell r="DU281"/>
          <cell r="DW281"/>
          <cell r="DX281"/>
          <cell r="DY281"/>
          <cell r="DZ281"/>
          <cell r="EA281"/>
          <cell r="EB281"/>
          <cell r="EC281"/>
          <cell r="ED281"/>
          <cell r="EG281"/>
          <cell r="EH281"/>
          <cell r="EI281"/>
        </row>
        <row r="282">
          <cell r="B282"/>
          <cell r="C282"/>
          <cell r="E282"/>
          <cell r="F282"/>
          <cell r="G282"/>
          <cell r="H282"/>
          <cell r="I282"/>
          <cell r="J282"/>
          <cell r="L282"/>
          <cell r="M282"/>
          <cell r="N282"/>
          <cell r="R282"/>
          <cell r="T282"/>
          <cell r="U282"/>
          <cell r="V282"/>
          <cell r="X282"/>
          <cell r="Z282"/>
          <cell r="AA282"/>
          <cell r="AB282"/>
          <cell r="AC282"/>
          <cell r="AD282"/>
          <cell r="AG282"/>
          <cell r="AI282"/>
          <cell r="AJ282"/>
          <cell r="AL282"/>
          <cell r="AM282"/>
          <cell r="AN282"/>
          <cell r="AO282"/>
          <cell r="AQ282"/>
          <cell r="AR282"/>
          <cell r="AS282"/>
          <cell r="AT282"/>
          <cell r="AU282"/>
          <cell r="BZ282"/>
          <cell r="CA282"/>
          <cell r="DL282"/>
          <cell r="DM282"/>
          <cell r="DN282"/>
          <cell r="DP282"/>
          <cell r="DQ282"/>
          <cell r="DR282"/>
          <cell r="DS282"/>
          <cell r="DT282"/>
          <cell r="DU282"/>
          <cell r="DW282"/>
          <cell r="DX282"/>
          <cell r="DY282"/>
          <cell r="DZ282"/>
          <cell r="EA282"/>
          <cell r="EB282"/>
          <cell r="EC282"/>
          <cell r="ED282"/>
          <cell r="EG282"/>
          <cell r="EH282"/>
          <cell r="EI282"/>
        </row>
        <row r="283">
          <cell r="B283"/>
          <cell r="C283"/>
          <cell r="E283"/>
          <cell r="F283"/>
          <cell r="G283"/>
          <cell r="H283"/>
          <cell r="I283"/>
          <cell r="J283"/>
          <cell r="L283"/>
          <cell r="M283"/>
          <cell r="N283"/>
          <cell r="R283"/>
          <cell r="T283"/>
          <cell r="U283"/>
          <cell r="V283"/>
          <cell r="X283"/>
          <cell r="Z283"/>
          <cell r="AA283"/>
          <cell r="AB283"/>
          <cell r="AC283"/>
          <cell r="AD283"/>
          <cell r="AG283"/>
          <cell r="AI283"/>
          <cell r="AJ283"/>
          <cell r="AL283"/>
          <cell r="AM283"/>
          <cell r="AN283"/>
          <cell r="AO283"/>
          <cell r="AQ283"/>
          <cell r="AR283"/>
          <cell r="AS283"/>
          <cell r="AT283"/>
          <cell r="AU283"/>
          <cell r="BZ283"/>
          <cell r="CA283"/>
          <cell r="DL283"/>
          <cell r="DM283"/>
          <cell r="DN283"/>
          <cell r="DP283"/>
          <cell r="DQ283"/>
          <cell r="DR283"/>
          <cell r="DS283"/>
          <cell r="DT283"/>
          <cell r="DU283"/>
          <cell r="DW283"/>
          <cell r="DX283"/>
          <cell r="DY283"/>
          <cell r="DZ283"/>
          <cell r="EA283"/>
          <cell r="EB283"/>
          <cell r="EC283"/>
          <cell r="ED283"/>
          <cell r="EG283"/>
          <cell r="EH283"/>
          <cell r="EI283"/>
        </row>
        <row r="284">
          <cell r="B284"/>
          <cell r="C284"/>
          <cell r="E284"/>
          <cell r="F284"/>
          <cell r="G284"/>
          <cell r="H284"/>
          <cell r="I284"/>
          <cell r="J284"/>
          <cell r="L284"/>
          <cell r="M284"/>
          <cell r="N284"/>
          <cell r="R284"/>
          <cell r="T284"/>
          <cell r="U284"/>
          <cell r="V284"/>
          <cell r="X284"/>
          <cell r="Z284"/>
          <cell r="AA284"/>
          <cell r="AB284"/>
          <cell r="AC284"/>
          <cell r="AD284"/>
          <cell r="AG284"/>
          <cell r="AI284"/>
          <cell r="AJ284"/>
          <cell r="AL284"/>
          <cell r="AM284"/>
          <cell r="AN284"/>
          <cell r="AO284"/>
          <cell r="AQ284"/>
          <cell r="AR284"/>
          <cell r="AS284"/>
          <cell r="AT284"/>
          <cell r="AU284"/>
          <cell r="BZ284"/>
          <cell r="CA284"/>
          <cell r="DL284"/>
          <cell r="DM284"/>
          <cell r="DN284"/>
          <cell r="DP284"/>
          <cell r="DQ284"/>
          <cell r="DR284"/>
          <cell r="DS284"/>
          <cell r="DT284"/>
          <cell r="DU284"/>
          <cell r="DW284"/>
          <cell r="DX284"/>
          <cell r="DY284"/>
          <cell r="DZ284"/>
          <cell r="EA284"/>
          <cell r="EB284"/>
          <cell r="EC284"/>
          <cell r="ED284"/>
          <cell r="EG284"/>
          <cell r="EH284"/>
          <cell r="EI284"/>
        </row>
        <row r="285">
          <cell r="B285"/>
          <cell r="C285"/>
          <cell r="E285"/>
          <cell r="F285"/>
          <cell r="G285"/>
          <cell r="H285"/>
          <cell r="I285"/>
          <cell r="J285"/>
          <cell r="L285"/>
          <cell r="M285"/>
          <cell r="N285"/>
          <cell r="R285"/>
          <cell r="T285"/>
          <cell r="U285"/>
          <cell r="V285"/>
          <cell r="X285"/>
          <cell r="Z285"/>
          <cell r="AA285"/>
          <cell r="AB285"/>
          <cell r="AC285"/>
          <cell r="AD285"/>
          <cell r="AG285"/>
          <cell r="AI285"/>
          <cell r="AJ285"/>
          <cell r="AL285"/>
          <cell r="AM285"/>
          <cell r="AN285"/>
          <cell r="AO285"/>
          <cell r="AQ285"/>
          <cell r="AR285"/>
          <cell r="AS285"/>
          <cell r="AT285"/>
          <cell r="AU285"/>
          <cell r="BZ285"/>
          <cell r="CA285"/>
          <cell r="DL285"/>
          <cell r="DM285"/>
          <cell r="DN285"/>
          <cell r="DP285"/>
          <cell r="DQ285"/>
          <cell r="DR285"/>
          <cell r="DS285"/>
          <cell r="DT285"/>
          <cell r="DU285"/>
          <cell r="DW285"/>
          <cell r="DX285"/>
          <cell r="DY285"/>
          <cell r="DZ285"/>
          <cell r="EA285"/>
          <cell r="EB285"/>
          <cell r="EC285"/>
          <cell r="ED285"/>
          <cell r="EG285"/>
          <cell r="EH285"/>
          <cell r="EI285"/>
        </row>
        <row r="286">
          <cell r="B286"/>
          <cell r="C286"/>
          <cell r="E286"/>
          <cell r="F286"/>
          <cell r="G286"/>
          <cell r="H286"/>
          <cell r="I286"/>
          <cell r="J286"/>
          <cell r="L286"/>
          <cell r="M286"/>
          <cell r="N286"/>
          <cell r="R286"/>
          <cell r="T286"/>
          <cell r="U286"/>
          <cell r="V286"/>
          <cell r="X286"/>
          <cell r="Z286"/>
          <cell r="AA286"/>
          <cell r="AB286"/>
          <cell r="AC286"/>
          <cell r="AD286"/>
          <cell r="AG286"/>
          <cell r="AI286"/>
          <cell r="AJ286"/>
          <cell r="AL286"/>
          <cell r="AM286"/>
          <cell r="AN286"/>
          <cell r="AO286"/>
          <cell r="AQ286"/>
          <cell r="AR286"/>
          <cell r="AS286"/>
          <cell r="AT286"/>
          <cell r="AU286"/>
          <cell r="BZ286"/>
          <cell r="CA286"/>
          <cell r="DL286"/>
          <cell r="DM286"/>
          <cell r="DN286"/>
          <cell r="DP286"/>
          <cell r="DQ286"/>
          <cell r="DR286"/>
          <cell r="DS286"/>
          <cell r="DT286"/>
          <cell r="DU286"/>
          <cell r="DW286"/>
          <cell r="DX286"/>
          <cell r="DY286"/>
          <cell r="DZ286"/>
          <cell r="EA286"/>
          <cell r="EB286"/>
          <cell r="EC286"/>
          <cell r="ED286"/>
          <cell r="EG286"/>
          <cell r="EH286"/>
          <cell r="EI286"/>
        </row>
        <row r="287">
          <cell r="B287"/>
          <cell r="C287"/>
          <cell r="E287"/>
          <cell r="F287"/>
          <cell r="G287"/>
          <cell r="H287"/>
          <cell r="I287"/>
          <cell r="J287"/>
          <cell r="L287"/>
          <cell r="M287"/>
          <cell r="N287"/>
          <cell r="R287"/>
          <cell r="T287"/>
          <cell r="U287"/>
          <cell r="V287"/>
          <cell r="X287"/>
          <cell r="Z287"/>
          <cell r="AA287"/>
          <cell r="AB287"/>
          <cell r="AC287"/>
          <cell r="AD287"/>
          <cell r="AG287"/>
          <cell r="AI287"/>
          <cell r="AJ287"/>
          <cell r="AL287"/>
          <cell r="AM287"/>
          <cell r="AN287"/>
          <cell r="AO287"/>
          <cell r="AQ287"/>
          <cell r="AR287"/>
          <cell r="AS287"/>
          <cell r="AT287"/>
          <cell r="AU287"/>
          <cell r="BZ287"/>
          <cell r="CA287"/>
          <cell r="DL287"/>
          <cell r="DM287"/>
          <cell r="DN287"/>
          <cell r="DP287"/>
          <cell r="DQ287"/>
          <cell r="DR287"/>
          <cell r="DS287"/>
          <cell r="DT287"/>
          <cell r="DU287"/>
          <cell r="DW287"/>
          <cell r="DX287"/>
          <cell r="DY287"/>
          <cell r="DZ287"/>
          <cell r="EA287"/>
          <cell r="EB287"/>
          <cell r="EC287"/>
          <cell r="ED287"/>
          <cell r="EG287"/>
          <cell r="EH287"/>
          <cell r="EI287"/>
        </row>
        <row r="288">
          <cell r="B288"/>
          <cell r="C288"/>
          <cell r="E288"/>
          <cell r="F288"/>
          <cell r="G288"/>
          <cell r="H288"/>
          <cell r="I288"/>
          <cell r="J288"/>
          <cell r="L288"/>
          <cell r="M288"/>
          <cell r="N288"/>
          <cell r="R288"/>
          <cell r="T288"/>
          <cell r="U288"/>
          <cell r="V288"/>
          <cell r="X288"/>
          <cell r="Z288"/>
          <cell r="AA288"/>
          <cell r="AB288"/>
          <cell r="AC288"/>
          <cell r="AD288"/>
          <cell r="AG288"/>
          <cell r="AI288"/>
          <cell r="AJ288"/>
          <cell r="AL288"/>
          <cell r="AM288"/>
          <cell r="AN288"/>
          <cell r="AO288"/>
          <cell r="AQ288"/>
          <cell r="AR288"/>
          <cell r="AS288"/>
          <cell r="AT288"/>
          <cell r="AU288"/>
          <cell r="BZ288"/>
          <cell r="CA288"/>
          <cell r="DL288"/>
          <cell r="DM288"/>
          <cell r="DN288"/>
          <cell r="DP288"/>
          <cell r="DQ288"/>
          <cell r="DR288"/>
          <cell r="DS288"/>
          <cell r="DT288"/>
          <cell r="DU288"/>
          <cell r="DW288"/>
          <cell r="DX288"/>
          <cell r="DY288"/>
          <cell r="DZ288"/>
          <cell r="EA288"/>
          <cell r="EB288"/>
          <cell r="EC288"/>
          <cell r="ED288"/>
          <cell r="EG288"/>
          <cell r="EH288"/>
          <cell r="EI288"/>
        </row>
        <row r="289">
          <cell r="B289"/>
          <cell r="C289"/>
          <cell r="E289"/>
          <cell r="F289"/>
          <cell r="G289"/>
          <cell r="H289"/>
          <cell r="I289"/>
          <cell r="J289"/>
          <cell r="L289"/>
          <cell r="M289"/>
          <cell r="N289"/>
          <cell r="R289"/>
          <cell r="T289"/>
          <cell r="U289"/>
          <cell r="V289"/>
          <cell r="X289"/>
          <cell r="Z289"/>
          <cell r="AA289"/>
          <cell r="AB289"/>
          <cell r="AC289"/>
          <cell r="AD289"/>
          <cell r="AG289"/>
          <cell r="AI289"/>
          <cell r="AJ289"/>
          <cell r="AL289"/>
          <cell r="AM289"/>
          <cell r="AN289"/>
          <cell r="AO289"/>
          <cell r="AQ289"/>
          <cell r="AR289"/>
          <cell r="AS289"/>
          <cell r="AT289"/>
          <cell r="AU289"/>
          <cell r="BZ289"/>
          <cell r="CA289"/>
          <cell r="DL289"/>
          <cell r="DM289"/>
          <cell r="DN289"/>
          <cell r="DP289"/>
          <cell r="DQ289"/>
          <cell r="DR289"/>
          <cell r="DS289"/>
          <cell r="DT289"/>
          <cell r="DU289"/>
          <cell r="DW289"/>
          <cell r="DX289"/>
          <cell r="DY289"/>
          <cell r="DZ289"/>
          <cell r="EA289"/>
          <cell r="EB289"/>
          <cell r="EC289"/>
          <cell r="ED289"/>
          <cell r="EG289"/>
          <cell r="EH289"/>
          <cell r="EI289"/>
        </row>
        <row r="290">
          <cell r="B290"/>
          <cell r="C290"/>
          <cell r="E290"/>
          <cell r="F290"/>
          <cell r="G290"/>
          <cell r="H290"/>
          <cell r="I290"/>
          <cell r="J290"/>
          <cell r="L290"/>
          <cell r="M290"/>
          <cell r="N290"/>
          <cell r="R290"/>
          <cell r="T290"/>
          <cell r="U290"/>
          <cell r="V290"/>
          <cell r="X290"/>
          <cell r="Z290"/>
          <cell r="AA290"/>
          <cell r="AB290"/>
          <cell r="AC290"/>
          <cell r="AD290"/>
          <cell r="AG290"/>
          <cell r="AI290"/>
          <cell r="AJ290"/>
          <cell r="AL290"/>
          <cell r="AM290"/>
          <cell r="AN290"/>
          <cell r="AO290"/>
          <cell r="AQ290"/>
          <cell r="AR290"/>
          <cell r="AS290"/>
          <cell r="AT290"/>
          <cell r="AU290"/>
          <cell r="BZ290"/>
          <cell r="CA290"/>
          <cell r="DL290"/>
          <cell r="DM290"/>
          <cell r="DN290"/>
          <cell r="DP290"/>
          <cell r="DQ290"/>
          <cell r="DR290"/>
          <cell r="DS290"/>
          <cell r="DT290"/>
          <cell r="DU290"/>
          <cell r="DW290"/>
          <cell r="DX290"/>
          <cell r="DY290"/>
          <cell r="DZ290"/>
          <cell r="EA290"/>
          <cell r="EB290"/>
          <cell r="EC290"/>
          <cell r="ED290"/>
          <cell r="EG290"/>
          <cell r="EH290"/>
          <cell r="EI290"/>
        </row>
        <row r="291">
          <cell r="B291"/>
          <cell r="C291"/>
          <cell r="E291"/>
          <cell r="F291"/>
          <cell r="G291"/>
          <cell r="H291"/>
          <cell r="I291"/>
          <cell r="J291"/>
          <cell r="L291"/>
          <cell r="M291"/>
          <cell r="N291"/>
          <cell r="R291"/>
          <cell r="T291"/>
          <cell r="U291"/>
          <cell r="V291"/>
          <cell r="X291"/>
          <cell r="Z291"/>
          <cell r="AA291"/>
          <cell r="AB291"/>
          <cell r="AC291"/>
          <cell r="AD291"/>
          <cell r="AG291"/>
          <cell r="AI291"/>
          <cell r="AJ291"/>
          <cell r="AL291"/>
          <cell r="AM291"/>
          <cell r="AN291"/>
          <cell r="AO291"/>
          <cell r="AQ291"/>
          <cell r="AR291"/>
          <cell r="AS291"/>
          <cell r="AT291"/>
          <cell r="AU291"/>
          <cell r="BZ291"/>
          <cell r="CA291"/>
          <cell r="DL291"/>
          <cell r="DM291"/>
          <cell r="DN291"/>
          <cell r="DP291"/>
          <cell r="DQ291"/>
          <cell r="DR291"/>
          <cell r="DS291"/>
          <cell r="DT291"/>
          <cell r="DU291"/>
          <cell r="DW291"/>
          <cell r="DX291"/>
          <cell r="DY291"/>
          <cell r="DZ291"/>
          <cell r="EA291"/>
          <cell r="EB291"/>
          <cell r="EC291"/>
          <cell r="ED291"/>
          <cell r="EG291"/>
          <cell r="EH291"/>
          <cell r="EI291"/>
        </row>
        <row r="292">
          <cell r="B292"/>
          <cell r="C292"/>
          <cell r="E292"/>
          <cell r="F292"/>
          <cell r="G292"/>
          <cell r="H292"/>
          <cell r="I292"/>
          <cell r="J292"/>
          <cell r="L292"/>
          <cell r="M292"/>
          <cell r="N292"/>
          <cell r="R292"/>
          <cell r="T292"/>
          <cell r="U292"/>
          <cell r="V292"/>
          <cell r="X292"/>
          <cell r="Z292"/>
          <cell r="AA292"/>
          <cell r="AB292"/>
          <cell r="AC292"/>
          <cell r="AD292"/>
          <cell r="AG292"/>
          <cell r="AI292"/>
          <cell r="AJ292"/>
          <cell r="AL292"/>
          <cell r="AM292"/>
          <cell r="AN292"/>
          <cell r="AO292"/>
          <cell r="AQ292"/>
          <cell r="AR292"/>
          <cell r="AS292"/>
          <cell r="AT292"/>
          <cell r="AU292"/>
          <cell r="BZ292"/>
          <cell r="CA292"/>
          <cell r="DL292"/>
          <cell r="DM292"/>
          <cell r="DN292"/>
          <cell r="DP292"/>
          <cell r="DQ292"/>
          <cell r="DR292"/>
          <cell r="DS292"/>
          <cell r="DT292"/>
          <cell r="DU292"/>
          <cell r="DW292"/>
          <cell r="DX292"/>
          <cell r="DY292"/>
          <cell r="DZ292"/>
          <cell r="EA292"/>
          <cell r="EB292"/>
          <cell r="EC292"/>
          <cell r="ED292"/>
          <cell r="EG292"/>
          <cell r="EH292"/>
          <cell r="EI292"/>
        </row>
        <row r="293">
          <cell r="B293"/>
          <cell r="C293"/>
          <cell r="E293"/>
          <cell r="F293"/>
          <cell r="G293"/>
          <cell r="H293"/>
          <cell r="I293"/>
          <cell r="J293"/>
          <cell r="L293"/>
          <cell r="M293"/>
          <cell r="N293"/>
          <cell r="R293"/>
          <cell r="T293"/>
          <cell r="U293"/>
          <cell r="V293"/>
          <cell r="X293"/>
          <cell r="Z293"/>
          <cell r="AA293"/>
          <cell r="AB293"/>
          <cell r="AC293"/>
          <cell r="AD293"/>
          <cell r="AG293"/>
          <cell r="AI293"/>
          <cell r="AJ293"/>
          <cell r="AL293"/>
          <cell r="AM293"/>
          <cell r="AN293"/>
          <cell r="AO293"/>
          <cell r="AQ293"/>
          <cell r="AR293"/>
          <cell r="AS293"/>
          <cell r="AT293"/>
          <cell r="AU293"/>
          <cell r="BZ293"/>
          <cell r="CA293"/>
          <cell r="DL293"/>
          <cell r="DM293"/>
          <cell r="DN293"/>
          <cell r="DP293"/>
          <cell r="DQ293"/>
          <cell r="DR293"/>
          <cell r="DS293"/>
          <cell r="DT293"/>
          <cell r="DU293"/>
          <cell r="DW293"/>
          <cell r="DX293"/>
          <cell r="DY293"/>
          <cell r="DZ293"/>
          <cell r="EA293"/>
          <cell r="EB293"/>
          <cell r="EC293"/>
          <cell r="ED293"/>
          <cell r="EG293"/>
          <cell r="EH293"/>
          <cell r="EI293"/>
        </row>
        <row r="294">
          <cell r="B294"/>
          <cell r="C294"/>
          <cell r="E294"/>
          <cell r="F294"/>
          <cell r="G294"/>
          <cell r="H294"/>
          <cell r="I294"/>
          <cell r="J294"/>
          <cell r="L294"/>
          <cell r="M294"/>
          <cell r="N294"/>
          <cell r="R294"/>
          <cell r="T294"/>
          <cell r="U294"/>
          <cell r="V294"/>
          <cell r="X294"/>
          <cell r="Z294"/>
          <cell r="AA294"/>
          <cell r="AB294"/>
          <cell r="AC294"/>
          <cell r="AD294"/>
          <cell r="AG294"/>
          <cell r="AI294"/>
          <cell r="AJ294"/>
          <cell r="AL294"/>
          <cell r="AM294"/>
          <cell r="AN294"/>
          <cell r="AO294"/>
          <cell r="AQ294"/>
          <cell r="AR294"/>
          <cell r="AS294"/>
          <cell r="AT294"/>
          <cell r="AU294"/>
          <cell r="BZ294"/>
          <cell r="CA294"/>
          <cell r="DL294"/>
          <cell r="DM294"/>
          <cell r="DN294"/>
          <cell r="DP294"/>
          <cell r="DQ294"/>
          <cell r="DR294"/>
          <cell r="DS294"/>
          <cell r="DT294"/>
          <cell r="DU294"/>
          <cell r="DW294"/>
          <cell r="DX294"/>
          <cell r="DY294"/>
          <cell r="DZ294"/>
          <cell r="EA294"/>
          <cell r="EB294"/>
          <cell r="EC294"/>
          <cell r="ED294"/>
          <cell r="EG294"/>
          <cell r="EH294"/>
          <cell r="EI294"/>
        </row>
        <row r="295">
          <cell r="B295"/>
          <cell r="C295"/>
          <cell r="E295"/>
          <cell r="F295"/>
          <cell r="G295"/>
          <cell r="H295"/>
          <cell r="I295"/>
          <cell r="J295"/>
          <cell r="L295"/>
          <cell r="M295"/>
          <cell r="N295"/>
          <cell r="R295"/>
          <cell r="T295"/>
          <cell r="U295"/>
          <cell r="V295"/>
          <cell r="X295"/>
          <cell r="Z295"/>
          <cell r="AA295"/>
          <cell r="AB295"/>
          <cell r="AC295"/>
          <cell r="AD295"/>
          <cell r="AG295"/>
          <cell r="AI295"/>
          <cell r="AJ295"/>
          <cell r="AL295"/>
          <cell r="AM295"/>
          <cell r="AN295"/>
          <cell r="AO295"/>
          <cell r="AQ295"/>
          <cell r="AR295"/>
          <cell r="AS295"/>
          <cell r="AT295"/>
          <cell r="AU295"/>
          <cell r="BZ295"/>
          <cell r="CA295"/>
          <cell r="DL295"/>
          <cell r="DM295"/>
          <cell r="DN295"/>
          <cell r="DP295"/>
          <cell r="DQ295"/>
          <cell r="DR295"/>
          <cell r="DS295"/>
          <cell r="DT295"/>
          <cell r="DU295"/>
          <cell r="DW295"/>
          <cell r="DX295"/>
          <cell r="DY295"/>
          <cell r="DZ295"/>
          <cell r="EA295"/>
          <cell r="EB295"/>
          <cell r="EC295"/>
          <cell r="ED295"/>
          <cell r="EG295"/>
          <cell r="EH295"/>
          <cell r="EI295"/>
        </row>
        <row r="296">
          <cell r="B296"/>
          <cell r="C296"/>
          <cell r="E296"/>
          <cell r="F296"/>
          <cell r="G296"/>
          <cell r="H296"/>
          <cell r="I296"/>
          <cell r="J296"/>
          <cell r="L296"/>
          <cell r="M296"/>
          <cell r="N296"/>
          <cell r="R296"/>
          <cell r="T296"/>
          <cell r="U296"/>
          <cell r="V296"/>
          <cell r="X296"/>
          <cell r="Z296"/>
          <cell r="AA296"/>
          <cell r="AB296"/>
          <cell r="AC296"/>
          <cell r="AD296"/>
          <cell r="AG296"/>
          <cell r="AI296"/>
          <cell r="AJ296"/>
          <cell r="AL296"/>
          <cell r="AM296"/>
          <cell r="AN296"/>
          <cell r="AO296"/>
          <cell r="AQ296"/>
          <cell r="AR296"/>
          <cell r="AS296"/>
          <cell r="AT296"/>
          <cell r="AU296"/>
          <cell r="BZ296"/>
          <cell r="CA296"/>
          <cell r="DL296"/>
          <cell r="DM296"/>
          <cell r="DN296"/>
          <cell r="DP296"/>
          <cell r="DQ296"/>
          <cell r="DR296"/>
          <cell r="DS296"/>
          <cell r="DT296"/>
          <cell r="DU296"/>
          <cell r="DW296"/>
          <cell r="DX296"/>
          <cell r="DY296"/>
          <cell r="DZ296"/>
          <cell r="EA296"/>
          <cell r="EB296"/>
          <cell r="EC296"/>
          <cell r="ED296"/>
          <cell r="EG296"/>
          <cell r="EH296"/>
          <cell r="EI296"/>
        </row>
        <row r="297">
          <cell r="B297"/>
          <cell r="C297"/>
          <cell r="E297"/>
          <cell r="F297"/>
          <cell r="G297"/>
          <cell r="H297"/>
          <cell r="I297"/>
          <cell r="J297"/>
          <cell r="L297"/>
          <cell r="M297"/>
          <cell r="N297"/>
          <cell r="R297"/>
          <cell r="T297"/>
          <cell r="U297"/>
          <cell r="V297"/>
          <cell r="X297"/>
          <cell r="Z297"/>
          <cell r="AA297"/>
          <cell r="AB297"/>
          <cell r="AC297"/>
          <cell r="AD297"/>
          <cell r="AG297"/>
          <cell r="AI297"/>
          <cell r="AJ297"/>
          <cell r="AL297"/>
          <cell r="AM297"/>
          <cell r="AN297"/>
          <cell r="AO297"/>
          <cell r="AQ297"/>
          <cell r="AR297"/>
          <cell r="AS297"/>
          <cell r="AT297"/>
          <cell r="AU297"/>
          <cell r="BZ297"/>
          <cell r="CA297"/>
          <cell r="DL297"/>
          <cell r="DM297"/>
          <cell r="DN297"/>
          <cell r="DP297"/>
          <cell r="DQ297"/>
          <cell r="DR297"/>
          <cell r="DS297"/>
          <cell r="DT297"/>
          <cell r="DU297"/>
          <cell r="DW297"/>
          <cell r="DX297"/>
          <cell r="DY297"/>
          <cell r="DZ297"/>
          <cell r="EA297"/>
          <cell r="EB297"/>
          <cell r="EC297"/>
          <cell r="ED297"/>
          <cell r="EG297"/>
          <cell r="EH297"/>
          <cell r="EI297"/>
        </row>
        <row r="298">
          <cell r="B298"/>
          <cell r="C298"/>
          <cell r="E298"/>
          <cell r="F298"/>
          <cell r="G298"/>
          <cell r="H298"/>
          <cell r="I298"/>
          <cell r="J298"/>
          <cell r="L298"/>
          <cell r="M298"/>
          <cell r="N298"/>
          <cell r="R298"/>
          <cell r="T298"/>
          <cell r="U298"/>
          <cell r="V298"/>
          <cell r="X298"/>
          <cell r="Z298"/>
          <cell r="AA298"/>
          <cell r="AB298"/>
          <cell r="AC298"/>
          <cell r="AD298"/>
          <cell r="AG298"/>
          <cell r="AI298"/>
          <cell r="AJ298"/>
          <cell r="AL298"/>
          <cell r="AM298"/>
          <cell r="AN298"/>
          <cell r="AO298"/>
          <cell r="AQ298"/>
          <cell r="AR298"/>
          <cell r="AS298"/>
          <cell r="AT298"/>
          <cell r="AU298"/>
          <cell r="BZ298"/>
          <cell r="CA298"/>
          <cell r="DL298"/>
          <cell r="DM298"/>
          <cell r="DN298"/>
          <cell r="DP298"/>
          <cell r="DQ298"/>
          <cell r="DR298"/>
          <cell r="DS298"/>
          <cell r="DT298"/>
          <cell r="DU298"/>
          <cell r="DW298"/>
          <cell r="DX298"/>
          <cell r="DY298"/>
          <cell r="DZ298"/>
          <cell r="EA298"/>
          <cell r="EB298"/>
          <cell r="EC298"/>
          <cell r="ED298"/>
          <cell r="EG298"/>
          <cell r="EH298"/>
          <cell r="EI298"/>
        </row>
        <row r="299">
          <cell r="B299"/>
          <cell r="C299"/>
          <cell r="E299"/>
          <cell r="F299"/>
          <cell r="G299"/>
          <cell r="H299"/>
          <cell r="I299"/>
          <cell r="J299"/>
          <cell r="L299"/>
          <cell r="M299"/>
          <cell r="N299"/>
          <cell r="R299"/>
          <cell r="T299"/>
          <cell r="U299"/>
          <cell r="V299"/>
          <cell r="X299"/>
          <cell r="Z299"/>
          <cell r="AA299"/>
          <cell r="AB299"/>
          <cell r="AC299"/>
          <cell r="AD299"/>
          <cell r="AG299"/>
          <cell r="AI299"/>
          <cell r="AJ299"/>
          <cell r="AL299"/>
          <cell r="AM299"/>
          <cell r="AN299"/>
          <cell r="AO299"/>
          <cell r="AQ299"/>
          <cell r="AR299"/>
          <cell r="AS299"/>
          <cell r="AT299"/>
          <cell r="AU299"/>
          <cell r="BZ299"/>
          <cell r="CA299"/>
          <cell r="DL299"/>
          <cell r="DM299"/>
          <cell r="DN299"/>
          <cell r="DP299"/>
          <cell r="DQ299"/>
          <cell r="DR299"/>
          <cell r="DS299"/>
          <cell r="DT299"/>
          <cell r="DU299"/>
          <cell r="DW299"/>
          <cell r="DX299"/>
          <cell r="DY299"/>
          <cell r="DZ299"/>
          <cell r="EA299"/>
          <cell r="EB299"/>
          <cell r="EC299"/>
          <cell r="ED299"/>
          <cell r="EG299"/>
          <cell r="EH299"/>
          <cell r="EI299"/>
        </row>
        <row r="300">
          <cell r="B300"/>
          <cell r="C300"/>
          <cell r="E300"/>
          <cell r="F300"/>
          <cell r="G300"/>
          <cell r="H300"/>
          <cell r="I300"/>
          <cell r="J300"/>
          <cell r="L300"/>
          <cell r="M300"/>
          <cell r="N300"/>
          <cell r="R300"/>
          <cell r="T300"/>
          <cell r="U300"/>
          <cell r="V300"/>
          <cell r="X300"/>
          <cell r="Z300"/>
          <cell r="AA300"/>
          <cell r="AB300"/>
          <cell r="AC300"/>
          <cell r="AD300"/>
          <cell r="AG300"/>
          <cell r="AI300"/>
          <cell r="AJ300"/>
          <cell r="AL300"/>
          <cell r="AM300"/>
          <cell r="AN300"/>
          <cell r="AO300"/>
          <cell r="AQ300"/>
          <cell r="AR300"/>
          <cell r="AS300"/>
          <cell r="AT300"/>
          <cell r="AU300"/>
          <cell r="BZ300"/>
          <cell r="CA300"/>
          <cell r="DL300"/>
          <cell r="DM300"/>
          <cell r="DN300"/>
          <cell r="DP300"/>
          <cell r="DQ300"/>
          <cell r="DR300"/>
          <cell r="DS300"/>
          <cell r="DT300"/>
          <cell r="DU300"/>
          <cell r="DW300"/>
          <cell r="DX300"/>
          <cell r="DY300"/>
          <cell r="DZ300"/>
          <cell r="EA300"/>
          <cell r="EB300"/>
          <cell r="EC300"/>
          <cell r="ED300"/>
          <cell r="EG300"/>
          <cell r="EH300"/>
          <cell r="EI300"/>
        </row>
        <row r="301">
          <cell r="B301"/>
          <cell r="C301"/>
          <cell r="E301"/>
          <cell r="F301"/>
          <cell r="G301"/>
          <cell r="H301"/>
          <cell r="I301"/>
          <cell r="J301"/>
          <cell r="L301"/>
          <cell r="M301"/>
          <cell r="N301"/>
          <cell r="R301"/>
          <cell r="T301"/>
          <cell r="U301"/>
          <cell r="V301"/>
          <cell r="X301"/>
          <cell r="Z301"/>
          <cell r="AA301"/>
          <cell r="AB301"/>
          <cell r="AC301"/>
          <cell r="AD301"/>
          <cell r="AG301"/>
          <cell r="AI301"/>
          <cell r="AJ301"/>
          <cell r="AL301"/>
          <cell r="AM301"/>
          <cell r="AN301"/>
          <cell r="AO301"/>
          <cell r="AQ301"/>
          <cell r="AR301"/>
          <cell r="AS301"/>
          <cell r="AT301"/>
          <cell r="AU301"/>
          <cell r="BZ301"/>
          <cell r="CA301"/>
          <cell r="DL301"/>
          <cell r="DM301"/>
          <cell r="DN301"/>
          <cell r="DP301"/>
          <cell r="DQ301"/>
          <cell r="DR301"/>
          <cell r="DS301"/>
          <cell r="DT301"/>
          <cell r="DU301"/>
          <cell r="DW301"/>
          <cell r="DX301"/>
          <cell r="DY301"/>
          <cell r="DZ301"/>
          <cell r="EA301"/>
          <cell r="EB301"/>
          <cell r="EC301"/>
          <cell r="ED301"/>
          <cell r="EG301"/>
          <cell r="EH301"/>
          <cell r="EI301"/>
        </row>
        <row r="302">
          <cell r="B302"/>
          <cell r="C302"/>
          <cell r="E302"/>
          <cell r="F302"/>
          <cell r="G302"/>
          <cell r="H302"/>
          <cell r="I302"/>
          <cell r="J302"/>
          <cell r="L302"/>
          <cell r="M302"/>
          <cell r="N302"/>
          <cell r="R302"/>
          <cell r="T302"/>
          <cell r="U302"/>
          <cell r="V302"/>
          <cell r="X302"/>
          <cell r="Z302"/>
          <cell r="AA302"/>
          <cell r="AB302"/>
          <cell r="AC302"/>
          <cell r="AD302"/>
          <cell r="AG302"/>
          <cell r="AI302"/>
          <cell r="AJ302"/>
          <cell r="AL302"/>
          <cell r="AM302"/>
          <cell r="AN302"/>
          <cell r="AO302"/>
          <cell r="AQ302"/>
          <cell r="AR302"/>
          <cell r="AS302"/>
          <cell r="AT302"/>
          <cell r="AU302"/>
          <cell r="BZ302"/>
          <cell r="CA302"/>
          <cell r="DL302"/>
          <cell r="DM302"/>
          <cell r="DN302"/>
          <cell r="DP302"/>
          <cell r="DQ302"/>
          <cell r="DR302"/>
          <cell r="DS302"/>
          <cell r="DT302"/>
          <cell r="DU302"/>
          <cell r="DW302"/>
          <cell r="DX302"/>
          <cell r="DY302"/>
          <cell r="DZ302"/>
          <cell r="EA302"/>
          <cell r="EB302"/>
          <cell r="EC302"/>
          <cell r="ED302"/>
          <cell r="EG302"/>
          <cell r="EH302"/>
          <cell r="EI302"/>
        </row>
        <row r="303">
          <cell r="B303"/>
          <cell r="C303"/>
          <cell r="E303"/>
          <cell r="F303"/>
          <cell r="G303"/>
          <cell r="H303"/>
          <cell r="I303"/>
          <cell r="J303"/>
          <cell r="L303"/>
          <cell r="M303"/>
          <cell r="N303"/>
          <cell r="R303"/>
          <cell r="T303"/>
          <cell r="U303"/>
          <cell r="V303"/>
          <cell r="X303"/>
          <cell r="Z303"/>
          <cell r="AA303"/>
          <cell r="AB303"/>
          <cell r="AC303"/>
          <cell r="AD303"/>
          <cell r="AG303"/>
          <cell r="AI303"/>
          <cell r="AJ303"/>
          <cell r="AL303"/>
          <cell r="AM303"/>
          <cell r="AN303"/>
          <cell r="AO303"/>
          <cell r="AQ303"/>
          <cell r="AR303"/>
          <cell r="AS303"/>
          <cell r="AT303"/>
          <cell r="AU303"/>
          <cell r="BZ303"/>
          <cell r="CA303"/>
          <cell r="DL303"/>
          <cell r="DM303"/>
          <cell r="DN303"/>
          <cell r="DP303"/>
          <cell r="DQ303"/>
          <cell r="DR303"/>
          <cell r="DS303"/>
          <cell r="DT303"/>
          <cell r="DU303"/>
          <cell r="DW303"/>
          <cell r="DX303"/>
          <cell r="DY303"/>
          <cell r="DZ303"/>
          <cell r="EA303"/>
          <cell r="EB303"/>
          <cell r="EC303"/>
          <cell r="ED303"/>
          <cell r="EG303"/>
          <cell r="EH303"/>
          <cell r="EI303"/>
        </row>
        <row r="304">
          <cell r="B304"/>
          <cell r="C304"/>
          <cell r="E304"/>
          <cell r="F304"/>
          <cell r="G304"/>
          <cell r="H304"/>
          <cell r="I304"/>
          <cell r="J304"/>
          <cell r="L304"/>
          <cell r="M304"/>
          <cell r="N304"/>
          <cell r="R304"/>
          <cell r="T304"/>
          <cell r="U304"/>
          <cell r="V304"/>
          <cell r="X304"/>
          <cell r="Z304"/>
          <cell r="AA304"/>
          <cell r="AB304"/>
          <cell r="AC304"/>
          <cell r="AD304"/>
          <cell r="AG304"/>
          <cell r="AI304"/>
          <cell r="AJ304"/>
          <cell r="AL304"/>
          <cell r="AM304"/>
          <cell r="AN304"/>
          <cell r="AO304"/>
          <cell r="AQ304"/>
          <cell r="AR304"/>
          <cell r="AS304"/>
          <cell r="AT304"/>
          <cell r="AU304"/>
          <cell r="BZ304"/>
          <cell r="CA304"/>
          <cell r="DL304"/>
          <cell r="DM304"/>
          <cell r="DN304"/>
          <cell r="DP304"/>
          <cell r="DQ304"/>
          <cell r="DR304"/>
          <cell r="DS304"/>
          <cell r="DT304"/>
          <cell r="DU304"/>
          <cell r="DW304"/>
          <cell r="DX304"/>
          <cell r="DY304"/>
          <cell r="DZ304"/>
          <cell r="EA304"/>
          <cell r="EB304"/>
          <cell r="EC304"/>
          <cell r="ED304"/>
          <cell r="EG304"/>
          <cell r="EH304"/>
          <cell r="EI304"/>
        </row>
        <row r="305">
          <cell r="B305"/>
          <cell r="C305"/>
          <cell r="E305"/>
          <cell r="F305"/>
          <cell r="G305"/>
          <cell r="H305"/>
          <cell r="I305"/>
          <cell r="J305"/>
          <cell r="L305"/>
          <cell r="M305"/>
          <cell r="N305"/>
          <cell r="R305"/>
          <cell r="T305"/>
          <cell r="U305"/>
          <cell r="V305"/>
          <cell r="X305"/>
          <cell r="Z305"/>
          <cell r="AA305"/>
          <cell r="AB305"/>
          <cell r="AC305"/>
          <cell r="AD305"/>
          <cell r="AG305"/>
          <cell r="AI305"/>
          <cell r="AJ305"/>
          <cell r="AL305"/>
          <cell r="AM305"/>
          <cell r="AN305"/>
          <cell r="AO305"/>
          <cell r="AQ305"/>
          <cell r="AR305"/>
          <cell r="AS305"/>
          <cell r="AT305"/>
          <cell r="AU305"/>
          <cell r="BZ305"/>
          <cell r="CA305"/>
          <cell r="DL305"/>
          <cell r="DM305"/>
          <cell r="DN305"/>
          <cell r="DP305"/>
          <cell r="DQ305"/>
          <cell r="DR305"/>
          <cell r="DS305"/>
          <cell r="DT305"/>
          <cell r="DU305"/>
          <cell r="DW305"/>
          <cell r="DX305"/>
          <cell r="DY305"/>
          <cell r="DZ305"/>
          <cell r="EA305"/>
          <cell r="EB305"/>
          <cell r="EC305"/>
          <cell r="ED305"/>
          <cell r="EG305"/>
          <cell r="EH305"/>
          <cell r="EI305"/>
        </row>
        <row r="306">
          <cell r="B306"/>
          <cell r="C306"/>
          <cell r="E306"/>
          <cell r="F306"/>
          <cell r="G306"/>
          <cell r="H306"/>
          <cell r="I306"/>
          <cell r="J306"/>
          <cell r="L306"/>
          <cell r="M306"/>
          <cell r="N306"/>
          <cell r="R306"/>
          <cell r="T306"/>
          <cell r="U306"/>
          <cell r="V306"/>
          <cell r="X306"/>
          <cell r="Z306"/>
          <cell r="AA306"/>
          <cell r="AB306"/>
          <cell r="AC306"/>
          <cell r="AD306"/>
          <cell r="AG306"/>
          <cell r="AI306"/>
          <cell r="AJ306"/>
          <cell r="AL306"/>
          <cell r="AM306"/>
          <cell r="AN306"/>
          <cell r="AO306"/>
          <cell r="AQ306"/>
          <cell r="AR306"/>
          <cell r="AS306"/>
          <cell r="AT306"/>
          <cell r="AU306"/>
          <cell r="BZ306"/>
          <cell r="CA306"/>
          <cell r="DL306"/>
          <cell r="DM306"/>
          <cell r="DN306"/>
          <cell r="DP306"/>
          <cell r="DQ306"/>
          <cell r="DR306"/>
          <cell r="DS306"/>
          <cell r="DT306"/>
          <cell r="DU306"/>
          <cell r="DW306"/>
          <cell r="DX306"/>
          <cell r="DY306"/>
          <cell r="DZ306"/>
          <cell r="EA306"/>
          <cell r="EB306"/>
          <cell r="EC306"/>
          <cell r="ED306"/>
          <cell r="EG306"/>
          <cell r="EH306"/>
          <cell r="EI306"/>
        </row>
        <row r="307">
          <cell r="B307"/>
          <cell r="C307"/>
          <cell r="E307"/>
          <cell r="F307"/>
          <cell r="G307"/>
          <cell r="H307"/>
          <cell r="I307"/>
          <cell r="J307"/>
          <cell r="L307"/>
          <cell r="M307"/>
          <cell r="N307"/>
          <cell r="R307"/>
          <cell r="T307"/>
          <cell r="U307"/>
          <cell r="V307"/>
          <cell r="X307"/>
          <cell r="Z307"/>
          <cell r="AA307"/>
          <cell r="AB307"/>
          <cell r="AC307"/>
          <cell r="AD307"/>
          <cell r="AG307"/>
          <cell r="AI307"/>
          <cell r="AJ307"/>
          <cell r="AL307"/>
          <cell r="AM307"/>
          <cell r="AN307"/>
          <cell r="AO307"/>
          <cell r="AQ307"/>
          <cell r="AR307"/>
          <cell r="AS307"/>
          <cell r="AT307"/>
          <cell r="AU307"/>
          <cell r="BZ307"/>
          <cell r="CA307"/>
          <cell r="DL307"/>
          <cell r="DM307"/>
          <cell r="DN307"/>
          <cell r="DP307"/>
          <cell r="DQ307"/>
          <cell r="DR307"/>
          <cell r="DS307"/>
          <cell r="DT307"/>
          <cell r="DU307"/>
          <cell r="DW307"/>
          <cell r="DX307"/>
          <cell r="DY307"/>
          <cell r="DZ307"/>
          <cell r="EA307"/>
          <cell r="EB307"/>
          <cell r="EC307"/>
          <cell r="ED307"/>
          <cell r="EG307"/>
          <cell r="EH307"/>
          <cell r="EI307"/>
        </row>
        <row r="308">
          <cell r="B308"/>
          <cell r="C308"/>
          <cell r="E308"/>
          <cell r="F308"/>
          <cell r="G308"/>
          <cell r="H308"/>
          <cell r="I308"/>
          <cell r="J308"/>
          <cell r="L308"/>
          <cell r="M308"/>
          <cell r="N308"/>
          <cell r="R308"/>
          <cell r="T308"/>
          <cell r="U308"/>
          <cell r="V308"/>
          <cell r="X308"/>
          <cell r="Z308"/>
          <cell r="AA308"/>
          <cell r="AB308"/>
          <cell r="AC308"/>
          <cell r="AD308"/>
          <cell r="AG308"/>
          <cell r="AI308"/>
          <cell r="AJ308"/>
          <cell r="AL308"/>
          <cell r="AM308"/>
          <cell r="AN308"/>
          <cell r="AO308"/>
          <cell r="AQ308"/>
          <cell r="AR308"/>
          <cell r="AS308"/>
          <cell r="AT308"/>
          <cell r="AU308"/>
          <cell r="BZ308"/>
          <cell r="CA308"/>
          <cell r="DL308"/>
          <cell r="DM308"/>
          <cell r="DN308"/>
          <cell r="DP308"/>
          <cell r="DQ308"/>
          <cell r="DR308"/>
          <cell r="DS308"/>
          <cell r="DT308"/>
          <cell r="DU308"/>
          <cell r="DW308"/>
          <cell r="DX308"/>
          <cell r="DY308"/>
          <cell r="DZ308"/>
          <cell r="EA308"/>
          <cell r="EB308"/>
          <cell r="EC308"/>
          <cell r="ED308"/>
          <cell r="EG308"/>
          <cell r="EH308"/>
          <cell r="EI308"/>
        </row>
        <row r="309">
          <cell r="B309"/>
          <cell r="C309"/>
          <cell r="E309"/>
          <cell r="F309"/>
          <cell r="G309"/>
          <cell r="H309"/>
          <cell r="I309"/>
          <cell r="J309"/>
          <cell r="L309"/>
          <cell r="M309"/>
          <cell r="N309"/>
          <cell r="R309"/>
          <cell r="T309"/>
          <cell r="U309"/>
          <cell r="V309"/>
          <cell r="X309"/>
          <cell r="Z309"/>
          <cell r="AA309"/>
          <cell r="AB309"/>
          <cell r="AC309"/>
          <cell r="AD309"/>
          <cell r="AG309"/>
          <cell r="AI309"/>
          <cell r="AJ309"/>
          <cell r="AL309"/>
          <cell r="AM309"/>
          <cell r="AN309"/>
          <cell r="AO309"/>
          <cell r="AQ309"/>
          <cell r="AR309"/>
          <cell r="AS309"/>
          <cell r="AT309"/>
          <cell r="AU309"/>
          <cell r="BZ309"/>
          <cell r="CA309"/>
          <cell r="DL309"/>
          <cell r="DM309"/>
          <cell r="DN309"/>
          <cell r="DP309"/>
          <cell r="DQ309"/>
          <cell r="DR309"/>
          <cell r="DS309"/>
          <cell r="DT309"/>
          <cell r="DU309"/>
          <cell r="DW309"/>
          <cell r="DX309"/>
          <cell r="DY309"/>
          <cell r="DZ309"/>
          <cell r="EA309"/>
          <cell r="EB309"/>
          <cell r="EC309"/>
          <cell r="ED309"/>
          <cell r="EG309"/>
          <cell r="EH309"/>
          <cell r="EI309"/>
        </row>
        <row r="310">
          <cell r="B310"/>
          <cell r="C310"/>
          <cell r="E310"/>
          <cell r="F310"/>
          <cell r="G310"/>
          <cell r="H310"/>
          <cell r="I310"/>
          <cell r="J310"/>
          <cell r="L310"/>
          <cell r="M310"/>
          <cell r="N310"/>
          <cell r="R310"/>
          <cell r="T310"/>
          <cell r="U310"/>
          <cell r="V310"/>
          <cell r="X310"/>
          <cell r="Z310"/>
          <cell r="AA310"/>
          <cell r="AB310"/>
          <cell r="AC310"/>
          <cell r="AD310"/>
          <cell r="AG310"/>
          <cell r="AI310"/>
          <cell r="AJ310"/>
          <cell r="AL310"/>
          <cell r="AM310"/>
          <cell r="AN310"/>
          <cell r="AO310"/>
          <cell r="AQ310"/>
          <cell r="AR310"/>
          <cell r="AS310"/>
          <cell r="AT310"/>
          <cell r="AU310"/>
          <cell r="BZ310"/>
          <cell r="CA310"/>
          <cell r="DL310"/>
          <cell r="DM310"/>
          <cell r="DN310"/>
          <cell r="DP310"/>
          <cell r="DQ310"/>
          <cell r="DR310"/>
          <cell r="DS310"/>
          <cell r="DT310"/>
          <cell r="DU310"/>
          <cell r="DW310"/>
          <cell r="DX310"/>
          <cell r="DY310"/>
          <cell r="DZ310"/>
          <cell r="EA310"/>
          <cell r="EB310"/>
          <cell r="EC310"/>
          <cell r="ED310"/>
          <cell r="EG310"/>
          <cell r="EH310"/>
          <cell r="EI310"/>
        </row>
        <row r="311">
          <cell r="B311"/>
          <cell r="C311"/>
          <cell r="E311"/>
          <cell r="F311"/>
          <cell r="G311"/>
          <cell r="H311"/>
          <cell r="I311"/>
          <cell r="J311"/>
          <cell r="L311"/>
          <cell r="M311"/>
          <cell r="N311"/>
          <cell r="R311"/>
          <cell r="T311"/>
          <cell r="U311"/>
          <cell r="V311"/>
          <cell r="X311"/>
          <cell r="Z311"/>
          <cell r="AA311"/>
          <cell r="AB311"/>
          <cell r="AC311"/>
          <cell r="AD311"/>
          <cell r="AG311"/>
          <cell r="AI311"/>
          <cell r="AJ311"/>
          <cell r="AL311"/>
          <cell r="AM311"/>
          <cell r="AN311"/>
          <cell r="AO311"/>
          <cell r="AQ311"/>
          <cell r="AR311"/>
          <cell r="AS311"/>
          <cell r="AT311"/>
          <cell r="AU311"/>
          <cell r="BZ311"/>
          <cell r="CA311"/>
          <cell r="DL311"/>
          <cell r="DM311"/>
          <cell r="DN311"/>
          <cell r="DP311"/>
          <cell r="DQ311"/>
          <cell r="DR311"/>
          <cell r="DS311"/>
          <cell r="DT311"/>
          <cell r="DU311"/>
          <cell r="DW311"/>
          <cell r="DX311"/>
          <cell r="DY311"/>
          <cell r="DZ311"/>
          <cell r="EA311"/>
          <cell r="EB311"/>
          <cell r="EC311"/>
          <cell r="ED311"/>
          <cell r="EG311"/>
          <cell r="EH311"/>
          <cell r="EI311"/>
        </row>
        <row r="312">
          <cell r="B312"/>
          <cell r="C312"/>
          <cell r="E312"/>
          <cell r="F312"/>
          <cell r="G312"/>
          <cell r="H312"/>
          <cell r="I312"/>
          <cell r="J312"/>
          <cell r="L312"/>
          <cell r="M312"/>
          <cell r="N312"/>
          <cell r="R312"/>
          <cell r="T312"/>
          <cell r="U312"/>
          <cell r="V312"/>
          <cell r="X312"/>
          <cell r="Z312"/>
          <cell r="AA312"/>
          <cell r="AB312"/>
          <cell r="AC312"/>
          <cell r="AD312"/>
          <cell r="AG312"/>
          <cell r="AI312"/>
          <cell r="AJ312"/>
          <cell r="AL312"/>
          <cell r="AM312"/>
          <cell r="AN312"/>
          <cell r="AO312"/>
          <cell r="AQ312"/>
          <cell r="AR312"/>
          <cell r="AS312"/>
          <cell r="AT312"/>
          <cell r="AU312"/>
          <cell r="BZ312"/>
          <cell r="CA312"/>
          <cell r="DL312"/>
          <cell r="DM312"/>
          <cell r="DN312"/>
          <cell r="DP312"/>
          <cell r="DQ312"/>
          <cell r="DR312"/>
          <cell r="DS312"/>
          <cell r="DT312"/>
          <cell r="DU312"/>
          <cell r="DW312"/>
          <cell r="DX312"/>
          <cell r="DY312"/>
          <cell r="DZ312"/>
          <cell r="EA312"/>
          <cell r="EB312"/>
          <cell r="EC312"/>
          <cell r="ED312"/>
          <cell r="EG312"/>
          <cell r="EH312"/>
          <cell r="EI312"/>
        </row>
        <row r="313">
          <cell r="B313"/>
          <cell r="C313"/>
          <cell r="E313"/>
          <cell r="F313"/>
          <cell r="G313"/>
          <cell r="H313"/>
          <cell r="I313"/>
          <cell r="J313"/>
          <cell r="L313"/>
          <cell r="M313"/>
          <cell r="N313"/>
          <cell r="R313"/>
          <cell r="T313"/>
          <cell r="U313"/>
          <cell r="V313"/>
          <cell r="X313"/>
          <cell r="Z313"/>
          <cell r="AA313"/>
          <cell r="AB313"/>
          <cell r="AC313"/>
          <cell r="AD313"/>
          <cell r="AG313"/>
          <cell r="AI313"/>
          <cell r="AJ313"/>
          <cell r="AL313"/>
          <cell r="AM313"/>
          <cell r="AN313"/>
          <cell r="AO313"/>
          <cell r="AQ313"/>
          <cell r="AR313"/>
          <cell r="AS313"/>
          <cell r="AT313"/>
          <cell r="AU313"/>
          <cell r="BZ313"/>
          <cell r="CA313"/>
          <cell r="DL313"/>
          <cell r="DM313"/>
          <cell r="DN313"/>
          <cell r="DP313"/>
          <cell r="DQ313"/>
          <cell r="DR313"/>
          <cell r="DS313"/>
          <cell r="DT313"/>
          <cell r="DU313"/>
          <cell r="DW313"/>
          <cell r="DX313"/>
          <cell r="DY313"/>
          <cell r="DZ313"/>
          <cell r="EA313"/>
          <cell r="EB313"/>
          <cell r="EC313"/>
          <cell r="ED313"/>
          <cell r="EG313"/>
          <cell r="EH313"/>
          <cell r="EI313"/>
        </row>
        <row r="314">
          <cell r="B314"/>
          <cell r="C314"/>
          <cell r="E314"/>
          <cell r="F314"/>
          <cell r="G314"/>
          <cell r="H314"/>
          <cell r="I314"/>
          <cell r="J314"/>
          <cell r="L314"/>
          <cell r="M314"/>
          <cell r="N314"/>
          <cell r="R314"/>
          <cell r="T314"/>
          <cell r="U314"/>
          <cell r="V314"/>
          <cell r="X314"/>
          <cell r="Z314"/>
          <cell r="AA314"/>
          <cell r="AB314"/>
          <cell r="AC314"/>
          <cell r="AD314"/>
          <cell r="AG314"/>
          <cell r="AI314"/>
          <cell r="AJ314"/>
          <cell r="AL314"/>
          <cell r="AM314"/>
          <cell r="AN314"/>
          <cell r="AO314"/>
          <cell r="AQ314"/>
          <cell r="AR314"/>
          <cell r="AS314"/>
          <cell r="AT314"/>
          <cell r="AU314"/>
          <cell r="BZ314"/>
          <cell r="CA314"/>
          <cell r="DL314"/>
          <cell r="DM314"/>
          <cell r="DN314"/>
          <cell r="DP314"/>
          <cell r="DQ314"/>
          <cell r="DR314"/>
          <cell r="DS314"/>
          <cell r="DT314"/>
          <cell r="DU314"/>
          <cell r="DW314"/>
          <cell r="DX314"/>
          <cell r="DY314"/>
          <cell r="DZ314"/>
          <cell r="EA314"/>
          <cell r="EB314"/>
          <cell r="EC314"/>
          <cell r="ED314"/>
          <cell r="EG314"/>
          <cell r="EH314"/>
          <cell r="EI314"/>
        </row>
        <row r="315">
          <cell r="B315"/>
          <cell r="C315"/>
          <cell r="E315"/>
          <cell r="F315"/>
          <cell r="G315"/>
          <cell r="H315"/>
          <cell r="I315"/>
          <cell r="J315"/>
          <cell r="L315"/>
          <cell r="M315"/>
          <cell r="N315"/>
          <cell r="R315"/>
          <cell r="T315"/>
          <cell r="U315"/>
          <cell r="V315"/>
          <cell r="X315"/>
          <cell r="Z315"/>
          <cell r="AA315"/>
          <cell r="AB315"/>
          <cell r="AC315"/>
          <cell r="AD315"/>
          <cell r="AG315"/>
          <cell r="AI315"/>
          <cell r="AJ315"/>
          <cell r="AL315"/>
          <cell r="AM315"/>
          <cell r="AN315"/>
          <cell r="AO315"/>
          <cell r="AQ315"/>
          <cell r="AR315"/>
          <cell r="AS315"/>
          <cell r="AT315"/>
          <cell r="AU315"/>
          <cell r="BZ315"/>
          <cell r="CA315"/>
          <cell r="DL315"/>
          <cell r="DM315"/>
          <cell r="DN315"/>
          <cell r="DP315"/>
          <cell r="DQ315"/>
          <cell r="DR315"/>
          <cell r="DS315"/>
          <cell r="DT315"/>
          <cell r="DU315"/>
          <cell r="DW315"/>
          <cell r="DX315"/>
          <cell r="DY315"/>
          <cell r="DZ315"/>
          <cell r="EA315"/>
          <cell r="EB315"/>
          <cell r="EC315"/>
          <cell r="ED315"/>
          <cell r="EG315"/>
          <cell r="EH315"/>
          <cell r="EI315"/>
        </row>
        <row r="316">
          <cell r="B316"/>
          <cell r="C316"/>
          <cell r="E316"/>
          <cell r="F316"/>
          <cell r="G316"/>
          <cell r="H316"/>
          <cell r="I316"/>
          <cell r="J316"/>
          <cell r="L316"/>
          <cell r="M316"/>
          <cell r="N316"/>
          <cell r="R316"/>
          <cell r="T316"/>
          <cell r="U316"/>
          <cell r="V316"/>
          <cell r="X316"/>
          <cell r="Z316"/>
          <cell r="AA316"/>
          <cell r="AB316"/>
          <cell r="AC316"/>
          <cell r="AD316"/>
          <cell r="AG316"/>
          <cell r="AI316"/>
          <cell r="AJ316"/>
          <cell r="AL316"/>
          <cell r="AM316"/>
          <cell r="AN316"/>
          <cell r="AO316"/>
          <cell r="AQ316"/>
          <cell r="AR316"/>
          <cell r="AS316"/>
          <cell r="AT316"/>
          <cell r="AU316"/>
          <cell r="BZ316"/>
          <cell r="CA316"/>
          <cell r="DL316"/>
          <cell r="DM316"/>
          <cell r="DN316"/>
          <cell r="DP316"/>
          <cell r="DQ316"/>
          <cell r="DR316"/>
          <cell r="DS316"/>
          <cell r="DT316"/>
          <cell r="DU316"/>
          <cell r="DW316"/>
          <cell r="DX316"/>
          <cell r="DY316"/>
          <cell r="DZ316"/>
          <cell r="EA316"/>
          <cell r="EB316"/>
          <cell r="EC316"/>
          <cell r="ED316"/>
          <cell r="EG316"/>
          <cell r="EH316"/>
          <cell r="EI316"/>
        </row>
        <row r="317">
          <cell r="B317"/>
          <cell r="C317"/>
          <cell r="E317"/>
          <cell r="F317"/>
          <cell r="G317"/>
          <cell r="H317"/>
          <cell r="I317"/>
          <cell r="J317"/>
          <cell r="L317"/>
          <cell r="M317"/>
          <cell r="N317"/>
          <cell r="R317"/>
          <cell r="T317"/>
          <cell r="U317"/>
          <cell r="V317"/>
          <cell r="X317"/>
          <cell r="Z317"/>
          <cell r="AA317"/>
          <cell r="AB317"/>
          <cell r="AC317"/>
          <cell r="AD317"/>
          <cell r="AG317"/>
          <cell r="AI317"/>
          <cell r="AJ317"/>
          <cell r="AL317"/>
          <cell r="AM317"/>
          <cell r="AN317"/>
          <cell r="AO317"/>
          <cell r="AQ317"/>
          <cell r="AR317"/>
          <cell r="AS317"/>
          <cell r="AT317"/>
          <cell r="AU317"/>
          <cell r="BZ317"/>
          <cell r="CA317"/>
          <cell r="DL317"/>
          <cell r="DM317"/>
          <cell r="DN317"/>
          <cell r="DP317"/>
          <cell r="DQ317"/>
          <cell r="DR317"/>
          <cell r="DS317"/>
          <cell r="DT317"/>
          <cell r="DU317"/>
          <cell r="DW317"/>
          <cell r="DX317"/>
          <cell r="DY317"/>
          <cell r="DZ317"/>
          <cell r="EA317"/>
          <cell r="EB317"/>
          <cell r="EC317"/>
          <cell r="ED317"/>
          <cell r="EG317"/>
          <cell r="EH317"/>
          <cell r="EI317"/>
        </row>
        <row r="318">
          <cell r="B318"/>
          <cell r="C318"/>
          <cell r="E318"/>
          <cell r="F318"/>
          <cell r="G318"/>
          <cell r="H318"/>
          <cell r="I318"/>
          <cell r="J318"/>
          <cell r="L318"/>
          <cell r="M318"/>
          <cell r="N318"/>
          <cell r="R318"/>
          <cell r="T318"/>
          <cell r="U318"/>
          <cell r="V318"/>
          <cell r="X318"/>
          <cell r="Z318"/>
          <cell r="AA318"/>
          <cell r="AB318"/>
          <cell r="AC318"/>
          <cell r="AD318"/>
          <cell r="AG318"/>
          <cell r="AI318"/>
          <cell r="AJ318"/>
          <cell r="AL318"/>
          <cell r="AM318"/>
          <cell r="AN318"/>
          <cell r="AO318"/>
          <cell r="AQ318"/>
          <cell r="AR318"/>
          <cell r="AS318"/>
          <cell r="AT318"/>
          <cell r="AU318"/>
          <cell r="BZ318"/>
          <cell r="CA318"/>
          <cell r="DL318"/>
          <cell r="DM318"/>
          <cell r="DN318"/>
          <cell r="DP318"/>
          <cell r="DQ318"/>
          <cell r="DR318"/>
          <cell r="DS318"/>
          <cell r="DT318"/>
          <cell r="DU318"/>
          <cell r="DW318"/>
          <cell r="DX318"/>
          <cell r="DY318"/>
          <cell r="DZ318"/>
          <cell r="EA318"/>
          <cell r="EB318"/>
          <cell r="EC318"/>
          <cell r="ED318"/>
          <cell r="EG318"/>
          <cell r="EH318"/>
          <cell r="EI318"/>
        </row>
        <row r="319">
          <cell r="B319"/>
          <cell r="C319"/>
          <cell r="E319"/>
          <cell r="F319"/>
          <cell r="G319"/>
          <cell r="H319"/>
          <cell r="I319"/>
          <cell r="J319"/>
          <cell r="L319"/>
          <cell r="M319"/>
          <cell r="N319"/>
          <cell r="R319"/>
          <cell r="T319"/>
          <cell r="U319"/>
          <cell r="V319"/>
          <cell r="X319"/>
          <cell r="Z319"/>
          <cell r="AA319"/>
          <cell r="AB319"/>
          <cell r="AC319"/>
          <cell r="AD319"/>
          <cell r="AG319"/>
          <cell r="AI319"/>
          <cell r="AJ319"/>
          <cell r="AL319"/>
          <cell r="AM319"/>
          <cell r="AN319"/>
          <cell r="AO319"/>
          <cell r="AQ319"/>
          <cell r="AR319"/>
          <cell r="AS319"/>
          <cell r="AT319"/>
          <cell r="AU319"/>
          <cell r="BZ319"/>
          <cell r="CA319"/>
          <cell r="DL319"/>
          <cell r="DM319"/>
          <cell r="DN319"/>
          <cell r="DP319"/>
          <cell r="DQ319"/>
          <cell r="DR319"/>
          <cell r="DS319"/>
          <cell r="DT319"/>
          <cell r="DU319"/>
          <cell r="DW319"/>
          <cell r="DX319"/>
          <cell r="DY319"/>
          <cell r="DZ319"/>
          <cell r="EA319"/>
          <cell r="EB319"/>
          <cell r="EC319"/>
          <cell r="ED319"/>
          <cell r="EG319"/>
          <cell r="EH319"/>
          <cell r="EI319"/>
        </row>
        <row r="320">
          <cell r="B320"/>
          <cell r="C320"/>
          <cell r="E320"/>
          <cell r="F320"/>
          <cell r="G320"/>
          <cell r="H320"/>
          <cell r="I320"/>
          <cell r="J320"/>
          <cell r="L320"/>
          <cell r="M320"/>
          <cell r="N320"/>
          <cell r="R320"/>
          <cell r="T320"/>
          <cell r="U320"/>
          <cell r="V320"/>
          <cell r="X320"/>
          <cell r="Z320"/>
          <cell r="AA320"/>
          <cell r="AB320"/>
          <cell r="AC320"/>
          <cell r="AD320"/>
          <cell r="AG320"/>
          <cell r="AI320"/>
          <cell r="AJ320"/>
          <cell r="AL320"/>
          <cell r="AM320"/>
          <cell r="AN320"/>
          <cell r="AO320"/>
          <cell r="AQ320"/>
          <cell r="AR320"/>
          <cell r="AS320"/>
          <cell r="AT320"/>
          <cell r="AU320"/>
          <cell r="BZ320"/>
          <cell r="CA320"/>
          <cell r="DL320"/>
          <cell r="DM320"/>
          <cell r="DN320"/>
          <cell r="DP320"/>
          <cell r="DQ320"/>
          <cell r="DR320"/>
          <cell r="DS320"/>
          <cell r="DT320"/>
          <cell r="DU320"/>
          <cell r="DW320"/>
          <cell r="DX320"/>
          <cell r="DY320"/>
          <cell r="DZ320"/>
          <cell r="EA320"/>
          <cell r="EB320"/>
          <cell r="EC320"/>
          <cell r="ED320"/>
          <cell r="EG320"/>
          <cell r="EH320"/>
          <cell r="EI320"/>
        </row>
        <row r="321">
          <cell r="B321"/>
          <cell r="C321"/>
          <cell r="E321"/>
          <cell r="F321"/>
          <cell r="G321"/>
          <cell r="H321"/>
          <cell r="I321"/>
          <cell r="J321"/>
          <cell r="L321"/>
          <cell r="M321"/>
          <cell r="N321"/>
          <cell r="R321"/>
          <cell r="T321"/>
          <cell r="U321"/>
          <cell r="V321"/>
          <cell r="X321"/>
          <cell r="Z321"/>
          <cell r="AA321"/>
          <cell r="AB321"/>
          <cell r="AC321"/>
          <cell r="AD321"/>
          <cell r="AG321"/>
          <cell r="AI321"/>
          <cell r="AJ321"/>
          <cell r="AL321"/>
          <cell r="AM321"/>
          <cell r="AN321"/>
          <cell r="AO321"/>
          <cell r="AQ321"/>
          <cell r="AR321"/>
          <cell r="AS321"/>
          <cell r="AT321"/>
          <cell r="AU321"/>
          <cell r="BZ321"/>
          <cell r="CA321"/>
          <cell r="DL321"/>
          <cell r="DM321"/>
          <cell r="DN321"/>
          <cell r="DP321"/>
          <cell r="DQ321"/>
          <cell r="DR321"/>
          <cell r="DS321"/>
          <cell r="DT321"/>
          <cell r="DU321"/>
          <cell r="DW321"/>
          <cell r="DX321"/>
          <cell r="DY321"/>
          <cell r="DZ321"/>
          <cell r="EA321"/>
          <cell r="EB321"/>
          <cell r="EC321"/>
          <cell r="ED321"/>
          <cell r="EG321"/>
          <cell r="EH321"/>
          <cell r="EI321"/>
        </row>
        <row r="322">
          <cell r="B322"/>
          <cell r="C322"/>
          <cell r="E322"/>
          <cell r="F322"/>
          <cell r="G322"/>
          <cell r="H322"/>
          <cell r="I322"/>
          <cell r="J322"/>
          <cell r="L322"/>
          <cell r="M322"/>
          <cell r="N322"/>
          <cell r="R322"/>
          <cell r="T322"/>
          <cell r="U322"/>
          <cell r="V322"/>
          <cell r="X322"/>
          <cell r="Z322"/>
          <cell r="AA322"/>
          <cell r="AB322"/>
          <cell r="AC322"/>
          <cell r="AD322"/>
          <cell r="AG322"/>
          <cell r="AI322"/>
          <cell r="AJ322"/>
          <cell r="AL322"/>
          <cell r="AM322"/>
          <cell r="AN322"/>
          <cell r="AO322"/>
          <cell r="AQ322"/>
          <cell r="AR322"/>
          <cell r="AS322"/>
          <cell r="AT322"/>
          <cell r="AU322"/>
          <cell r="BZ322"/>
          <cell r="CA322"/>
          <cell r="DL322"/>
          <cell r="DM322"/>
          <cell r="DN322"/>
          <cell r="DP322"/>
          <cell r="DQ322"/>
          <cell r="DR322"/>
          <cell r="DS322"/>
          <cell r="DT322"/>
          <cell r="DU322"/>
          <cell r="DW322"/>
          <cell r="DX322"/>
          <cell r="DY322"/>
          <cell r="DZ322"/>
          <cell r="EA322"/>
          <cell r="EB322"/>
          <cell r="EC322"/>
          <cell r="ED322"/>
          <cell r="EG322"/>
          <cell r="EH322"/>
          <cell r="EI322"/>
        </row>
        <row r="323">
          <cell r="B323"/>
          <cell r="C323"/>
          <cell r="E323"/>
          <cell r="F323"/>
          <cell r="G323"/>
          <cell r="H323"/>
          <cell r="I323"/>
          <cell r="J323"/>
          <cell r="L323"/>
          <cell r="M323"/>
          <cell r="N323"/>
          <cell r="R323"/>
          <cell r="T323"/>
          <cell r="U323"/>
          <cell r="V323"/>
          <cell r="X323"/>
          <cell r="Z323"/>
          <cell r="AA323"/>
          <cell r="AB323"/>
          <cell r="AC323"/>
          <cell r="AD323"/>
          <cell r="AG323"/>
          <cell r="AI323"/>
          <cell r="AJ323"/>
          <cell r="AL323"/>
          <cell r="AM323"/>
          <cell r="AN323"/>
          <cell r="AO323"/>
          <cell r="AQ323"/>
          <cell r="AR323"/>
          <cell r="AS323"/>
          <cell r="AT323"/>
          <cell r="AU323"/>
          <cell r="BZ323"/>
          <cell r="CA323"/>
          <cell r="DL323"/>
          <cell r="DM323"/>
          <cell r="DN323"/>
          <cell r="DP323"/>
          <cell r="DQ323"/>
          <cell r="DR323"/>
          <cell r="DS323"/>
          <cell r="DT323"/>
          <cell r="DU323"/>
          <cell r="DW323"/>
          <cell r="DX323"/>
          <cell r="DY323"/>
          <cell r="DZ323"/>
          <cell r="EA323"/>
          <cell r="EB323"/>
          <cell r="EC323"/>
          <cell r="ED323"/>
          <cell r="EG323"/>
          <cell r="EH323"/>
          <cell r="EI323"/>
        </row>
        <row r="324">
          <cell r="B324"/>
          <cell r="C324"/>
          <cell r="E324"/>
          <cell r="F324"/>
          <cell r="G324"/>
          <cell r="H324"/>
          <cell r="I324"/>
          <cell r="J324"/>
          <cell r="L324"/>
          <cell r="M324"/>
          <cell r="N324"/>
          <cell r="R324"/>
          <cell r="T324"/>
          <cell r="U324"/>
          <cell r="V324"/>
          <cell r="X324"/>
          <cell r="Z324"/>
          <cell r="AA324"/>
          <cell r="AB324"/>
          <cell r="AC324"/>
          <cell r="AD324"/>
          <cell r="AG324"/>
          <cell r="AI324"/>
          <cell r="AJ324"/>
          <cell r="AL324"/>
          <cell r="AM324"/>
          <cell r="AN324"/>
          <cell r="AO324"/>
          <cell r="AQ324"/>
          <cell r="AR324"/>
          <cell r="AS324"/>
          <cell r="AT324"/>
          <cell r="AU324"/>
          <cell r="BZ324"/>
          <cell r="CA324"/>
          <cell r="DL324"/>
          <cell r="DM324"/>
          <cell r="DN324"/>
          <cell r="DP324"/>
          <cell r="DQ324"/>
          <cell r="DR324"/>
          <cell r="DS324"/>
          <cell r="DT324"/>
          <cell r="DU324"/>
          <cell r="DW324"/>
          <cell r="DX324"/>
          <cell r="DY324"/>
          <cell r="DZ324"/>
          <cell r="EA324"/>
          <cell r="EB324"/>
          <cell r="EC324"/>
          <cell r="ED324"/>
          <cell r="EG324"/>
          <cell r="EH324"/>
          <cell r="EI324"/>
        </row>
        <row r="325">
          <cell r="B325"/>
          <cell r="C325"/>
          <cell r="E325"/>
          <cell r="F325"/>
          <cell r="G325"/>
          <cell r="H325"/>
          <cell r="I325"/>
          <cell r="J325"/>
          <cell r="L325"/>
          <cell r="M325"/>
          <cell r="N325"/>
          <cell r="R325"/>
          <cell r="T325"/>
          <cell r="U325"/>
          <cell r="V325"/>
          <cell r="X325"/>
          <cell r="Z325"/>
          <cell r="AA325"/>
          <cell r="AB325"/>
          <cell r="AC325"/>
          <cell r="AD325"/>
          <cell r="AG325"/>
          <cell r="AI325"/>
          <cell r="AJ325"/>
          <cell r="AL325"/>
          <cell r="AM325"/>
          <cell r="AN325"/>
          <cell r="AO325"/>
          <cell r="AQ325"/>
          <cell r="AR325"/>
          <cell r="AS325"/>
          <cell r="AT325"/>
          <cell r="AU325"/>
          <cell r="BZ325"/>
          <cell r="CA325"/>
          <cell r="DL325"/>
          <cell r="DM325"/>
          <cell r="DN325"/>
          <cell r="DP325"/>
          <cell r="DQ325"/>
          <cell r="DR325"/>
          <cell r="DS325"/>
          <cell r="DT325"/>
          <cell r="DU325"/>
          <cell r="DW325"/>
          <cell r="DX325"/>
          <cell r="DY325"/>
          <cell r="DZ325"/>
          <cell r="EA325"/>
          <cell r="EB325"/>
          <cell r="EC325"/>
          <cell r="ED325"/>
          <cell r="EG325"/>
          <cell r="EH325"/>
          <cell r="EI325"/>
        </row>
        <row r="326">
          <cell r="B326"/>
          <cell r="C326"/>
          <cell r="E326"/>
          <cell r="F326"/>
          <cell r="G326"/>
          <cell r="H326"/>
          <cell r="I326"/>
          <cell r="J326"/>
          <cell r="L326"/>
          <cell r="M326"/>
          <cell r="N326"/>
          <cell r="R326"/>
          <cell r="T326"/>
          <cell r="U326"/>
          <cell r="V326"/>
          <cell r="X326"/>
          <cell r="Z326"/>
          <cell r="AA326"/>
          <cell r="AB326"/>
          <cell r="AC326"/>
          <cell r="AD326"/>
          <cell r="AG326"/>
          <cell r="AI326"/>
          <cell r="AJ326"/>
          <cell r="AL326"/>
          <cell r="AM326"/>
          <cell r="AN326"/>
          <cell r="AO326"/>
          <cell r="AQ326"/>
          <cell r="AR326"/>
          <cell r="AS326"/>
          <cell r="AT326"/>
          <cell r="AU326"/>
          <cell r="BZ326"/>
          <cell r="CA326"/>
          <cell r="DL326"/>
          <cell r="DM326"/>
          <cell r="DN326"/>
          <cell r="DP326"/>
          <cell r="DQ326"/>
          <cell r="DR326"/>
          <cell r="DS326"/>
          <cell r="DT326"/>
          <cell r="DU326"/>
          <cell r="DW326"/>
          <cell r="DX326"/>
          <cell r="DY326"/>
          <cell r="DZ326"/>
          <cell r="EA326"/>
          <cell r="EB326"/>
          <cell r="EC326"/>
          <cell r="ED326"/>
          <cell r="EG326"/>
          <cell r="EH326"/>
          <cell r="EI326"/>
        </row>
        <row r="327">
          <cell r="B327"/>
          <cell r="C327"/>
          <cell r="E327"/>
          <cell r="F327"/>
          <cell r="G327"/>
          <cell r="H327"/>
          <cell r="I327"/>
          <cell r="J327"/>
          <cell r="L327"/>
          <cell r="M327"/>
          <cell r="N327"/>
          <cell r="R327"/>
          <cell r="T327"/>
          <cell r="U327"/>
          <cell r="V327"/>
          <cell r="X327"/>
          <cell r="Z327"/>
          <cell r="AA327"/>
          <cell r="AB327"/>
          <cell r="AC327"/>
          <cell r="AD327"/>
          <cell r="AG327"/>
          <cell r="AI327"/>
          <cell r="AJ327"/>
          <cell r="AL327"/>
          <cell r="AM327"/>
          <cell r="AN327"/>
          <cell r="AO327"/>
          <cell r="AQ327"/>
          <cell r="AR327"/>
          <cell r="AS327"/>
          <cell r="AT327"/>
          <cell r="AU327"/>
          <cell r="BZ327"/>
          <cell r="CA327"/>
          <cell r="DL327"/>
          <cell r="DM327"/>
          <cell r="DN327"/>
          <cell r="DP327"/>
          <cell r="DQ327"/>
          <cell r="DR327"/>
          <cell r="DS327"/>
          <cell r="DT327"/>
          <cell r="DU327"/>
          <cell r="DW327"/>
          <cell r="DX327"/>
          <cell r="DY327"/>
          <cell r="DZ327"/>
          <cell r="EA327"/>
          <cell r="EB327"/>
          <cell r="EC327"/>
          <cell r="ED327"/>
          <cell r="EG327"/>
          <cell r="EH327"/>
          <cell r="EI327"/>
        </row>
        <row r="328">
          <cell r="B328"/>
          <cell r="C328"/>
          <cell r="E328"/>
          <cell r="F328"/>
          <cell r="G328"/>
          <cell r="H328"/>
          <cell r="I328"/>
          <cell r="J328"/>
          <cell r="L328"/>
          <cell r="M328"/>
          <cell r="N328"/>
          <cell r="R328"/>
          <cell r="T328"/>
          <cell r="U328"/>
          <cell r="V328"/>
          <cell r="X328"/>
          <cell r="Z328"/>
          <cell r="AA328"/>
          <cell r="AB328"/>
          <cell r="AC328"/>
          <cell r="AD328"/>
          <cell r="AG328"/>
          <cell r="AI328"/>
          <cell r="AJ328"/>
          <cell r="AL328"/>
          <cell r="AM328"/>
          <cell r="AN328"/>
          <cell r="AO328"/>
          <cell r="AQ328"/>
          <cell r="AR328"/>
          <cell r="AS328"/>
          <cell r="AT328"/>
          <cell r="AU328"/>
          <cell r="BZ328"/>
          <cell r="CA328"/>
          <cell r="DL328"/>
          <cell r="DM328"/>
          <cell r="DN328"/>
          <cell r="DP328"/>
          <cell r="DQ328"/>
          <cell r="DR328"/>
          <cell r="DS328"/>
          <cell r="DT328"/>
          <cell r="DU328"/>
          <cell r="DW328"/>
          <cell r="DX328"/>
          <cell r="DY328"/>
          <cell r="DZ328"/>
          <cell r="EA328"/>
          <cell r="EB328"/>
          <cell r="EC328"/>
          <cell r="ED328"/>
          <cell r="EG328"/>
          <cell r="EH328"/>
          <cell r="EI328"/>
        </row>
        <row r="329">
          <cell r="B329"/>
          <cell r="C329"/>
          <cell r="E329"/>
          <cell r="F329"/>
          <cell r="G329"/>
          <cell r="H329"/>
          <cell r="I329"/>
          <cell r="J329"/>
          <cell r="L329"/>
          <cell r="M329"/>
          <cell r="N329"/>
          <cell r="R329"/>
          <cell r="T329"/>
          <cell r="U329"/>
          <cell r="V329"/>
          <cell r="X329"/>
          <cell r="Z329"/>
          <cell r="AA329"/>
          <cell r="AB329"/>
          <cell r="AC329"/>
          <cell r="AD329"/>
          <cell r="AG329"/>
          <cell r="AI329"/>
          <cell r="AJ329"/>
          <cell r="AL329"/>
          <cell r="AM329"/>
          <cell r="AN329"/>
          <cell r="AO329"/>
          <cell r="AQ329"/>
          <cell r="AR329"/>
          <cell r="AS329"/>
          <cell r="AT329"/>
          <cell r="AU329"/>
          <cell r="BZ329"/>
          <cell r="CA329"/>
          <cell r="DL329"/>
          <cell r="DM329"/>
          <cell r="DN329"/>
          <cell r="DP329"/>
          <cell r="DQ329"/>
          <cell r="DR329"/>
          <cell r="DS329"/>
          <cell r="DT329"/>
          <cell r="DU329"/>
          <cell r="DW329"/>
          <cell r="DX329"/>
          <cell r="DY329"/>
          <cell r="DZ329"/>
          <cell r="EA329"/>
          <cell r="EB329"/>
          <cell r="EC329"/>
          <cell r="ED329"/>
          <cell r="EG329"/>
          <cell r="EH329"/>
          <cell r="EI329"/>
        </row>
        <row r="330">
          <cell r="B330"/>
          <cell r="C330"/>
          <cell r="E330"/>
          <cell r="F330"/>
          <cell r="G330"/>
          <cell r="H330"/>
          <cell r="I330"/>
          <cell r="J330"/>
          <cell r="L330"/>
          <cell r="M330"/>
          <cell r="N330"/>
          <cell r="R330"/>
          <cell r="T330"/>
          <cell r="U330"/>
          <cell r="V330"/>
          <cell r="X330"/>
          <cell r="Z330"/>
          <cell r="AA330"/>
          <cell r="AB330"/>
          <cell r="AC330"/>
          <cell r="AD330"/>
          <cell r="AG330"/>
          <cell r="AI330"/>
          <cell r="AJ330"/>
          <cell r="AL330"/>
          <cell r="AM330"/>
          <cell r="AN330"/>
          <cell r="AO330"/>
          <cell r="AQ330"/>
          <cell r="AR330"/>
          <cell r="AS330"/>
          <cell r="AT330"/>
          <cell r="AU330"/>
          <cell r="BZ330"/>
          <cell r="CA330"/>
          <cell r="DL330"/>
          <cell r="DM330"/>
          <cell r="DN330"/>
          <cell r="DP330"/>
          <cell r="DQ330"/>
          <cell r="DR330"/>
          <cell r="DS330"/>
          <cell r="DT330"/>
          <cell r="DU330"/>
          <cell r="DW330"/>
          <cell r="DX330"/>
          <cell r="DY330"/>
          <cell r="DZ330"/>
          <cell r="EA330"/>
          <cell r="EB330"/>
          <cell r="EC330"/>
          <cell r="ED330"/>
          <cell r="EG330"/>
          <cell r="EH330"/>
          <cell r="EI330"/>
        </row>
        <row r="331">
          <cell r="B331"/>
          <cell r="C331"/>
          <cell r="E331"/>
          <cell r="F331"/>
          <cell r="G331"/>
          <cell r="H331"/>
          <cell r="I331"/>
          <cell r="J331"/>
          <cell r="L331"/>
          <cell r="M331"/>
          <cell r="N331"/>
          <cell r="R331"/>
          <cell r="T331"/>
          <cell r="U331"/>
          <cell r="V331"/>
          <cell r="X331"/>
          <cell r="Z331"/>
          <cell r="AA331"/>
          <cell r="AB331"/>
          <cell r="AC331"/>
          <cell r="AD331"/>
          <cell r="AG331"/>
          <cell r="AI331"/>
          <cell r="AJ331"/>
          <cell r="AL331"/>
          <cell r="AM331"/>
          <cell r="AN331"/>
          <cell r="AO331"/>
          <cell r="AQ331"/>
          <cell r="AR331"/>
          <cell r="AS331"/>
          <cell r="AT331"/>
          <cell r="AU331"/>
          <cell r="BZ331"/>
          <cell r="CA331"/>
          <cell r="DL331"/>
          <cell r="DM331"/>
          <cell r="DN331"/>
          <cell r="DP331"/>
          <cell r="DQ331"/>
          <cell r="DR331"/>
          <cell r="DS331"/>
          <cell r="DT331"/>
          <cell r="DU331"/>
          <cell r="DW331"/>
          <cell r="DX331"/>
          <cell r="DY331"/>
          <cell r="DZ331"/>
          <cell r="EA331"/>
          <cell r="EB331"/>
          <cell r="EC331"/>
          <cell r="ED331"/>
          <cell r="EG331"/>
          <cell r="EH331"/>
          <cell r="EI331"/>
        </row>
        <row r="332">
          <cell r="B332"/>
          <cell r="C332"/>
          <cell r="E332"/>
          <cell r="F332"/>
          <cell r="G332"/>
          <cell r="H332"/>
          <cell r="I332"/>
          <cell r="J332"/>
          <cell r="L332"/>
          <cell r="M332"/>
          <cell r="N332"/>
          <cell r="R332"/>
          <cell r="T332"/>
          <cell r="U332"/>
          <cell r="V332"/>
          <cell r="X332"/>
          <cell r="Z332"/>
          <cell r="AA332"/>
          <cell r="AB332"/>
          <cell r="AC332"/>
          <cell r="AD332"/>
          <cell r="AG332"/>
          <cell r="AI332"/>
          <cell r="AJ332"/>
          <cell r="AL332"/>
          <cell r="AM332"/>
          <cell r="AN332"/>
          <cell r="AO332"/>
          <cell r="AQ332"/>
          <cell r="AR332"/>
          <cell r="AS332"/>
          <cell r="AT332"/>
          <cell r="AU332"/>
          <cell r="BZ332"/>
          <cell r="CA332"/>
          <cell r="DL332"/>
          <cell r="DM332"/>
          <cell r="DN332"/>
          <cell r="DP332"/>
          <cell r="DQ332"/>
          <cell r="DR332"/>
          <cell r="DS332"/>
          <cell r="DT332"/>
          <cell r="DU332"/>
          <cell r="DW332"/>
          <cell r="DX332"/>
          <cell r="DY332"/>
          <cell r="DZ332"/>
          <cell r="EA332"/>
          <cell r="EB332"/>
          <cell r="EC332"/>
          <cell r="ED332"/>
          <cell r="EG332"/>
          <cell r="EH332"/>
          <cell r="EI332"/>
        </row>
        <row r="333">
          <cell r="B333"/>
          <cell r="C333"/>
          <cell r="E333"/>
          <cell r="F333"/>
          <cell r="G333"/>
          <cell r="H333"/>
          <cell r="I333"/>
          <cell r="J333"/>
          <cell r="L333"/>
          <cell r="M333"/>
          <cell r="N333"/>
          <cell r="R333"/>
          <cell r="T333"/>
          <cell r="U333"/>
          <cell r="V333"/>
          <cell r="X333"/>
          <cell r="Z333"/>
          <cell r="AA333"/>
          <cell r="AB333"/>
          <cell r="AC333"/>
          <cell r="AD333"/>
          <cell r="AG333"/>
          <cell r="AI333"/>
          <cell r="AJ333"/>
          <cell r="AL333"/>
          <cell r="AM333"/>
          <cell r="AN333"/>
          <cell r="AO333"/>
          <cell r="AQ333"/>
          <cell r="AR333"/>
          <cell r="AS333"/>
          <cell r="AT333"/>
          <cell r="AU333"/>
          <cell r="BZ333"/>
          <cell r="CA333"/>
          <cell r="DL333"/>
          <cell r="DM333"/>
          <cell r="DN333"/>
          <cell r="DP333"/>
          <cell r="DQ333"/>
          <cell r="DR333"/>
          <cell r="DS333"/>
          <cell r="DT333"/>
          <cell r="DU333"/>
          <cell r="DW333"/>
          <cell r="DX333"/>
          <cell r="DY333"/>
          <cell r="DZ333"/>
          <cell r="EA333"/>
          <cell r="EB333"/>
          <cell r="EC333"/>
          <cell r="ED333"/>
          <cell r="EG333"/>
          <cell r="EH333"/>
          <cell r="EI333"/>
        </row>
        <row r="334">
          <cell r="B334"/>
          <cell r="C334"/>
          <cell r="E334"/>
          <cell r="F334"/>
          <cell r="G334"/>
          <cell r="H334"/>
          <cell r="I334"/>
          <cell r="J334"/>
          <cell r="L334"/>
          <cell r="M334"/>
          <cell r="N334"/>
          <cell r="R334"/>
          <cell r="T334"/>
          <cell r="U334"/>
          <cell r="V334"/>
          <cell r="X334"/>
          <cell r="Z334"/>
          <cell r="AA334"/>
          <cell r="AB334"/>
          <cell r="AC334"/>
          <cell r="AD334"/>
          <cell r="AG334"/>
          <cell r="AI334"/>
          <cell r="AJ334"/>
          <cell r="AL334"/>
          <cell r="AM334"/>
          <cell r="AN334"/>
          <cell r="AO334"/>
          <cell r="AQ334"/>
          <cell r="AR334"/>
          <cell r="AS334"/>
          <cell r="AT334"/>
          <cell r="AU334"/>
          <cell r="BZ334"/>
          <cell r="CA334"/>
          <cell r="DL334"/>
          <cell r="DM334"/>
          <cell r="DN334"/>
          <cell r="DP334"/>
          <cell r="DQ334"/>
          <cell r="DR334"/>
          <cell r="DS334"/>
          <cell r="DT334"/>
          <cell r="DU334"/>
          <cell r="DW334"/>
          <cell r="DX334"/>
          <cell r="DY334"/>
          <cell r="DZ334"/>
          <cell r="EA334"/>
          <cell r="EB334"/>
          <cell r="EC334"/>
          <cell r="ED334"/>
          <cell r="EG334"/>
          <cell r="EH334"/>
          <cell r="EI334"/>
        </row>
        <row r="335">
          <cell r="B335"/>
          <cell r="C335"/>
          <cell r="E335"/>
          <cell r="F335"/>
          <cell r="G335"/>
          <cell r="H335"/>
          <cell r="I335"/>
          <cell r="J335"/>
          <cell r="L335"/>
          <cell r="M335"/>
          <cell r="N335"/>
          <cell r="R335"/>
          <cell r="T335"/>
          <cell r="U335"/>
          <cell r="V335"/>
          <cell r="X335"/>
          <cell r="Z335"/>
          <cell r="AA335"/>
          <cell r="AB335"/>
          <cell r="AC335"/>
          <cell r="AD335"/>
          <cell r="AG335"/>
          <cell r="AI335"/>
          <cell r="AJ335"/>
          <cell r="AL335"/>
          <cell r="AM335"/>
          <cell r="AN335"/>
          <cell r="AO335"/>
          <cell r="AQ335"/>
          <cell r="AR335"/>
          <cell r="AS335"/>
          <cell r="AT335"/>
          <cell r="AU335"/>
          <cell r="BZ335"/>
          <cell r="CA335"/>
          <cell r="DL335"/>
          <cell r="DM335"/>
          <cell r="DN335"/>
          <cell r="DP335"/>
          <cell r="DQ335"/>
          <cell r="DR335"/>
          <cell r="DS335"/>
          <cell r="DT335"/>
          <cell r="DU335"/>
          <cell r="DW335"/>
          <cell r="DX335"/>
          <cell r="DY335"/>
          <cell r="DZ335"/>
          <cell r="EA335"/>
          <cell r="EB335"/>
          <cell r="EC335"/>
          <cell r="ED335"/>
          <cell r="EG335"/>
          <cell r="EH335"/>
          <cell r="EI335"/>
        </row>
        <row r="336">
          <cell r="B336"/>
          <cell r="C336"/>
          <cell r="E336"/>
          <cell r="F336"/>
          <cell r="G336"/>
          <cell r="H336"/>
          <cell r="I336"/>
          <cell r="J336"/>
          <cell r="L336"/>
          <cell r="M336"/>
          <cell r="N336"/>
          <cell r="R336"/>
          <cell r="T336"/>
          <cell r="U336"/>
          <cell r="V336"/>
          <cell r="X336"/>
          <cell r="Z336"/>
          <cell r="AA336"/>
          <cell r="AB336"/>
          <cell r="AC336"/>
          <cell r="AD336"/>
          <cell r="AG336"/>
          <cell r="AI336"/>
          <cell r="AJ336"/>
          <cell r="AL336"/>
          <cell r="AM336"/>
          <cell r="AN336"/>
          <cell r="AO336"/>
          <cell r="AQ336"/>
          <cell r="AR336"/>
          <cell r="AS336"/>
          <cell r="AT336"/>
          <cell r="AU336"/>
          <cell r="BZ336"/>
          <cell r="CA336"/>
          <cell r="DL336"/>
          <cell r="DM336"/>
          <cell r="DN336"/>
          <cell r="DP336"/>
          <cell r="DQ336"/>
          <cell r="DR336"/>
          <cell r="DS336"/>
          <cell r="DT336"/>
          <cell r="DU336"/>
          <cell r="DW336"/>
          <cell r="DX336"/>
          <cell r="DY336"/>
          <cell r="DZ336"/>
          <cell r="EA336"/>
          <cell r="EB336"/>
          <cell r="EC336"/>
          <cell r="ED336"/>
          <cell r="EG336"/>
          <cell r="EH336"/>
          <cell r="EI336"/>
        </row>
        <row r="337">
          <cell r="B337"/>
          <cell r="C337"/>
          <cell r="E337"/>
          <cell r="F337"/>
          <cell r="G337"/>
          <cell r="H337"/>
          <cell r="I337"/>
          <cell r="J337"/>
          <cell r="L337"/>
          <cell r="M337"/>
          <cell r="N337"/>
          <cell r="R337"/>
          <cell r="T337"/>
          <cell r="U337"/>
          <cell r="V337"/>
          <cell r="X337"/>
          <cell r="Z337"/>
          <cell r="AA337"/>
          <cell r="AB337"/>
          <cell r="AC337"/>
          <cell r="AD337"/>
          <cell r="AG337"/>
          <cell r="AI337"/>
          <cell r="AJ337"/>
          <cell r="AL337"/>
          <cell r="AM337"/>
          <cell r="AN337"/>
          <cell r="AO337"/>
          <cell r="AQ337"/>
          <cell r="AR337"/>
          <cell r="AS337"/>
          <cell r="AT337"/>
          <cell r="AU337"/>
          <cell r="BZ337"/>
          <cell r="CA337"/>
          <cell r="DL337"/>
          <cell r="DM337"/>
          <cell r="DN337"/>
          <cell r="DP337"/>
          <cell r="DQ337"/>
          <cell r="DR337"/>
          <cell r="DS337"/>
          <cell r="DT337"/>
          <cell r="DU337"/>
          <cell r="DW337"/>
          <cell r="DX337"/>
          <cell r="DY337"/>
          <cell r="DZ337"/>
          <cell r="EA337"/>
          <cell r="EB337"/>
          <cell r="EC337"/>
          <cell r="ED337"/>
          <cell r="EG337"/>
          <cell r="EH337"/>
          <cell r="EI337"/>
        </row>
        <row r="338">
          <cell r="B338"/>
          <cell r="C338"/>
          <cell r="E338"/>
          <cell r="F338"/>
          <cell r="G338"/>
          <cell r="H338"/>
          <cell r="I338"/>
          <cell r="J338"/>
          <cell r="L338"/>
          <cell r="M338"/>
          <cell r="N338"/>
          <cell r="R338"/>
          <cell r="T338"/>
          <cell r="U338"/>
          <cell r="V338"/>
          <cell r="X338"/>
          <cell r="Z338"/>
          <cell r="AA338"/>
          <cell r="AB338"/>
          <cell r="AC338"/>
          <cell r="AD338"/>
          <cell r="AG338"/>
          <cell r="AI338"/>
          <cell r="AJ338"/>
          <cell r="AL338"/>
          <cell r="AM338"/>
          <cell r="AN338"/>
          <cell r="AO338"/>
          <cell r="AQ338"/>
          <cell r="AR338"/>
          <cell r="AS338"/>
          <cell r="AT338"/>
          <cell r="AU338"/>
          <cell r="BZ338"/>
          <cell r="CA338"/>
          <cell r="DL338"/>
          <cell r="DM338"/>
          <cell r="DN338"/>
          <cell r="DP338"/>
          <cell r="DQ338"/>
          <cell r="DR338"/>
          <cell r="DS338"/>
          <cell r="DT338"/>
          <cell r="DU338"/>
          <cell r="DW338"/>
          <cell r="DX338"/>
          <cell r="DY338"/>
          <cell r="DZ338"/>
          <cell r="EA338"/>
          <cell r="EB338"/>
          <cell r="EC338"/>
          <cell r="ED338"/>
          <cell r="EG338"/>
          <cell r="EH338"/>
          <cell r="EI338"/>
        </row>
        <row r="339">
          <cell r="B339"/>
          <cell r="C339"/>
          <cell r="E339"/>
          <cell r="F339"/>
          <cell r="G339"/>
          <cell r="H339"/>
          <cell r="I339"/>
          <cell r="J339"/>
          <cell r="L339"/>
          <cell r="M339"/>
          <cell r="N339"/>
          <cell r="R339"/>
          <cell r="T339"/>
          <cell r="U339"/>
          <cell r="V339"/>
          <cell r="X339"/>
          <cell r="Z339"/>
          <cell r="AA339"/>
          <cell r="AB339"/>
          <cell r="AC339"/>
          <cell r="AD339"/>
          <cell r="AG339"/>
          <cell r="AI339"/>
          <cell r="AJ339"/>
          <cell r="AL339"/>
          <cell r="AM339"/>
          <cell r="AN339"/>
          <cell r="AO339"/>
          <cell r="AQ339"/>
          <cell r="AR339"/>
          <cell r="AS339"/>
          <cell r="AT339"/>
          <cell r="AU339"/>
          <cell r="BZ339"/>
          <cell r="CA339"/>
          <cell r="DL339"/>
          <cell r="DM339"/>
          <cell r="DN339"/>
          <cell r="DP339"/>
          <cell r="DQ339"/>
          <cell r="DR339"/>
          <cell r="DS339"/>
          <cell r="DT339"/>
          <cell r="DU339"/>
          <cell r="DW339"/>
          <cell r="DX339"/>
          <cell r="DY339"/>
          <cell r="DZ339"/>
          <cell r="EA339"/>
          <cell r="EB339"/>
          <cell r="EC339"/>
          <cell r="ED339"/>
          <cell r="EG339"/>
          <cell r="EH339"/>
          <cell r="EI339"/>
        </row>
        <row r="340">
          <cell r="B340"/>
          <cell r="C340"/>
          <cell r="E340"/>
          <cell r="F340"/>
          <cell r="G340"/>
          <cell r="H340"/>
          <cell r="I340"/>
          <cell r="J340"/>
          <cell r="L340"/>
          <cell r="M340"/>
          <cell r="N340"/>
          <cell r="R340"/>
          <cell r="T340"/>
          <cell r="U340"/>
          <cell r="V340"/>
          <cell r="X340"/>
          <cell r="Z340"/>
          <cell r="AA340"/>
          <cell r="AB340"/>
          <cell r="AC340"/>
          <cell r="AD340"/>
          <cell r="AG340"/>
          <cell r="AI340"/>
          <cell r="AJ340"/>
          <cell r="AL340"/>
          <cell r="AM340"/>
          <cell r="AN340"/>
          <cell r="AO340"/>
          <cell r="AQ340"/>
          <cell r="AR340"/>
          <cell r="AS340"/>
          <cell r="AT340"/>
          <cell r="AU340"/>
          <cell r="BZ340"/>
          <cell r="CA340"/>
          <cell r="DL340"/>
          <cell r="DM340"/>
          <cell r="DN340"/>
          <cell r="DP340"/>
          <cell r="DQ340"/>
          <cell r="DR340"/>
          <cell r="DS340"/>
          <cell r="DT340"/>
          <cell r="DU340"/>
          <cell r="DW340"/>
          <cell r="DX340"/>
          <cell r="DY340"/>
          <cell r="DZ340"/>
          <cell r="EA340"/>
          <cell r="EB340"/>
          <cell r="EC340"/>
          <cell r="ED340"/>
          <cell r="EG340"/>
          <cell r="EH340"/>
          <cell r="EI340"/>
        </row>
        <row r="341">
          <cell r="B341"/>
          <cell r="C341"/>
          <cell r="E341"/>
          <cell r="F341"/>
          <cell r="G341"/>
          <cell r="H341"/>
          <cell r="I341"/>
          <cell r="J341"/>
          <cell r="L341"/>
          <cell r="M341"/>
          <cell r="N341"/>
          <cell r="R341"/>
          <cell r="T341"/>
          <cell r="U341"/>
          <cell r="V341"/>
          <cell r="X341"/>
          <cell r="Z341"/>
          <cell r="AA341"/>
          <cell r="AB341"/>
          <cell r="AC341"/>
          <cell r="AD341"/>
          <cell r="AG341"/>
          <cell r="AI341"/>
          <cell r="AJ341"/>
          <cell r="AL341"/>
          <cell r="AM341"/>
          <cell r="AN341"/>
          <cell r="AO341"/>
          <cell r="AQ341"/>
          <cell r="AR341"/>
          <cell r="AS341"/>
          <cell r="AT341"/>
          <cell r="AU341"/>
          <cell r="BZ341"/>
          <cell r="CA341"/>
          <cell r="DL341"/>
          <cell r="DM341"/>
          <cell r="DN341"/>
          <cell r="DP341"/>
          <cell r="DQ341"/>
          <cell r="DR341"/>
          <cell r="DS341"/>
          <cell r="DT341"/>
          <cell r="DU341"/>
          <cell r="DW341"/>
          <cell r="DX341"/>
          <cell r="DY341"/>
          <cell r="DZ341"/>
          <cell r="EA341"/>
          <cell r="EB341"/>
          <cell r="EC341"/>
          <cell r="ED341"/>
          <cell r="EG341"/>
          <cell r="EH341"/>
          <cell r="EI341"/>
        </row>
        <row r="342">
          <cell r="B342"/>
          <cell r="C342"/>
          <cell r="E342"/>
          <cell r="F342"/>
          <cell r="G342"/>
          <cell r="H342"/>
          <cell r="I342"/>
          <cell r="J342"/>
          <cell r="L342"/>
          <cell r="M342"/>
          <cell r="N342"/>
          <cell r="R342"/>
          <cell r="T342"/>
          <cell r="U342"/>
          <cell r="V342"/>
          <cell r="X342"/>
          <cell r="Z342"/>
          <cell r="AA342"/>
          <cell r="AB342"/>
          <cell r="AC342"/>
          <cell r="AD342"/>
          <cell r="AG342"/>
          <cell r="AI342"/>
          <cell r="AJ342"/>
          <cell r="AL342"/>
          <cell r="AM342"/>
          <cell r="AN342"/>
          <cell r="AO342"/>
          <cell r="AQ342"/>
          <cell r="AR342"/>
          <cell r="AS342"/>
          <cell r="AT342"/>
          <cell r="AU342"/>
          <cell r="BZ342"/>
          <cell r="CA342"/>
          <cell r="DL342"/>
          <cell r="DM342"/>
          <cell r="DN342"/>
          <cell r="DP342"/>
          <cell r="DQ342"/>
          <cell r="DR342"/>
          <cell r="DS342"/>
          <cell r="DT342"/>
          <cell r="DU342"/>
          <cell r="DW342"/>
          <cell r="DX342"/>
          <cell r="DY342"/>
          <cell r="DZ342"/>
          <cell r="EA342"/>
          <cell r="EB342"/>
          <cell r="EC342"/>
          <cell r="ED342"/>
          <cell r="EG342"/>
          <cell r="EH342"/>
          <cell r="EI342"/>
        </row>
        <row r="343">
          <cell r="B343"/>
          <cell r="C343"/>
          <cell r="E343"/>
          <cell r="F343"/>
          <cell r="G343"/>
          <cell r="H343"/>
          <cell r="I343"/>
          <cell r="J343"/>
          <cell r="L343"/>
          <cell r="M343"/>
          <cell r="N343"/>
          <cell r="R343"/>
          <cell r="T343"/>
          <cell r="U343"/>
          <cell r="V343"/>
          <cell r="X343"/>
          <cell r="Z343"/>
          <cell r="AA343"/>
          <cell r="AB343"/>
          <cell r="AC343"/>
          <cell r="AD343"/>
          <cell r="AG343"/>
          <cell r="AI343"/>
          <cell r="AJ343"/>
          <cell r="AL343"/>
          <cell r="AM343"/>
          <cell r="AN343"/>
          <cell r="AO343"/>
          <cell r="AQ343"/>
          <cell r="AR343"/>
          <cell r="AS343"/>
          <cell r="AT343"/>
          <cell r="AU343"/>
          <cell r="BZ343"/>
          <cell r="CA343"/>
          <cell r="DL343"/>
          <cell r="DM343"/>
          <cell r="DN343"/>
          <cell r="DP343"/>
          <cell r="DQ343"/>
          <cell r="DR343"/>
          <cell r="DS343"/>
          <cell r="DT343"/>
          <cell r="DU343"/>
          <cell r="DW343"/>
          <cell r="DX343"/>
          <cell r="DY343"/>
          <cell r="DZ343"/>
          <cell r="EA343"/>
          <cell r="EB343"/>
          <cell r="EC343"/>
          <cell r="ED343"/>
          <cell r="EG343"/>
          <cell r="EH343"/>
          <cell r="EI343"/>
        </row>
        <row r="344">
          <cell r="B344"/>
          <cell r="C344"/>
          <cell r="E344"/>
          <cell r="F344"/>
          <cell r="G344"/>
          <cell r="H344"/>
          <cell r="I344"/>
          <cell r="J344"/>
          <cell r="L344"/>
          <cell r="M344"/>
          <cell r="N344"/>
          <cell r="R344"/>
          <cell r="T344"/>
          <cell r="U344"/>
          <cell r="V344"/>
          <cell r="X344"/>
          <cell r="Z344"/>
          <cell r="AA344"/>
          <cell r="AB344"/>
          <cell r="AC344"/>
          <cell r="AD344"/>
          <cell r="AG344"/>
          <cell r="AI344"/>
          <cell r="AJ344"/>
          <cell r="AL344"/>
          <cell r="AM344"/>
          <cell r="AN344"/>
          <cell r="AO344"/>
          <cell r="AQ344"/>
          <cell r="AR344"/>
          <cell r="AS344"/>
          <cell r="AT344"/>
          <cell r="AU344"/>
          <cell r="BZ344"/>
          <cell r="CA344"/>
          <cell r="DL344"/>
          <cell r="DM344"/>
          <cell r="DN344"/>
          <cell r="DP344"/>
          <cell r="DQ344"/>
          <cell r="DR344"/>
          <cell r="DS344"/>
          <cell r="DT344"/>
          <cell r="DU344"/>
          <cell r="DW344"/>
          <cell r="DX344"/>
          <cell r="DY344"/>
          <cell r="DZ344"/>
          <cell r="EA344"/>
          <cell r="EB344"/>
          <cell r="EC344"/>
          <cell r="ED344"/>
          <cell r="EG344"/>
          <cell r="EH344"/>
          <cell r="EI344"/>
        </row>
        <row r="345">
          <cell r="B345"/>
          <cell r="C345"/>
          <cell r="E345"/>
          <cell r="F345"/>
          <cell r="G345"/>
          <cell r="H345"/>
          <cell r="I345"/>
          <cell r="J345"/>
          <cell r="L345"/>
          <cell r="M345"/>
          <cell r="N345"/>
          <cell r="R345"/>
          <cell r="T345"/>
          <cell r="U345"/>
          <cell r="V345"/>
          <cell r="X345"/>
          <cell r="Z345"/>
          <cell r="AA345"/>
          <cell r="AB345"/>
          <cell r="AC345"/>
          <cell r="AD345"/>
          <cell r="AG345"/>
          <cell r="AI345"/>
          <cell r="AJ345"/>
          <cell r="AL345"/>
          <cell r="AM345"/>
          <cell r="AN345"/>
          <cell r="AO345"/>
          <cell r="AQ345"/>
          <cell r="AR345"/>
          <cell r="AS345"/>
          <cell r="AT345"/>
          <cell r="AU345"/>
          <cell r="BZ345"/>
          <cell r="CA345"/>
          <cell r="DL345"/>
          <cell r="DM345"/>
          <cell r="DN345"/>
          <cell r="DP345"/>
          <cell r="DQ345"/>
          <cell r="DR345"/>
          <cell r="DS345"/>
          <cell r="DT345"/>
          <cell r="DU345"/>
          <cell r="DW345"/>
          <cell r="DX345"/>
          <cell r="DY345"/>
          <cell r="DZ345"/>
          <cell r="EA345"/>
          <cell r="EB345"/>
          <cell r="EC345"/>
          <cell r="ED345"/>
          <cell r="EG345"/>
          <cell r="EH345"/>
          <cell r="EI345"/>
        </row>
        <row r="346">
          <cell r="B346"/>
          <cell r="C346"/>
          <cell r="E346"/>
          <cell r="F346"/>
          <cell r="G346"/>
          <cell r="H346"/>
          <cell r="I346"/>
          <cell r="J346"/>
          <cell r="L346"/>
          <cell r="M346"/>
          <cell r="N346"/>
          <cell r="R346"/>
          <cell r="T346"/>
          <cell r="U346"/>
          <cell r="V346"/>
          <cell r="X346"/>
          <cell r="Z346"/>
          <cell r="AA346"/>
          <cell r="AB346"/>
          <cell r="AC346"/>
          <cell r="AD346"/>
          <cell r="AG346"/>
          <cell r="AI346"/>
          <cell r="AJ346"/>
          <cell r="AL346"/>
          <cell r="AM346"/>
          <cell r="AN346"/>
          <cell r="AO346"/>
          <cell r="AQ346"/>
          <cell r="AR346"/>
          <cell r="AS346"/>
          <cell r="AT346"/>
          <cell r="AU346"/>
          <cell r="BZ346"/>
          <cell r="CA346"/>
          <cell r="DL346"/>
          <cell r="DM346"/>
          <cell r="DN346"/>
          <cell r="DP346"/>
          <cell r="DQ346"/>
          <cell r="DR346"/>
          <cell r="DS346"/>
          <cell r="DT346"/>
          <cell r="DU346"/>
          <cell r="DW346"/>
          <cell r="DX346"/>
          <cell r="DY346"/>
          <cell r="DZ346"/>
          <cell r="EA346"/>
          <cell r="EB346"/>
          <cell r="EC346"/>
          <cell r="ED346"/>
          <cell r="EG346"/>
          <cell r="EH346"/>
          <cell r="EI346"/>
        </row>
        <row r="347">
          <cell r="B347"/>
          <cell r="C347"/>
          <cell r="E347"/>
          <cell r="F347"/>
          <cell r="G347"/>
          <cell r="H347"/>
          <cell r="I347"/>
          <cell r="J347"/>
          <cell r="L347"/>
          <cell r="M347"/>
          <cell r="N347"/>
          <cell r="R347"/>
          <cell r="T347"/>
          <cell r="U347"/>
          <cell r="V347"/>
          <cell r="X347"/>
          <cell r="Z347"/>
          <cell r="AA347"/>
          <cell r="AB347"/>
          <cell r="AC347"/>
          <cell r="AD347"/>
          <cell r="AG347"/>
          <cell r="AI347"/>
          <cell r="AJ347"/>
          <cell r="AL347"/>
          <cell r="AM347"/>
          <cell r="AN347"/>
          <cell r="AO347"/>
          <cell r="AQ347"/>
          <cell r="AR347"/>
          <cell r="AS347"/>
          <cell r="AT347"/>
          <cell r="AU347"/>
          <cell r="BZ347"/>
          <cell r="CA347"/>
          <cell r="DL347"/>
          <cell r="DM347"/>
          <cell r="DN347"/>
          <cell r="DP347"/>
          <cell r="DQ347"/>
          <cell r="DR347"/>
          <cell r="DS347"/>
          <cell r="DT347"/>
          <cell r="DU347"/>
          <cell r="DW347"/>
          <cell r="DX347"/>
          <cell r="DY347"/>
          <cell r="DZ347"/>
          <cell r="EA347"/>
          <cell r="EB347"/>
          <cell r="EC347"/>
          <cell r="ED347"/>
          <cell r="EG347"/>
          <cell r="EH347"/>
          <cell r="EI347"/>
        </row>
        <row r="348">
          <cell r="B348"/>
          <cell r="C348"/>
          <cell r="E348"/>
          <cell r="F348"/>
          <cell r="G348"/>
          <cell r="H348"/>
          <cell r="I348"/>
          <cell r="J348"/>
          <cell r="L348"/>
          <cell r="M348"/>
          <cell r="N348"/>
          <cell r="R348"/>
          <cell r="T348"/>
          <cell r="U348"/>
          <cell r="V348"/>
          <cell r="X348"/>
          <cell r="Z348"/>
          <cell r="AA348"/>
          <cell r="AB348"/>
          <cell r="AC348"/>
          <cell r="AD348"/>
          <cell r="AG348"/>
          <cell r="AI348"/>
          <cell r="AJ348"/>
          <cell r="AL348"/>
          <cell r="AM348"/>
          <cell r="AN348"/>
          <cell r="AO348"/>
          <cell r="AQ348"/>
          <cell r="AR348"/>
          <cell r="AS348"/>
          <cell r="AT348"/>
          <cell r="AU348"/>
          <cell r="BZ348"/>
          <cell r="CA348"/>
          <cell r="DL348"/>
          <cell r="DM348"/>
          <cell r="DN348"/>
          <cell r="DP348"/>
          <cell r="DQ348"/>
          <cell r="DR348"/>
          <cell r="DS348"/>
          <cell r="DT348"/>
          <cell r="DU348"/>
          <cell r="DW348"/>
          <cell r="DX348"/>
          <cell r="DY348"/>
          <cell r="DZ348"/>
          <cell r="EA348"/>
          <cell r="EB348"/>
          <cell r="EC348"/>
          <cell r="ED348"/>
          <cell r="EG348"/>
          <cell r="EH348"/>
          <cell r="EI348"/>
        </row>
        <row r="349">
          <cell r="B349"/>
          <cell r="C349"/>
          <cell r="E349"/>
          <cell r="F349"/>
          <cell r="G349"/>
          <cell r="H349"/>
          <cell r="I349"/>
          <cell r="J349"/>
          <cell r="L349"/>
          <cell r="M349"/>
          <cell r="N349"/>
          <cell r="R349"/>
          <cell r="T349"/>
          <cell r="U349"/>
          <cell r="V349"/>
          <cell r="X349"/>
          <cell r="Z349"/>
          <cell r="AA349"/>
          <cell r="AB349"/>
          <cell r="AC349"/>
          <cell r="AD349"/>
          <cell r="AG349"/>
          <cell r="AI349"/>
          <cell r="AJ349"/>
          <cell r="AL349"/>
          <cell r="AM349"/>
          <cell r="AN349"/>
          <cell r="AO349"/>
          <cell r="AQ349"/>
          <cell r="AR349"/>
          <cell r="AS349"/>
          <cell r="AT349"/>
          <cell r="AU349"/>
          <cell r="BZ349"/>
          <cell r="CA349"/>
          <cell r="DL349"/>
          <cell r="DM349"/>
          <cell r="DN349"/>
          <cell r="DP349"/>
          <cell r="DQ349"/>
          <cell r="DR349"/>
          <cell r="DS349"/>
          <cell r="DT349"/>
          <cell r="DU349"/>
          <cell r="DW349"/>
          <cell r="DX349"/>
          <cell r="DY349"/>
          <cell r="DZ349"/>
          <cell r="EA349"/>
          <cell r="EB349"/>
          <cell r="EC349"/>
          <cell r="ED349"/>
          <cell r="EG349"/>
          <cell r="EH349"/>
          <cell r="EI349"/>
        </row>
        <row r="350">
          <cell r="B350"/>
          <cell r="C350"/>
          <cell r="E350"/>
          <cell r="F350"/>
          <cell r="G350"/>
          <cell r="H350"/>
          <cell r="I350"/>
          <cell r="J350"/>
          <cell r="L350"/>
          <cell r="M350"/>
          <cell r="N350"/>
          <cell r="R350"/>
          <cell r="T350"/>
          <cell r="U350"/>
          <cell r="V350"/>
          <cell r="X350"/>
          <cell r="Z350"/>
          <cell r="AA350"/>
          <cell r="AB350"/>
          <cell r="AC350"/>
          <cell r="AD350"/>
          <cell r="AG350"/>
          <cell r="AI350"/>
          <cell r="AJ350"/>
          <cell r="AL350"/>
          <cell r="AM350"/>
          <cell r="AN350"/>
          <cell r="AO350"/>
          <cell r="AQ350"/>
          <cell r="AR350"/>
          <cell r="AS350"/>
          <cell r="AT350"/>
          <cell r="AU350"/>
          <cell r="BZ350"/>
          <cell r="CA350"/>
          <cell r="DL350"/>
          <cell r="DM350"/>
          <cell r="DN350"/>
          <cell r="DP350"/>
          <cell r="DQ350"/>
          <cell r="DR350"/>
          <cell r="DS350"/>
          <cell r="DT350"/>
          <cell r="DU350"/>
          <cell r="DW350"/>
          <cell r="DX350"/>
          <cell r="DY350"/>
          <cell r="DZ350"/>
          <cell r="EA350"/>
          <cell r="EB350"/>
          <cell r="EC350"/>
          <cell r="ED350"/>
          <cell r="EG350"/>
          <cell r="EH350"/>
          <cell r="EI350"/>
        </row>
        <row r="351">
          <cell r="B351"/>
          <cell r="C351"/>
          <cell r="E351"/>
          <cell r="F351"/>
          <cell r="G351"/>
          <cell r="H351"/>
          <cell r="I351"/>
          <cell r="J351"/>
          <cell r="L351"/>
          <cell r="M351"/>
          <cell r="N351"/>
          <cell r="R351"/>
          <cell r="T351"/>
          <cell r="U351"/>
          <cell r="V351"/>
          <cell r="X351"/>
          <cell r="Z351"/>
          <cell r="AA351"/>
          <cell r="AB351"/>
          <cell r="AC351"/>
          <cell r="AD351"/>
          <cell r="AG351"/>
          <cell r="AI351"/>
          <cell r="AJ351"/>
          <cell r="AL351"/>
          <cell r="AM351"/>
          <cell r="AN351"/>
          <cell r="AO351"/>
          <cell r="AQ351"/>
          <cell r="AR351"/>
          <cell r="AS351"/>
          <cell r="AT351"/>
          <cell r="AU351"/>
          <cell r="BZ351"/>
          <cell r="CA351"/>
          <cell r="DL351"/>
          <cell r="DM351"/>
          <cell r="DN351"/>
          <cell r="DP351"/>
          <cell r="DQ351"/>
          <cell r="DR351"/>
          <cell r="DS351"/>
          <cell r="DT351"/>
          <cell r="DU351"/>
          <cell r="DW351"/>
          <cell r="DX351"/>
          <cell r="DY351"/>
          <cell r="DZ351"/>
          <cell r="EA351"/>
          <cell r="EB351"/>
          <cell r="EC351"/>
          <cell r="ED351"/>
          <cell r="EG351"/>
          <cell r="EH351"/>
          <cell r="EI351"/>
        </row>
        <row r="352">
          <cell r="B352"/>
          <cell r="C352"/>
          <cell r="E352"/>
          <cell r="F352"/>
          <cell r="G352"/>
          <cell r="H352"/>
          <cell r="I352"/>
          <cell r="J352"/>
          <cell r="L352"/>
          <cell r="M352"/>
          <cell r="N352"/>
          <cell r="R352"/>
          <cell r="T352"/>
          <cell r="U352"/>
          <cell r="V352"/>
          <cell r="X352"/>
          <cell r="Z352"/>
          <cell r="AA352"/>
          <cell r="AB352"/>
          <cell r="AC352"/>
          <cell r="AD352"/>
          <cell r="AG352"/>
          <cell r="AI352"/>
          <cell r="AJ352"/>
          <cell r="AL352"/>
          <cell r="AM352"/>
          <cell r="AN352"/>
          <cell r="AO352"/>
          <cell r="AQ352"/>
          <cell r="AR352"/>
          <cell r="AS352"/>
          <cell r="AT352"/>
          <cell r="AU352"/>
          <cell r="BZ352"/>
          <cell r="CA352"/>
          <cell r="DL352"/>
          <cell r="DM352"/>
          <cell r="DN352"/>
          <cell r="DP352"/>
          <cell r="DQ352"/>
          <cell r="DR352"/>
          <cell r="DS352"/>
          <cell r="DT352"/>
          <cell r="DU352"/>
          <cell r="DW352"/>
          <cell r="DX352"/>
          <cell r="DY352"/>
          <cell r="DZ352"/>
          <cell r="EA352"/>
          <cell r="EB352"/>
          <cell r="EC352"/>
          <cell r="ED352"/>
          <cell r="EG352"/>
          <cell r="EH352"/>
          <cell r="EI352"/>
        </row>
        <row r="353">
          <cell r="B353"/>
          <cell r="C353"/>
          <cell r="E353"/>
          <cell r="F353"/>
          <cell r="G353"/>
          <cell r="H353"/>
          <cell r="I353"/>
          <cell r="J353"/>
          <cell r="L353"/>
          <cell r="M353"/>
          <cell r="N353"/>
          <cell r="R353"/>
          <cell r="T353"/>
          <cell r="U353"/>
          <cell r="V353"/>
          <cell r="X353"/>
          <cell r="Z353"/>
          <cell r="AA353"/>
          <cell r="AB353"/>
          <cell r="AC353"/>
          <cell r="AD353"/>
          <cell r="AG353"/>
          <cell r="AI353"/>
          <cell r="AJ353"/>
          <cell r="AL353"/>
          <cell r="AM353"/>
          <cell r="AN353"/>
          <cell r="AO353"/>
          <cell r="AQ353"/>
          <cell r="AR353"/>
          <cell r="AS353"/>
          <cell r="AT353"/>
          <cell r="AU353"/>
          <cell r="BZ353"/>
          <cell r="CA353"/>
          <cell r="DL353"/>
          <cell r="DM353"/>
          <cell r="DN353"/>
          <cell r="DP353"/>
          <cell r="DQ353"/>
          <cell r="DR353"/>
          <cell r="DS353"/>
          <cell r="DT353"/>
          <cell r="DU353"/>
          <cell r="DW353"/>
          <cell r="DX353"/>
          <cell r="DY353"/>
          <cell r="DZ353"/>
          <cell r="EA353"/>
          <cell r="EB353"/>
          <cell r="EC353"/>
          <cell r="ED353"/>
          <cell r="EG353"/>
          <cell r="EH353"/>
          <cell r="EI353"/>
        </row>
        <row r="354">
          <cell r="B354"/>
          <cell r="C354"/>
          <cell r="E354"/>
          <cell r="F354"/>
          <cell r="G354"/>
          <cell r="H354"/>
          <cell r="I354"/>
          <cell r="J354"/>
          <cell r="L354"/>
          <cell r="M354"/>
          <cell r="N354"/>
          <cell r="R354"/>
          <cell r="T354"/>
          <cell r="U354"/>
          <cell r="V354"/>
          <cell r="X354"/>
          <cell r="Z354"/>
          <cell r="AA354"/>
          <cell r="AB354"/>
          <cell r="AC354"/>
          <cell r="AD354"/>
          <cell r="AG354"/>
          <cell r="AI354"/>
          <cell r="AJ354"/>
          <cell r="AL354"/>
          <cell r="AM354"/>
          <cell r="AN354"/>
          <cell r="AO354"/>
          <cell r="AQ354"/>
          <cell r="AR354"/>
          <cell r="AS354"/>
          <cell r="AT354"/>
          <cell r="AU354"/>
          <cell r="BZ354"/>
          <cell r="CA354"/>
          <cell r="DL354"/>
          <cell r="DM354"/>
          <cell r="DN354"/>
          <cell r="DP354"/>
          <cell r="DQ354"/>
          <cell r="DR354"/>
          <cell r="DS354"/>
          <cell r="DT354"/>
          <cell r="DU354"/>
          <cell r="DW354"/>
          <cell r="DX354"/>
          <cell r="DY354"/>
          <cell r="DZ354"/>
          <cell r="EA354"/>
          <cell r="EB354"/>
          <cell r="EC354"/>
          <cell r="ED354"/>
          <cell r="EG354"/>
          <cell r="EH354"/>
          <cell r="EI354"/>
        </row>
        <row r="355">
          <cell r="B355"/>
          <cell r="C355"/>
          <cell r="E355"/>
          <cell r="F355"/>
          <cell r="G355"/>
          <cell r="H355"/>
          <cell r="I355"/>
          <cell r="J355"/>
          <cell r="L355"/>
          <cell r="M355"/>
          <cell r="N355"/>
          <cell r="R355"/>
          <cell r="T355"/>
          <cell r="U355"/>
          <cell r="V355"/>
          <cell r="X355"/>
          <cell r="Z355"/>
          <cell r="AA355"/>
          <cell r="AB355"/>
          <cell r="AC355"/>
          <cell r="AD355"/>
          <cell r="AG355"/>
          <cell r="AI355"/>
          <cell r="AJ355"/>
          <cell r="AL355"/>
          <cell r="AM355"/>
          <cell r="AN355"/>
          <cell r="AO355"/>
          <cell r="AQ355"/>
          <cell r="AR355"/>
          <cell r="AS355"/>
          <cell r="AT355"/>
          <cell r="AU355"/>
          <cell r="BZ355"/>
          <cell r="CA355"/>
          <cell r="DL355"/>
          <cell r="DM355"/>
          <cell r="DN355"/>
          <cell r="DP355"/>
          <cell r="DQ355"/>
          <cell r="DR355"/>
          <cell r="DS355"/>
          <cell r="DT355"/>
          <cell r="DU355"/>
          <cell r="DW355"/>
          <cell r="DX355"/>
          <cell r="DY355"/>
          <cell r="DZ355"/>
          <cell r="EA355"/>
          <cell r="EB355"/>
          <cell r="EC355"/>
          <cell r="ED355"/>
          <cell r="EG355"/>
          <cell r="EH355"/>
          <cell r="EI355"/>
        </row>
        <row r="356">
          <cell r="B356"/>
          <cell r="C356"/>
          <cell r="E356"/>
          <cell r="F356"/>
          <cell r="G356"/>
          <cell r="H356"/>
          <cell r="I356"/>
          <cell r="J356"/>
          <cell r="L356"/>
          <cell r="M356"/>
          <cell r="N356"/>
          <cell r="R356"/>
          <cell r="T356"/>
          <cell r="U356"/>
          <cell r="V356"/>
          <cell r="X356"/>
          <cell r="Z356"/>
          <cell r="AA356"/>
          <cell r="AB356"/>
          <cell r="AC356"/>
          <cell r="AD356"/>
          <cell r="AG356"/>
          <cell r="AI356"/>
          <cell r="AJ356"/>
          <cell r="AL356"/>
          <cell r="AM356"/>
          <cell r="AN356"/>
          <cell r="AO356"/>
          <cell r="AQ356"/>
          <cell r="AR356"/>
          <cell r="AS356"/>
          <cell r="AT356"/>
          <cell r="AU356"/>
          <cell r="BZ356"/>
          <cell r="CA356"/>
          <cell r="DL356"/>
          <cell r="DM356"/>
          <cell r="DN356"/>
          <cell r="DP356"/>
          <cell r="DQ356"/>
          <cell r="DR356"/>
          <cell r="DS356"/>
          <cell r="DT356"/>
          <cell r="DU356"/>
          <cell r="DW356"/>
          <cell r="DX356"/>
          <cell r="DY356"/>
          <cell r="DZ356"/>
          <cell r="EA356"/>
          <cell r="EB356"/>
          <cell r="EC356"/>
          <cell r="ED356"/>
          <cell r="EG356"/>
          <cell r="EH356"/>
          <cell r="EI356"/>
        </row>
        <row r="357">
          <cell r="B357"/>
          <cell r="C357"/>
          <cell r="E357"/>
          <cell r="F357"/>
          <cell r="G357"/>
          <cell r="H357"/>
          <cell r="I357"/>
          <cell r="J357"/>
          <cell r="L357"/>
          <cell r="M357"/>
          <cell r="N357"/>
          <cell r="R357"/>
          <cell r="T357"/>
          <cell r="U357"/>
          <cell r="V357"/>
          <cell r="X357"/>
          <cell r="Z357"/>
          <cell r="AA357"/>
          <cell r="AB357"/>
          <cell r="AC357"/>
          <cell r="AD357"/>
          <cell r="AG357"/>
          <cell r="AI357"/>
          <cell r="AJ357"/>
          <cell r="AL357"/>
          <cell r="AM357"/>
          <cell r="AN357"/>
          <cell r="AO357"/>
          <cell r="AQ357"/>
          <cell r="AR357"/>
          <cell r="AS357"/>
          <cell r="AT357"/>
          <cell r="AU357"/>
          <cell r="BZ357"/>
          <cell r="CA357"/>
          <cell r="DL357"/>
          <cell r="DM357"/>
          <cell r="DN357"/>
          <cell r="DP357"/>
          <cell r="DQ357"/>
          <cell r="DR357"/>
          <cell r="DS357"/>
          <cell r="DT357"/>
          <cell r="DU357"/>
          <cell r="DW357"/>
          <cell r="DX357"/>
          <cell r="DY357"/>
          <cell r="DZ357"/>
          <cell r="EA357"/>
          <cell r="EB357"/>
          <cell r="EC357"/>
          <cell r="ED357"/>
          <cell r="EG357"/>
          <cell r="EH357"/>
          <cell r="EI357"/>
        </row>
        <row r="358">
          <cell r="B358"/>
          <cell r="C358"/>
          <cell r="E358"/>
          <cell r="F358"/>
          <cell r="G358"/>
          <cell r="H358"/>
          <cell r="I358"/>
          <cell r="J358"/>
          <cell r="L358"/>
          <cell r="M358"/>
          <cell r="N358"/>
          <cell r="R358"/>
          <cell r="T358"/>
          <cell r="U358"/>
          <cell r="V358"/>
          <cell r="X358"/>
          <cell r="Z358"/>
          <cell r="AA358"/>
          <cell r="AB358"/>
          <cell r="AC358"/>
          <cell r="AD358"/>
          <cell r="AG358"/>
          <cell r="AI358"/>
          <cell r="AJ358"/>
          <cell r="AL358"/>
          <cell r="AM358"/>
          <cell r="AN358"/>
          <cell r="AO358"/>
          <cell r="AQ358"/>
          <cell r="AR358"/>
          <cell r="AS358"/>
          <cell r="AT358"/>
          <cell r="AU358"/>
          <cell r="BZ358"/>
          <cell r="CA358"/>
          <cell r="DL358"/>
          <cell r="DM358"/>
          <cell r="DN358"/>
          <cell r="DP358"/>
          <cell r="DQ358"/>
          <cell r="DR358"/>
          <cell r="DS358"/>
          <cell r="DT358"/>
          <cell r="DU358"/>
          <cell r="DW358"/>
          <cell r="DX358"/>
          <cell r="DY358"/>
          <cell r="DZ358"/>
          <cell r="EA358"/>
          <cell r="EB358"/>
          <cell r="EC358"/>
          <cell r="ED358"/>
          <cell r="EG358"/>
          <cell r="EH358"/>
          <cell r="EI358"/>
        </row>
        <row r="359">
          <cell r="B359"/>
          <cell r="C359"/>
          <cell r="E359"/>
          <cell r="F359"/>
          <cell r="G359"/>
          <cell r="H359"/>
          <cell r="I359"/>
          <cell r="J359"/>
          <cell r="L359"/>
          <cell r="M359"/>
          <cell r="N359"/>
          <cell r="R359"/>
          <cell r="T359"/>
          <cell r="U359"/>
          <cell r="V359"/>
          <cell r="X359"/>
          <cell r="Z359"/>
          <cell r="AA359"/>
          <cell r="AB359"/>
          <cell r="AC359"/>
          <cell r="AD359"/>
          <cell r="AG359"/>
          <cell r="AI359"/>
          <cell r="AJ359"/>
          <cell r="AL359"/>
          <cell r="AM359"/>
          <cell r="AN359"/>
          <cell r="AO359"/>
          <cell r="AQ359"/>
          <cell r="AR359"/>
          <cell r="AS359"/>
          <cell r="AT359"/>
          <cell r="AU359"/>
          <cell r="BZ359"/>
          <cell r="CA359"/>
          <cell r="DL359"/>
          <cell r="DM359"/>
          <cell r="DN359"/>
          <cell r="DP359"/>
          <cell r="DQ359"/>
          <cell r="DR359"/>
          <cell r="DS359"/>
          <cell r="DT359"/>
          <cell r="DU359"/>
          <cell r="DW359"/>
          <cell r="DX359"/>
          <cell r="DY359"/>
          <cell r="DZ359"/>
          <cell r="EA359"/>
          <cell r="EB359"/>
          <cell r="EC359"/>
          <cell r="ED359"/>
          <cell r="EG359"/>
          <cell r="EH359"/>
          <cell r="EI359"/>
        </row>
        <row r="360">
          <cell r="B360"/>
          <cell r="C360"/>
          <cell r="E360"/>
          <cell r="F360"/>
          <cell r="G360"/>
          <cell r="H360"/>
          <cell r="I360"/>
          <cell r="J360"/>
          <cell r="L360"/>
          <cell r="M360"/>
          <cell r="N360"/>
          <cell r="R360"/>
          <cell r="T360"/>
          <cell r="U360"/>
          <cell r="V360"/>
          <cell r="X360"/>
          <cell r="Z360"/>
          <cell r="AA360"/>
          <cell r="AB360"/>
          <cell r="AC360"/>
          <cell r="AD360"/>
          <cell r="AG360"/>
          <cell r="AI360"/>
          <cell r="AJ360"/>
          <cell r="AL360"/>
          <cell r="AM360"/>
          <cell r="AN360"/>
          <cell r="AO360"/>
          <cell r="AQ360"/>
          <cell r="AR360"/>
          <cell r="AS360"/>
          <cell r="AT360"/>
          <cell r="AU360"/>
          <cell r="BZ360"/>
          <cell r="CA360"/>
          <cell r="DL360"/>
          <cell r="DM360"/>
          <cell r="DN360"/>
          <cell r="DP360"/>
          <cell r="DQ360"/>
          <cell r="DR360"/>
          <cell r="DS360"/>
          <cell r="DT360"/>
          <cell r="DU360"/>
          <cell r="DW360"/>
          <cell r="DX360"/>
          <cell r="DY360"/>
          <cell r="DZ360"/>
          <cell r="EA360"/>
          <cell r="EB360"/>
          <cell r="EC360"/>
          <cell r="ED360"/>
          <cell r="EG360"/>
          <cell r="EH360"/>
          <cell r="EI360"/>
        </row>
        <row r="361">
          <cell r="B361"/>
          <cell r="C361"/>
          <cell r="E361"/>
          <cell r="F361"/>
          <cell r="G361"/>
          <cell r="H361"/>
          <cell r="I361"/>
          <cell r="J361"/>
          <cell r="L361"/>
          <cell r="M361"/>
          <cell r="N361"/>
          <cell r="R361"/>
          <cell r="T361"/>
          <cell r="U361"/>
          <cell r="V361"/>
          <cell r="X361"/>
          <cell r="Z361"/>
          <cell r="AA361"/>
          <cell r="AB361"/>
          <cell r="AC361"/>
          <cell r="AD361"/>
          <cell r="AG361"/>
          <cell r="AI361"/>
          <cell r="AJ361"/>
          <cell r="AL361"/>
          <cell r="AM361"/>
          <cell r="AN361"/>
          <cell r="AO361"/>
          <cell r="AQ361"/>
          <cell r="AR361"/>
          <cell r="AS361"/>
          <cell r="AT361"/>
          <cell r="AU361"/>
          <cell r="BZ361"/>
          <cell r="CA361"/>
          <cell r="DL361"/>
          <cell r="DM361"/>
          <cell r="DN361"/>
          <cell r="DP361"/>
          <cell r="DQ361"/>
          <cell r="DR361"/>
          <cell r="DS361"/>
          <cell r="DT361"/>
          <cell r="DU361"/>
          <cell r="DW361"/>
          <cell r="DX361"/>
          <cell r="DY361"/>
          <cell r="DZ361"/>
          <cell r="EA361"/>
          <cell r="EB361"/>
          <cell r="EC361"/>
          <cell r="ED361"/>
          <cell r="EG361"/>
          <cell r="EH361"/>
          <cell r="EI361"/>
        </row>
        <row r="362">
          <cell r="B362"/>
          <cell r="C362"/>
          <cell r="E362"/>
          <cell r="F362"/>
          <cell r="G362"/>
          <cell r="H362"/>
          <cell r="I362"/>
          <cell r="J362"/>
          <cell r="L362"/>
          <cell r="M362"/>
          <cell r="N362"/>
          <cell r="R362"/>
          <cell r="T362"/>
          <cell r="U362"/>
          <cell r="V362"/>
          <cell r="X362"/>
          <cell r="Z362"/>
          <cell r="AA362"/>
          <cell r="AB362"/>
          <cell r="AC362"/>
          <cell r="AD362"/>
          <cell r="AG362"/>
          <cell r="AI362"/>
          <cell r="AJ362"/>
          <cell r="AL362"/>
          <cell r="AM362"/>
          <cell r="AN362"/>
          <cell r="AO362"/>
          <cell r="AQ362"/>
          <cell r="AR362"/>
          <cell r="AS362"/>
          <cell r="AT362"/>
          <cell r="AU362"/>
          <cell r="BZ362"/>
          <cell r="CA362"/>
          <cell r="DL362"/>
          <cell r="DM362"/>
          <cell r="DN362"/>
          <cell r="DP362"/>
          <cell r="DQ362"/>
          <cell r="DR362"/>
          <cell r="DS362"/>
          <cell r="DT362"/>
          <cell r="DU362"/>
          <cell r="DW362"/>
          <cell r="DX362"/>
          <cell r="DY362"/>
          <cell r="DZ362"/>
          <cell r="EA362"/>
          <cell r="EB362"/>
          <cell r="EC362"/>
          <cell r="ED362"/>
          <cell r="EG362"/>
          <cell r="EH362"/>
          <cell r="EI362"/>
        </row>
        <row r="363">
          <cell r="B363"/>
          <cell r="C363"/>
          <cell r="E363"/>
          <cell r="F363"/>
          <cell r="G363"/>
          <cell r="H363"/>
          <cell r="I363"/>
          <cell r="J363"/>
          <cell r="L363"/>
          <cell r="M363"/>
          <cell r="N363"/>
          <cell r="R363"/>
          <cell r="T363"/>
          <cell r="U363"/>
          <cell r="V363"/>
          <cell r="X363"/>
          <cell r="Z363"/>
          <cell r="AA363"/>
          <cell r="AB363"/>
          <cell r="AC363"/>
          <cell r="AD363"/>
          <cell r="AG363"/>
          <cell r="AI363"/>
          <cell r="AJ363"/>
          <cell r="AL363"/>
          <cell r="AM363"/>
          <cell r="AN363"/>
          <cell r="AO363"/>
          <cell r="AQ363"/>
          <cell r="AR363"/>
          <cell r="AS363"/>
          <cell r="AT363"/>
          <cell r="AU363"/>
          <cell r="BZ363"/>
          <cell r="CA363"/>
          <cell r="DL363"/>
          <cell r="DM363"/>
          <cell r="DN363"/>
          <cell r="DP363"/>
          <cell r="DQ363"/>
          <cell r="DR363"/>
          <cell r="DS363"/>
          <cell r="DT363"/>
          <cell r="DU363"/>
          <cell r="DW363"/>
          <cell r="DX363"/>
          <cell r="DY363"/>
          <cell r="DZ363"/>
          <cell r="EA363"/>
          <cell r="EB363"/>
          <cell r="EC363"/>
          <cell r="ED363"/>
          <cell r="EG363"/>
          <cell r="EH363"/>
          <cell r="EI363"/>
        </row>
        <row r="364">
          <cell r="B364"/>
          <cell r="C364"/>
          <cell r="E364"/>
          <cell r="F364"/>
          <cell r="G364"/>
          <cell r="H364"/>
          <cell r="I364"/>
          <cell r="J364"/>
          <cell r="L364"/>
          <cell r="M364"/>
          <cell r="N364"/>
          <cell r="R364"/>
          <cell r="T364"/>
          <cell r="U364"/>
          <cell r="V364"/>
          <cell r="X364"/>
          <cell r="Z364"/>
          <cell r="AA364"/>
          <cell r="AB364"/>
          <cell r="AC364"/>
          <cell r="AD364"/>
          <cell r="AG364"/>
          <cell r="AI364"/>
          <cell r="AJ364"/>
          <cell r="AL364"/>
          <cell r="AM364"/>
          <cell r="AN364"/>
          <cell r="AO364"/>
          <cell r="AQ364"/>
          <cell r="AR364"/>
          <cell r="AS364"/>
          <cell r="AT364"/>
          <cell r="AU364"/>
          <cell r="BZ364"/>
          <cell r="CA364"/>
          <cell r="DL364"/>
          <cell r="DM364"/>
          <cell r="DN364"/>
          <cell r="DP364"/>
          <cell r="DQ364"/>
          <cell r="DR364"/>
          <cell r="DS364"/>
          <cell r="DT364"/>
          <cell r="DU364"/>
          <cell r="DW364"/>
          <cell r="DX364"/>
          <cell r="DY364"/>
          <cell r="DZ364"/>
          <cell r="EA364"/>
          <cell r="EB364"/>
          <cell r="EC364"/>
          <cell r="ED364"/>
          <cell r="EG364"/>
          <cell r="EH364"/>
          <cell r="EI364"/>
        </row>
        <row r="365">
          <cell r="B365"/>
          <cell r="C365"/>
          <cell r="E365"/>
          <cell r="F365"/>
          <cell r="G365"/>
          <cell r="H365"/>
          <cell r="I365"/>
          <cell r="J365"/>
          <cell r="L365"/>
          <cell r="M365"/>
          <cell r="N365"/>
          <cell r="R365"/>
          <cell r="T365"/>
          <cell r="U365"/>
          <cell r="V365"/>
          <cell r="X365"/>
          <cell r="Z365"/>
          <cell r="AA365"/>
          <cell r="AB365"/>
          <cell r="AC365"/>
          <cell r="AD365"/>
          <cell r="AG365"/>
          <cell r="AI365"/>
          <cell r="AJ365"/>
          <cell r="AL365"/>
          <cell r="AM365"/>
          <cell r="AN365"/>
          <cell r="AO365"/>
          <cell r="AQ365"/>
          <cell r="AR365"/>
          <cell r="AS365"/>
          <cell r="AT365"/>
          <cell r="AU365"/>
          <cell r="BZ365"/>
          <cell r="CA365"/>
          <cell r="DL365"/>
          <cell r="DM365"/>
          <cell r="DN365"/>
          <cell r="DP365"/>
          <cell r="DQ365"/>
          <cell r="DR365"/>
          <cell r="DS365"/>
          <cell r="DT365"/>
          <cell r="DU365"/>
          <cell r="DW365"/>
          <cell r="DX365"/>
          <cell r="DY365"/>
          <cell r="DZ365"/>
          <cell r="EA365"/>
          <cell r="EB365"/>
          <cell r="EC365"/>
          <cell r="ED365"/>
          <cell r="EG365"/>
          <cell r="EH365"/>
          <cell r="EI365"/>
        </row>
        <row r="366">
          <cell r="B366"/>
          <cell r="C366"/>
          <cell r="E366"/>
          <cell r="F366"/>
          <cell r="G366"/>
          <cell r="H366"/>
          <cell r="I366"/>
          <cell r="J366"/>
          <cell r="L366"/>
          <cell r="M366"/>
          <cell r="N366"/>
          <cell r="R366"/>
          <cell r="T366"/>
          <cell r="U366"/>
          <cell r="V366"/>
          <cell r="X366"/>
          <cell r="Z366"/>
          <cell r="AA366"/>
          <cell r="AB366"/>
          <cell r="AC366"/>
          <cell r="AD366"/>
          <cell r="AG366"/>
          <cell r="AI366"/>
          <cell r="AJ366"/>
          <cell r="AL366"/>
          <cell r="AM366"/>
          <cell r="AN366"/>
          <cell r="AO366"/>
          <cell r="AQ366"/>
          <cell r="AR366"/>
          <cell r="AS366"/>
          <cell r="AT366"/>
          <cell r="AU366"/>
          <cell r="BZ366"/>
          <cell r="CA366"/>
          <cell r="DL366"/>
          <cell r="DM366"/>
          <cell r="DN366"/>
          <cell r="DP366"/>
          <cell r="DQ366"/>
          <cell r="DR366"/>
          <cell r="DS366"/>
          <cell r="DT366"/>
          <cell r="DU366"/>
          <cell r="DW366"/>
          <cell r="DX366"/>
          <cell r="DY366"/>
          <cell r="DZ366"/>
          <cell r="EA366"/>
          <cell r="EB366"/>
          <cell r="EC366"/>
          <cell r="ED366"/>
          <cell r="EG366"/>
          <cell r="EH366"/>
          <cell r="EI366"/>
        </row>
        <row r="367">
          <cell r="B367"/>
          <cell r="C367"/>
          <cell r="E367"/>
          <cell r="F367"/>
          <cell r="G367"/>
          <cell r="H367"/>
          <cell r="I367"/>
          <cell r="J367"/>
          <cell r="L367"/>
          <cell r="M367"/>
          <cell r="N367"/>
          <cell r="R367"/>
          <cell r="T367"/>
          <cell r="U367"/>
          <cell r="V367"/>
          <cell r="X367"/>
          <cell r="Z367"/>
          <cell r="AA367"/>
          <cell r="AB367"/>
          <cell r="AC367"/>
          <cell r="AD367"/>
          <cell r="AG367"/>
          <cell r="AI367"/>
          <cell r="AJ367"/>
          <cell r="AL367"/>
          <cell r="AM367"/>
          <cell r="AN367"/>
          <cell r="AO367"/>
          <cell r="AQ367"/>
          <cell r="AR367"/>
          <cell r="AS367"/>
          <cell r="AT367"/>
          <cell r="AU367"/>
          <cell r="BZ367"/>
          <cell r="CA367"/>
          <cell r="DL367"/>
          <cell r="DM367"/>
          <cell r="DN367"/>
          <cell r="DP367"/>
          <cell r="DQ367"/>
          <cell r="DR367"/>
          <cell r="DS367"/>
          <cell r="DT367"/>
          <cell r="DU367"/>
          <cell r="DW367"/>
          <cell r="DX367"/>
          <cell r="DY367"/>
          <cell r="DZ367"/>
          <cell r="EA367"/>
          <cell r="EB367"/>
          <cell r="EC367"/>
          <cell r="ED367"/>
          <cell r="EG367"/>
          <cell r="EH367"/>
          <cell r="EI367"/>
        </row>
        <row r="368">
          <cell r="B368"/>
          <cell r="C368"/>
          <cell r="E368"/>
          <cell r="F368"/>
          <cell r="G368"/>
          <cell r="H368"/>
          <cell r="I368"/>
          <cell r="J368"/>
          <cell r="L368"/>
          <cell r="M368"/>
          <cell r="N368"/>
          <cell r="R368"/>
          <cell r="T368"/>
          <cell r="U368"/>
          <cell r="V368"/>
          <cell r="X368"/>
          <cell r="Z368"/>
          <cell r="AA368"/>
          <cell r="AB368"/>
          <cell r="AC368"/>
          <cell r="AD368"/>
          <cell r="AG368"/>
          <cell r="AI368"/>
          <cell r="AJ368"/>
          <cell r="AL368"/>
          <cell r="AM368"/>
          <cell r="AN368"/>
          <cell r="AO368"/>
          <cell r="AQ368"/>
          <cell r="AR368"/>
          <cell r="AS368"/>
          <cell r="AT368"/>
          <cell r="AU368"/>
          <cell r="BZ368"/>
          <cell r="CA368"/>
          <cell r="DL368"/>
          <cell r="DM368"/>
          <cell r="DN368"/>
          <cell r="DP368"/>
          <cell r="DQ368"/>
          <cell r="DR368"/>
          <cell r="DS368"/>
          <cell r="DT368"/>
          <cell r="DU368"/>
          <cell r="DW368"/>
          <cell r="DX368"/>
          <cell r="DY368"/>
          <cell r="DZ368"/>
          <cell r="EA368"/>
          <cell r="EB368"/>
          <cell r="EC368"/>
          <cell r="ED368"/>
          <cell r="EG368"/>
          <cell r="EH368"/>
          <cell r="EI368"/>
        </row>
        <row r="369">
          <cell r="B369"/>
          <cell r="C369"/>
          <cell r="E369"/>
          <cell r="F369"/>
          <cell r="G369"/>
          <cell r="H369"/>
          <cell r="I369"/>
          <cell r="J369"/>
          <cell r="L369"/>
          <cell r="M369"/>
          <cell r="N369"/>
          <cell r="R369"/>
          <cell r="T369"/>
          <cell r="U369"/>
          <cell r="V369"/>
          <cell r="X369"/>
          <cell r="Z369"/>
          <cell r="AA369"/>
          <cell r="AB369"/>
          <cell r="AC369"/>
          <cell r="AD369"/>
          <cell r="AG369"/>
          <cell r="AI369"/>
          <cell r="AJ369"/>
          <cell r="AL369"/>
          <cell r="AM369"/>
          <cell r="AN369"/>
          <cell r="AO369"/>
          <cell r="AQ369"/>
          <cell r="AR369"/>
          <cell r="AS369"/>
          <cell r="AT369"/>
          <cell r="AU369"/>
          <cell r="BZ369"/>
          <cell r="CA369"/>
          <cell r="DL369"/>
          <cell r="DM369"/>
          <cell r="DN369"/>
          <cell r="DP369"/>
          <cell r="DQ369"/>
          <cell r="DR369"/>
          <cell r="DS369"/>
          <cell r="DT369"/>
          <cell r="DU369"/>
          <cell r="DW369"/>
          <cell r="DX369"/>
          <cell r="DY369"/>
          <cell r="DZ369"/>
          <cell r="EA369"/>
          <cell r="EB369"/>
          <cell r="EC369"/>
          <cell r="ED369"/>
          <cell r="EG369"/>
          <cell r="EH369"/>
          <cell r="EI369"/>
        </row>
        <row r="370">
          <cell r="B370"/>
          <cell r="C370"/>
          <cell r="E370"/>
          <cell r="F370"/>
          <cell r="G370"/>
          <cell r="H370"/>
          <cell r="I370"/>
          <cell r="J370"/>
          <cell r="L370"/>
          <cell r="M370"/>
          <cell r="N370"/>
          <cell r="R370"/>
          <cell r="T370"/>
          <cell r="U370"/>
          <cell r="V370"/>
          <cell r="X370"/>
          <cell r="Z370"/>
          <cell r="AA370"/>
          <cell r="AB370"/>
          <cell r="AC370"/>
          <cell r="AD370"/>
          <cell r="AG370"/>
          <cell r="AI370"/>
          <cell r="AJ370"/>
          <cell r="AL370"/>
          <cell r="AM370"/>
          <cell r="AN370"/>
          <cell r="AO370"/>
          <cell r="AQ370"/>
          <cell r="AR370"/>
          <cell r="AS370"/>
          <cell r="AT370"/>
          <cell r="AU370"/>
          <cell r="BZ370"/>
          <cell r="CA370"/>
          <cell r="DL370"/>
          <cell r="DM370"/>
          <cell r="DN370"/>
          <cell r="DP370"/>
          <cell r="DQ370"/>
          <cell r="DR370"/>
          <cell r="DS370"/>
          <cell r="DT370"/>
          <cell r="DU370"/>
          <cell r="DW370"/>
          <cell r="DX370"/>
          <cell r="DY370"/>
          <cell r="DZ370"/>
          <cell r="EA370"/>
          <cell r="EB370"/>
          <cell r="EC370"/>
          <cell r="ED370"/>
          <cell r="EG370"/>
          <cell r="EH370"/>
          <cell r="EI370"/>
        </row>
        <row r="371">
          <cell r="B371"/>
          <cell r="C371"/>
          <cell r="E371"/>
          <cell r="F371"/>
          <cell r="G371"/>
          <cell r="H371"/>
          <cell r="I371"/>
          <cell r="J371"/>
          <cell r="L371"/>
          <cell r="M371"/>
          <cell r="N371"/>
          <cell r="R371"/>
          <cell r="T371"/>
          <cell r="U371"/>
          <cell r="V371"/>
          <cell r="X371"/>
          <cell r="Z371"/>
          <cell r="AA371"/>
          <cell r="AB371"/>
          <cell r="AC371"/>
          <cell r="AD371"/>
          <cell r="AG371"/>
          <cell r="AI371"/>
          <cell r="AJ371"/>
          <cell r="AL371"/>
          <cell r="AM371"/>
          <cell r="AN371"/>
          <cell r="AO371"/>
          <cell r="AQ371"/>
          <cell r="AR371"/>
          <cell r="AS371"/>
          <cell r="AT371"/>
          <cell r="AU371"/>
          <cell r="BZ371"/>
          <cell r="CA371"/>
          <cell r="DL371"/>
          <cell r="DM371"/>
          <cell r="DN371"/>
          <cell r="DP371"/>
          <cell r="DQ371"/>
          <cell r="DR371"/>
          <cell r="DS371"/>
          <cell r="DT371"/>
          <cell r="DU371"/>
          <cell r="DW371"/>
          <cell r="DX371"/>
          <cell r="DY371"/>
          <cell r="DZ371"/>
          <cell r="EA371"/>
          <cell r="EB371"/>
          <cell r="EC371"/>
          <cell r="ED371"/>
          <cell r="EG371"/>
          <cell r="EH371"/>
          <cell r="EI371"/>
        </row>
        <row r="372">
          <cell r="B372"/>
          <cell r="C372"/>
          <cell r="E372"/>
          <cell r="F372"/>
          <cell r="G372"/>
          <cell r="H372"/>
          <cell r="I372"/>
          <cell r="J372"/>
          <cell r="L372"/>
          <cell r="M372"/>
          <cell r="N372"/>
          <cell r="R372"/>
          <cell r="T372"/>
          <cell r="U372"/>
          <cell r="V372"/>
          <cell r="X372"/>
          <cell r="Z372"/>
          <cell r="AA372"/>
          <cell r="AB372"/>
          <cell r="AC372"/>
          <cell r="AD372"/>
          <cell r="AG372"/>
          <cell r="AI372"/>
          <cell r="AJ372"/>
          <cell r="AL372"/>
          <cell r="AM372"/>
          <cell r="AN372"/>
          <cell r="AO372"/>
          <cell r="AQ372"/>
          <cell r="AR372"/>
          <cell r="AS372"/>
          <cell r="AT372"/>
          <cell r="AU372"/>
          <cell r="BZ372"/>
          <cell r="CA372"/>
          <cell r="DL372"/>
          <cell r="DM372"/>
          <cell r="DN372"/>
          <cell r="DP372"/>
          <cell r="DQ372"/>
          <cell r="DR372"/>
          <cell r="DS372"/>
          <cell r="DT372"/>
          <cell r="DU372"/>
          <cell r="DW372"/>
          <cell r="DX372"/>
          <cell r="DY372"/>
          <cell r="DZ372"/>
          <cell r="EA372"/>
          <cell r="EB372"/>
          <cell r="EC372"/>
          <cell r="ED372"/>
          <cell r="EG372"/>
          <cell r="EH372"/>
          <cell r="EI372"/>
        </row>
        <row r="373">
          <cell r="B373"/>
          <cell r="C373"/>
          <cell r="E373"/>
          <cell r="F373"/>
          <cell r="G373"/>
          <cell r="H373"/>
          <cell r="I373"/>
          <cell r="J373"/>
          <cell r="L373"/>
          <cell r="M373"/>
          <cell r="N373"/>
          <cell r="R373"/>
          <cell r="T373"/>
          <cell r="U373"/>
          <cell r="V373"/>
          <cell r="X373"/>
          <cell r="Z373"/>
          <cell r="AA373"/>
          <cell r="AB373"/>
          <cell r="AC373"/>
          <cell r="AD373"/>
          <cell r="AG373"/>
          <cell r="AI373"/>
          <cell r="AJ373"/>
          <cell r="AL373"/>
          <cell r="AM373"/>
          <cell r="AN373"/>
          <cell r="AO373"/>
          <cell r="AQ373"/>
          <cell r="AR373"/>
          <cell r="AS373"/>
          <cell r="AT373"/>
          <cell r="AU373"/>
          <cell r="BZ373"/>
          <cell r="CA373"/>
          <cell r="DL373"/>
          <cell r="DM373"/>
          <cell r="DN373"/>
          <cell r="DP373"/>
          <cell r="DQ373"/>
          <cell r="DR373"/>
          <cell r="DS373"/>
          <cell r="DT373"/>
          <cell r="DU373"/>
          <cell r="DW373"/>
          <cell r="DX373"/>
          <cell r="DY373"/>
          <cell r="DZ373"/>
          <cell r="EA373"/>
          <cell r="EB373"/>
          <cell r="EC373"/>
          <cell r="ED373"/>
          <cell r="EG373"/>
          <cell r="EH373"/>
          <cell r="EI373"/>
        </row>
        <row r="374">
          <cell r="B374"/>
          <cell r="C374"/>
          <cell r="E374"/>
          <cell r="F374"/>
          <cell r="G374"/>
          <cell r="H374"/>
          <cell r="I374"/>
          <cell r="J374"/>
          <cell r="L374"/>
          <cell r="M374"/>
          <cell r="N374"/>
          <cell r="R374"/>
          <cell r="T374"/>
          <cell r="U374"/>
          <cell r="V374"/>
          <cell r="X374"/>
          <cell r="Z374"/>
          <cell r="AA374"/>
          <cell r="AB374"/>
          <cell r="AC374"/>
          <cell r="AD374"/>
          <cell r="AG374"/>
          <cell r="AI374"/>
          <cell r="AJ374"/>
          <cell r="AL374"/>
          <cell r="AM374"/>
          <cell r="AN374"/>
          <cell r="AO374"/>
          <cell r="AQ374"/>
          <cell r="AR374"/>
          <cell r="AS374"/>
          <cell r="AT374"/>
          <cell r="AU374"/>
          <cell r="BZ374"/>
          <cell r="CA374"/>
          <cell r="DL374"/>
          <cell r="DM374"/>
          <cell r="DN374"/>
          <cell r="DP374"/>
          <cell r="DQ374"/>
          <cell r="DR374"/>
          <cell r="DS374"/>
          <cell r="DT374"/>
          <cell r="DU374"/>
          <cell r="DW374"/>
          <cell r="DX374"/>
          <cell r="DY374"/>
          <cell r="DZ374"/>
          <cell r="EA374"/>
          <cell r="EB374"/>
          <cell r="EC374"/>
          <cell r="ED374"/>
          <cell r="EG374"/>
          <cell r="EH374"/>
          <cell r="EI374"/>
        </row>
        <row r="375">
          <cell r="B375"/>
          <cell r="C375"/>
          <cell r="E375"/>
          <cell r="F375"/>
          <cell r="G375"/>
          <cell r="H375"/>
          <cell r="I375"/>
          <cell r="J375"/>
          <cell r="L375"/>
          <cell r="M375"/>
          <cell r="N375"/>
          <cell r="R375"/>
          <cell r="T375"/>
          <cell r="U375"/>
          <cell r="V375"/>
          <cell r="X375"/>
          <cell r="Z375"/>
          <cell r="AA375"/>
          <cell r="AB375"/>
          <cell r="AC375"/>
          <cell r="AD375"/>
          <cell r="AG375"/>
          <cell r="AI375"/>
          <cell r="AJ375"/>
          <cell r="AL375"/>
          <cell r="AM375"/>
          <cell r="AN375"/>
          <cell r="AO375"/>
          <cell r="AQ375"/>
          <cell r="AR375"/>
          <cell r="AS375"/>
          <cell r="AT375"/>
          <cell r="AU375"/>
          <cell r="BZ375"/>
          <cell r="CA375"/>
          <cell r="DL375"/>
          <cell r="DM375"/>
          <cell r="DN375"/>
          <cell r="DP375"/>
          <cell r="DQ375"/>
          <cell r="DR375"/>
          <cell r="DS375"/>
          <cell r="DT375"/>
          <cell r="DU375"/>
          <cell r="DW375"/>
          <cell r="DX375"/>
          <cell r="DY375"/>
          <cell r="DZ375"/>
          <cell r="EA375"/>
          <cell r="EB375"/>
          <cell r="EC375"/>
          <cell r="ED375"/>
          <cell r="EG375"/>
          <cell r="EH375"/>
          <cell r="EI375"/>
        </row>
        <row r="376">
          <cell r="B376"/>
          <cell r="C376"/>
          <cell r="E376"/>
          <cell r="F376"/>
          <cell r="G376"/>
          <cell r="H376"/>
          <cell r="I376"/>
          <cell r="J376"/>
          <cell r="L376"/>
          <cell r="M376"/>
          <cell r="N376"/>
          <cell r="R376"/>
          <cell r="T376"/>
          <cell r="U376"/>
          <cell r="V376"/>
          <cell r="X376"/>
          <cell r="Z376"/>
          <cell r="AA376"/>
          <cell r="AB376"/>
          <cell r="AC376"/>
          <cell r="AD376"/>
          <cell r="AG376"/>
          <cell r="AI376"/>
          <cell r="AJ376"/>
          <cell r="AL376"/>
          <cell r="AM376"/>
          <cell r="AN376"/>
          <cell r="AO376"/>
          <cell r="AQ376"/>
          <cell r="AR376"/>
          <cell r="AS376"/>
          <cell r="AT376"/>
          <cell r="AU376"/>
          <cell r="BZ376"/>
          <cell r="CA376"/>
          <cell r="DL376"/>
          <cell r="DM376"/>
          <cell r="DN376"/>
          <cell r="DP376"/>
          <cell r="DQ376"/>
          <cell r="DR376"/>
          <cell r="DS376"/>
          <cell r="DT376"/>
          <cell r="DU376"/>
          <cell r="DW376"/>
          <cell r="DX376"/>
          <cell r="DY376"/>
          <cell r="DZ376"/>
          <cell r="EA376"/>
          <cell r="EB376"/>
          <cell r="EC376"/>
          <cell r="ED376"/>
          <cell r="EG376"/>
          <cell r="EH376"/>
          <cell r="EI376"/>
        </row>
        <row r="377">
          <cell r="B377"/>
          <cell r="C377"/>
          <cell r="E377"/>
          <cell r="F377"/>
          <cell r="G377"/>
          <cell r="H377"/>
          <cell r="I377"/>
          <cell r="J377"/>
          <cell r="L377"/>
          <cell r="M377"/>
          <cell r="N377"/>
          <cell r="R377"/>
          <cell r="T377"/>
          <cell r="U377"/>
          <cell r="V377"/>
          <cell r="X377"/>
          <cell r="Z377"/>
          <cell r="AA377"/>
          <cell r="AB377"/>
          <cell r="AC377"/>
          <cell r="AD377"/>
          <cell r="AG377"/>
          <cell r="AI377"/>
          <cell r="AJ377"/>
          <cell r="AL377"/>
          <cell r="AM377"/>
          <cell r="AN377"/>
          <cell r="AO377"/>
          <cell r="AQ377"/>
          <cell r="AR377"/>
          <cell r="AS377"/>
          <cell r="AT377"/>
          <cell r="AU377"/>
          <cell r="BZ377"/>
          <cell r="CA377"/>
          <cell r="DL377"/>
          <cell r="DM377"/>
          <cell r="DN377"/>
          <cell r="DP377"/>
          <cell r="DQ377"/>
          <cell r="DR377"/>
          <cell r="DS377"/>
          <cell r="DT377"/>
          <cell r="DU377"/>
          <cell r="DW377"/>
          <cell r="DX377"/>
          <cell r="DY377"/>
          <cell r="DZ377"/>
          <cell r="EA377"/>
          <cell r="EB377"/>
          <cell r="EC377"/>
          <cell r="ED377"/>
          <cell r="EG377"/>
          <cell r="EH377"/>
          <cell r="EI377"/>
        </row>
        <row r="378">
          <cell r="B378"/>
          <cell r="C378"/>
          <cell r="E378"/>
          <cell r="F378"/>
          <cell r="G378"/>
          <cell r="H378"/>
          <cell r="I378"/>
          <cell r="J378"/>
          <cell r="L378"/>
          <cell r="M378"/>
          <cell r="N378"/>
          <cell r="R378"/>
          <cell r="T378"/>
          <cell r="U378"/>
          <cell r="V378"/>
          <cell r="X378"/>
          <cell r="Z378"/>
          <cell r="AA378"/>
          <cell r="AB378"/>
          <cell r="AC378"/>
          <cell r="AD378"/>
          <cell r="AG378"/>
          <cell r="AI378"/>
          <cell r="AJ378"/>
          <cell r="AL378"/>
          <cell r="AM378"/>
          <cell r="AN378"/>
          <cell r="AO378"/>
          <cell r="AQ378"/>
          <cell r="AR378"/>
          <cell r="AS378"/>
          <cell r="AT378"/>
          <cell r="AU378"/>
          <cell r="BZ378"/>
          <cell r="CA378"/>
          <cell r="DL378"/>
          <cell r="DM378"/>
          <cell r="DN378"/>
          <cell r="DP378"/>
          <cell r="DQ378"/>
          <cell r="DR378"/>
          <cell r="DS378"/>
          <cell r="DT378"/>
          <cell r="DU378"/>
          <cell r="DW378"/>
          <cell r="DX378"/>
          <cell r="DY378"/>
          <cell r="DZ378"/>
          <cell r="EA378"/>
          <cell r="EB378"/>
          <cell r="EC378"/>
          <cell r="ED378"/>
          <cell r="EG378"/>
          <cell r="EH378"/>
          <cell r="EI378"/>
        </row>
        <row r="379">
          <cell r="B379"/>
          <cell r="C379"/>
          <cell r="E379"/>
          <cell r="F379"/>
          <cell r="G379"/>
          <cell r="H379"/>
          <cell r="I379"/>
          <cell r="J379"/>
          <cell r="L379"/>
          <cell r="M379"/>
          <cell r="N379"/>
          <cell r="R379"/>
          <cell r="T379"/>
          <cell r="U379"/>
          <cell r="V379"/>
          <cell r="X379"/>
          <cell r="Z379"/>
          <cell r="AA379"/>
          <cell r="AB379"/>
          <cell r="AC379"/>
          <cell r="AD379"/>
          <cell r="AG379"/>
          <cell r="AI379"/>
          <cell r="AJ379"/>
          <cell r="AL379"/>
          <cell r="AM379"/>
          <cell r="AN379"/>
          <cell r="AO379"/>
          <cell r="AQ379"/>
          <cell r="AR379"/>
          <cell r="AS379"/>
          <cell r="AT379"/>
          <cell r="AU379"/>
          <cell r="BZ379"/>
          <cell r="CA379"/>
          <cell r="DL379"/>
          <cell r="DM379"/>
          <cell r="DN379"/>
          <cell r="DP379"/>
          <cell r="DQ379"/>
          <cell r="DR379"/>
          <cell r="DS379"/>
          <cell r="DT379"/>
          <cell r="DU379"/>
          <cell r="DW379"/>
          <cell r="DX379"/>
          <cell r="DY379"/>
          <cell r="DZ379"/>
          <cell r="EA379"/>
          <cell r="EB379"/>
          <cell r="EC379"/>
          <cell r="ED379"/>
          <cell r="EG379"/>
          <cell r="EH379"/>
          <cell r="EI379"/>
        </row>
        <row r="380">
          <cell r="B380"/>
          <cell r="C380"/>
          <cell r="E380"/>
          <cell r="F380"/>
          <cell r="G380"/>
          <cell r="H380"/>
          <cell r="I380"/>
          <cell r="J380"/>
          <cell r="L380"/>
          <cell r="M380"/>
          <cell r="N380"/>
          <cell r="R380"/>
          <cell r="T380"/>
          <cell r="U380"/>
          <cell r="V380"/>
          <cell r="X380"/>
          <cell r="Z380"/>
          <cell r="AA380"/>
          <cell r="AB380"/>
          <cell r="AC380"/>
          <cell r="AD380"/>
          <cell r="AG380"/>
          <cell r="AI380"/>
          <cell r="AJ380"/>
          <cell r="AL380"/>
          <cell r="AM380"/>
          <cell r="AN380"/>
          <cell r="AO380"/>
          <cell r="AQ380"/>
          <cell r="AR380"/>
          <cell r="AS380"/>
          <cell r="AT380"/>
          <cell r="AU380"/>
          <cell r="BZ380"/>
          <cell r="CA380"/>
          <cell r="DL380"/>
          <cell r="DM380"/>
          <cell r="DN380"/>
          <cell r="DP380"/>
          <cell r="DQ380"/>
          <cell r="DR380"/>
          <cell r="DS380"/>
          <cell r="DT380"/>
          <cell r="DU380"/>
          <cell r="DW380"/>
          <cell r="DX380"/>
          <cell r="DY380"/>
          <cell r="DZ380"/>
          <cell r="EA380"/>
          <cell r="EB380"/>
          <cell r="EC380"/>
          <cell r="ED380"/>
          <cell r="EG380"/>
          <cell r="EH380"/>
          <cell r="EI380"/>
        </row>
        <row r="381">
          <cell r="B381"/>
          <cell r="C381"/>
          <cell r="E381"/>
          <cell r="F381"/>
          <cell r="G381"/>
          <cell r="H381"/>
          <cell r="I381"/>
          <cell r="J381"/>
          <cell r="L381"/>
          <cell r="M381"/>
          <cell r="N381"/>
          <cell r="R381"/>
          <cell r="T381"/>
          <cell r="U381"/>
          <cell r="V381"/>
          <cell r="X381"/>
          <cell r="Z381"/>
          <cell r="AA381"/>
          <cell r="AB381"/>
          <cell r="AC381"/>
          <cell r="AD381"/>
          <cell r="AG381"/>
          <cell r="AI381"/>
          <cell r="AJ381"/>
          <cell r="AL381"/>
          <cell r="AM381"/>
          <cell r="AN381"/>
          <cell r="AO381"/>
          <cell r="AQ381"/>
          <cell r="AR381"/>
          <cell r="AS381"/>
          <cell r="AT381"/>
          <cell r="AU381"/>
          <cell r="BZ381"/>
          <cell r="CA381"/>
          <cell r="DL381"/>
          <cell r="DM381"/>
          <cell r="DN381"/>
          <cell r="DP381"/>
          <cell r="DQ381"/>
          <cell r="DR381"/>
          <cell r="DS381"/>
          <cell r="DT381"/>
          <cell r="DU381"/>
          <cell r="DW381"/>
          <cell r="DX381"/>
          <cell r="DY381"/>
          <cell r="DZ381"/>
          <cell r="EA381"/>
          <cell r="EB381"/>
          <cell r="EC381"/>
          <cell r="ED381"/>
          <cell r="EG381"/>
          <cell r="EH381"/>
          <cell r="EI381"/>
        </row>
        <row r="382">
          <cell r="B382"/>
          <cell r="C382"/>
          <cell r="E382"/>
          <cell r="F382"/>
          <cell r="G382"/>
          <cell r="H382"/>
          <cell r="I382"/>
          <cell r="J382"/>
          <cell r="L382"/>
          <cell r="M382"/>
          <cell r="N382"/>
          <cell r="R382"/>
          <cell r="T382"/>
          <cell r="U382"/>
          <cell r="V382"/>
          <cell r="X382"/>
          <cell r="Z382"/>
          <cell r="AA382"/>
          <cell r="AB382"/>
          <cell r="AC382"/>
          <cell r="AD382"/>
          <cell r="AG382"/>
          <cell r="AI382"/>
          <cell r="AJ382"/>
          <cell r="AL382"/>
          <cell r="AM382"/>
          <cell r="AN382"/>
          <cell r="AO382"/>
          <cell r="AQ382"/>
          <cell r="AR382"/>
          <cell r="AS382"/>
          <cell r="AT382"/>
          <cell r="AU382"/>
          <cell r="BZ382"/>
          <cell r="CA382"/>
          <cell r="DL382"/>
          <cell r="DM382"/>
          <cell r="DN382"/>
          <cell r="DP382"/>
          <cell r="DQ382"/>
          <cell r="DR382"/>
          <cell r="DS382"/>
          <cell r="DT382"/>
          <cell r="DU382"/>
          <cell r="DW382"/>
          <cell r="DX382"/>
          <cell r="DY382"/>
          <cell r="DZ382"/>
          <cell r="EA382"/>
          <cell r="EB382"/>
          <cell r="EC382"/>
          <cell r="ED382"/>
          <cell r="EG382"/>
          <cell r="EH382"/>
          <cell r="EI382"/>
        </row>
        <row r="383">
          <cell r="B383"/>
          <cell r="C383"/>
          <cell r="E383"/>
          <cell r="F383"/>
          <cell r="G383"/>
          <cell r="H383"/>
          <cell r="I383"/>
          <cell r="J383"/>
          <cell r="L383"/>
          <cell r="M383"/>
          <cell r="N383"/>
          <cell r="R383"/>
          <cell r="T383"/>
          <cell r="U383"/>
          <cell r="V383"/>
          <cell r="X383"/>
          <cell r="Z383"/>
          <cell r="AA383"/>
          <cell r="AB383"/>
          <cell r="AC383"/>
          <cell r="AD383"/>
          <cell r="AG383"/>
          <cell r="AI383"/>
          <cell r="AJ383"/>
          <cell r="AL383"/>
          <cell r="AM383"/>
          <cell r="AN383"/>
          <cell r="AO383"/>
          <cell r="AQ383"/>
          <cell r="AR383"/>
          <cell r="AS383"/>
          <cell r="AT383"/>
          <cell r="AU383"/>
          <cell r="BZ383"/>
          <cell r="CA383"/>
          <cell r="DL383"/>
          <cell r="DM383"/>
          <cell r="DN383"/>
          <cell r="DP383"/>
          <cell r="DQ383"/>
          <cell r="DR383"/>
          <cell r="DS383"/>
          <cell r="DT383"/>
          <cell r="DU383"/>
          <cell r="DW383"/>
          <cell r="DX383"/>
          <cell r="DY383"/>
          <cell r="DZ383"/>
          <cell r="EA383"/>
          <cell r="EB383"/>
          <cell r="EC383"/>
          <cell r="ED383"/>
          <cell r="EG383"/>
          <cell r="EH383"/>
          <cell r="EI383"/>
        </row>
        <row r="384">
          <cell r="B384"/>
          <cell r="C384"/>
          <cell r="E384"/>
          <cell r="F384"/>
          <cell r="G384"/>
          <cell r="H384"/>
          <cell r="I384"/>
          <cell r="J384"/>
          <cell r="L384"/>
          <cell r="M384"/>
          <cell r="N384"/>
          <cell r="R384"/>
          <cell r="T384"/>
          <cell r="U384"/>
          <cell r="V384"/>
          <cell r="X384"/>
          <cell r="Z384"/>
          <cell r="AA384"/>
          <cell r="AB384"/>
          <cell r="AC384"/>
          <cell r="AD384"/>
          <cell r="AG384"/>
          <cell r="AI384"/>
          <cell r="AJ384"/>
          <cell r="AL384"/>
          <cell r="AM384"/>
          <cell r="AN384"/>
          <cell r="AO384"/>
          <cell r="AQ384"/>
          <cell r="AR384"/>
          <cell r="AS384"/>
          <cell r="AT384"/>
          <cell r="AU384"/>
          <cell r="BZ384"/>
          <cell r="CA384"/>
          <cell r="DL384"/>
          <cell r="DM384"/>
          <cell r="DN384"/>
          <cell r="DP384"/>
          <cell r="DQ384"/>
          <cell r="DR384"/>
          <cell r="DS384"/>
          <cell r="DT384"/>
          <cell r="DU384"/>
          <cell r="DW384"/>
          <cell r="DX384"/>
          <cell r="DY384"/>
          <cell r="DZ384"/>
          <cell r="EA384"/>
          <cell r="EB384"/>
          <cell r="EC384"/>
          <cell r="ED384"/>
          <cell r="EG384"/>
          <cell r="EH384"/>
          <cell r="EI384"/>
        </row>
        <row r="385">
          <cell r="B385"/>
          <cell r="C385"/>
          <cell r="E385"/>
          <cell r="F385"/>
          <cell r="G385"/>
          <cell r="H385"/>
          <cell r="I385"/>
          <cell r="J385"/>
          <cell r="L385"/>
          <cell r="M385"/>
          <cell r="N385"/>
          <cell r="R385"/>
          <cell r="T385"/>
          <cell r="U385"/>
          <cell r="V385"/>
          <cell r="X385"/>
          <cell r="Z385"/>
          <cell r="AA385"/>
          <cell r="AB385"/>
          <cell r="AC385"/>
          <cell r="AD385"/>
          <cell r="AG385"/>
          <cell r="AI385"/>
          <cell r="AJ385"/>
          <cell r="AL385"/>
          <cell r="AM385"/>
          <cell r="AN385"/>
          <cell r="AO385"/>
          <cell r="AQ385"/>
          <cell r="AR385"/>
          <cell r="AS385"/>
          <cell r="AT385"/>
          <cell r="AU385"/>
          <cell r="BZ385"/>
          <cell r="CA385"/>
          <cell r="DL385"/>
          <cell r="DM385"/>
          <cell r="DN385"/>
          <cell r="DP385"/>
          <cell r="DQ385"/>
          <cell r="DR385"/>
          <cell r="DS385"/>
          <cell r="DT385"/>
          <cell r="DU385"/>
          <cell r="DW385"/>
          <cell r="DX385"/>
          <cell r="DY385"/>
          <cell r="DZ385"/>
          <cell r="EA385"/>
          <cell r="EB385"/>
          <cell r="EC385"/>
          <cell r="ED385"/>
          <cell r="EG385"/>
          <cell r="EH385"/>
          <cell r="EI385"/>
        </row>
        <row r="386">
          <cell r="B386"/>
          <cell r="C386"/>
          <cell r="E386"/>
          <cell r="F386"/>
          <cell r="G386"/>
          <cell r="H386"/>
          <cell r="I386"/>
          <cell r="J386"/>
          <cell r="L386"/>
          <cell r="M386"/>
          <cell r="N386"/>
          <cell r="R386"/>
          <cell r="T386"/>
          <cell r="U386"/>
          <cell r="V386"/>
          <cell r="X386"/>
          <cell r="Z386"/>
          <cell r="AA386"/>
          <cell r="AB386"/>
          <cell r="AC386"/>
          <cell r="AD386"/>
          <cell r="AG386"/>
          <cell r="AI386"/>
          <cell r="AJ386"/>
          <cell r="AL386"/>
          <cell r="AM386"/>
          <cell r="AN386"/>
          <cell r="AO386"/>
          <cell r="AQ386"/>
          <cell r="AR386"/>
          <cell r="AS386"/>
          <cell r="AT386"/>
          <cell r="AU386"/>
          <cell r="BZ386"/>
          <cell r="CA386"/>
          <cell r="DL386"/>
          <cell r="DM386"/>
          <cell r="DN386"/>
          <cell r="DP386"/>
          <cell r="DQ386"/>
          <cell r="DR386"/>
          <cell r="DS386"/>
          <cell r="DT386"/>
          <cell r="DU386"/>
          <cell r="DW386"/>
          <cell r="DX386"/>
          <cell r="DY386"/>
          <cell r="DZ386"/>
          <cell r="EA386"/>
          <cell r="EB386"/>
          <cell r="EC386"/>
          <cell r="ED386"/>
          <cell r="EG386"/>
          <cell r="EH386"/>
          <cell r="EI386"/>
        </row>
        <row r="387">
          <cell r="B387"/>
          <cell r="C387"/>
          <cell r="E387"/>
          <cell r="F387"/>
          <cell r="G387"/>
          <cell r="H387"/>
          <cell r="I387"/>
          <cell r="J387"/>
          <cell r="L387"/>
          <cell r="M387"/>
          <cell r="N387"/>
          <cell r="R387"/>
          <cell r="T387"/>
          <cell r="U387"/>
          <cell r="V387"/>
          <cell r="X387"/>
          <cell r="Z387"/>
          <cell r="AA387"/>
          <cell r="AB387"/>
          <cell r="AC387"/>
          <cell r="AD387"/>
          <cell r="AG387"/>
          <cell r="AI387"/>
          <cell r="AJ387"/>
          <cell r="AL387"/>
          <cell r="AM387"/>
          <cell r="AN387"/>
          <cell r="AO387"/>
          <cell r="AQ387"/>
          <cell r="AR387"/>
          <cell r="AS387"/>
          <cell r="AT387"/>
          <cell r="AU387"/>
          <cell r="BZ387"/>
          <cell r="CA387"/>
          <cell r="DL387"/>
          <cell r="DM387"/>
          <cell r="DN387"/>
          <cell r="DP387"/>
          <cell r="DQ387"/>
          <cell r="DR387"/>
          <cell r="DS387"/>
          <cell r="DT387"/>
          <cell r="DU387"/>
          <cell r="DW387"/>
          <cell r="DX387"/>
          <cell r="DY387"/>
          <cell r="DZ387"/>
          <cell r="EA387"/>
          <cell r="EB387"/>
          <cell r="EC387"/>
          <cell r="ED387"/>
          <cell r="EG387"/>
          <cell r="EH387"/>
          <cell r="EI387"/>
        </row>
        <row r="388">
          <cell r="B388"/>
          <cell r="C388"/>
          <cell r="E388"/>
          <cell r="F388"/>
          <cell r="G388"/>
          <cell r="H388"/>
          <cell r="I388"/>
          <cell r="J388"/>
          <cell r="L388"/>
          <cell r="M388"/>
          <cell r="N388"/>
          <cell r="R388"/>
          <cell r="T388"/>
          <cell r="U388"/>
          <cell r="V388"/>
          <cell r="X388"/>
          <cell r="Z388"/>
          <cell r="AA388"/>
          <cell r="AB388"/>
          <cell r="AC388"/>
          <cell r="AD388"/>
          <cell r="AG388"/>
          <cell r="AI388"/>
          <cell r="AJ388"/>
          <cell r="AL388"/>
          <cell r="AM388"/>
          <cell r="AN388"/>
          <cell r="AO388"/>
          <cell r="AQ388"/>
          <cell r="AR388"/>
          <cell r="AS388"/>
          <cell r="AT388"/>
          <cell r="AU388"/>
          <cell r="BZ388"/>
          <cell r="CA388"/>
          <cell r="DL388"/>
          <cell r="DM388"/>
          <cell r="DN388"/>
          <cell r="DP388"/>
          <cell r="DQ388"/>
          <cell r="DR388"/>
          <cell r="DS388"/>
          <cell r="DT388"/>
          <cell r="DU388"/>
          <cell r="DW388"/>
          <cell r="DX388"/>
          <cell r="DY388"/>
          <cell r="DZ388"/>
          <cell r="EA388"/>
          <cell r="EB388"/>
          <cell r="EC388"/>
          <cell r="ED388"/>
          <cell r="EG388"/>
          <cell r="EH388"/>
          <cell r="EI388"/>
        </row>
        <row r="389">
          <cell r="B389"/>
          <cell r="C389"/>
          <cell r="E389"/>
          <cell r="F389"/>
          <cell r="G389"/>
          <cell r="H389"/>
          <cell r="I389"/>
          <cell r="J389"/>
          <cell r="L389"/>
          <cell r="M389"/>
          <cell r="N389"/>
          <cell r="R389"/>
          <cell r="T389"/>
          <cell r="U389"/>
          <cell r="V389"/>
          <cell r="X389"/>
          <cell r="Z389"/>
          <cell r="AA389"/>
          <cell r="AB389"/>
          <cell r="AC389"/>
          <cell r="AD389"/>
          <cell r="AG389"/>
          <cell r="AI389"/>
          <cell r="AJ389"/>
          <cell r="AL389"/>
          <cell r="AM389"/>
          <cell r="AN389"/>
          <cell r="AO389"/>
          <cell r="AQ389"/>
          <cell r="AR389"/>
          <cell r="AS389"/>
          <cell r="AT389"/>
          <cell r="AU389"/>
          <cell r="BZ389"/>
          <cell r="CA389"/>
          <cell r="DL389"/>
          <cell r="DM389"/>
          <cell r="DN389"/>
          <cell r="DP389"/>
          <cell r="DQ389"/>
          <cell r="DR389"/>
          <cell r="DS389"/>
          <cell r="DT389"/>
          <cell r="DU389"/>
          <cell r="DW389"/>
          <cell r="DX389"/>
          <cell r="DY389"/>
          <cell r="DZ389"/>
          <cell r="EA389"/>
          <cell r="EB389"/>
          <cell r="EC389"/>
          <cell r="ED389"/>
          <cell r="EG389"/>
          <cell r="EH389"/>
          <cell r="EI389"/>
        </row>
        <row r="390">
          <cell r="B390"/>
          <cell r="C390"/>
          <cell r="E390"/>
          <cell r="F390"/>
          <cell r="G390"/>
          <cell r="H390"/>
          <cell r="I390"/>
          <cell r="J390"/>
          <cell r="L390"/>
          <cell r="M390"/>
          <cell r="N390"/>
          <cell r="R390"/>
          <cell r="T390"/>
          <cell r="U390"/>
          <cell r="V390"/>
          <cell r="X390"/>
          <cell r="Z390"/>
          <cell r="AA390"/>
          <cell r="AB390"/>
          <cell r="AC390"/>
          <cell r="AD390"/>
          <cell r="AG390"/>
          <cell r="AI390"/>
          <cell r="AJ390"/>
          <cell r="AL390"/>
          <cell r="AM390"/>
          <cell r="AN390"/>
          <cell r="AO390"/>
          <cell r="AQ390"/>
          <cell r="AR390"/>
          <cell r="AS390"/>
          <cell r="AT390"/>
          <cell r="AU390"/>
          <cell r="BZ390"/>
          <cell r="CA390"/>
          <cell r="DL390"/>
          <cell r="DM390"/>
          <cell r="DN390"/>
          <cell r="DP390"/>
          <cell r="DQ390"/>
          <cell r="DR390"/>
          <cell r="DS390"/>
          <cell r="DT390"/>
          <cell r="DU390"/>
          <cell r="DW390"/>
          <cell r="DX390"/>
          <cell r="DY390"/>
          <cell r="DZ390"/>
          <cell r="EA390"/>
          <cell r="EB390"/>
          <cell r="EC390"/>
          <cell r="ED390"/>
          <cell r="EG390"/>
          <cell r="EH390"/>
          <cell r="EI390"/>
        </row>
        <row r="391">
          <cell r="B391"/>
          <cell r="C391"/>
          <cell r="E391"/>
          <cell r="F391"/>
          <cell r="G391"/>
          <cell r="H391"/>
          <cell r="I391"/>
          <cell r="J391"/>
          <cell r="L391"/>
          <cell r="M391"/>
          <cell r="N391"/>
          <cell r="R391"/>
          <cell r="T391"/>
          <cell r="U391"/>
          <cell r="V391"/>
          <cell r="X391"/>
          <cell r="Z391"/>
          <cell r="AA391"/>
          <cell r="AB391"/>
          <cell r="AC391"/>
          <cell r="AD391"/>
          <cell r="AG391"/>
          <cell r="AI391"/>
          <cell r="AJ391"/>
          <cell r="AL391"/>
          <cell r="AM391"/>
          <cell r="AN391"/>
          <cell r="AO391"/>
          <cell r="AQ391"/>
          <cell r="AR391"/>
          <cell r="AS391"/>
          <cell r="AT391"/>
          <cell r="AU391"/>
          <cell r="BZ391"/>
          <cell r="CA391"/>
          <cell r="DL391"/>
          <cell r="DM391"/>
          <cell r="DN391"/>
          <cell r="DP391"/>
          <cell r="DQ391"/>
          <cell r="DR391"/>
          <cell r="DS391"/>
          <cell r="DT391"/>
          <cell r="DU391"/>
          <cell r="DW391"/>
          <cell r="DX391"/>
          <cell r="DY391"/>
          <cell r="DZ391"/>
          <cell r="EA391"/>
          <cell r="EB391"/>
          <cell r="EC391"/>
          <cell r="ED391"/>
          <cell r="EG391"/>
          <cell r="EH391"/>
          <cell r="EI391"/>
        </row>
        <row r="392">
          <cell r="B392"/>
          <cell r="C392"/>
          <cell r="E392"/>
          <cell r="F392"/>
          <cell r="G392"/>
          <cell r="H392"/>
          <cell r="I392"/>
          <cell r="J392"/>
          <cell r="L392"/>
          <cell r="M392"/>
          <cell r="N392"/>
          <cell r="R392"/>
          <cell r="T392"/>
          <cell r="U392"/>
          <cell r="V392"/>
          <cell r="X392"/>
          <cell r="Z392"/>
          <cell r="AA392"/>
          <cell r="AB392"/>
          <cell r="AC392"/>
          <cell r="AD392"/>
          <cell r="AG392"/>
          <cell r="AI392"/>
          <cell r="AJ392"/>
          <cell r="AL392"/>
          <cell r="AM392"/>
          <cell r="AN392"/>
          <cell r="AO392"/>
          <cell r="AQ392"/>
          <cell r="AR392"/>
          <cell r="AS392"/>
          <cell r="AT392"/>
          <cell r="AU392"/>
          <cell r="BZ392"/>
          <cell r="CA392"/>
          <cell r="DL392"/>
          <cell r="DM392"/>
          <cell r="DN392"/>
          <cell r="DP392"/>
          <cell r="DQ392"/>
          <cell r="DR392"/>
          <cell r="DS392"/>
          <cell r="DT392"/>
          <cell r="DU392"/>
          <cell r="DW392"/>
          <cell r="DX392"/>
          <cell r="DY392"/>
          <cell r="DZ392"/>
          <cell r="EA392"/>
          <cell r="EB392"/>
          <cell r="EC392"/>
          <cell r="ED392"/>
          <cell r="EG392"/>
          <cell r="EH392"/>
          <cell r="EI392"/>
        </row>
        <row r="393">
          <cell r="B393"/>
          <cell r="C393"/>
          <cell r="E393"/>
          <cell r="F393"/>
          <cell r="G393"/>
          <cell r="H393"/>
          <cell r="I393"/>
          <cell r="J393"/>
          <cell r="L393"/>
          <cell r="M393"/>
          <cell r="N393"/>
          <cell r="R393"/>
          <cell r="T393"/>
          <cell r="U393"/>
          <cell r="V393"/>
          <cell r="X393"/>
          <cell r="Z393"/>
          <cell r="AA393"/>
          <cell r="AB393"/>
          <cell r="AC393"/>
          <cell r="AD393"/>
          <cell r="AG393"/>
          <cell r="AI393"/>
          <cell r="AJ393"/>
          <cell r="AL393"/>
          <cell r="AM393"/>
          <cell r="AN393"/>
          <cell r="AO393"/>
          <cell r="AQ393"/>
          <cell r="AR393"/>
          <cell r="AS393"/>
          <cell r="AT393"/>
          <cell r="AU393"/>
          <cell r="BZ393"/>
          <cell r="CA393"/>
          <cell r="DL393"/>
          <cell r="DM393"/>
          <cell r="DN393"/>
          <cell r="DP393"/>
          <cell r="DQ393"/>
          <cell r="DR393"/>
          <cell r="DS393"/>
          <cell r="DT393"/>
          <cell r="DU393"/>
          <cell r="DW393"/>
          <cell r="DX393"/>
          <cell r="DY393"/>
          <cell r="DZ393"/>
          <cell r="EA393"/>
          <cell r="EB393"/>
          <cell r="EC393"/>
          <cell r="ED393"/>
          <cell r="EG393"/>
          <cell r="EH393"/>
          <cell r="EI393"/>
        </row>
        <row r="394">
          <cell r="B394"/>
          <cell r="C394"/>
          <cell r="E394"/>
          <cell r="F394"/>
          <cell r="G394"/>
          <cell r="H394"/>
          <cell r="I394"/>
          <cell r="J394"/>
          <cell r="L394"/>
          <cell r="M394"/>
          <cell r="N394"/>
          <cell r="R394"/>
          <cell r="T394"/>
          <cell r="U394"/>
          <cell r="V394"/>
          <cell r="X394"/>
          <cell r="Z394"/>
          <cell r="AA394"/>
          <cell r="AB394"/>
          <cell r="AC394"/>
          <cell r="AD394"/>
          <cell r="AG394"/>
          <cell r="AI394"/>
          <cell r="AJ394"/>
          <cell r="AL394"/>
          <cell r="AM394"/>
          <cell r="AN394"/>
          <cell r="AO394"/>
          <cell r="AQ394"/>
          <cell r="AR394"/>
          <cell r="AS394"/>
          <cell r="AT394"/>
          <cell r="AU394"/>
          <cell r="BZ394"/>
          <cell r="CA394"/>
          <cell r="DL394"/>
          <cell r="DM394"/>
          <cell r="DN394"/>
          <cell r="DP394"/>
          <cell r="DQ394"/>
          <cell r="DR394"/>
          <cell r="DS394"/>
          <cell r="DT394"/>
          <cell r="DU394"/>
          <cell r="DW394"/>
          <cell r="DX394"/>
          <cell r="DY394"/>
          <cell r="DZ394"/>
          <cell r="EA394"/>
          <cell r="EB394"/>
          <cell r="EC394"/>
          <cell r="ED394"/>
          <cell r="EG394"/>
          <cell r="EH394"/>
          <cell r="EI394"/>
        </row>
        <row r="395">
          <cell r="B395"/>
          <cell r="C395"/>
          <cell r="E395"/>
          <cell r="F395"/>
          <cell r="G395"/>
          <cell r="H395"/>
          <cell r="I395"/>
          <cell r="J395"/>
          <cell r="L395"/>
          <cell r="M395"/>
          <cell r="N395"/>
          <cell r="R395"/>
          <cell r="T395"/>
          <cell r="U395"/>
          <cell r="V395"/>
          <cell r="X395"/>
          <cell r="Z395"/>
          <cell r="AA395"/>
          <cell r="AB395"/>
          <cell r="AC395"/>
          <cell r="AD395"/>
          <cell r="AG395"/>
          <cell r="AI395"/>
          <cell r="AJ395"/>
          <cell r="AL395"/>
          <cell r="AM395"/>
          <cell r="AN395"/>
          <cell r="AO395"/>
          <cell r="AQ395"/>
          <cell r="AR395"/>
          <cell r="AS395"/>
          <cell r="AT395"/>
          <cell r="AU395"/>
          <cell r="BZ395"/>
          <cell r="CA395"/>
          <cell r="DL395"/>
          <cell r="DM395"/>
          <cell r="DN395"/>
          <cell r="DP395"/>
          <cell r="DQ395"/>
          <cell r="DR395"/>
          <cell r="DS395"/>
          <cell r="DT395"/>
          <cell r="DU395"/>
          <cell r="DW395"/>
          <cell r="DX395"/>
          <cell r="DY395"/>
          <cell r="DZ395"/>
          <cell r="EA395"/>
          <cell r="EB395"/>
          <cell r="EC395"/>
          <cell r="ED395"/>
          <cell r="EG395"/>
          <cell r="EH395"/>
          <cell r="EI395"/>
        </row>
        <row r="396">
          <cell r="B396"/>
          <cell r="C396"/>
          <cell r="E396"/>
          <cell r="F396"/>
          <cell r="G396"/>
          <cell r="H396"/>
          <cell r="I396"/>
          <cell r="J396"/>
          <cell r="L396"/>
          <cell r="M396"/>
          <cell r="N396"/>
          <cell r="R396"/>
          <cell r="T396"/>
          <cell r="U396"/>
          <cell r="V396"/>
          <cell r="X396"/>
          <cell r="Z396"/>
          <cell r="AA396"/>
          <cell r="AB396"/>
          <cell r="AC396"/>
          <cell r="AD396"/>
          <cell r="AG396"/>
          <cell r="AI396"/>
          <cell r="AJ396"/>
          <cell r="AL396"/>
          <cell r="AM396"/>
          <cell r="AN396"/>
          <cell r="AO396"/>
          <cell r="AQ396"/>
          <cell r="AR396"/>
          <cell r="AS396"/>
          <cell r="AT396"/>
          <cell r="AU396"/>
          <cell r="BZ396"/>
          <cell r="CA396"/>
          <cell r="DL396"/>
          <cell r="DM396"/>
          <cell r="DN396"/>
          <cell r="DP396"/>
          <cell r="DQ396"/>
          <cell r="DR396"/>
          <cell r="DS396"/>
          <cell r="DT396"/>
          <cell r="DU396"/>
          <cell r="DW396"/>
          <cell r="DX396"/>
          <cell r="DY396"/>
          <cell r="DZ396"/>
          <cell r="EA396"/>
          <cell r="EB396"/>
          <cell r="EC396"/>
          <cell r="ED396"/>
          <cell r="EG396"/>
          <cell r="EH396"/>
          <cell r="EI396"/>
        </row>
        <row r="397">
          <cell r="B397"/>
          <cell r="C397"/>
          <cell r="E397"/>
          <cell r="F397"/>
          <cell r="G397"/>
          <cell r="H397"/>
          <cell r="I397"/>
          <cell r="J397"/>
          <cell r="L397"/>
          <cell r="M397"/>
          <cell r="N397"/>
          <cell r="R397"/>
          <cell r="T397"/>
          <cell r="U397"/>
          <cell r="V397"/>
          <cell r="X397"/>
          <cell r="Z397"/>
          <cell r="AA397"/>
          <cell r="AB397"/>
          <cell r="AC397"/>
          <cell r="AD397"/>
          <cell r="AG397"/>
          <cell r="AI397"/>
          <cell r="AJ397"/>
          <cell r="AL397"/>
          <cell r="AM397"/>
          <cell r="AN397"/>
          <cell r="AO397"/>
          <cell r="AQ397"/>
          <cell r="AR397"/>
          <cell r="AS397"/>
          <cell r="AT397"/>
          <cell r="AU397"/>
          <cell r="BZ397"/>
          <cell r="CA397"/>
          <cell r="DL397"/>
          <cell r="DM397"/>
          <cell r="DN397"/>
          <cell r="DP397"/>
          <cell r="DQ397"/>
          <cell r="DR397"/>
          <cell r="DS397"/>
          <cell r="DT397"/>
          <cell r="DU397"/>
          <cell r="DW397"/>
          <cell r="DX397"/>
          <cell r="DY397"/>
          <cell r="DZ397"/>
          <cell r="EA397"/>
          <cell r="EB397"/>
          <cell r="EC397"/>
          <cell r="ED397"/>
          <cell r="EG397"/>
          <cell r="EH397"/>
          <cell r="EI397"/>
        </row>
        <row r="398">
          <cell r="B398"/>
          <cell r="C398"/>
          <cell r="E398"/>
          <cell r="F398"/>
          <cell r="G398"/>
          <cell r="H398"/>
          <cell r="I398"/>
          <cell r="J398"/>
          <cell r="L398"/>
          <cell r="M398"/>
          <cell r="N398"/>
          <cell r="R398"/>
          <cell r="T398"/>
          <cell r="U398"/>
          <cell r="V398"/>
          <cell r="X398"/>
          <cell r="Z398"/>
          <cell r="AA398"/>
          <cell r="AB398"/>
          <cell r="AC398"/>
          <cell r="AD398"/>
          <cell r="AG398"/>
          <cell r="AI398"/>
          <cell r="AJ398"/>
          <cell r="AL398"/>
          <cell r="AM398"/>
          <cell r="AN398"/>
          <cell r="AO398"/>
          <cell r="AQ398"/>
          <cell r="AR398"/>
          <cell r="AS398"/>
          <cell r="AT398"/>
          <cell r="AU398"/>
          <cell r="BZ398"/>
          <cell r="CA398"/>
          <cell r="DL398"/>
          <cell r="DM398"/>
          <cell r="DN398"/>
          <cell r="DP398"/>
          <cell r="DQ398"/>
          <cell r="DR398"/>
          <cell r="DS398"/>
          <cell r="DT398"/>
          <cell r="DU398"/>
          <cell r="DW398"/>
          <cell r="DX398"/>
          <cell r="DY398"/>
          <cell r="DZ398"/>
          <cell r="EA398"/>
          <cell r="EB398"/>
          <cell r="EC398"/>
          <cell r="ED398"/>
          <cell r="EG398"/>
          <cell r="EH398"/>
          <cell r="EI398"/>
        </row>
        <row r="399">
          <cell r="B399"/>
          <cell r="C399"/>
          <cell r="E399"/>
          <cell r="F399"/>
          <cell r="G399"/>
          <cell r="H399"/>
          <cell r="I399"/>
          <cell r="J399"/>
          <cell r="L399"/>
          <cell r="M399"/>
          <cell r="N399"/>
          <cell r="R399"/>
          <cell r="T399"/>
          <cell r="U399"/>
          <cell r="V399"/>
          <cell r="X399"/>
          <cell r="Z399"/>
          <cell r="AA399"/>
          <cell r="AB399"/>
          <cell r="AC399"/>
          <cell r="AD399"/>
          <cell r="AG399"/>
          <cell r="AI399"/>
          <cell r="AJ399"/>
          <cell r="AL399"/>
          <cell r="AM399"/>
          <cell r="AN399"/>
          <cell r="AO399"/>
          <cell r="AQ399"/>
          <cell r="AR399"/>
          <cell r="AS399"/>
          <cell r="AT399"/>
          <cell r="AU399"/>
          <cell r="BZ399"/>
          <cell r="CA399"/>
          <cell r="DL399"/>
          <cell r="DM399"/>
          <cell r="DN399"/>
          <cell r="DP399"/>
          <cell r="DQ399"/>
          <cell r="DR399"/>
          <cell r="DS399"/>
          <cell r="DT399"/>
          <cell r="DU399"/>
          <cell r="DW399"/>
          <cell r="DX399"/>
          <cell r="DY399"/>
          <cell r="DZ399"/>
          <cell r="EA399"/>
          <cell r="EB399"/>
          <cell r="EC399"/>
          <cell r="ED399"/>
          <cell r="EG399"/>
          <cell r="EH399"/>
          <cell r="EI399"/>
        </row>
        <row r="400">
          <cell r="B400"/>
          <cell r="C400"/>
          <cell r="E400"/>
          <cell r="F400"/>
          <cell r="G400"/>
          <cell r="H400"/>
          <cell r="I400"/>
          <cell r="J400"/>
          <cell r="L400"/>
          <cell r="M400"/>
          <cell r="N400"/>
          <cell r="R400"/>
          <cell r="T400"/>
          <cell r="U400"/>
          <cell r="V400"/>
          <cell r="X400"/>
          <cell r="Z400"/>
          <cell r="AA400"/>
          <cell r="AB400"/>
          <cell r="AC400"/>
          <cell r="AD400"/>
          <cell r="AG400"/>
          <cell r="AI400"/>
          <cell r="AJ400"/>
          <cell r="AL400"/>
          <cell r="AM400"/>
          <cell r="AN400"/>
          <cell r="AO400"/>
          <cell r="AQ400"/>
          <cell r="AR400"/>
          <cell r="AS400"/>
          <cell r="AT400"/>
          <cell r="AU400"/>
          <cell r="BZ400"/>
          <cell r="CA400"/>
          <cell r="DL400"/>
          <cell r="DM400"/>
          <cell r="DN400"/>
          <cell r="DP400"/>
          <cell r="DQ400"/>
          <cell r="DR400"/>
          <cell r="DS400"/>
          <cell r="DT400"/>
          <cell r="DU400"/>
          <cell r="DW400"/>
          <cell r="DX400"/>
          <cell r="DY400"/>
          <cell r="DZ400"/>
          <cell r="EA400"/>
          <cell r="EB400"/>
          <cell r="EC400"/>
          <cell r="ED400"/>
          <cell r="EG400"/>
          <cell r="EH400"/>
          <cell r="EI400"/>
        </row>
        <row r="401">
          <cell r="B401"/>
          <cell r="C401"/>
          <cell r="E401"/>
          <cell r="F401"/>
          <cell r="G401"/>
          <cell r="H401"/>
          <cell r="I401"/>
          <cell r="J401"/>
          <cell r="L401"/>
          <cell r="M401"/>
          <cell r="N401"/>
          <cell r="R401"/>
          <cell r="T401"/>
          <cell r="U401"/>
          <cell r="V401"/>
          <cell r="X401"/>
          <cell r="Z401"/>
          <cell r="AA401"/>
          <cell r="AB401"/>
          <cell r="AC401"/>
          <cell r="AD401"/>
          <cell r="AG401"/>
          <cell r="AI401"/>
          <cell r="AJ401"/>
          <cell r="AL401"/>
          <cell r="AM401"/>
          <cell r="AN401"/>
          <cell r="AO401"/>
          <cell r="AQ401"/>
          <cell r="AR401"/>
          <cell r="AS401"/>
          <cell r="AT401"/>
          <cell r="AU401"/>
          <cell r="BZ401"/>
          <cell r="CA401"/>
          <cell r="DL401"/>
          <cell r="DM401"/>
          <cell r="DN401"/>
          <cell r="DP401"/>
          <cell r="DQ401"/>
          <cell r="DR401"/>
          <cell r="DS401"/>
          <cell r="DT401"/>
          <cell r="DU401"/>
          <cell r="DW401"/>
          <cell r="DX401"/>
          <cell r="DY401"/>
          <cell r="DZ401"/>
          <cell r="EA401"/>
          <cell r="EB401"/>
          <cell r="EC401"/>
          <cell r="ED401"/>
          <cell r="EG401"/>
          <cell r="EH401"/>
          <cell r="EI401"/>
        </row>
        <row r="402">
          <cell r="B402"/>
          <cell r="C402"/>
          <cell r="E402"/>
          <cell r="F402"/>
          <cell r="G402"/>
          <cell r="H402"/>
          <cell r="I402"/>
          <cell r="J402"/>
          <cell r="L402"/>
          <cell r="M402"/>
          <cell r="N402"/>
          <cell r="R402"/>
          <cell r="T402"/>
          <cell r="U402"/>
          <cell r="V402"/>
          <cell r="X402"/>
          <cell r="Z402"/>
          <cell r="AA402"/>
          <cell r="AB402"/>
          <cell r="AC402"/>
          <cell r="AD402"/>
          <cell r="AG402"/>
          <cell r="AI402"/>
          <cell r="AJ402"/>
          <cell r="AL402"/>
          <cell r="AM402"/>
          <cell r="AN402"/>
          <cell r="AO402"/>
          <cell r="AQ402"/>
          <cell r="AR402"/>
          <cell r="AS402"/>
          <cell r="AT402"/>
          <cell r="AU402"/>
          <cell r="BZ402"/>
          <cell r="CA402"/>
          <cell r="DL402"/>
          <cell r="DM402"/>
          <cell r="DN402"/>
          <cell r="DP402"/>
          <cell r="DQ402"/>
          <cell r="DR402"/>
          <cell r="DS402"/>
          <cell r="DT402"/>
          <cell r="DU402"/>
          <cell r="DW402"/>
          <cell r="DX402"/>
          <cell r="DY402"/>
          <cell r="DZ402"/>
          <cell r="EA402"/>
          <cell r="EB402"/>
          <cell r="EC402"/>
          <cell r="ED402"/>
          <cell r="EG402"/>
          <cell r="EH402"/>
          <cell r="EI402"/>
        </row>
        <row r="403">
          <cell r="B403"/>
          <cell r="C403"/>
          <cell r="E403"/>
          <cell r="F403"/>
          <cell r="G403"/>
          <cell r="H403"/>
          <cell r="I403"/>
          <cell r="J403"/>
          <cell r="L403"/>
          <cell r="M403"/>
          <cell r="N403"/>
          <cell r="R403"/>
          <cell r="T403"/>
          <cell r="U403"/>
          <cell r="V403"/>
          <cell r="X403"/>
          <cell r="Z403"/>
          <cell r="AA403"/>
          <cell r="AB403"/>
          <cell r="AC403"/>
          <cell r="AD403"/>
          <cell r="AG403"/>
          <cell r="AI403"/>
          <cell r="AJ403"/>
          <cell r="AL403"/>
          <cell r="AM403"/>
          <cell r="AN403"/>
          <cell r="AO403"/>
          <cell r="AQ403"/>
          <cell r="AR403"/>
          <cell r="AS403"/>
          <cell r="AT403"/>
          <cell r="AU403"/>
          <cell r="BZ403"/>
          <cell r="CA403"/>
          <cell r="DL403"/>
          <cell r="DM403"/>
          <cell r="DN403"/>
          <cell r="DP403"/>
          <cell r="DQ403"/>
          <cell r="DR403"/>
          <cell r="DS403"/>
          <cell r="DT403"/>
          <cell r="DU403"/>
          <cell r="DW403"/>
          <cell r="DX403"/>
          <cell r="DY403"/>
          <cell r="DZ403"/>
          <cell r="EA403"/>
          <cell r="EB403"/>
          <cell r="EC403"/>
          <cell r="ED403"/>
          <cell r="EG403"/>
          <cell r="EH403"/>
          <cell r="EI403"/>
        </row>
        <row r="404">
          <cell r="B404"/>
          <cell r="C404"/>
          <cell r="E404"/>
          <cell r="F404"/>
          <cell r="G404"/>
          <cell r="H404"/>
          <cell r="I404"/>
          <cell r="J404"/>
          <cell r="L404"/>
          <cell r="M404"/>
          <cell r="N404"/>
          <cell r="R404"/>
          <cell r="T404"/>
          <cell r="U404"/>
          <cell r="V404"/>
          <cell r="X404"/>
          <cell r="Z404"/>
          <cell r="AA404"/>
          <cell r="AB404"/>
          <cell r="AC404"/>
          <cell r="AD404"/>
          <cell r="AG404"/>
          <cell r="AI404"/>
          <cell r="AJ404"/>
          <cell r="AL404"/>
          <cell r="AM404"/>
          <cell r="AN404"/>
          <cell r="AO404"/>
          <cell r="AQ404"/>
          <cell r="AR404"/>
          <cell r="AS404"/>
          <cell r="AT404"/>
          <cell r="AU404"/>
          <cell r="BZ404"/>
          <cell r="CA404"/>
          <cell r="DL404"/>
          <cell r="DM404"/>
          <cell r="DN404"/>
          <cell r="DP404"/>
          <cell r="DQ404"/>
          <cell r="DR404"/>
          <cell r="DS404"/>
          <cell r="DT404"/>
          <cell r="DU404"/>
          <cell r="DW404"/>
          <cell r="DX404"/>
          <cell r="DY404"/>
          <cell r="DZ404"/>
          <cell r="EA404"/>
          <cell r="EB404"/>
          <cell r="EC404"/>
          <cell r="ED404"/>
          <cell r="EG404"/>
          <cell r="EH404"/>
          <cell r="EI404"/>
        </row>
        <row r="405">
          <cell r="B405"/>
          <cell r="C405"/>
          <cell r="E405"/>
          <cell r="F405"/>
          <cell r="G405"/>
          <cell r="H405"/>
          <cell r="I405"/>
          <cell r="J405"/>
          <cell r="L405"/>
          <cell r="M405"/>
          <cell r="N405"/>
          <cell r="R405"/>
          <cell r="T405"/>
          <cell r="U405"/>
          <cell r="V405"/>
          <cell r="X405"/>
          <cell r="Z405"/>
          <cell r="AA405"/>
          <cell r="AB405"/>
          <cell r="AC405"/>
          <cell r="AD405"/>
          <cell r="AG405"/>
          <cell r="AI405"/>
          <cell r="AJ405"/>
          <cell r="AL405"/>
          <cell r="AM405"/>
          <cell r="AN405"/>
          <cell r="AO405"/>
          <cell r="AQ405"/>
          <cell r="AR405"/>
          <cell r="AS405"/>
          <cell r="AT405"/>
          <cell r="AU405"/>
          <cell r="BZ405"/>
          <cell r="CA405"/>
          <cell r="DL405"/>
          <cell r="DM405"/>
          <cell r="DN405"/>
          <cell r="DP405"/>
          <cell r="DQ405"/>
          <cell r="DR405"/>
          <cell r="DS405"/>
          <cell r="DT405"/>
          <cell r="DU405"/>
          <cell r="DW405"/>
          <cell r="DX405"/>
          <cell r="DY405"/>
          <cell r="DZ405"/>
          <cell r="EA405"/>
          <cell r="EB405"/>
          <cell r="EC405"/>
          <cell r="ED405"/>
          <cell r="EG405"/>
          <cell r="EH405"/>
          <cell r="EI405"/>
        </row>
        <row r="406">
          <cell r="B406"/>
          <cell r="C406"/>
          <cell r="E406"/>
          <cell r="F406"/>
          <cell r="G406"/>
          <cell r="H406"/>
          <cell r="I406"/>
          <cell r="J406"/>
          <cell r="L406"/>
          <cell r="M406"/>
          <cell r="N406"/>
          <cell r="R406"/>
          <cell r="T406"/>
          <cell r="U406"/>
          <cell r="V406"/>
          <cell r="X406"/>
          <cell r="Z406"/>
          <cell r="AA406"/>
          <cell r="AB406"/>
          <cell r="AC406"/>
          <cell r="AD406"/>
          <cell r="AG406"/>
          <cell r="AI406"/>
          <cell r="AJ406"/>
          <cell r="AL406"/>
          <cell r="AM406"/>
          <cell r="AN406"/>
          <cell r="AO406"/>
          <cell r="AQ406"/>
          <cell r="AR406"/>
          <cell r="AS406"/>
          <cell r="AT406"/>
          <cell r="AU406"/>
          <cell r="BZ406"/>
          <cell r="CA406"/>
          <cell r="DL406"/>
          <cell r="DM406"/>
          <cell r="DN406"/>
          <cell r="DP406"/>
          <cell r="DQ406"/>
          <cell r="DR406"/>
          <cell r="DS406"/>
          <cell r="DT406"/>
          <cell r="DU406"/>
          <cell r="DW406"/>
          <cell r="DX406"/>
          <cell r="DY406"/>
          <cell r="DZ406"/>
          <cell r="EA406"/>
          <cell r="EB406"/>
          <cell r="EC406"/>
          <cell r="ED406"/>
          <cell r="EG406"/>
          <cell r="EH406"/>
          <cell r="EI406"/>
        </row>
        <row r="407">
          <cell r="B407"/>
          <cell r="C407"/>
          <cell r="E407"/>
          <cell r="F407"/>
          <cell r="G407"/>
          <cell r="H407"/>
          <cell r="I407"/>
          <cell r="J407"/>
          <cell r="L407"/>
          <cell r="M407"/>
          <cell r="N407"/>
          <cell r="R407"/>
          <cell r="T407"/>
          <cell r="U407"/>
          <cell r="V407"/>
          <cell r="X407"/>
          <cell r="Z407"/>
          <cell r="AA407"/>
          <cell r="AB407"/>
          <cell r="AC407"/>
          <cell r="AD407"/>
          <cell r="AG407"/>
          <cell r="AI407"/>
          <cell r="AJ407"/>
          <cell r="AL407"/>
          <cell r="AM407"/>
          <cell r="AN407"/>
          <cell r="AO407"/>
          <cell r="AQ407"/>
          <cell r="AR407"/>
          <cell r="AS407"/>
          <cell r="AT407"/>
          <cell r="AU407"/>
          <cell r="BZ407"/>
          <cell r="CA407"/>
          <cell r="DL407"/>
          <cell r="DM407"/>
          <cell r="DN407"/>
          <cell r="DP407"/>
          <cell r="DQ407"/>
          <cell r="DR407"/>
          <cell r="DS407"/>
          <cell r="DT407"/>
          <cell r="DU407"/>
          <cell r="DW407"/>
          <cell r="DX407"/>
          <cell r="DY407"/>
          <cell r="DZ407"/>
          <cell r="EA407"/>
          <cell r="EB407"/>
          <cell r="EC407"/>
          <cell r="ED407"/>
          <cell r="EG407"/>
          <cell r="EH407"/>
          <cell r="EI407"/>
        </row>
        <row r="408">
          <cell r="B408"/>
          <cell r="C408"/>
          <cell r="E408"/>
          <cell r="F408"/>
          <cell r="G408"/>
          <cell r="H408"/>
          <cell r="I408"/>
          <cell r="J408"/>
          <cell r="L408"/>
          <cell r="M408"/>
          <cell r="N408"/>
          <cell r="R408"/>
          <cell r="T408"/>
          <cell r="U408"/>
          <cell r="V408"/>
          <cell r="X408"/>
          <cell r="Z408"/>
          <cell r="AA408"/>
          <cell r="AB408"/>
          <cell r="AC408"/>
          <cell r="AD408"/>
          <cell r="AG408"/>
          <cell r="AI408"/>
          <cell r="AJ408"/>
          <cell r="AL408"/>
          <cell r="AM408"/>
          <cell r="AN408"/>
          <cell r="AO408"/>
          <cell r="AQ408"/>
          <cell r="AR408"/>
          <cell r="AS408"/>
          <cell r="AT408"/>
          <cell r="AU408"/>
          <cell r="BZ408"/>
          <cell r="CA408"/>
          <cell r="DL408"/>
          <cell r="DM408"/>
          <cell r="DN408"/>
          <cell r="DP408"/>
          <cell r="DQ408"/>
          <cell r="DR408"/>
          <cell r="DS408"/>
          <cell r="DT408"/>
          <cell r="DU408"/>
          <cell r="DW408"/>
          <cell r="DX408"/>
          <cell r="DY408"/>
          <cell r="DZ408"/>
          <cell r="EA408"/>
          <cell r="EB408"/>
          <cell r="EC408"/>
          <cell r="ED408"/>
          <cell r="EG408"/>
          <cell r="EH408"/>
          <cell r="EI408"/>
        </row>
        <row r="409">
          <cell r="B409"/>
          <cell r="C409"/>
          <cell r="E409"/>
          <cell r="F409"/>
          <cell r="G409"/>
          <cell r="H409"/>
          <cell r="I409"/>
          <cell r="J409"/>
          <cell r="L409"/>
          <cell r="M409"/>
          <cell r="N409"/>
          <cell r="R409"/>
          <cell r="T409"/>
          <cell r="U409"/>
          <cell r="V409"/>
          <cell r="X409"/>
          <cell r="Z409"/>
          <cell r="AA409"/>
          <cell r="AB409"/>
          <cell r="AC409"/>
          <cell r="AD409"/>
          <cell r="AG409"/>
          <cell r="AI409"/>
          <cell r="AJ409"/>
          <cell r="AL409"/>
          <cell r="AM409"/>
          <cell r="AN409"/>
          <cell r="AO409"/>
          <cell r="AQ409"/>
          <cell r="AR409"/>
          <cell r="AS409"/>
          <cell r="AT409"/>
          <cell r="AU409"/>
          <cell r="BZ409"/>
          <cell r="CA409"/>
          <cell r="DL409"/>
          <cell r="DM409"/>
          <cell r="DN409"/>
          <cell r="DP409"/>
          <cell r="DQ409"/>
          <cell r="DR409"/>
          <cell r="DS409"/>
          <cell r="DT409"/>
          <cell r="DU409"/>
          <cell r="DW409"/>
          <cell r="DX409"/>
          <cell r="DY409"/>
          <cell r="DZ409"/>
          <cell r="EA409"/>
          <cell r="EB409"/>
          <cell r="EC409"/>
          <cell r="ED409"/>
          <cell r="EG409"/>
          <cell r="EH409"/>
          <cell r="EI409"/>
        </row>
        <row r="410">
          <cell r="B410"/>
          <cell r="C410"/>
          <cell r="E410"/>
          <cell r="F410"/>
          <cell r="G410"/>
          <cell r="H410"/>
          <cell r="I410"/>
          <cell r="J410"/>
          <cell r="L410"/>
          <cell r="M410"/>
          <cell r="N410"/>
          <cell r="R410"/>
          <cell r="T410"/>
          <cell r="U410"/>
          <cell r="V410"/>
          <cell r="X410"/>
          <cell r="Z410"/>
          <cell r="AA410"/>
          <cell r="AB410"/>
          <cell r="AC410"/>
          <cell r="AD410"/>
          <cell r="AG410"/>
          <cell r="AI410"/>
          <cell r="AJ410"/>
          <cell r="AL410"/>
          <cell r="AM410"/>
          <cell r="AN410"/>
          <cell r="AO410"/>
          <cell r="AQ410"/>
          <cell r="AR410"/>
          <cell r="AS410"/>
          <cell r="AT410"/>
          <cell r="AU410"/>
          <cell r="BZ410"/>
          <cell r="CA410"/>
          <cell r="DL410"/>
          <cell r="DM410"/>
          <cell r="DN410"/>
          <cell r="DP410"/>
          <cell r="DQ410"/>
          <cell r="DR410"/>
          <cell r="DS410"/>
          <cell r="DT410"/>
          <cell r="DU410"/>
          <cell r="DW410"/>
          <cell r="DX410"/>
          <cell r="DY410"/>
          <cell r="DZ410"/>
          <cell r="EA410"/>
          <cell r="EB410"/>
          <cell r="EC410"/>
          <cell r="ED410"/>
          <cell r="EG410"/>
          <cell r="EH410"/>
          <cell r="EI410"/>
        </row>
        <row r="411">
          <cell r="B411"/>
          <cell r="C411"/>
          <cell r="E411"/>
          <cell r="F411"/>
          <cell r="G411"/>
          <cell r="H411"/>
          <cell r="I411"/>
          <cell r="J411"/>
          <cell r="L411"/>
          <cell r="M411"/>
          <cell r="N411"/>
          <cell r="R411"/>
          <cell r="T411"/>
          <cell r="U411"/>
          <cell r="V411"/>
          <cell r="X411"/>
          <cell r="Z411"/>
          <cell r="AA411"/>
          <cell r="AB411"/>
          <cell r="AC411"/>
          <cell r="AD411"/>
          <cell r="AG411"/>
          <cell r="AI411"/>
          <cell r="AJ411"/>
          <cell r="AL411"/>
          <cell r="AM411"/>
          <cell r="AN411"/>
          <cell r="AO411"/>
          <cell r="AQ411"/>
          <cell r="AR411"/>
          <cell r="AS411"/>
          <cell r="AT411"/>
          <cell r="AU411"/>
          <cell r="BZ411"/>
          <cell r="CA411"/>
          <cell r="DL411"/>
          <cell r="DM411"/>
          <cell r="DN411"/>
          <cell r="DP411"/>
          <cell r="DQ411"/>
          <cell r="DR411"/>
          <cell r="DS411"/>
          <cell r="DT411"/>
          <cell r="DU411"/>
          <cell r="DW411"/>
          <cell r="DX411"/>
          <cell r="DY411"/>
          <cell r="DZ411"/>
          <cell r="EA411"/>
          <cell r="EB411"/>
          <cell r="EC411"/>
          <cell r="ED411"/>
          <cell r="EG411"/>
          <cell r="EH411"/>
          <cell r="EI411"/>
        </row>
        <row r="412">
          <cell r="B412"/>
          <cell r="C412"/>
          <cell r="E412"/>
          <cell r="F412"/>
          <cell r="G412"/>
          <cell r="H412"/>
          <cell r="I412"/>
          <cell r="J412"/>
          <cell r="L412"/>
          <cell r="M412"/>
          <cell r="N412"/>
          <cell r="R412"/>
          <cell r="T412"/>
          <cell r="U412"/>
          <cell r="V412"/>
          <cell r="X412"/>
          <cell r="Z412"/>
          <cell r="AA412"/>
          <cell r="AB412"/>
          <cell r="AC412"/>
          <cell r="AD412"/>
          <cell r="AG412"/>
          <cell r="AI412"/>
          <cell r="AJ412"/>
          <cell r="AL412"/>
          <cell r="AM412"/>
          <cell r="AN412"/>
          <cell r="AO412"/>
          <cell r="AQ412"/>
          <cell r="AR412"/>
          <cell r="AS412"/>
          <cell r="AT412"/>
          <cell r="AU412"/>
          <cell r="BZ412"/>
          <cell r="CA412"/>
          <cell r="DL412"/>
          <cell r="DM412"/>
          <cell r="DN412"/>
          <cell r="DP412"/>
          <cell r="DQ412"/>
          <cell r="DR412"/>
          <cell r="DS412"/>
          <cell r="DT412"/>
          <cell r="DU412"/>
          <cell r="DW412"/>
          <cell r="DX412"/>
          <cell r="DY412"/>
          <cell r="DZ412"/>
          <cell r="EA412"/>
          <cell r="EB412"/>
          <cell r="EC412"/>
          <cell r="ED412"/>
          <cell r="EG412"/>
          <cell r="EH412"/>
          <cell r="EI412"/>
        </row>
        <row r="413">
          <cell r="B413"/>
          <cell r="C413"/>
          <cell r="E413"/>
          <cell r="F413"/>
          <cell r="G413"/>
          <cell r="H413"/>
          <cell r="I413"/>
          <cell r="J413"/>
          <cell r="L413"/>
          <cell r="M413"/>
          <cell r="N413"/>
          <cell r="R413"/>
          <cell r="T413"/>
          <cell r="U413"/>
          <cell r="V413"/>
          <cell r="X413"/>
          <cell r="Z413"/>
          <cell r="AA413"/>
          <cell r="AB413"/>
          <cell r="AC413"/>
          <cell r="AD413"/>
          <cell r="AG413"/>
          <cell r="AI413"/>
          <cell r="AJ413"/>
          <cell r="AL413"/>
          <cell r="AM413"/>
          <cell r="AN413"/>
          <cell r="AO413"/>
          <cell r="AQ413"/>
          <cell r="AR413"/>
          <cell r="AS413"/>
          <cell r="AT413"/>
          <cell r="AU413"/>
          <cell r="BZ413"/>
          <cell r="CA413"/>
          <cell r="DL413"/>
          <cell r="DM413"/>
          <cell r="DN413"/>
          <cell r="DP413"/>
          <cell r="DQ413"/>
          <cell r="DR413"/>
          <cell r="DS413"/>
          <cell r="DT413"/>
          <cell r="DU413"/>
          <cell r="DW413"/>
          <cell r="DX413"/>
          <cell r="DY413"/>
          <cell r="DZ413"/>
          <cell r="EA413"/>
          <cell r="EB413"/>
          <cell r="EC413"/>
          <cell r="ED413"/>
          <cell r="EG413"/>
          <cell r="EH413"/>
          <cell r="EI413"/>
        </row>
        <row r="414">
          <cell r="B414"/>
          <cell r="C414"/>
          <cell r="E414"/>
          <cell r="F414"/>
          <cell r="G414"/>
          <cell r="H414"/>
          <cell r="I414"/>
          <cell r="J414"/>
          <cell r="L414"/>
          <cell r="M414"/>
          <cell r="N414"/>
          <cell r="R414"/>
          <cell r="T414"/>
          <cell r="U414"/>
          <cell r="V414"/>
          <cell r="X414"/>
          <cell r="Z414"/>
          <cell r="AA414"/>
          <cell r="AB414"/>
          <cell r="AC414"/>
          <cell r="AD414"/>
          <cell r="AG414"/>
          <cell r="AI414"/>
          <cell r="AJ414"/>
          <cell r="AL414"/>
          <cell r="AM414"/>
          <cell r="AN414"/>
          <cell r="AO414"/>
          <cell r="AQ414"/>
          <cell r="AR414"/>
          <cell r="AS414"/>
          <cell r="AT414"/>
          <cell r="AU414"/>
          <cell r="BZ414"/>
          <cell r="CA414"/>
          <cell r="DL414"/>
          <cell r="DM414"/>
          <cell r="DN414"/>
          <cell r="DP414"/>
          <cell r="DQ414"/>
          <cell r="DR414"/>
          <cell r="DS414"/>
          <cell r="DT414"/>
          <cell r="DU414"/>
          <cell r="DW414"/>
          <cell r="DX414"/>
          <cell r="DY414"/>
          <cell r="DZ414"/>
          <cell r="EA414"/>
          <cell r="EB414"/>
          <cell r="EC414"/>
          <cell r="ED414"/>
          <cell r="EG414"/>
          <cell r="EH414"/>
          <cell r="EI414"/>
        </row>
        <row r="415">
          <cell r="B415"/>
          <cell r="C415"/>
          <cell r="E415"/>
          <cell r="F415"/>
          <cell r="G415"/>
          <cell r="H415"/>
          <cell r="I415"/>
          <cell r="J415"/>
          <cell r="L415"/>
          <cell r="M415"/>
          <cell r="N415"/>
          <cell r="R415"/>
          <cell r="T415"/>
          <cell r="U415"/>
          <cell r="V415"/>
          <cell r="X415"/>
          <cell r="Z415"/>
          <cell r="AA415"/>
          <cell r="AB415"/>
          <cell r="AC415"/>
          <cell r="AD415"/>
          <cell r="AG415"/>
          <cell r="AI415"/>
          <cell r="AJ415"/>
          <cell r="AL415"/>
          <cell r="AM415"/>
          <cell r="AN415"/>
          <cell r="AO415"/>
          <cell r="AQ415"/>
          <cell r="AR415"/>
          <cell r="AS415"/>
          <cell r="AT415"/>
          <cell r="AU415"/>
          <cell r="BZ415"/>
          <cell r="CA415"/>
          <cell r="DL415"/>
          <cell r="DM415"/>
          <cell r="DN415"/>
          <cell r="DP415"/>
          <cell r="DQ415"/>
          <cell r="DR415"/>
          <cell r="DS415"/>
          <cell r="DT415"/>
          <cell r="DU415"/>
          <cell r="DW415"/>
          <cell r="DX415"/>
          <cell r="DY415"/>
          <cell r="DZ415"/>
          <cell r="EA415"/>
          <cell r="EB415"/>
          <cell r="EC415"/>
          <cell r="ED415"/>
          <cell r="EG415"/>
          <cell r="EH415"/>
          <cell r="EI415"/>
        </row>
        <row r="416">
          <cell r="B416"/>
          <cell r="C416"/>
          <cell r="E416"/>
          <cell r="F416"/>
          <cell r="G416"/>
          <cell r="H416"/>
          <cell r="I416"/>
          <cell r="J416"/>
          <cell r="L416"/>
          <cell r="M416"/>
          <cell r="N416"/>
          <cell r="R416"/>
          <cell r="T416"/>
          <cell r="U416"/>
          <cell r="V416"/>
          <cell r="X416"/>
          <cell r="Z416"/>
          <cell r="AA416"/>
          <cell r="AB416"/>
          <cell r="AC416"/>
          <cell r="AD416"/>
          <cell r="AG416"/>
          <cell r="AI416"/>
          <cell r="AJ416"/>
          <cell r="AL416"/>
          <cell r="AM416"/>
          <cell r="AN416"/>
          <cell r="AO416"/>
          <cell r="AQ416"/>
          <cell r="AR416"/>
          <cell r="AS416"/>
          <cell r="AT416"/>
          <cell r="AU416"/>
          <cell r="BZ416"/>
          <cell r="CA416"/>
          <cell r="DL416"/>
          <cell r="DM416"/>
          <cell r="DN416"/>
          <cell r="DP416"/>
          <cell r="DQ416"/>
          <cell r="DR416"/>
          <cell r="DS416"/>
          <cell r="DT416"/>
          <cell r="DU416"/>
          <cell r="DW416"/>
          <cell r="DX416"/>
          <cell r="DY416"/>
          <cell r="DZ416"/>
          <cell r="EA416"/>
          <cell r="EB416"/>
          <cell r="EC416"/>
          <cell r="ED416"/>
          <cell r="EG416"/>
          <cell r="EH416"/>
          <cell r="EI416"/>
        </row>
        <row r="417">
          <cell r="B417"/>
          <cell r="C417"/>
          <cell r="E417"/>
          <cell r="F417"/>
          <cell r="G417"/>
          <cell r="H417"/>
          <cell r="I417"/>
          <cell r="J417"/>
          <cell r="L417"/>
          <cell r="M417"/>
          <cell r="N417"/>
          <cell r="R417"/>
          <cell r="T417"/>
          <cell r="U417"/>
          <cell r="V417"/>
          <cell r="X417"/>
          <cell r="Z417"/>
          <cell r="AA417"/>
          <cell r="AB417"/>
          <cell r="AC417"/>
          <cell r="AD417"/>
          <cell r="AG417"/>
          <cell r="AI417"/>
          <cell r="AJ417"/>
          <cell r="AL417"/>
          <cell r="AM417"/>
          <cell r="AN417"/>
          <cell r="AO417"/>
          <cell r="AQ417"/>
          <cell r="AR417"/>
          <cell r="AS417"/>
          <cell r="AT417"/>
          <cell r="AU417"/>
          <cell r="BZ417"/>
          <cell r="CA417"/>
          <cell r="DL417"/>
          <cell r="DM417"/>
          <cell r="DN417"/>
          <cell r="DP417"/>
          <cell r="DQ417"/>
          <cell r="DR417"/>
          <cell r="DS417"/>
          <cell r="DT417"/>
          <cell r="DU417"/>
          <cell r="DW417"/>
          <cell r="DX417"/>
          <cell r="DY417"/>
          <cell r="DZ417"/>
          <cell r="EA417"/>
          <cell r="EB417"/>
          <cell r="EC417"/>
          <cell r="ED417"/>
          <cell r="EG417"/>
          <cell r="EH417"/>
          <cell r="EI417"/>
        </row>
        <row r="418">
          <cell r="B418"/>
          <cell r="C418"/>
          <cell r="E418"/>
          <cell r="F418"/>
          <cell r="G418"/>
          <cell r="H418"/>
          <cell r="I418"/>
          <cell r="J418"/>
          <cell r="L418"/>
          <cell r="M418"/>
          <cell r="N418"/>
          <cell r="R418"/>
          <cell r="T418"/>
          <cell r="U418"/>
          <cell r="V418"/>
          <cell r="X418"/>
          <cell r="Z418"/>
          <cell r="AA418"/>
          <cell r="AB418"/>
          <cell r="AC418"/>
          <cell r="AD418"/>
          <cell r="AG418"/>
          <cell r="AI418"/>
          <cell r="AJ418"/>
          <cell r="AL418"/>
          <cell r="AM418"/>
          <cell r="AN418"/>
          <cell r="AO418"/>
          <cell r="AQ418"/>
          <cell r="AR418"/>
          <cell r="AS418"/>
          <cell r="AT418"/>
          <cell r="AU418"/>
          <cell r="BZ418"/>
          <cell r="CA418"/>
          <cell r="DL418"/>
          <cell r="DM418"/>
          <cell r="DN418"/>
          <cell r="DP418"/>
          <cell r="DQ418"/>
          <cell r="DR418"/>
          <cell r="DS418"/>
          <cell r="DT418"/>
          <cell r="DU418"/>
          <cell r="DW418"/>
          <cell r="DX418"/>
          <cell r="DY418"/>
          <cell r="DZ418"/>
          <cell r="EA418"/>
          <cell r="EB418"/>
          <cell r="EC418"/>
          <cell r="ED418"/>
          <cell r="EG418"/>
          <cell r="EH418"/>
          <cell r="EI418"/>
        </row>
        <row r="419">
          <cell r="B419"/>
          <cell r="C419"/>
          <cell r="E419"/>
          <cell r="F419"/>
          <cell r="G419"/>
          <cell r="H419"/>
          <cell r="I419"/>
          <cell r="J419"/>
          <cell r="L419"/>
          <cell r="M419"/>
          <cell r="N419"/>
          <cell r="R419"/>
          <cell r="T419"/>
          <cell r="U419"/>
          <cell r="V419"/>
          <cell r="X419"/>
          <cell r="Z419"/>
          <cell r="AA419"/>
          <cell r="AB419"/>
          <cell r="AC419"/>
          <cell r="AD419"/>
          <cell r="AG419"/>
          <cell r="AI419"/>
          <cell r="AJ419"/>
          <cell r="AL419"/>
          <cell r="AM419"/>
          <cell r="AN419"/>
          <cell r="AO419"/>
          <cell r="AQ419"/>
          <cell r="AR419"/>
          <cell r="AS419"/>
          <cell r="AT419"/>
          <cell r="AU419"/>
          <cell r="BZ419"/>
          <cell r="CA419"/>
          <cell r="DL419"/>
          <cell r="DM419"/>
          <cell r="DN419"/>
          <cell r="DP419"/>
          <cell r="DQ419"/>
          <cell r="DR419"/>
          <cell r="DS419"/>
          <cell r="DT419"/>
          <cell r="DU419"/>
          <cell r="DW419"/>
          <cell r="DX419"/>
          <cell r="DY419"/>
          <cell r="DZ419"/>
          <cell r="EA419"/>
          <cell r="EB419"/>
          <cell r="EC419"/>
          <cell r="ED419"/>
          <cell r="EG419"/>
          <cell r="EH419"/>
          <cell r="EI419"/>
        </row>
        <row r="420">
          <cell r="B420"/>
          <cell r="C420"/>
          <cell r="E420"/>
          <cell r="F420"/>
          <cell r="G420"/>
          <cell r="H420"/>
          <cell r="I420"/>
          <cell r="J420"/>
          <cell r="L420"/>
          <cell r="M420"/>
          <cell r="N420"/>
          <cell r="R420"/>
          <cell r="T420"/>
          <cell r="U420"/>
          <cell r="V420"/>
          <cell r="X420"/>
          <cell r="Z420"/>
          <cell r="AA420"/>
          <cell r="AB420"/>
          <cell r="AC420"/>
          <cell r="AD420"/>
          <cell r="AG420"/>
          <cell r="AI420"/>
          <cell r="AJ420"/>
          <cell r="AL420"/>
          <cell r="AM420"/>
          <cell r="AN420"/>
          <cell r="AO420"/>
          <cell r="AQ420"/>
          <cell r="AR420"/>
          <cell r="AS420"/>
          <cell r="AT420"/>
          <cell r="AU420"/>
          <cell r="BZ420"/>
          <cell r="CA420"/>
          <cell r="DL420"/>
          <cell r="DM420"/>
          <cell r="DN420"/>
          <cell r="DP420"/>
          <cell r="DQ420"/>
          <cell r="DR420"/>
          <cell r="DS420"/>
          <cell r="DT420"/>
          <cell r="DU420"/>
          <cell r="DW420"/>
          <cell r="DX420"/>
          <cell r="DY420"/>
          <cell r="DZ420"/>
          <cell r="EA420"/>
          <cell r="EB420"/>
          <cell r="EC420"/>
          <cell r="ED420"/>
          <cell r="EG420"/>
          <cell r="EH420"/>
          <cell r="EI420"/>
        </row>
        <row r="421">
          <cell r="B421"/>
          <cell r="C421"/>
          <cell r="E421"/>
          <cell r="F421"/>
          <cell r="G421"/>
          <cell r="H421"/>
          <cell r="I421"/>
          <cell r="J421"/>
          <cell r="L421"/>
          <cell r="M421"/>
          <cell r="N421"/>
          <cell r="R421"/>
          <cell r="T421"/>
          <cell r="U421"/>
          <cell r="V421"/>
          <cell r="X421"/>
          <cell r="Z421"/>
          <cell r="AA421"/>
          <cell r="AB421"/>
          <cell r="AC421"/>
          <cell r="AD421"/>
          <cell r="AG421"/>
          <cell r="AI421"/>
          <cell r="AJ421"/>
          <cell r="AL421"/>
          <cell r="AM421"/>
          <cell r="AN421"/>
          <cell r="AO421"/>
          <cell r="AQ421"/>
          <cell r="AR421"/>
          <cell r="AS421"/>
          <cell r="AT421"/>
          <cell r="AU421"/>
          <cell r="BZ421"/>
          <cell r="CA421"/>
          <cell r="DL421"/>
          <cell r="DM421"/>
          <cell r="DN421"/>
          <cell r="DP421"/>
          <cell r="DQ421"/>
          <cell r="DR421"/>
          <cell r="DS421"/>
          <cell r="DT421"/>
          <cell r="DU421"/>
          <cell r="DW421"/>
          <cell r="DX421"/>
          <cell r="DY421"/>
          <cell r="DZ421"/>
          <cell r="EA421"/>
          <cell r="EB421"/>
          <cell r="EC421"/>
          <cell r="ED421"/>
          <cell r="EG421"/>
          <cell r="EH421"/>
          <cell r="EI421"/>
        </row>
        <row r="422">
          <cell r="B422"/>
          <cell r="C422"/>
          <cell r="E422"/>
          <cell r="F422"/>
          <cell r="G422"/>
          <cell r="H422"/>
          <cell r="I422"/>
          <cell r="J422"/>
          <cell r="L422"/>
          <cell r="M422"/>
          <cell r="N422"/>
          <cell r="R422"/>
          <cell r="T422"/>
          <cell r="U422"/>
          <cell r="V422"/>
          <cell r="X422"/>
          <cell r="Z422"/>
          <cell r="AA422"/>
          <cell r="AB422"/>
          <cell r="AC422"/>
          <cell r="AD422"/>
          <cell r="AG422"/>
          <cell r="AI422"/>
          <cell r="AJ422"/>
          <cell r="AL422"/>
          <cell r="AM422"/>
          <cell r="AN422"/>
          <cell r="AO422"/>
          <cell r="AQ422"/>
          <cell r="AR422"/>
          <cell r="AS422"/>
          <cell r="AT422"/>
          <cell r="AU422"/>
          <cell r="BZ422"/>
          <cell r="CA422"/>
          <cell r="DL422"/>
          <cell r="DM422"/>
          <cell r="DN422"/>
          <cell r="DP422"/>
          <cell r="DQ422"/>
          <cell r="DR422"/>
          <cell r="DS422"/>
          <cell r="DT422"/>
          <cell r="DU422"/>
          <cell r="DW422"/>
          <cell r="DX422"/>
          <cell r="DY422"/>
          <cell r="DZ422"/>
          <cell r="EA422"/>
          <cell r="EB422"/>
          <cell r="EC422"/>
          <cell r="ED422"/>
          <cell r="EG422"/>
          <cell r="EH422"/>
          <cell r="EI422"/>
        </row>
        <row r="423">
          <cell r="B423"/>
          <cell r="C423"/>
          <cell r="E423"/>
          <cell r="F423"/>
          <cell r="G423"/>
          <cell r="H423"/>
          <cell r="I423"/>
          <cell r="J423"/>
          <cell r="L423"/>
          <cell r="M423"/>
          <cell r="N423"/>
          <cell r="R423"/>
          <cell r="T423"/>
          <cell r="U423"/>
          <cell r="V423"/>
          <cell r="X423"/>
          <cell r="Z423"/>
          <cell r="AA423"/>
          <cell r="AB423"/>
          <cell r="AC423"/>
          <cell r="AD423"/>
          <cell r="AG423"/>
          <cell r="AI423"/>
          <cell r="AJ423"/>
          <cell r="AL423"/>
          <cell r="AM423"/>
          <cell r="AN423"/>
          <cell r="AO423"/>
          <cell r="AQ423"/>
          <cell r="AR423"/>
          <cell r="AS423"/>
          <cell r="AT423"/>
          <cell r="AU423"/>
          <cell r="BZ423"/>
          <cell r="CA423"/>
          <cell r="DL423"/>
          <cell r="DM423"/>
          <cell r="DN423"/>
          <cell r="DP423"/>
          <cell r="DQ423"/>
          <cell r="DR423"/>
          <cell r="DS423"/>
          <cell r="DT423"/>
          <cell r="DU423"/>
          <cell r="DW423"/>
          <cell r="DX423"/>
          <cell r="DY423"/>
          <cell r="DZ423"/>
          <cell r="EA423"/>
          <cell r="EB423"/>
          <cell r="EC423"/>
          <cell r="ED423"/>
          <cell r="EG423"/>
          <cell r="EH423"/>
          <cell r="EI423"/>
        </row>
        <row r="424">
          <cell r="B424"/>
          <cell r="C424"/>
          <cell r="E424"/>
          <cell r="F424"/>
          <cell r="G424"/>
          <cell r="H424"/>
          <cell r="I424"/>
          <cell r="J424"/>
          <cell r="L424"/>
          <cell r="M424"/>
          <cell r="N424"/>
          <cell r="R424"/>
          <cell r="T424"/>
          <cell r="U424"/>
          <cell r="V424"/>
          <cell r="X424"/>
          <cell r="Z424"/>
          <cell r="AA424"/>
          <cell r="AB424"/>
          <cell r="AC424"/>
          <cell r="AD424"/>
          <cell r="AG424"/>
          <cell r="AI424"/>
          <cell r="AJ424"/>
          <cell r="AL424"/>
          <cell r="AM424"/>
          <cell r="AN424"/>
          <cell r="AO424"/>
          <cell r="AQ424"/>
          <cell r="AR424"/>
          <cell r="AS424"/>
          <cell r="AT424"/>
          <cell r="AU424"/>
          <cell r="BZ424"/>
          <cell r="CA424"/>
          <cell r="DL424"/>
          <cell r="DM424"/>
          <cell r="DN424"/>
          <cell r="DP424"/>
          <cell r="DQ424"/>
          <cell r="DR424"/>
          <cell r="DS424"/>
          <cell r="DT424"/>
          <cell r="DU424"/>
          <cell r="DW424"/>
          <cell r="DX424"/>
          <cell r="DY424"/>
          <cell r="DZ424"/>
          <cell r="EA424"/>
          <cell r="EB424"/>
          <cell r="EC424"/>
          <cell r="ED424"/>
          <cell r="EG424"/>
          <cell r="EH424"/>
          <cell r="EI424"/>
        </row>
        <row r="425">
          <cell r="B425"/>
          <cell r="C425"/>
          <cell r="E425"/>
          <cell r="F425"/>
          <cell r="G425"/>
          <cell r="H425"/>
          <cell r="I425"/>
          <cell r="J425"/>
          <cell r="L425"/>
          <cell r="M425"/>
          <cell r="N425"/>
          <cell r="R425"/>
          <cell r="T425"/>
          <cell r="U425"/>
          <cell r="V425"/>
          <cell r="X425"/>
          <cell r="Z425"/>
          <cell r="AA425"/>
          <cell r="AB425"/>
          <cell r="AC425"/>
          <cell r="AD425"/>
          <cell r="AG425"/>
          <cell r="AI425"/>
          <cell r="AJ425"/>
          <cell r="AL425"/>
          <cell r="AM425"/>
          <cell r="AN425"/>
          <cell r="AO425"/>
          <cell r="AQ425"/>
          <cell r="AR425"/>
          <cell r="AS425"/>
          <cell r="AT425"/>
          <cell r="AU425"/>
          <cell r="BZ425"/>
          <cell r="CA425"/>
          <cell r="DL425"/>
          <cell r="DM425"/>
          <cell r="DN425"/>
          <cell r="DP425"/>
          <cell r="DQ425"/>
          <cell r="DR425"/>
          <cell r="DS425"/>
          <cell r="DT425"/>
          <cell r="DU425"/>
          <cell r="DW425"/>
          <cell r="DX425"/>
          <cell r="DY425"/>
          <cell r="DZ425"/>
          <cell r="EA425"/>
          <cell r="EB425"/>
          <cell r="EC425"/>
          <cell r="ED425"/>
          <cell r="EG425"/>
          <cell r="EH425"/>
          <cell r="EI425"/>
        </row>
        <row r="426">
          <cell r="B426"/>
          <cell r="C426"/>
          <cell r="E426"/>
          <cell r="F426"/>
          <cell r="G426"/>
          <cell r="H426"/>
          <cell r="I426"/>
          <cell r="J426"/>
          <cell r="L426"/>
          <cell r="M426"/>
          <cell r="N426"/>
          <cell r="R426"/>
          <cell r="T426"/>
          <cell r="U426"/>
          <cell r="V426"/>
          <cell r="X426"/>
          <cell r="Z426"/>
          <cell r="AA426"/>
          <cell r="AB426"/>
          <cell r="AC426"/>
          <cell r="AD426"/>
          <cell r="AG426"/>
          <cell r="AI426"/>
          <cell r="AJ426"/>
          <cell r="AL426"/>
          <cell r="AM426"/>
          <cell r="AN426"/>
          <cell r="AO426"/>
          <cell r="AQ426"/>
          <cell r="AR426"/>
          <cell r="AS426"/>
          <cell r="AT426"/>
          <cell r="AU426"/>
          <cell r="BZ426"/>
          <cell r="CA426"/>
          <cell r="DL426"/>
          <cell r="DM426"/>
          <cell r="DN426"/>
          <cell r="DP426"/>
          <cell r="DQ426"/>
          <cell r="DR426"/>
          <cell r="DS426"/>
          <cell r="DT426"/>
          <cell r="DU426"/>
          <cell r="DW426"/>
          <cell r="DX426"/>
          <cell r="DY426"/>
          <cell r="DZ426"/>
          <cell r="EA426"/>
          <cell r="EB426"/>
          <cell r="EC426"/>
          <cell r="ED426"/>
          <cell r="EG426"/>
          <cell r="EH426"/>
          <cell r="EI426"/>
        </row>
        <row r="427">
          <cell r="B427"/>
          <cell r="C427"/>
          <cell r="E427"/>
          <cell r="F427"/>
          <cell r="G427"/>
          <cell r="H427"/>
          <cell r="I427"/>
          <cell r="J427"/>
          <cell r="L427"/>
          <cell r="M427"/>
          <cell r="N427"/>
          <cell r="R427"/>
          <cell r="T427"/>
          <cell r="U427"/>
          <cell r="V427"/>
          <cell r="X427"/>
          <cell r="Z427"/>
          <cell r="AA427"/>
          <cell r="AB427"/>
          <cell r="AC427"/>
          <cell r="AD427"/>
          <cell r="AG427"/>
          <cell r="AI427"/>
          <cell r="AJ427"/>
          <cell r="AL427"/>
          <cell r="AM427"/>
          <cell r="AN427"/>
          <cell r="AO427"/>
          <cell r="AQ427"/>
          <cell r="AR427"/>
          <cell r="AS427"/>
          <cell r="AT427"/>
          <cell r="AU427"/>
          <cell r="BZ427"/>
          <cell r="CA427"/>
          <cell r="DL427"/>
          <cell r="DM427"/>
          <cell r="DN427"/>
          <cell r="DP427"/>
          <cell r="DQ427"/>
          <cell r="DR427"/>
          <cell r="DS427"/>
          <cell r="DT427"/>
          <cell r="DU427"/>
          <cell r="DW427"/>
          <cell r="DX427"/>
          <cell r="DY427"/>
          <cell r="DZ427"/>
          <cell r="EA427"/>
          <cell r="EB427"/>
          <cell r="EC427"/>
          <cell r="ED427"/>
          <cell r="EG427"/>
          <cell r="EH427"/>
          <cell r="EI427"/>
        </row>
        <row r="428">
          <cell r="B428"/>
          <cell r="C428"/>
          <cell r="E428"/>
          <cell r="F428"/>
          <cell r="G428"/>
          <cell r="H428"/>
          <cell r="I428"/>
          <cell r="J428"/>
          <cell r="L428"/>
          <cell r="M428"/>
          <cell r="N428"/>
          <cell r="R428"/>
          <cell r="T428"/>
          <cell r="U428"/>
          <cell r="V428"/>
          <cell r="X428"/>
          <cell r="Z428"/>
          <cell r="AA428"/>
          <cell r="AB428"/>
          <cell r="AC428"/>
          <cell r="AD428"/>
          <cell r="AG428"/>
          <cell r="AI428"/>
          <cell r="AJ428"/>
          <cell r="AL428"/>
          <cell r="AM428"/>
          <cell r="AN428"/>
          <cell r="AO428"/>
          <cell r="AQ428"/>
          <cell r="AR428"/>
          <cell r="AS428"/>
          <cell r="AT428"/>
          <cell r="AU428"/>
          <cell r="BZ428"/>
          <cell r="CA428"/>
          <cell r="DL428"/>
          <cell r="DM428"/>
          <cell r="DN428"/>
          <cell r="DP428"/>
          <cell r="DQ428"/>
          <cell r="DR428"/>
          <cell r="DS428"/>
          <cell r="DT428"/>
          <cell r="DU428"/>
          <cell r="DW428"/>
          <cell r="DX428"/>
          <cell r="DY428"/>
          <cell r="DZ428"/>
          <cell r="EA428"/>
          <cell r="EB428"/>
          <cell r="EC428"/>
          <cell r="ED428"/>
          <cell r="EG428"/>
          <cell r="EH428"/>
          <cell r="EI428"/>
        </row>
        <row r="429">
          <cell r="B429"/>
          <cell r="C429"/>
          <cell r="E429"/>
          <cell r="F429"/>
          <cell r="G429"/>
          <cell r="H429"/>
          <cell r="I429"/>
          <cell r="J429"/>
          <cell r="L429"/>
          <cell r="M429"/>
          <cell r="N429"/>
          <cell r="R429"/>
          <cell r="T429"/>
          <cell r="U429"/>
          <cell r="V429"/>
          <cell r="X429"/>
          <cell r="Z429"/>
          <cell r="AA429"/>
          <cell r="AB429"/>
          <cell r="AC429"/>
          <cell r="AD429"/>
          <cell r="AG429"/>
          <cell r="AI429"/>
          <cell r="AJ429"/>
          <cell r="AL429"/>
          <cell r="AM429"/>
          <cell r="AN429"/>
          <cell r="AO429"/>
          <cell r="AQ429"/>
          <cell r="AR429"/>
          <cell r="AS429"/>
          <cell r="AT429"/>
          <cell r="AU429"/>
          <cell r="BZ429"/>
          <cell r="CA429"/>
          <cell r="DL429"/>
          <cell r="DM429"/>
          <cell r="DN429"/>
          <cell r="DP429"/>
          <cell r="DQ429"/>
          <cell r="DR429"/>
          <cell r="DS429"/>
          <cell r="DT429"/>
          <cell r="DU429"/>
          <cell r="DW429"/>
          <cell r="DX429"/>
          <cell r="DY429"/>
          <cell r="DZ429"/>
          <cell r="EA429"/>
          <cell r="EB429"/>
          <cell r="EC429"/>
          <cell r="ED429"/>
          <cell r="EG429"/>
          <cell r="EH429"/>
          <cell r="EI429"/>
        </row>
        <row r="430">
          <cell r="B430"/>
          <cell r="C430"/>
          <cell r="E430"/>
          <cell r="F430"/>
          <cell r="G430"/>
          <cell r="H430"/>
          <cell r="I430"/>
          <cell r="J430"/>
          <cell r="L430"/>
          <cell r="M430"/>
          <cell r="N430"/>
          <cell r="R430"/>
          <cell r="T430"/>
          <cell r="U430"/>
          <cell r="V430"/>
          <cell r="X430"/>
          <cell r="Z430"/>
          <cell r="AA430"/>
          <cell r="AB430"/>
          <cell r="AC430"/>
          <cell r="AD430"/>
          <cell r="AG430"/>
          <cell r="AI430"/>
          <cell r="AJ430"/>
          <cell r="AL430"/>
          <cell r="AM430"/>
          <cell r="AN430"/>
          <cell r="AO430"/>
          <cell r="AQ430"/>
          <cell r="AR430"/>
          <cell r="AS430"/>
          <cell r="AT430"/>
          <cell r="AU430"/>
          <cell r="BZ430"/>
          <cell r="CA430"/>
          <cell r="DL430"/>
          <cell r="DM430"/>
          <cell r="DN430"/>
          <cell r="DP430"/>
          <cell r="DQ430"/>
          <cell r="DR430"/>
          <cell r="DS430"/>
          <cell r="DT430"/>
          <cell r="DU430"/>
          <cell r="DW430"/>
          <cell r="DX430"/>
          <cell r="DY430"/>
          <cell r="DZ430"/>
          <cell r="EA430"/>
          <cell r="EB430"/>
          <cell r="EC430"/>
          <cell r="ED430"/>
          <cell r="EG430"/>
          <cell r="EH430"/>
          <cell r="EI430"/>
        </row>
        <row r="431">
          <cell r="B431"/>
          <cell r="C431"/>
          <cell r="E431"/>
          <cell r="F431"/>
          <cell r="G431"/>
          <cell r="H431"/>
          <cell r="I431"/>
          <cell r="J431"/>
          <cell r="L431"/>
          <cell r="M431"/>
          <cell r="N431"/>
          <cell r="R431"/>
          <cell r="T431"/>
          <cell r="U431"/>
          <cell r="V431"/>
          <cell r="X431"/>
          <cell r="Z431"/>
          <cell r="AA431"/>
          <cell r="AB431"/>
          <cell r="AC431"/>
          <cell r="AD431"/>
          <cell r="AG431"/>
          <cell r="AI431"/>
          <cell r="AJ431"/>
          <cell r="AL431"/>
          <cell r="AM431"/>
          <cell r="AN431"/>
          <cell r="AO431"/>
          <cell r="AQ431"/>
          <cell r="AR431"/>
          <cell r="AS431"/>
          <cell r="AT431"/>
          <cell r="AU431"/>
          <cell r="BZ431"/>
          <cell r="CA431"/>
          <cell r="DL431"/>
          <cell r="DM431"/>
          <cell r="DN431"/>
          <cell r="DP431"/>
          <cell r="DQ431"/>
          <cell r="DR431"/>
          <cell r="DS431"/>
          <cell r="DT431"/>
          <cell r="DU431"/>
          <cell r="DW431"/>
          <cell r="DX431"/>
          <cell r="DY431"/>
          <cell r="DZ431"/>
          <cell r="EA431"/>
          <cell r="EB431"/>
          <cell r="EC431"/>
          <cell r="ED431"/>
          <cell r="EG431"/>
          <cell r="EH431"/>
          <cell r="EI431"/>
        </row>
        <row r="432">
          <cell r="B432"/>
          <cell r="C432"/>
          <cell r="E432"/>
          <cell r="F432"/>
          <cell r="G432"/>
          <cell r="H432"/>
          <cell r="I432"/>
          <cell r="J432"/>
          <cell r="L432"/>
          <cell r="M432"/>
          <cell r="N432"/>
          <cell r="R432"/>
          <cell r="T432"/>
          <cell r="U432"/>
          <cell r="V432"/>
          <cell r="X432"/>
          <cell r="Z432"/>
          <cell r="AA432"/>
          <cell r="AB432"/>
          <cell r="AC432"/>
          <cell r="AD432"/>
          <cell r="AG432"/>
          <cell r="AI432"/>
          <cell r="AJ432"/>
          <cell r="AL432"/>
          <cell r="AM432"/>
          <cell r="AN432"/>
          <cell r="AO432"/>
          <cell r="AQ432"/>
          <cell r="AR432"/>
          <cell r="AS432"/>
          <cell r="AT432"/>
          <cell r="AU432"/>
          <cell r="BZ432"/>
          <cell r="CA432"/>
          <cell r="DL432"/>
          <cell r="DM432"/>
          <cell r="DN432"/>
          <cell r="DP432"/>
          <cell r="DQ432"/>
          <cell r="DR432"/>
          <cell r="DS432"/>
          <cell r="DT432"/>
          <cell r="DU432"/>
          <cell r="DW432"/>
          <cell r="DX432"/>
          <cell r="DY432"/>
          <cell r="DZ432"/>
          <cell r="EA432"/>
          <cell r="EB432"/>
          <cell r="EC432"/>
          <cell r="ED432"/>
          <cell r="EG432"/>
          <cell r="EH432"/>
          <cell r="EI432"/>
        </row>
        <row r="433">
          <cell r="B433"/>
          <cell r="C433"/>
          <cell r="E433"/>
          <cell r="F433"/>
          <cell r="G433"/>
          <cell r="H433"/>
          <cell r="I433"/>
          <cell r="J433"/>
          <cell r="L433"/>
          <cell r="M433"/>
          <cell r="N433"/>
          <cell r="R433"/>
          <cell r="T433"/>
          <cell r="U433"/>
          <cell r="V433"/>
          <cell r="X433"/>
          <cell r="Z433"/>
          <cell r="AA433"/>
          <cell r="AB433"/>
          <cell r="AC433"/>
          <cell r="AD433"/>
          <cell r="AG433"/>
          <cell r="AI433"/>
          <cell r="AJ433"/>
          <cell r="AL433"/>
          <cell r="AM433"/>
          <cell r="AN433"/>
          <cell r="AO433"/>
          <cell r="AQ433"/>
          <cell r="AR433"/>
          <cell r="AS433"/>
          <cell r="AT433"/>
          <cell r="AU433"/>
          <cell r="BZ433"/>
          <cell r="CA433"/>
          <cell r="DL433"/>
          <cell r="DM433"/>
          <cell r="DN433"/>
          <cell r="DP433"/>
          <cell r="DQ433"/>
          <cell r="DR433"/>
          <cell r="DS433"/>
          <cell r="DT433"/>
          <cell r="DU433"/>
          <cell r="DW433"/>
          <cell r="DX433"/>
          <cell r="DY433"/>
          <cell r="DZ433"/>
          <cell r="EA433"/>
          <cell r="EB433"/>
          <cell r="EC433"/>
          <cell r="ED433"/>
          <cell r="EG433"/>
          <cell r="EH433"/>
          <cell r="EI433"/>
        </row>
        <row r="434">
          <cell r="B434"/>
          <cell r="C434"/>
          <cell r="E434"/>
          <cell r="F434"/>
          <cell r="G434"/>
          <cell r="H434"/>
          <cell r="I434"/>
          <cell r="J434"/>
          <cell r="L434"/>
          <cell r="M434"/>
          <cell r="N434"/>
          <cell r="R434"/>
          <cell r="T434"/>
          <cell r="U434"/>
          <cell r="V434"/>
          <cell r="X434"/>
          <cell r="Z434"/>
          <cell r="AA434"/>
          <cell r="AB434"/>
          <cell r="AC434"/>
          <cell r="AD434"/>
          <cell r="AG434"/>
          <cell r="AI434"/>
          <cell r="AJ434"/>
          <cell r="AL434"/>
          <cell r="AM434"/>
          <cell r="AN434"/>
          <cell r="AO434"/>
          <cell r="AQ434"/>
          <cell r="AR434"/>
          <cell r="AS434"/>
          <cell r="AT434"/>
          <cell r="AU434"/>
          <cell r="BZ434"/>
          <cell r="CA434"/>
          <cell r="DL434"/>
          <cell r="DM434"/>
          <cell r="DN434"/>
          <cell r="DP434"/>
          <cell r="DQ434"/>
          <cell r="DR434"/>
          <cell r="DS434"/>
          <cell r="DT434"/>
          <cell r="DU434"/>
          <cell r="DW434"/>
          <cell r="DX434"/>
          <cell r="DY434"/>
          <cell r="DZ434"/>
          <cell r="EA434"/>
          <cell r="EB434"/>
          <cell r="EC434"/>
          <cell r="ED434"/>
          <cell r="EG434"/>
          <cell r="EH434"/>
          <cell r="EI434"/>
        </row>
        <row r="435">
          <cell r="B435"/>
          <cell r="C435"/>
          <cell r="E435"/>
          <cell r="F435"/>
          <cell r="G435"/>
          <cell r="H435"/>
          <cell r="I435"/>
          <cell r="J435"/>
          <cell r="L435"/>
          <cell r="M435"/>
          <cell r="N435"/>
          <cell r="R435"/>
          <cell r="T435"/>
          <cell r="U435"/>
          <cell r="V435"/>
          <cell r="X435"/>
          <cell r="Z435"/>
          <cell r="AA435"/>
          <cell r="AB435"/>
          <cell r="AC435"/>
          <cell r="AD435"/>
          <cell r="AG435"/>
          <cell r="AI435"/>
          <cell r="AJ435"/>
          <cell r="AL435"/>
          <cell r="AM435"/>
          <cell r="AN435"/>
          <cell r="AO435"/>
          <cell r="AQ435"/>
          <cell r="AR435"/>
          <cell r="AS435"/>
          <cell r="AT435"/>
          <cell r="AU435"/>
          <cell r="BZ435"/>
          <cell r="CA435"/>
          <cell r="DL435"/>
          <cell r="DM435"/>
          <cell r="DN435"/>
          <cell r="DP435"/>
          <cell r="DQ435"/>
          <cell r="DR435"/>
          <cell r="DS435"/>
          <cell r="DT435"/>
          <cell r="DU435"/>
          <cell r="DW435"/>
          <cell r="DX435"/>
          <cell r="DY435"/>
          <cell r="DZ435"/>
          <cell r="EA435"/>
          <cell r="EB435"/>
          <cell r="EC435"/>
          <cell r="ED435"/>
          <cell r="EG435"/>
          <cell r="EH435"/>
          <cell r="EI435"/>
        </row>
        <row r="436">
          <cell r="B436"/>
          <cell r="C436"/>
          <cell r="E436"/>
          <cell r="F436"/>
          <cell r="G436"/>
          <cell r="H436"/>
          <cell r="I436"/>
          <cell r="J436"/>
          <cell r="L436"/>
          <cell r="M436"/>
          <cell r="N436"/>
          <cell r="R436"/>
          <cell r="T436"/>
          <cell r="U436"/>
          <cell r="V436"/>
          <cell r="X436"/>
          <cell r="Z436"/>
          <cell r="AA436"/>
          <cell r="AB436"/>
          <cell r="AC436"/>
          <cell r="AD436"/>
          <cell r="AG436"/>
          <cell r="AI436"/>
          <cell r="AJ436"/>
          <cell r="AL436"/>
          <cell r="AM436"/>
          <cell r="AN436"/>
          <cell r="AO436"/>
          <cell r="AQ436"/>
          <cell r="AR436"/>
          <cell r="AS436"/>
          <cell r="AT436"/>
          <cell r="AU436"/>
          <cell r="BZ436"/>
          <cell r="CA436"/>
          <cell r="DL436"/>
          <cell r="DM436"/>
          <cell r="DN436"/>
          <cell r="DP436"/>
          <cell r="DQ436"/>
          <cell r="DR436"/>
          <cell r="DS436"/>
          <cell r="DT436"/>
          <cell r="DU436"/>
          <cell r="DW436"/>
          <cell r="DX436"/>
          <cell r="DY436"/>
          <cell r="DZ436"/>
          <cell r="EA436"/>
          <cell r="EB436"/>
          <cell r="EC436"/>
          <cell r="ED436"/>
          <cell r="EG436"/>
          <cell r="EH436"/>
          <cell r="EI436"/>
        </row>
        <row r="437">
          <cell r="B437"/>
          <cell r="C437"/>
          <cell r="E437"/>
          <cell r="F437"/>
          <cell r="G437"/>
          <cell r="H437"/>
          <cell r="I437"/>
          <cell r="J437"/>
          <cell r="L437"/>
          <cell r="M437"/>
          <cell r="N437"/>
          <cell r="R437"/>
          <cell r="T437"/>
          <cell r="U437"/>
          <cell r="V437"/>
          <cell r="X437"/>
          <cell r="Z437"/>
          <cell r="AA437"/>
          <cell r="AB437"/>
          <cell r="AC437"/>
          <cell r="AD437"/>
          <cell r="AG437"/>
          <cell r="AI437"/>
          <cell r="AJ437"/>
          <cell r="AL437"/>
          <cell r="AM437"/>
          <cell r="AN437"/>
          <cell r="AO437"/>
          <cell r="AQ437"/>
          <cell r="AR437"/>
          <cell r="AS437"/>
          <cell r="AT437"/>
          <cell r="AU437"/>
          <cell r="BZ437"/>
          <cell r="CA437"/>
          <cell r="DL437"/>
          <cell r="DM437"/>
          <cell r="DN437"/>
          <cell r="DP437"/>
          <cell r="DQ437"/>
          <cell r="DR437"/>
          <cell r="DS437"/>
          <cell r="DT437"/>
          <cell r="DU437"/>
          <cell r="DW437"/>
          <cell r="DX437"/>
          <cell r="DY437"/>
          <cell r="DZ437"/>
          <cell r="EA437"/>
          <cell r="EB437"/>
          <cell r="EC437"/>
          <cell r="ED437"/>
          <cell r="EG437"/>
          <cell r="EH437"/>
          <cell r="EI437"/>
        </row>
        <row r="438">
          <cell r="B438"/>
          <cell r="C438"/>
          <cell r="E438"/>
          <cell r="F438"/>
          <cell r="G438"/>
          <cell r="H438"/>
          <cell r="I438"/>
          <cell r="J438"/>
          <cell r="L438"/>
          <cell r="M438"/>
          <cell r="N438"/>
          <cell r="R438"/>
          <cell r="T438"/>
          <cell r="U438"/>
          <cell r="V438"/>
          <cell r="X438"/>
          <cell r="Z438"/>
          <cell r="AA438"/>
          <cell r="AB438"/>
          <cell r="AC438"/>
          <cell r="AD438"/>
          <cell r="AG438"/>
          <cell r="AI438"/>
          <cell r="AJ438"/>
          <cell r="AL438"/>
          <cell r="AM438"/>
          <cell r="AN438"/>
          <cell r="AO438"/>
          <cell r="AQ438"/>
          <cell r="AR438"/>
          <cell r="AS438"/>
          <cell r="AT438"/>
          <cell r="AU438"/>
          <cell r="BZ438"/>
          <cell r="CA438"/>
          <cell r="DL438"/>
          <cell r="DM438"/>
          <cell r="DN438"/>
          <cell r="DP438"/>
          <cell r="DQ438"/>
          <cell r="DR438"/>
          <cell r="DS438"/>
          <cell r="DT438"/>
          <cell r="DU438"/>
          <cell r="DW438"/>
          <cell r="DX438"/>
          <cell r="DY438"/>
          <cell r="DZ438"/>
          <cell r="EA438"/>
          <cell r="EB438"/>
          <cell r="EC438"/>
          <cell r="ED438"/>
          <cell r="EG438"/>
          <cell r="EH438"/>
          <cell r="EI438"/>
        </row>
        <row r="439">
          <cell r="B439"/>
          <cell r="C439"/>
          <cell r="E439"/>
          <cell r="F439"/>
          <cell r="G439"/>
          <cell r="H439"/>
          <cell r="I439"/>
          <cell r="J439"/>
          <cell r="L439"/>
          <cell r="M439"/>
          <cell r="N439"/>
          <cell r="R439"/>
          <cell r="T439"/>
          <cell r="U439"/>
          <cell r="V439"/>
          <cell r="X439"/>
          <cell r="Z439"/>
          <cell r="AA439"/>
          <cell r="AB439"/>
          <cell r="AC439"/>
          <cell r="AD439"/>
          <cell r="AG439"/>
          <cell r="AI439"/>
          <cell r="AJ439"/>
          <cell r="AL439"/>
          <cell r="AM439"/>
          <cell r="AN439"/>
          <cell r="AO439"/>
          <cell r="AQ439"/>
          <cell r="AR439"/>
          <cell r="AS439"/>
          <cell r="AT439"/>
          <cell r="AU439"/>
          <cell r="BZ439"/>
          <cell r="CA439"/>
          <cell r="DL439"/>
          <cell r="DM439"/>
          <cell r="DN439"/>
          <cell r="DP439"/>
          <cell r="DQ439"/>
          <cell r="DR439"/>
          <cell r="DS439"/>
          <cell r="DT439"/>
          <cell r="DU439"/>
          <cell r="DW439"/>
          <cell r="DX439"/>
          <cell r="DY439"/>
          <cell r="DZ439"/>
          <cell r="EA439"/>
          <cell r="EB439"/>
          <cell r="EC439"/>
          <cell r="ED439"/>
          <cell r="EG439"/>
          <cell r="EH439"/>
          <cell r="EI439"/>
        </row>
        <row r="440">
          <cell r="B440"/>
          <cell r="C440"/>
          <cell r="E440"/>
          <cell r="F440"/>
          <cell r="G440"/>
          <cell r="H440"/>
          <cell r="I440"/>
          <cell r="J440"/>
          <cell r="L440"/>
          <cell r="M440"/>
          <cell r="N440"/>
          <cell r="R440"/>
          <cell r="T440"/>
          <cell r="U440"/>
          <cell r="V440"/>
          <cell r="X440"/>
          <cell r="Z440"/>
          <cell r="AA440"/>
          <cell r="AB440"/>
          <cell r="AC440"/>
          <cell r="AD440"/>
          <cell r="AG440"/>
          <cell r="AI440"/>
          <cell r="AJ440"/>
          <cell r="AL440"/>
          <cell r="AM440"/>
          <cell r="AN440"/>
          <cell r="AO440"/>
          <cell r="AQ440"/>
          <cell r="AR440"/>
          <cell r="AS440"/>
          <cell r="AT440"/>
          <cell r="AU440"/>
          <cell r="BZ440"/>
          <cell r="CA440"/>
          <cell r="DL440"/>
          <cell r="DM440"/>
          <cell r="DN440"/>
          <cell r="DP440"/>
          <cell r="DQ440"/>
          <cell r="DR440"/>
          <cell r="DS440"/>
          <cell r="DT440"/>
          <cell r="DU440"/>
          <cell r="DW440"/>
          <cell r="DX440"/>
          <cell r="DY440"/>
          <cell r="DZ440"/>
          <cell r="EA440"/>
          <cell r="EB440"/>
          <cell r="EC440"/>
          <cell r="ED440"/>
          <cell r="EG440"/>
          <cell r="EH440"/>
          <cell r="EI440"/>
        </row>
        <row r="441">
          <cell r="B441"/>
          <cell r="C441"/>
          <cell r="E441"/>
          <cell r="F441"/>
          <cell r="G441"/>
          <cell r="H441"/>
          <cell r="I441"/>
          <cell r="J441"/>
          <cell r="L441"/>
          <cell r="M441"/>
          <cell r="N441"/>
          <cell r="R441"/>
          <cell r="T441"/>
          <cell r="U441"/>
          <cell r="V441"/>
          <cell r="X441"/>
          <cell r="Z441"/>
          <cell r="AA441"/>
          <cell r="AB441"/>
          <cell r="AC441"/>
          <cell r="AD441"/>
          <cell r="AG441"/>
          <cell r="AI441"/>
          <cell r="AJ441"/>
          <cell r="AL441"/>
          <cell r="AM441"/>
          <cell r="AN441"/>
          <cell r="AO441"/>
          <cell r="AQ441"/>
          <cell r="AR441"/>
          <cell r="AS441"/>
          <cell r="AT441"/>
          <cell r="AU441"/>
          <cell r="BZ441"/>
          <cell r="CA441"/>
          <cell r="DL441"/>
          <cell r="DM441"/>
          <cell r="DN441"/>
          <cell r="DP441"/>
          <cell r="DQ441"/>
          <cell r="DR441"/>
          <cell r="DS441"/>
          <cell r="DT441"/>
          <cell r="DU441"/>
          <cell r="DW441"/>
          <cell r="DX441"/>
          <cell r="DY441"/>
          <cell r="DZ441"/>
          <cell r="EA441"/>
          <cell r="EB441"/>
          <cell r="EC441"/>
          <cell r="ED441"/>
          <cell r="EG441"/>
          <cell r="EH441"/>
          <cell r="EI441"/>
        </row>
        <row r="442">
          <cell r="B442"/>
          <cell r="C442"/>
          <cell r="E442"/>
          <cell r="F442"/>
          <cell r="G442"/>
          <cell r="H442"/>
          <cell r="I442"/>
          <cell r="J442"/>
          <cell r="L442"/>
          <cell r="M442"/>
          <cell r="N442"/>
          <cell r="R442"/>
          <cell r="T442"/>
          <cell r="U442"/>
          <cell r="V442"/>
          <cell r="X442"/>
          <cell r="Z442"/>
          <cell r="AA442"/>
          <cell r="AB442"/>
          <cell r="AC442"/>
          <cell r="AD442"/>
          <cell r="AG442"/>
          <cell r="AI442"/>
          <cell r="AJ442"/>
          <cell r="AL442"/>
          <cell r="AM442"/>
          <cell r="AN442"/>
          <cell r="AO442"/>
          <cell r="AQ442"/>
          <cell r="AR442"/>
          <cell r="AS442"/>
          <cell r="AT442"/>
          <cell r="AU442"/>
          <cell r="BZ442"/>
          <cell r="CA442"/>
          <cell r="DL442"/>
          <cell r="DM442"/>
          <cell r="DN442"/>
          <cell r="DP442"/>
          <cell r="DQ442"/>
          <cell r="DR442"/>
          <cell r="DS442"/>
          <cell r="DT442"/>
          <cell r="DU442"/>
          <cell r="DW442"/>
          <cell r="DX442"/>
          <cell r="DY442"/>
          <cell r="DZ442"/>
          <cell r="EA442"/>
          <cell r="EB442"/>
          <cell r="EC442"/>
          <cell r="ED442"/>
          <cell r="EG442"/>
          <cell r="EH442"/>
          <cell r="EI442"/>
        </row>
        <row r="443">
          <cell r="B443"/>
          <cell r="C443"/>
          <cell r="E443"/>
          <cell r="F443"/>
          <cell r="G443"/>
          <cell r="H443"/>
          <cell r="I443"/>
          <cell r="J443"/>
          <cell r="L443"/>
          <cell r="M443"/>
          <cell r="N443"/>
          <cell r="R443"/>
          <cell r="T443"/>
          <cell r="U443"/>
          <cell r="V443"/>
          <cell r="X443"/>
          <cell r="Z443"/>
          <cell r="AA443"/>
          <cell r="AB443"/>
          <cell r="AC443"/>
          <cell r="AD443"/>
          <cell r="AG443"/>
          <cell r="AI443"/>
          <cell r="AJ443"/>
          <cell r="AL443"/>
          <cell r="AM443"/>
          <cell r="AN443"/>
          <cell r="AO443"/>
          <cell r="AQ443"/>
          <cell r="AR443"/>
          <cell r="AS443"/>
          <cell r="AT443"/>
          <cell r="AU443"/>
          <cell r="BZ443"/>
          <cell r="CA443"/>
          <cell r="DL443"/>
          <cell r="DM443"/>
          <cell r="DN443"/>
          <cell r="DP443"/>
          <cell r="DQ443"/>
          <cell r="DR443"/>
          <cell r="DS443"/>
          <cell r="DT443"/>
          <cell r="DU443"/>
          <cell r="DW443"/>
          <cell r="DX443"/>
          <cell r="DY443"/>
          <cell r="DZ443"/>
          <cell r="EA443"/>
          <cell r="EB443"/>
          <cell r="EC443"/>
          <cell r="ED443"/>
          <cell r="EG443"/>
          <cell r="EH443"/>
          <cell r="EI443"/>
        </row>
        <row r="444">
          <cell r="B444"/>
          <cell r="C444"/>
          <cell r="E444"/>
          <cell r="F444"/>
          <cell r="G444"/>
          <cell r="H444"/>
          <cell r="I444"/>
          <cell r="J444"/>
          <cell r="L444"/>
          <cell r="M444"/>
          <cell r="N444"/>
          <cell r="R444"/>
          <cell r="T444"/>
          <cell r="U444"/>
          <cell r="V444"/>
          <cell r="X444"/>
          <cell r="Z444"/>
          <cell r="AA444"/>
          <cell r="AB444"/>
          <cell r="AC444"/>
          <cell r="AD444"/>
          <cell r="AG444"/>
          <cell r="AI444"/>
          <cell r="AJ444"/>
          <cell r="AL444"/>
          <cell r="AM444"/>
          <cell r="AN444"/>
          <cell r="AO444"/>
          <cell r="AQ444"/>
          <cell r="AR444"/>
          <cell r="AS444"/>
          <cell r="AT444"/>
          <cell r="AU444"/>
          <cell r="BZ444"/>
          <cell r="CA444"/>
          <cell r="DL444"/>
          <cell r="DM444"/>
          <cell r="DN444"/>
          <cell r="DP444"/>
          <cell r="DQ444"/>
          <cell r="DR444"/>
          <cell r="DS444"/>
          <cell r="DT444"/>
          <cell r="DU444"/>
          <cell r="DW444"/>
          <cell r="DX444"/>
          <cell r="DY444"/>
          <cell r="DZ444"/>
          <cell r="EA444"/>
          <cell r="EB444"/>
          <cell r="EC444"/>
          <cell r="ED444"/>
          <cell r="EG444"/>
          <cell r="EH444"/>
          <cell r="EI444"/>
        </row>
        <row r="445">
          <cell r="B445"/>
          <cell r="C445"/>
          <cell r="E445"/>
          <cell r="F445"/>
          <cell r="G445"/>
          <cell r="H445"/>
          <cell r="I445"/>
          <cell r="J445"/>
          <cell r="L445"/>
          <cell r="M445"/>
          <cell r="N445"/>
          <cell r="R445"/>
          <cell r="T445"/>
          <cell r="U445"/>
          <cell r="V445"/>
          <cell r="X445"/>
          <cell r="Z445"/>
          <cell r="AA445"/>
          <cell r="AB445"/>
          <cell r="AC445"/>
          <cell r="AD445"/>
          <cell r="AG445"/>
          <cell r="AI445"/>
          <cell r="AJ445"/>
          <cell r="AL445"/>
          <cell r="AM445"/>
          <cell r="AN445"/>
          <cell r="AO445"/>
          <cell r="AQ445"/>
          <cell r="AR445"/>
          <cell r="AS445"/>
          <cell r="AT445"/>
          <cell r="AU445"/>
          <cell r="BZ445"/>
          <cell r="CA445"/>
          <cell r="DL445"/>
          <cell r="DM445"/>
          <cell r="DN445"/>
          <cell r="DP445"/>
          <cell r="DQ445"/>
          <cell r="DR445"/>
          <cell r="DS445"/>
          <cell r="DT445"/>
          <cell r="DU445"/>
          <cell r="DW445"/>
          <cell r="DX445"/>
          <cell r="DY445"/>
          <cell r="DZ445"/>
          <cell r="EA445"/>
          <cell r="EB445"/>
          <cell r="EC445"/>
          <cell r="ED445"/>
          <cell r="EG445"/>
          <cell r="EH445"/>
          <cell r="EI445"/>
        </row>
        <row r="446">
          <cell r="B446"/>
          <cell r="C446"/>
          <cell r="E446"/>
          <cell r="F446"/>
          <cell r="G446"/>
          <cell r="H446"/>
          <cell r="I446"/>
          <cell r="J446"/>
          <cell r="L446"/>
          <cell r="M446"/>
          <cell r="N446"/>
          <cell r="R446"/>
          <cell r="T446"/>
          <cell r="U446"/>
          <cell r="V446"/>
          <cell r="X446"/>
          <cell r="Z446"/>
          <cell r="AA446"/>
          <cell r="AB446"/>
          <cell r="AC446"/>
          <cell r="AD446"/>
          <cell r="AG446"/>
          <cell r="AI446"/>
          <cell r="AJ446"/>
          <cell r="AL446"/>
          <cell r="AM446"/>
          <cell r="AN446"/>
          <cell r="AO446"/>
          <cell r="AQ446"/>
          <cell r="AR446"/>
          <cell r="AS446"/>
          <cell r="AT446"/>
          <cell r="AU446"/>
          <cell r="BZ446"/>
          <cell r="CA446"/>
          <cell r="DL446"/>
          <cell r="DM446"/>
          <cell r="DN446"/>
          <cell r="DP446"/>
          <cell r="DQ446"/>
          <cell r="DR446"/>
          <cell r="DS446"/>
          <cell r="DT446"/>
          <cell r="DU446"/>
          <cell r="DW446"/>
          <cell r="DX446"/>
          <cell r="DY446"/>
          <cell r="DZ446"/>
          <cell r="EA446"/>
          <cell r="EB446"/>
          <cell r="EC446"/>
          <cell r="ED446"/>
          <cell r="EG446"/>
          <cell r="EH446"/>
          <cell r="EI446"/>
        </row>
        <row r="447">
          <cell r="B447"/>
          <cell r="C447"/>
          <cell r="E447"/>
          <cell r="F447"/>
          <cell r="G447"/>
          <cell r="H447"/>
          <cell r="I447"/>
          <cell r="J447"/>
          <cell r="L447"/>
          <cell r="M447"/>
          <cell r="N447"/>
          <cell r="R447"/>
          <cell r="T447"/>
          <cell r="U447"/>
          <cell r="V447"/>
          <cell r="X447"/>
          <cell r="Z447"/>
          <cell r="AA447"/>
          <cell r="AB447"/>
          <cell r="AC447"/>
          <cell r="AD447"/>
          <cell r="AG447"/>
          <cell r="AI447"/>
          <cell r="AJ447"/>
          <cell r="AL447"/>
          <cell r="AM447"/>
          <cell r="AN447"/>
          <cell r="AO447"/>
          <cell r="AQ447"/>
          <cell r="AR447"/>
          <cell r="AS447"/>
          <cell r="AT447"/>
          <cell r="AU447"/>
          <cell r="BZ447"/>
          <cell r="CA447"/>
          <cell r="DL447"/>
          <cell r="DM447"/>
          <cell r="DN447"/>
          <cell r="DP447"/>
          <cell r="DQ447"/>
          <cell r="DR447"/>
          <cell r="DS447"/>
          <cell r="DT447"/>
          <cell r="DU447"/>
          <cell r="DW447"/>
          <cell r="DX447"/>
          <cell r="DY447"/>
          <cell r="DZ447"/>
          <cell r="EA447"/>
          <cell r="EB447"/>
          <cell r="EC447"/>
          <cell r="ED447"/>
          <cell r="EG447"/>
          <cell r="EH447"/>
          <cell r="EI447"/>
        </row>
        <row r="448">
          <cell r="B448"/>
          <cell r="C448"/>
          <cell r="E448"/>
          <cell r="F448"/>
          <cell r="G448"/>
          <cell r="H448"/>
          <cell r="I448"/>
          <cell r="J448"/>
          <cell r="L448"/>
          <cell r="M448"/>
          <cell r="N448"/>
          <cell r="R448"/>
          <cell r="T448"/>
          <cell r="U448"/>
          <cell r="V448"/>
          <cell r="X448"/>
          <cell r="Z448"/>
          <cell r="AA448"/>
          <cell r="AB448"/>
          <cell r="AC448"/>
          <cell r="AD448"/>
          <cell r="AG448"/>
          <cell r="AI448"/>
          <cell r="AJ448"/>
          <cell r="AL448"/>
          <cell r="AM448"/>
          <cell r="AN448"/>
          <cell r="AO448"/>
          <cell r="AQ448"/>
          <cell r="AR448"/>
          <cell r="AS448"/>
          <cell r="AT448"/>
          <cell r="AU448"/>
          <cell r="BZ448"/>
          <cell r="CA448"/>
          <cell r="DL448"/>
          <cell r="DM448"/>
          <cell r="DN448"/>
          <cell r="DP448"/>
          <cell r="DQ448"/>
          <cell r="DR448"/>
          <cell r="DS448"/>
          <cell r="DT448"/>
          <cell r="DU448"/>
          <cell r="DW448"/>
          <cell r="DX448"/>
          <cell r="DY448"/>
          <cell r="DZ448"/>
          <cell r="EA448"/>
          <cell r="EB448"/>
          <cell r="EC448"/>
          <cell r="ED448"/>
          <cell r="EG448"/>
          <cell r="EH448"/>
          <cell r="EI448"/>
        </row>
        <row r="449">
          <cell r="B449"/>
          <cell r="C449"/>
          <cell r="E449"/>
          <cell r="F449"/>
          <cell r="G449"/>
          <cell r="H449"/>
          <cell r="I449"/>
          <cell r="J449"/>
          <cell r="L449"/>
          <cell r="M449"/>
          <cell r="N449"/>
          <cell r="R449"/>
          <cell r="T449"/>
          <cell r="U449"/>
          <cell r="V449"/>
          <cell r="X449"/>
          <cell r="Z449"/>
          <cell r="AA449"/>
          <cell r="AB449"/>
          <cell r="AC449"/>
          <cell r="AD449"/>
          <cell r="AG449"/>
          <cell r="AI449"/>
          <cell r="AJ449"/>
          <cell r="AL449"/>
          <cell r="AM449"/>
          <cell r="AN449"/>
          <cell r="AO449"/>
          <cell r="AQ449"/>
          <cell r="AR449"/>
          <cell r="AS449"/>
          <cell r="AT449"/>
          <cell r="AU449"/>
          <cell r="BZ449"/>
          <cell r="CA449"/>
          <cell r="DL449"/>
          <cell r="DM449"/>
          <cell r="DN449"/>
          <cell r="DP449"/>
          <cell r="DQ449"/>
          <cell r="DR449"/>
          <cell r="DS449"/>
          <cell r="DT449"/>
          <cell r="DU449"/>
          <cell r="DW449"/>
          <cell r="DX449"/>
          <cell r="DY449"/>
          <cell r="DZ449"/>
          <cell r="EA449"/>
          <cell r="EB449"/>
          <cell r="EC449"/>
          <cell r="ED449"/>
          <cell r="EG449"/>
          <cell r="EH449"/>
          <cell r="EI449"/>
        </row>
        <row r="450">
          <cell r="B450"/>
          <cell r="C450"/>
          <cell r="E450"/>
          <cell r="F450"/>
          <cell r="G450"/>
          <cell r="H450"/>
          <cell r="I450"/>
          <cell r="J450"/>
          <cell r="L450"/>
          <cell r="M450"/>
          <cell r="N450"/>
          <cell r="R450"/>
          <cell r="T450"/>
          <cell r="U450"/>
          <cell r="V450"/>
          <cell r="X450"/>
          <cell r="Z450"/>
          <cell r="AA450"/>
          <cell r="AB450"/>
          <cell r="AC450"/>
          <cell r="AD450"/>
          <cell r="AG450"/>
          <cell r="AI450"/>
          <cell r="AJ450"/>
          <cell r="AL450"/>
          <cell r="AM450"/>
          <cell r="AN450"/>
          <cell r="AO450"/>
          <cell r="AQ450"/>
          <cell r="AR450"/>
          <cell r="AS450"/>
          <cell r="AT450"/>
          <cell r="AU450"/>
          <cell r="BZ450"/>
          <cell r="CA450"/>
          <cell r="DL450"/>
          <cell r="DM450"/>
          <cell r="DN450"/>
          <cell r="DP450"/>
          <cell r="DQ450"/>
          <cell r="DR450"/>
          <cell r="DS450"/>
          <cell r="DT450"/>
          <cell r="DU450"/>
          <cell r="DW450"/>
          <cell r="DX450"/>
          <cell r="DY450"/>
          <cell r="DZ450"/>
          <cell r="EA450"/>
          <cell r="EB450"/>
          <cell r="EC450"/>
          <cell r="ED450"/>
          <cell r="EG450"/>
          <cell r="EH450"/>
          <cell r="EI450"/>
        </row>
        <row r="451">
          <cell r="B451"/>
          <cell r="C451"/>
          <cell r="E451"/>
          <cell r="F451"/>
          <cell r="G451"/>
          <cell r="H451"/>
          <cell r="I451"/>
          <cell r="J451"/>
          <cell r="L451"/>
          <cell r="M451"/>
          <cell r="N451"/>
          <cell r="R451"/>
          <cell r="T451"/>
          <cell r="U451"/>
          <cell r="V451"/>
          <cell r="X451"/>
          <cell r="Z451"/>
          <cell r="AA451"/>
          <cell r="AB451"/>
          <cell r="AC451"/>
          <cell r="AD451"/>
          <cell r="AG451"/>
          <cell r="AI451"/>
          <cell r="AJ451"/>
          <cell r="AL451"/>
          <cell r="AM451"/>
          <cell r="AN451"/>
          <cell r="AO451"/>
          <cell r="AQ451"/>
          <cell r="AR451"/>
          <cell r="AS451"/>
          <cell r="AT451"/>
          <cell r="AU451"/>
          <cell r="BZ451"/>
          <cell r="CA451"/>
          <cell r="DL451"/>
          <cell r="DM451"/>
          <cell r="DN451"/>
          <cell r="DP451"/>
          <cell r="DQ451"/>
          <cell r="DR451"/>
          <cell r="DS451"/>
          <cell r="DT451"/>
          <cell r="DU451"/>
          <cell r="DW451"/>
          <cell r="DX451"/>
          <cell r="DY451"/>
          <cell r="DZ451"/>
          <cell r="EA451"/>
          <cell r="EB451"/>
          <cell r="EC451"/>
          <cell r="ED451"/>
          <cell r="EG451"/>
          <cell r="EH451"/>
          <cell r="EI451"/>
        </row>
        <row r="452">
          <cell r="B452"/>
          <cell r="C452"/>
          <cell r="E452"/>
          <cell r="F452"/>
          <cell r="G452"/>
          <cell r="H452"/>
          <cell r="I452"/>
          <cell r="J452"/>
          <cell r="L452"/>
          <cell r="M452"/>
          <cell r="N452"/>
          <cell r="R452"/>
          <cell r="T452"/>
          <cell r="U452"/>
          <cell r="V452"/>
          <cell r="X452"/>
          <cell r="Z452"/>
          <cell r="AA452"/>
          <cell r="AB452"/>
          <cell r="AC452"/>
          <cell r="AD452"/>
          <cell r="AG452"/>
          <cell r="AI452"/>
          <cell r="AJ452"/>
          <cell r="AL452"/>
          <cell r="AM452"/>
          <cell r="AN452"/>
          <cell r="AO452"/>
          <cell r="AQ452"/>
          <cell r="AR452"/>
          <cell r="AS452"/>
          <cell r="AT452"/>
          <cell r="AU452"/>
          <cell r="BZ452"/>
          <cell r="CA452"/>
          <cell r="DL452"/>
          <cell r="DM452"/>
          <cell r="DN452"/>
          <cell r="DP452"/>
          <cell r="DQ452"/>
          <cell r="DR452"/>
          <cell r="DS452"/>
          <cell r="DT452"/>
          <cell r="DU452"/>
          <cell r="DW452"/>
          <cell r="DX452"/>
          <cell r="DY452"/>
          <cell r="DZ452"/>
          <cell r="EA452"/>
          <cell r="EB452"/>
          <cell r="EC452"/>
          <cell r="ED452"/>
          <cell r="EG452"/>
          <cell r="EH452"/>
          <cell r="EI452"/>
        </row>
        <row r="453">
          <cell r="B453"/>
          <cell r="C453"/>
          <cell r="E453"/>
          <cell r="F453"/>
          <cell r="G453"/>
          <cell r="H453"/>
          <cell r="I453"/>
          <cell r="J453"/>
          <cell r="L453"/>
          <cell r="M453"/>
          <cell r="N453"/>
          <cell r="R453"/>
          <cell r="T453"/>
          <cell r="U453"/>
          <cell r="V453"/>
          <cell r="X453"/>
          <cell r="Z453"/>
          <cell r="AA453"/>
          <cell r="AB453"/>
          <cell r="AC453"/>
          <cell r="AD453"/>
          <cell r="AG453"/>
          <cell r="AI453"/>
          <cell r="AJ453"/>
          <cell r="AL453"/>
          <cell r="AM453"/>
          <cell r="AN453"/>
          <cell r="AO453"/>
          <cell r="AQ453"/>
          <cell r="AR453"/>
          <cell r="AS453"/>
          <cell r="AT453"/>
          <cell r="AU453"/>
          <cell r="BZ453"/>
          <cell r="CA453"/>
          <cell r="DL453"/>
          <cell r="DM453"/>
          <cell r="DN453"/>
          <cell r="DP453"/>
          <cell r="DQ453"/>
          <cell r="DR453"/>
          <cell r="DS453"/>
          <cell r="DT453"/>
          <cell r="DU453"/>
          <cell r="DW453"/>
          <cell r="DX453"/>
          <cell r="DY453"/>
          <cell r="DZ453"/>
          <cell r="EA453"/>
          <cell r="EB453"/>
          <cell r="EC453"/>
          <cell r="ED453"/>
          <cell r="EG453"/>
          <cell r="EH453"/>
          <cell r="EI453"/>
        </row>
        <row r="454">
          <cell r="B454"/>
          <cell r="C454"/>
          <cell r="E454"/>
          <cell r="F454"/>
          <cell r="G454"/>
          <cell r="H454"/>
          <cell r="I454"/>
          <cell r="J454"/>
          <cell r="L454"/>
          <cell r="M454"/>
          <cell r="N454"/>
          <cell r="R454"/>
          <cell r="T454"/>
          <cell r="U454"/>
          <cell r="V454"/>
          <cell r="X454"/>
          <cell r="Z454"/>
          <cell r="AA454"/>
          <cell r="AB454"/>
          <cell r="AC454"/>
          <cell r="AD454"/>
          <cell r="AG454"/>
          <cell r="AI454"/>
          <cell r="AJ454"/>
          <cell r="AL454"/>
          <cell r="AM454"/>
          <cell r="AN454"/>
          <cell r="AO454"/>
          <cell r="AQ454"/>
          <cell r="AR454"/>
          <cell r="AS454"/>
          <cell r="AT454"/>
          <cell r="AU454"/>
          <cell r="BZ454"/>
          <cell r="CA454"/>
          <cell r="DL454"/>
          <cell r="DM454"/>
          <cell r="DN454"/>
          <cell r="DP454"/>
          <cell r="DQ454"/>
          <cell r="DR454"/>
          <cell r="DS454"/>
          <cell r="DT454"/>
          <cell r="DU454"/>
          <cell r="DW454"/>
          <cell r="DX454"/>
          <cell r="DY454"/>
          <cell r="DZ454"/>
          <cell r="EA454"/>
          <cell r="EB454"/>
          <cell r="EC454"/>
          <cell r="ED454"/>
          <cell r="EG454"/>
          <cell r="EH454"/>
          <cell r="EI454"/>
        </row>
        <row r="455">
          <cell r="B455"/>
          <cell r="C455"/>
          <cell r="E455"/>
          <cell r="F455"/>
          <cell r="G455"/>
          <cell r="H455"/>
          <cell r="I455"/>
          <cell r="J455"/>
          <cell r="L455"/>
          <cell r="M455"/>
          <cell r="N455"/>
          <cell r="R455"/>
          <cell r="T455"/>
          <cell r="U455"/>
          <cell r="V455"/>
          <cell r="X455"/>
          <cell r="Z455"/>
          <cell r="AA455"/>
          <cell r="AB455"/>
          <cell r="AC455"/>
          <cell r="AD455"/>
          <cell r="AG455"/>
          <cell r="AI455"/>
          <cell r="AJ455"/>
          <cell r="AL455"/>
          <cell r="AM455"/>
          <cell r="AN455"/>
          <cell r="AO455"/>
          <cell r="AQ455"/>
          <cell r="AR455"/>
          <cell r="AS455"/>
          <cell r="AT455"/>
          <cell r="AU455"/>
          <cell r="BZ455"/>
          <cell r="CA455"/>
          <cell r="DL455"/>
          <cell r="DM455"/>
          <cell r="DN455"/>
          <cell r="DP455"/>
          <cell r="DQ455"/>
          <cell r="DR455"/>
          <cell r="DS455"/>
          <cell r="DT455"/>
          <cell r="DU455"/>
          <cell r="DW455"/>
          <cell r="DX455"/>
          <cell r="DY455"/>
          <cell r="DZ455"/>
          <cell r="EA455"/>
          <cell r="EB455"/>
          <cell r="EC455"/>
          <cell r="ED455"/>
          <cell r="EG455"/>
          <cell r="EH455"/>
          <cell r="EI455"/>
        </row>
        <row r="456">
          <cell r="B456"/>
          <cell r="C456"/>
          <cell r="E456"/>
          <cell r="F456"/>
          <cell r="G456"/>
          <cell r="H456"/>
          <cell r="I456"/>
          <cell r="J456"/>
          <cell r="L456"/>
          <cell r="M456"/>
          <cell r="N456"/>
          <cell r="R456"/>
          <cell r="T456"/>
          <cell r="U456"/>
          <cell r="V456"/>
          <cell r="X456"/>
          <cell r="Z456"/>
          <cell r="AA456"/>
          <cell r="AB456"/>
          <cell r="AC456"/>
          <cell r="AD456"/>
          <cell r="AG456"/>
          <cell r="AI456"/>
          <cell r="AJ456"/>
          <cell r="AL456"/>
          <cell r="AM456"/>
          <cell r="AN456"/>
          <cell r="AO456"/>
          <cell r="AQ456"/>
          <cell r="AR456"/>
          <cell r="AS456"/>
          <cell r="AT456"/>
          <cell r="AU456"/>
          <cell r="BZ456"/>
          <cell r="CA456"/>
          <cell r="DL456"/>
          <cell r="DM456"/>
          <cell r="DN456"/>
          <cell r="DP456"/>
          <cell r="DQ456"/>
          <cell r="DR456"/>
          <cell r="DS456"/>
          <cell r="DT456"/>
          <cell r="DU456"/>
          <cell r="DW456"/>
          <cell r="DX456"/>
          <cell r="DY456"/>
          <cell r="DZ456"/>
          <cell r="EA456"/>
          <cell r="EB456"/>
          <cell r="EC456"/>
          <cell r="ED456"/>
          <cell r="EG456"/>
          <cell r="EH456"/>
          <cell r="EI456"/>
        </row>
        <row r="457">
          <cell r="B457"/>
          <cell r="C457"/>
          <cell r="E457"/>
          <cell r="F457"/>
          <cell r="G457"/>
          <cell r="H457"/>
          <cell r="I457"/>
          <cell r="J457"/>
          <cell r="L457"/>
          <cell r="M457"/>
          <cell r="N457"/>
          <cell r="R457"/>
          <cell r="T457"/>
          <cell r="U457"/>
          <cell r="V457"/>
          <cell r="X457"/>
          <cell r="Z457"/>
          <cell r="AA457"/>
          <cell r="AB457"/>
          <cell r="AC457"/>
          <cell r="AD457"/>
          <cell r="AG457"/>
          <cell r="AI457"/>
          <cell r="AJ457"/>
          <cell r="AL457"/>
          <cell r="AM457"/>
          <cell r="AN457"/>
          <cell r="AO457"/>
          <cell r="AQ457"/>
          <cell r="AR457"/>
          <cell r="AS457"/>
          <cell r="AT457"/>
          <cell r="AU457"/>
          <cell r="BZ457"/>
          <cell r="CA457"/>
          <cell r="DL457"/>
          <cell r="DM457"/>
          <cell r="DN457"/>
          <cell r="DP457"/>
          <cell r="DQ457"/>
          <cell r="DR457"/>
          <cell r="DS457"/>
          <cell r="DT457"/>
          <cell r="DU457"/>
          <cell r="DW457"/>
          <cell r="DX457"/>
          <cell r="DY457"/>
          <cell r="DZ457"/>
          <cell r="EA457"/>
          <cell r="EB457"/>
          <cell r="EC457"/>
          <cell r="ED457"/>
          <cell r="EG457"/>
          <cell r="EH457"/>
          <cell r="EI457"/>
        </row>
        <row r="458">
          <cell r="B458"/>
          <cell r="C458"/>
          <cell r="E458"/>
          <cell r="F458"/>
          <cell r="G458"/>
          <cell r="H458"/>
          <cell r="I458"/>
          <cell r="J458"/>
          <cell r="L458"/>
          <cell r="M458"/>
          <cell r="N458"/>
          <cell r="R458"/>
          <cell r="T458"/>
          <cell r="U458"/>
          <cell r="V458"/>
          <cell r="X458"/>
          <cell r="Z458"/>
          <cell r="AA458"/>
          <cell r="AB458"/>
          <cell r="AC458"/>
          <cell r="AD458"/>
          <cell r="AG458"/>
          <cell r="AI458"/>
          <cell r="AJ458"/>
          <cell r="AL458"/>
          <cell r="AM458"/>
          <cell r="AN458"/>
          <cell r="AO458"/>
          <cell r="AQ458"/>
          <cell r="AR458"/>
          <cell r="AS458"/>
          <cell r="AT458"/>
          <cell r="AU458"/>
          <cell r="BZ458"/>
          <cell r="CA458"/>
          <cell r="DL458"/>
          <cell r="DM458"/>
          <cell r="DN458"/>
          <cell r="DP458"/>
          <cell r="DQ458"/>
          <cell r="DR458"/>
          <cell r="DS458"/>
          <cell r="DT458"/>
          <cell r="DU458"/>
          <cell r="DW458"/>
          <cell r="DX458"/>
          <cell r="DY458"/>
          <cell r="DZ458"/>
          <cell r="EA458"/>
          <cell r="EB458"/>
          <cell r="EC458"/>
          <cell r="ED458"/>
          <cell r="EG458"/>
          <cell r="EH458"/>
          <cell r="EI458"/>
        </row>
        <row r="459">
          <cell r="B459"/>
          <cell r="C459"/>
          <cell r="E459"/>
          <cell r="F459"/>
          <cell r="G459"/>
          <cell r="H459"/>
          <cell r="I459"/>
          <cell r="J459"/>
          <cell r="L459"/>
          <cell r="M459"/>
          <cell r="N459"/>
          <cell r="R459"/>
          <cell r="T459"/>
          <cell r="U459"/>
          <cell r="V459"/>
          <cell r="X459"/>
          <cell r="Z459"/>
          <cell r="AA459"/>
          <cell r="AB459"/>
          <cell r="AC459"/>
          <cell r="AD459"/>
          <cell r="AG459"/>
          <cell r="AI459"/>
          <cell r="AJ459"/>
          <cell r="AL459"/>
          <cell r="AM459"/>
          <cell r="AN459"/>
          <cell r="AO459"/>
          <cell r="AQ459"/>
          <cell r="AR459"/>
          <cell r="AS459"/>
          <cell r="AT459"/>
          <cell r="AU459"/>
          <cell r="BZ459"/>
          <cell r="CA459"/>
          <cell r="DL459"/>
          <cell r="DM459"/>
          <cell r="DN459"/>
          <cell r="DP459"/>
          <cell r="DQ459"/>
          <cell r="DR459"/>
          <cell r="DS459"/>
          <cell r="DT459"/>
          <cell r="DU459"/>
          <cell r="DW459"/>
          <cell r="DX459"/>
          <cell r="DY459"/>
          <cell r="DZ459"/>
          <cell r="EA459"/>
          <cell r="EB459"/>
          <cell r="EC459"/>
          <cell r="ED459"/>
          <cell r="EG459"/>
          <cell r="EH459"/>
          <cell r="EI459"/>
        </row>
        <row r="460">
          <cell r="B460"/>
          <cell r="C460"/>
          <cell r="E460"/>
          <cell r="F460"/>
          <cell r="G460"/>
          <cell r="H460"/>
          <cell r="I460"/>
          <cell r="J460"/>
          <cell r="L460"/>
          <cell r="M460"/>
          <cell r="N460"/>
          <cell r="R460"/>
          <cell r="T460"/>
          <cell r="U460"/>
          <cell r="V460"/>
          <cell r="X460"/>
          <cell r="Z460"/>
          <cell r="AA460"/>
          <cell r="AB460"/>
          <cell r="AC460"/>
          <cell r="AD460"/>
          <cell r="AG460"/>
          <cell r="AI460"/>
          <cell r="AJ460"/>
          <cell r="AL460"/>
          <cell r="AM460"/>
          <cell r="AN460"/>
          <cell r="AO460"/>
          <cell r="AQ460"/>
          <cell r="AR460"/>
          <cell r="AS460"/>
          <cell r="AT460"/>
          <cell r="AU460"/>
          <cell r="BZ460"/>
          <cell r="CA460"/>
          <cell r="DL460"/>
          <cell r="DM460"/>
          <cell r="DN460"/>
          <cell r="DP460"/>
          <cell r="DQ460"/>
          <cell r="DR460"/>
          <cell r="DS460"/>
          <cell r="DT460"/>
          <cell r="DU460"/>
          <cell r="DW460"/>
          <cell r="DX460"/>
          <cell r="DY460"/>
          <cell r="DZ460"/>
          <cell r="EA460"/>
          <cell r="EB460"/>
          <cell r="EC460"/>
          <cell r="ED460"/>
          <cell r="EG460"/>
          <cell r="EH460"/>
          <cell r="EI460"/>
        </row>
        <row r="461">
          <cell r="B461"/>
          <cell r="C461"/>
          <cell r="E461"/>
          <cell r="F461"/>
          <cell r="G461"/>
          <cell r="H461"/>
          <cell r="I461"/>
          <cell r="J461"/>
          <cell r="L461"/>
          <cell r="M461"/>
          <cell r="N461"/>
          <cell r="R461"/>
          <cell r="T461"/>
          <cell r="U461"/>
          <cell r="V461"/>
          <cell r="X461"/>
          <cell r="Z461"/>
          <cell r="AA461"/>
          <cell r="AB461"/>
          <cell r="AC461"/>
          <cell r="AD461"/>
          <cell r="AG461"/>
          <cell r="AI461"/>
          <cell r="AJ461"/>
          <cell r="AL461"/>
          <cell r="AM461"/>
          <cell r="AN461"/>
          <cell r="AO461"/>
          <cell r="AQ461"/>
          <cell r="AR461"/>
          <cell r="AS461"/>
          <cell r="AT461"/>
          <cell r="AU461"/>
          <cell r="BZ461"/>
          <cell r="CA461"/>
          <cell r="DL461"/>
          <cell r="DM461"/>
          <cell r="DN461"/>
          <cell r="DP461"/>
          <cell r="DQ461"/>
          <cell r="DR461"/>
          <cell r="DS461"/>
          <cell r="DT461"/>
          <cell r="DU461"/>
          <cell r="DW461"/>
          <cell r="DX461"/>
          <cell r="DY461"/>
          <cell r="DZ461"/>
          <cell r="EA461"/>
          <cell r="EB461"/>
          <cell r="EC461"/>
          <cell r="ED461"/>
          <cell r="EG461"/>
          <cell r="EH461"/>
          <cell r="EI461"/>
        </row>
        <row r="462">
          <cell r="B462"/>
          <cell r="C462"/>
          <cell r="E462"/>
          <cell r="F462"/>
          <cell r="G462"/>
          <cell r="H462"/>
          <cell r="I462"/>
          <cell r="J462"/>
          <cell r="L462"/>
          <cell r="M462"/>
          <cell r="N462"/>
          <cell r="R462"/>
          <cell r="T462"/>
          <cell r="U462"/>
          <cell r="V462"/>
          <cell r="X462"/>
          <cell r="Z462"/>
          <cell r="AA462"/>
          <cell r="AB462"/>
          <cell r="AC462"/>
          <cell r="AD462"/>
          <cell r="AG462"/>
          <cell r="AI462"/>
          <cell r="AJ462"/>
          <cell r="AL462"/>
          <cell r="AM462"/>
          <cell r="AN462"/>
          <cell r="AO462"/>
          <cell r="AQ462"/>
          <cell r="AR462"/>
          <cell r="AS462"/>
          <cell r="AT462"/>
          <cell r="AU462"/>
          <cell r="BZ462"/>
          <cell r="CA462"/>
          <cell r="DL462"/>
          <cell r="DM462"/>
          <cell r="DN462"/>
          <cell r="DP462"/>
          <cell r="DQ462"/>
          <cell r="DR462"/>
          <cell r="DS462"/>
          <cell r="DT462"/>
          <cell r="DU462"/>
          <cell r="DW462"/>
          <cell r="DX462"/>
          <cell r="DY462"/>
          <cell r="DZ462"/>
          <cell r="EA462"/>
          <cell r="EB462"/>
          <cell r="EC462"/>
          <cell r="ED462"/>
          <cell r="EG462"/>
          <cell r="EH462"/>
          <cell r="EI462"/>
        </row>
        <row r="463">
          <cell r="B463"/>
          <cell r="C463"/>
          <cell r="E463"/>
          <cell r="F463"/>
          <cell r="G463"/>
          <cell r="H463"/>
          <cell r="I463"/>
          <cell r="J463"/>
          <cell r="L463"/>
          <cell r="M463"/>
          <cell r="N463"/>
          <cell r="R463"/>
          <cell r="T463"/>
          <cell r="U463"/>
          <cell r="V463"/>
          <cell r="X463"/>
          <cell r="Z463"/>
          <cell r="AA463"/>
          <cell r="AB463"/>
          <cell r="AC463"/>
          <cell r="AD463"/>
          <cell r="AG463"/>
          <cell r="AI463"/>
          <cell r="AJ463"/>
          <cell r="AL463"/>
          <cell r="AM463"/>
          <cell r="AN463"/>
          <cell r="AO463"/>
          <cell r="AQ463"/>
          <cell r="AR463"/>
          <cell r="AS463"/>
          <cell r="AT463"/>
          <cell r="AU463"/>
          <cell r="BZ463"/>
          <cell r="CA463"/>
          <cell r="DL463"/>
          <cell r="DM463"/>
          <cell r="DN463"/>
          <cell r="DP463"/>
          <cell r="DQ463"/>
          <cell r="DR463"/>
          <cell r="DS463"/>
          <cell r="DT463"/>
          <cell r="DU463"/>
          <cell r="DW463"/>
          <cell r="DX463"/>
          <cell r="DY463"/>
          <cell r="DZ463"/>
          <cell r="EA463"/>
          <cell r="EB463"/>
          <cell r="EC463"/>
          <cell r="ED463"/>
          <cell r="EG463"/>
          <cell r="EH463"/>
          <cell r="EI463"/>
        </row>
        <row r="464">
          <cell r="B464"/>
          <cell r="C464"/>
          <cell r="E464"/>
          <cell r="F464"/>
          <cell r="G464"/>
          <cell r="H464"/>
          <cell r="I464"/>
          <cell r="J464"/>
          <cell r="L464"/>
          <cell r="M464"/>
          <cell r="N464"/>
          <cell r="R464"/>
          <cell r="T464"/>
          <cell r="U464"/>
          <cell r="V464"/>
          <cell r="X464"/>
          <cell r="Z464"/>
          <cell r="AA464"/>
          <cell r="AB464"/>
          <cell r="AC464"/>
          <cell r="AD464"/>
          <cell r="AG464"/>
          <cell r="AI464"/>
          <cell r="AJ464"/>
          <cell r="AL464"/>
          <cell r="AM464"/>
          <cell r="AN464"/>
          <cell r="AO464"/>
          <cell r="AQ464"/>
          <cell r="AR464"/>
          <cell r="AS464"/>
          <cell r="AT464"/>
          <cell r="AU464"/>
          <cell r="BZ464"/>
          <cell r="CA464"/>
          <cell r="DL464"/>
          <cell r="DM464"/>
          <cell r="DN464"/>
          <cell r="DP464"/>
          <cell r="DQ464"/>
          <cell r="DR464"/>
          <cell r="DS464"/>
          <cell r="DT464"/>
          <cell r="DU464"/>
          <cell r="DW464"/>
          <cell r="DX464"/>
          <cell r="DY464"/>
          <cell r="DZ464"/>
          <cell r="EA464"/>
          <cell r="EB464"/>
          <cell r="EC464"/>
          <cell r="ED464"/>
          <cell r="EG464"/>
          <cell r="EH464"/>
          <cell r="EI464"/>
        </row>
        <row r="465">
          <cell r="B465"/>
          <cell r="C465"/>
          <cell r="E465"/>
          <cell r="F465"/>
          <cell r="G465"/>
          <cell r="H465"/>
          <cell r="I465"/>
          <cell r="J465"/>
          <cell r="L465"/>
          <cell r="M465"/>
          <cell r="N465"/>
          <cell r="R465"/>
          <cell r="T465"/>
          <cell r="U465"/>
          <cell r="V465"/>
          <cell r="X465"/>
          <cell r="Z465"/>
          <cell r="AA465"/>
          <cell r="AB465"/>
          <cell r="AC465"/>
          <cell r="AD465"/>
          <cell r="AG465"/>
          <cell r="AI465"/>
          <cell r="AJ465"/>
          <cell r="AL465"/>
          <cell r="AM465"/>
          <cell r="AN465"/>
          <cell r="AO465"/>
          <cell r="AQ465"/>
          <cell r="AR465"/>
          <cell r="AS465"/>
          <cell r="AT465"/>
          <cell r="AU465"/>
          <cell r="BZ465"/>
          <cell r="CA465"/>
          <cell r="DL465"/>
          <cell r="DM465"/>
          <cell r="DN465"/>
          <cell r="DP465"/>
          <cell r="DQ465"/>
          <cell r="DR465"/>
          <cell r="DS465"/>
          <cell r="DT465"/>
          <cell r="DU465"/>
          <cell r="DW465"/>
          <cell r="DX465"/>
          <cell r="DY465"/>
          <cell r="DZ465"/>
          <cell r="EA465"/>
          <cell r="EB465"/>
          <cell r="EC465"/>
          <cell r="ED465"/>
          <cell r="EG465"/>
          <cell r="EH465"/>
          <cell r="EI465"/>
        </row>
        <row r="466">
          <cell r="B466"/>
          <cell r="C466"/>
          <cell r="E466"/>
          <cell r="F466"/>
          <cell r="G466"/>
          <cell r="H466"/>
          <cell r="I466"/>
          <cell r="J466"/>
          <cell r="L466"/>
          <cell r="M466"/>
          <cell r="N466"/>
          <cell r="R466"/>
          <cell r="T466"/>
          <cell r="U466"/>
          <cell r="V466"/>
          <cell r="X466"/>
          <cell r="Z466"/>
          <cell r="AA466"/>
          <cell r="AB466"/>
          <cell r="AC466"/>
          <cell r="AD466"/>
          <cell r="AG466"/>
          <cell r="AI466"/>
          <cell r="AJ466"/>
          <cell r="AL466"/>
          <cell r="AM466"/>
          <cell r="AN466"/>
          <cell r="AO466"/>
          <cell r="AQ466"/>
          <cell r="AR466"/>
          <cell r="AS466"/>
          <cell r="AT466"/>
          <cell r="AU466"/>
          <cell r="BZ466"/>
          <cell r="CA466"/>
          <cell r="DL466"/>
          <cell r="DM466"/>
          <cell r="DN466"/>
          <cell r="DP466"/>
          <cell r="DQ466"/>
          <cell r="DR466"/>
          <cell r="DS466"/>
          <cell r="DT466"/>
          <cell r="DU466"/>
          <cell r="DW466"/>
          <cell r="DX466"/>
          <cell r="DY466"/>
          <cell r="DZ466"/>
          <cell r="EA466"/>
          <cell r="EB466"/>
          <cell r="EC466"/>
          <cell r="ED466"/>
          <cell r="EG466"/>
          <cell r="EH466"/>
          <cell r="EI466"/>
        </row>
        <row r="467">
          <cell r="B467"/>
          <cell r="C467"/>
          <cell r="E467"/>
          <cell r="F467"/>
          <cell r="G467"/>
          <cell r="H467"/>
          <cell r="I467"/>
          <cell r="J467"/>
          <cell r="L467"/>
          <cell r="M467"/>
          <cell r="N467"/>
          <cell r="R467"/>
          <cell r="T467"/>
          <cell r="U467"/>
          <cell r="V467"/>
          <cell r="X467"/>
          <cell r="Z467"/>
          <cell r="AA467"/>
          <cell r="AB467"/>
          <cell r="AC467"/>
          <cell r="AD467"/>
          <cell r="AG467"/>
          <cell r="AI467"/>
          <cell r="AJ467"/>
          <cell r="AL467"/>
          <cell r="AM467"/>
          <cell r="AN467"/>
          <cell r="AO467"/>
          <cell r="AQ467"/>
          <cell r="AR467"/>
          <cell r="AS467"/>
          <cell r="AT467"/>
          <cell r="AU467"/>
          <cell r="BZ467"/>
          <cell r="CA467"/>
          <cell r="DL467"/>
          <cell r="DM467"/>
          <cell r="DN467"/>
          <cell r="DP467"/>
          <cell r="DQ467"/>
          <cell r="DR467"/>
          <cell r="DS467"/>
          <cell r="DT467"/>
          <cell r="DU467"/>
          <cell r="DW467"/>
          <cell r="DX467"/>
          <cell r="DY467"/>
          <cell r="DZ467"/>
          <cell r="EA467"/>
          <cell r="EB467"/>
          <cell r="EC467"/>
          <cell r="ED467"/>
          <cell r="EG467"/>
          <cell r="EH467"/>
          <cell r="EI467"/>
        </row>
        <row r="468">
          <cell r="B468"/>
          <cell r="C468"/>
          <cell r="E468"/>
          <cell r="F468"/>
          <cell r="G468"/>
          <cell r="H468"/>
          <cell r="I468"/>
          <cell r="J468"/>
          <cell r="L468"/>
          <cell r="M468"/>
          <cell r="N468"/>
          <cell r="R468"/>
          <cell r="T468"/>
          <cell r="U468"/>
          <cell r="V468"/>
          <cell r="X468"/>
          <cell r="Z468"/>
          <cell r="AA468"/>
          <cell r="AB468"/>
          <cell r="AC468"/>
          <cell r="AD468"/>
          <cell r="AG468"/>
          <cell r="AI468"/>
          <cell r="AJ468"/>
          <cell r="AL468"/>
          <cell r="AM468"/>
          <cell r="AN468"/>
          <cell r="AO468"/>
          <cell r="AQ468"/>
          <cell r="AR468"/>
          <cell r="AS468"/>
          <cell r="AT468"/>
          <cell r="AU468"/>
          <cell r="BZ468"/>
          <cell r="CA468"/>
          <cell r="DL468"/>
          <cell r="DM468"/>
          <cell r="DN468"/>
          <cell r="DP468"/>
          <cell r="DQ468"/>
          <cell r="DR468"/>
          <cell r="DS468"/>
          <cell r="DT468"/>
          <cell r="DU468"/>
          <cell r="DW468"/>
          <cell r="DX468"/>
          <cell r="DY468"/>
          <cell r="DZ468"/>
          <cell r="EA468"/>
          <cell r="EB468"/>
          <cell r="EC468"/>
          <cell r="ED468"/>
          <cell r="EG468"/>
          <cell r="EH468"/>
          <cell r="EI468"/>
        </row>
        <row r="469">
          <cell r="B469"/>
          <cell r="C469"/>
          <cell r="E469"/>
          <cell r="F469"/>
          <cell r="G469"/>
          <cell r="H469"/>
          <cell r="I469"/>
          <cell r="J469"/>
          <cell r="L469"/>
          <cell r="M469"/>
          <cell r="N469"/>
          <cell r="R469"/>
          <cell r="T469"/>
          <cell r="U469"/>
          <cell r="V469"/>
          <cell r="X469"/>
          <cell r="Z469"/>
          <cell r="AA469"/>
          <cell r="AB469"/>
          <cell r="AC469"/>
          <cell r="AD469"/>
          <cell r="AG469"/>
          <cell r="AI469"/>
          <cell r="AJ469"/>
          <cell r="AL469"/>
          <cell r="AM469"/>
          <cell r="AN469"/>
          <cell r="AO469"/>
          <cell r="AQ469"/>
          <cell r="AR469"/>
          <cell r="AS469"/>
          <cell r="AT469"/>
          <cell r="AU469"/>
          <cell r="BZ469"/>
          <cell r="CA469"/>
          <cell r="DL469"/>
          <cell r="DM469"/>
          <cell r="DN469"/>
          <cell r="DP469"/>
          <cell r="DQ469"/>
          <cell r="DR469"/>
          <cell r="DS469"/>
          <cell r="DT469"/>
          <cell r="DU469"/>
          <cell r="DW469"/>
          <cell r="DX469"/>
          <cell r="DY469"/>
          <cell r="DZ469"/>
          <cell r="EA469"/>
          <cell r="EB469"/>
          <cell r="EC469"/>
          <cell r="ED469"/>
          <cell r="EG469"/>
          <cell r="EH469"/>
          <cell r="EI469"/>
        </row>
        <row r="470">
          <cell r="B470"/>
          <cell r="C470"/>
          <cell r="E470"/>
          <cell r="F470"/>
          <cell r="G470"/>
          <cell r="H470"/>
          <cell r="I470"/>
          <cell r="J470"/>
          <cell r="L470"/>
          <cell r="M470"/>
          <cell r="N470"/>
          <cell r="R470"/>
          <cell r="T470"/>
          <cell r="U470"/>
          <cell r="V470"/>
          <cell r="X470"/>
          <cell r="Z470"/>
          <cell r="AA470"/>
          <cell r="AB470"/>
          <cell r="AC470"/>
          <cell r="AD470"/>
          <cell r="AG470"/>
          <cell r="AI470"/>
          <cell r="AJ470"/>
          <cell r="AL470"/>
          <cell r="AM470"/>
          <cell r="AN470"/>
          <cell r="AO470"/>
          <cell r="AQ470"/>
          <cell r="AR470"/>
          <cell r="AS470"/>
          <cell r="AT470"/>
          <cell r="AU470"/>
          <cell r="BZ470"/>
          <cell r="CA470"/>
          <cell r="DL470"/>
          <cell r="DM470"/>
          <cell r="DN470"/>
          <cell r="DP470"/>
          <cell r="DQ470"/>
          <cell r="DR470"/>
          <cell r="DS470"/>
          <cell r="DT470"/>
          <cell r="DU470"/>
          <cell r="DW470"/>
          <cell r="DX470"/>
          <cell r="DY470"/>
          <cell r="DZ470"/>
          <cell r="EA470"/>
          <cell r="EB470"/>
          <cell r="EC470"/>
          <cell r="ED470"/>
          <cell r="EG470"/>
          <cell r="EH470"/>
          <cell r="EI470"/>
        </row>
        <row r="471">
          <cell r="B471"/>
          <cell r="C471"/>
          <cell r="E471"/>
          <cell r="F471"/>
          <cell r="G471"/>
          <cell r="H471"/>
          <cell r="I471"/>
          <cell r="J471"/>
          <cell r="L471"/>
          <cell r="M471"/>
          <cell r="N471"/>
          <cell r="R471"/>
          <cell r="T471"/>
          <cell r="U471"/>
          <cell r="V471"/>
          <cell r="X471"/>
          <cell r="Z471"/>
          <cell r="AA471"/>
          <cell r="AB471"/>
          <cell r="AC471"/>
          <cell r="AD471"/>
          <cell r="AG471"/>
          <cell r="AI471"/>
          <cell r="AJ471"/>
          <cell r="AL471"/>
          <cell r="AM471"/>
          <cell r="AN471"/>
          <cell r="AO471"/>
          <cell r="AQ471"/>
          <cell r="AR471"/>
          <cell r="AS471"/>
          <cell r="AT471"/>
          <cell r="AU471"/>
          <cell r="BZ471"/>
          <cell r="CA471"/>
          <cell r="DL471"/>
          <cell r="DM471"/>
          <cell r="DN471"/>
          <cell r="DP471"/>
          <cell r="DQ471"/>
          <cell r="DR471"/>
          <cell r="DS471"/>
          <cell r="DT471"/>
          <cell r="DU471"/>
          <cell r="DW471"/>
          <cell r="DX471"/>
          <cell r="DY471"/>
          <cell r="DZ471"/>
          <cell r="EA471"/>
          <cell r="EB471"/>
          <cell r="EC471"/>
          <cell r="ED471"/>
          <cell r="EG471"/>
          <cell r="EH471"/>
          <cell r="EI471"/>
        </row>
        <row r="472">
          <cell r="B472"/>
          <cell r="C472"/>
          <cell r="E472"/>
          <cell r="F472"/>
          <cell r="G472"/>
          <cell r="H472"/>
          <cell r="I472"/>
          <cell r="J472"/>
          <cell r="L472"/>
          <cell r="M472"/>
          <cell r="N472"/>
          <cell r="R472"/>
          <cell r="T472"/>
          <cell r="U472"/>
          <cell r="V472"/>
          <cell r="X472"/>
          <cell r="Z472"/>
          <cell r="AA472"/>
          <cell r="AB472"/>
          <cell r="AC472"/>
          <cell r="AD472"/>
          <cell r="AG472"/>
          <cell r="AI472"/>
          <cell r="AJ472"/>
          <cell r="AL472"/>
          <cell r="AM472"/>
          <cell r="AN472"/>
          <cell r="AO472"/>
          <cell r="AQ472"/>
          <cell r="AR472"/>
          <cell r="AS472"/>
          <cell r="AT472"/>
          <cell r="AU472"/>
          <cell r="BZ472"/>
          <cell r="CA472"/>
          <cell r="DL472"/>
          <cell r="DM472"/>
          <cell r="DN472"/>
          <cell r="DP472"/>
          <cell r="DQ472"/>
          <cell r="DR472"/>
          <cell r="DS472"/>
          <cell r="DT472"/>
          <cell r="DU472"/>
          <cell r="DW472"/>
          <cell r="DX472"/>
          <cell r="DY472"/>
          <cell r="DZ472"/>
          <cell r="EA472"/>
          <cell r="EB472"/>
          <cell r="EC472"/>
          <cell r="ED472"/>
          <cell r="EG472"/>
          <cell r="EH472"/>
          <cell r="EI472"/>
        </row>
        <row r="473">
          <cell r="B473"/>
          <cell r="C473"/>
          <cell r="E473"/>
          <cell r="F473"/>
          <cell r="G473"/>
          <cell r="H473"/>
          <cell r="I473"/>
          <cell r="J473"/>
          <cell r="L473"/>
          <cell r="M473"/>
          <cell r="N473"/>
          <cell r="R473"/>
          <cell r="T473"/>
          <cell r="U473"/>
          <cell r="V473"/>
          <cell r="X473"/>
          <cell r="Z473"/>
          <cell r="AA473"/>
          <cell r="AB473"/>
          <cell r="AC473"/>
          <cell r="AD473"/>
          <cell r="AG473"/>
          <cell r="AI473"/>
          <cell r="AJ473"/>
          <cell r="AL473"/>
          <cell r="AM473"/>
          <cell r="AN473"/>
          <cell r="AO473"/>
          <cell r="AQ473"/>
          <cell r="AR473"/>
          <cell r="AS473"/>
          <cell r="AT473"/>
          <cell r="AU473"/>
          <cell r="BZ473"/>
          <cell r="CA473"/>
          <cell r="DL473"/>
          <cell r="DM473"/>
          <cell r="DN473"/>
          <cell r="DP473"/>
          <cell r="DQ473"/>
          <cell r="DR473"/>
          <cell r="DS473"/>
          <cell r="DT473"/>
          <cell r="DU473"/>
          <cell r="DW473"/>
          <cell r="DX473"/>
          <cell r="DY473"/>
          <cell r="DZ473"/>
          <cell r="EA473"/>
          <cell r="EB473"/>
          <cell r="EC473"/>
          <cell r="ED473"/>
          <cell r="EG473"/>
          <cell r="EH473"/>
          <cell r="EI473"/>
        </row>
        <row r="474">
          <cell r="B474"/>
          <cell r="C474"/>
          <cell r="E474"/>
          <cell r="F474"/>
          <cell r="G474"/>
          <cell r="H474"/>
          <cell r="I474"/>
          <cell r="J474"/>
          <cell r="L474"/>
          <cell r="M474"/>
          <cell r="N474"/>
          <cell r="R474"/>
          <cell r="T474"/>
          <cell r="U474"/>
          <cell r="V474"/>
          <cell r="X474"/>
          <cell r="Z474"/>
          <cell r="AA474"/>
          <cell r="AB474"/>
          <cell r="AC474"/>
          <cell r="AD474"/>
          <cell r="AG474"/>
          <cell r="AI474"/>
          <cell r="AJ474"/>
          <cell r="AL474"/>
          <cell r="AM474"/>
          <cell r="AN474"/>
          <cell r="AO474"/>
          <cell r="AQ474"/>
          <cell r="AR474"/>
          <cell r="AS474"/>
          <cell r="AT474"/>
          <cell r="AU474"/>
          <cell r="BZ474"/>
          <cell r="CA474"/>
          <cell r="DL474"/>
          <cell r="DM474"/>
          <cell r="DN474"/>
          <cell r="DP474"/>
          <cell r="DQ474"/>
          <cell r="DR474"/>
          <cell r="DS474"/>
          <cell r="DT474"/>
          <cell r="DU474"/>
          <cell r="DW474"/>
          <cell r="DX474"/>
          <cell r="DY474"/>
          <cell r="DZ474"/>
          <cell r="EA474"/>
          <cell r="EB474"/>
          <cell r="EC474"/>
          <cell r="ED474"/>
          <cell r="EG474"/>
          <cell r="EH474"/>
          <cell r="EI474"/>
        </row>
        <row r="475">
          <cell r="B475"/>
          <cell r="C475"/>
          <cell r="E475"/>
          <cell r="F475"/>
          <cell r="G475"/>
          <cell r="H475"/>
          <cell r="I475"/>
          <cell r="J475"/>
          <cell r="L475"/>
          <cell r="M475"/>
          <cell r="N475"/>
          <cell r="R475"/>
          <cell r="T475"/>
          <cell r="U475"/>
          <cell r="V475"/>
          <cell r="X475"/>
          <cell r="Z475"/>
          <cell r="AA475"/>
          <cell r="AB475"/>
          <cell r="AC475"/>
          <cell r="AD475"/>
          <cell r="AG475"/>
          <cell r="AI475"/>
          <cell r="AJ475"/>
          <cell r="AL475"/>
          <cell r="AM475"/>
          <cell r="AN475"/>
          <cell r="AO475"/>
          <cell r="AQ475"/>
          <cell r="AR475"/>
          <cell r="AS475"/>
          <cell r="AT475"/>
          <cell r="AU475"/>
          <cell r="BZ475"/>
          <cell r="CA475"/>
          <cell r="DL475"/>
          <cell r="DM475"/>
          <cell r="DN475"/>
          <cell r="DP475"/>
          <cell r="DQ475"/>
          <cell r="DR475"/>
          <cell r="DS475"/>
          <cell r="DT475"/>
          <cell r="DU475"/>
          <cell r="DW475"/>
          <cell r="DX475"/>
          <cell r="DY475"/>
          <cell r="DZ475"/>
          <cell r="EA475"/>
          <cell r="EB475"/>
          <cell r="EC475"/>
          <cell r="ED475"/>
          <cell r="EG475"/>
          <cell r="EH475"/>
          <cell r="EI475"/>
        </row>
        <row r="476">
          <cell r="B476"/>
          <cell r="C476"/>
          <cell r="E476"/>
          <cell r="F476"/>
          <cell r="G476"/>
          <cell r="H476"/>
          <cell r="I476"/>
          <cell r="J476"/>
          <cell r="L476"/>
          <cell r="M476"/>
          <cell r="N476"/>
          <cell r="R476"/>
          <cell r="T476"/>
          <cell r="U476"/>
          <cell r="V476"/>
          <cell r="X476"/>
          <cell r="Z476"/>
          <cell r="AA476"/>
          <cell r="AB476"/>
          <cell r="AC476"/>
          <cell r="AD476"/>
          <cell r="AG476"/>
          <cell r="AI476"/>
          <cell r="AJ476"/>
          <cell r="AL476"/>
          <cell r="AM476"/>
          <cell r="AN476"/>
          <cell r="AO476"/>
          <cell r="AQ476"/>
          <cell r="AR476"/>
          <cell r="AS476"/>
          <cell r="AT476"/>
          <cell r="AU476"/>
          <cell r="BZ476"/>
          <cell r="CA476"/>
          <cell r="DL476"/>
          <cell r="DM476"/>
          <cell r="DN476"/>
          <cell r="DP476"/>
          <cell r="DQ476"/>
          <cell r="DR476"/>
          <cell r="DS476"/>
          <cell r="DT476"/>
          <cell r="DU476"/>
          <cell r="DW476"/>
          <cell r="DX476"/>
          <cell r="DY476"/>
          <cell r="DZ476"/>
          <cell r="EA476"/>
          <cell r="EB476"/>
          <cell r="EC476"/>
          <cell r="ED476"/>
          <cell r="EG476"/>
          <cell r="EH476"/>
          <cell r="EI476"/>
        </row>
        <row r="477">
          <cell r="B477"/>
          <cell r="C477"/>
          <cell r="E477"/>
          <cell r="F477"/>
          <cell r="G477"/>
          <cell r="H477"/>
          <cell r="I477"/>
          <cell r="J477"/>
          <cell r="L477"/>
          <cell r="M477"/>
          <cell r="N477"/>
          <cell r="R477"/>
          <cell r="T477"/>
          <cell r="U477"/>
          <cell r="V477"/>
          <cell r="X477"/>
          <cell r="Z477"/>
          <cell r="AA477"/>
          <cell r="AB477"/>
          <cell r="AC477"/>
          <cell r="AD477"/>
          <cell r="AG477"/>
          <cell r="AI477"/>
          <cell r="AJ477"/>
          <cell r="AL477"/>
          <cell r="AM477"/>
          <cell r="AN477"/>
          <cell r="AO477"/>
          <cell r="AQ477"/>
          <cell r="AR477"/>
          <cell r="AS477"/>
          <cell r="AT477"/>
          <cell r="AU477"/>
          <cell r="BZ477"/>
          <cell r="CA477"/>
          <cell r="DL477"/>
          <cell r="DM477"/>
          <cell r="DN477"/>
          <cell r="DP477"/>
          <cell r="DQ477"/>
          <cell r="DR477"/>
          <cell r="DS477"/>
          <cell r="DT477"/>
          <cell r="DU477"/>
          <cell r="DW477"/>
          <cell r="DX477"/>
          <cell r="DY477"/>
          <cell r="DZ477"/>
          <cell r="EA477"/>
          <cell r="EB477"/>
          <cell r="EC477"/>
          <cell r="ED477"/>
          <cell r="EG477"/>
          <cell r="EH477"/>
          <cell r="EI477"/>
        </row>
        <row r="478">
          <cell r="B478"/>
          <cell r="C478"/>
          <cell r="E478"/>
          <cell r="F478"/>
          <cell r="G478"/>
          <cell r="H478"/>
          <cell r="I478"/>
          <cell r="J478"/>
          <cell r="L478"/>
          <cell r="M478"/>
          <cell r="N478"/>
          <cell r="R478"/>
          <cell r="T478"/>
          <cell r="U478"/>
          <cell r="V478"/>
          <cell r="X478"/>
          <cell r="Z478"/>
          <cell r="AA478"/>
          <cell r="AB478"/>
          <cell r="AC478"/>
          <cell r="AD478"/>
          <cell r="AG478"/>
          <cell r="AI478"/>
          <cell r="AJ478"/>
          <cell r="AL478"/>
          <cell r="AM478"/>
          <cell r="AN478"/>
          <cell r="AO478"/>
          <cell r="AQ478"/>
          <cell r="AR478"/>
          <cell r="AS478"/>
          <cell r="AT478"/>
          <cell r="AU478"/>
          <cell r="BZ478"/>
          <cell r="CA478"/>
          <cell r="DL478"/>
          <cell r="DM478"/>
          <cell r="DN478"/>
          <cell r="DP478"/>
          <cell r="DQ478"/>
          <cell r="DR478"/>
          <cell r="DS478"/>
          <cell r="DT478"/>
          <cell r="DU478"/>
          <cell r="DW478"/>
          <cell r="DX478"/>
          <cell r="DY478"/>
          <cell r="DZ478"/>
          <cell r="EA478"/>
          <cell r="EB478"/>
          <cell r="EC478"/>
          <cell r="ED478"/>
          <cell r="EG478"/>
          <cell r="EH478"/>
          <cell r="EI478"/>
        </row>
        <row r="479">
          <cell r="B479"/>
          <cell r="C479"/>
          <cell r="E479"/>
          <cell r="F479"/>
          <cell r="G479"/>
          <cell r="H479"/>
          <cell r="I479"/>
          <cell r="J479"/>
          <cell r="L479"/>
          <cell r="M479"/>
          <cell r="N479"/>
          <cell r="R479"/>
          <cell r="T479"/>
          <cell r="U479"/>
          <cell r="V479"/>
          <cell r="X479"/>
          <cell r="Z479"/>
          <cell r="AA479"/>
          <cell r="AB479"/>
          <cell r="AC479"/>
          <cell r="AD479"/>
          <cell r="AG479"/>
          <cell r="AI479"/>
          <cell r="AJ479"/>
          <cell r="AL479"/>
          <cell r="AM479"/>
          <cell r="AN479"/>
          <cell r="AO479"/>
          <cell r="AQ479"/>
          <cell r="AR479"/>
          <cell r="AS479"/>
          <cell r="AT479"/>
          <cell r="AU479"/>
          <cell r="BZ479"/>
          <cell r="CA479"/>
          <cell r="DL479"/>
          <cell r="DM479"/>
          <cell r="DN479"/>
          <cell r="DP479"/>
          <cell r="DQ479"/>
          <cell r="DR479"/>
          <cell r="DS479"/>
          <cell r="DT479"/>
          <cell r="DU479"/>
          <cell r="DW479"/>
          <cell r="DX479"/>
          <cell r="DY479"/>
          <cell r="DZ479"/>
          <cell r="EA479"/>
          <cell r="EB479"/>
          <cell r="EC479"/>
          <cell r="ED479"/>
          <cell r="EG479"/>
          <cell r="EH479"/>
          <cell r="EI479"/>
        </row>
        <row r="480">
          <cell r="B480"/>
          <cell r="C480"/>
          <cell r="E480"/>
          <cell r="F480"/>
          <cell r="G480"/>
          <cell r="H480"/>
          <cell r="I480"/>
          <cell r="J480"/>
          <cell r="L480"/>
          <cell r="M480"/>
          <cell r="N480"/>
          <cell r="R480"/>
          <cell r="T480"/>
          <cell r="U480"/>
          <cell r="V480"/>
          <cell r="X480"/>
          <cell r="Z480"/>
          <cell r="AA480"/>
          <cell r="AB480"/>
          <cell r="AC480"/>
          <cell r="AD480"/>
          <cell r="AG480"/>
          <cell r="AI480"/>
          <cell r="AJ480"/>
          <cell r="AL480"/>
          <cell r="AM480"/>
          <cell r="AN480"/>
          <cell r="AO480"/>
          <cell r="AQ480"/>
          <cell r="AR480"/>
          <cell r="AS480"/>
          <cell r="AT480"/>
          <cell r="AU480"/>
          <cell r="BZ480"/>
          <cell r="CA480"/>
          <cell r="DL480"/>
          <cell r="DM480"/>
          <cell r="DN480"/>
          <cell r="DP480"/>
          <cell r="DQ480"/>
          <cell r="DR480"/>
          <cell r="DS480"/>
          <cell r="DT480"/>
          <cell r="DU480"/>
          <cell r="DW480"/>
          <cell r="DX480"/>
          <cell r="DY480"/>
          <cell r="DZ480"/>
          <cell r="EA480"/>
          <cell r="EB480"/>
          <cell r="EC480"/>
          <cell r="ED480"/>
          <cell r="EG480"/>
          <cell r="EH480"/>
          <cell r="EI480"/>
        </row>
        <row r="481">
          <cell r="B481"/>
          <cell r="C481"/>
          <cell r="E481"/>
          <cell r="F481"/>
          <cell r="G481"/>
          <cell r="H481"/>
          <cell r="I481"/>
          <cell r="J481"/>
          <cell r="L481"/>
          <cell r="M481"/>
          <cell r="N481"/>
          <cell r="R481"/>
          <cell r="T481"/>
          <cell r="U481"/>
          <cell r="V481"/>
          <cell r="X481"/>
          <cell r="Z481"/>
          <cell r="AA481"/>
          <cell r="AB481"/>
          <cell r="AC481"/>
          <cell r="AD481"/>
          <cell r="AG481"/>
          <cell r="AI481"/>
          <cell r="AJ481"/>
          <cell r="AL481"/>
          <cell r="AM481"/>
          <cell r="AN481"/>
          <cell r="AO481"/>
          <cell r="AQ481"/>
          <cell r="AR481"/>
          <cell r="AS481"/>
          <cell r="AT481"/>
          <cell r="AU481"/>
          <cell r="BZ481"/>
          <cell r="CA481"/>
          <cell r="DL481"/>
          <cell r="DM481"/>
          <cell r="DN481"/>
          <cell r="DP481"/>
          <cell r="DQ481"/>
          <cell r="DR481"/>
          <cell r="DS481"/>
          <cell r="DT481"/>
          <cell r="DU481"/>
          <cell r="DW481"/>
          <cell r="DX481"/>
          <cell r="DY481"/>
          <cell r="DZ481"/>
          <cell r="EA481"/>
          <cell r="EB481"/>
          <cell r="EC481"/>
          <cell r="ED481"/>
          <cell r="EG481"/>
          <cell r="EH481"/>
          <cell r="EI481"/>
        </row>
        <row r="482">
          <cell r="B482"/>
          <cell r="C482"/>
          <cell r="E482"/>
          <cell r="F482"/>
          <cell r="G482"/>
          <cell r="H482"/>
          <cell r="I482"/>
          <cell r="J482"/>
          <cell r="L482"/>
          <cell r="M482"/>
          <cell r="N482"/>
          <cell r="R482"/>
          <cell r="T482"/>
          <cell r="U482"/>
          <cell r="V482"/>
          <cell r="X482"/>
          <cell r="Z482"/>
          <cell r="AA482"/>
          <cell r="AB482"/>
          <cell r="AC482"/>
          <cell r="AD482"/>
          <cell r="AG482"/>
          <cell r="AI482"/>
          <cell r="AJ482"/>
          <cell r="AL482"/>
          <cell r="AM482"/>
          <cell r="AN482"/>
          <cell r="AO482"/>
          <cell r="AQ482"/>
          <cell r="AR482"/>
          <cell r="AS482"/>
          <cell r="AT482"/>
          <cell r="AU482"/>
          <cell r="BZ482"/>
          <cell r="CA482"/>
          <cell r="DL482"/>
          <cell r="DM482"/>
          <cell r="DN482"/>
          <cell r="DP482"/>
          <cell r="DQ482"/>
          <cell r="DR482"/>
          <cell r="DS482"/>
          <cell r="DT482"/>
          <cell r="DU482"/>
          <cell r="DW482"/>
          <cell r="DX482"/>
          <cell r="DY482"/>
          <cell r="DZ482"/>
          <cell r="EA482"/>
          <cell r="EB482"/>
          <cell r="EC482"/>
          <cell r="ED482"/>
          <cell r="EG482"/>
          <cell r="EH482"/>
          <cell r="EI482"/>
        </row>
        <row r="483">
          <cell r="B483"/>
          <cell r="C483"/>
          <cell r="E483"/>
          <cell r="F483"/>
          <cell r="G483"/>
          <cell r="H483"/>
          <cell r="I483"/>
          <cell r="J483"/>
          <cell r="L483"/>
          <cell r="M483"/>
          <cell r="N483"/>
          <cell r="R483"/>
          <cell r="T483"/>
          <cell r="U483"/>
          <cell r="V483"/>
          <cell r="X483"/>
          <cell r="Z483"/>
          <cell r="AA483"/>
          <cell r="AB483"/>
          <cell r="AC483"/>
          <cell r="AD483"/>
          <cell r="AG483"/>
          <cell r="AI483"/>
          <cell r="AJ483"/>
          <cell r="AL483"/>
          <cell r="AM483"/>
          <cell r="AN483"/>
          <cell r="AO483"/>
          <cell r="AQ483"/>
          <cell r="AR483"/>
          <cell r="AS483"/>
          <cell r="AT483"/>
          <cell r="AU483"/>
          <cell r="BZ483"/>
          <cell r="CA483"/>
          <cell r="DL483"/>
          <cell r="DM483"/>
          <cell r="DN483"/>
          <cell r="DP483"/>
          <cell r="DQ483"/>
          <cell r="DR483"/>
          <cell r="DS483"/>
          <cell r="DT483"/>
          <cell r="DU483"/>
          <cell r="DW483"/>
          <cell r="DX483"/>
          <cell r="DY483"/>
          <cell r="DZ483"/>
          <cell r="EA483"/>
          <cell r="EB483"/>
          <cell r="EC483"/>
          <cell r="ED483"/>
          <cell r="EG483"/>
          <cell r="EH483"/>
          <cell r="EI483"/>
        </row>
        <row r="484">
          <cell r="B484"/>
          <cell r="C484"/>
          <cell r="E484"/>
          <cell r="F484"/>
          <cell r="G484"/>
          <cell r="H484"/>
          <cell r="I484"/>
          <cell r="J484"/>
          <cell r="L484"/>
          <cell r="M484"/>
          <cell r="N484"/>
          <cell r="R484"/>
          <cell r="T484"/>
          <cell r="U484"/>
          <cell r="V484"/>
          <cell r="X484"/>
          <cell r="Z484"/>
          <cell r="AA484"/>
          <cell r="AB484"/>
          <cell r="AC484"/>
          <cell r="AD484"/>
          <cell r="AG484"/>
          <cell r="AI484"/>
          <cell r="AJ484"/>
          <cell r="AL484"/>
          <cell r="AM484"/>
          <cell r="AN484"/>
          <cell r="AO484"/>
          <cell r="AQ484"/>
          <cell r="AR484"/>
          <cell r="AS484"/>
          <cell r="AT484"/>
          <cell r="AU484"/>
          <cell r="BZ484"/>
          <cell r="CA484"/>
          <cell r="DL484"/>
          <cell r="DM484"/>
          <cell r="DN484"/>
          <cell r="DP484"/>
          <cell r="DQ484"/>
          <cell r="DR484"/>
          <cell r="DS484"/>
          <cell r="DT484"/>
          <cell r="DU484"/>
          <cell r="DW484"/>
          <cell r="DX484"/>
          <cell r="DY484"/>
          <cell r="DZ484"/>
          <cell r="EA484"/>
          <cell r="EB484"/>
          <cell r="EC484"/>
          <cell r="ED484"/>
          <cell r="EG484"/>
          <cell r="EH484"/>
          <cell r="EI484"/>
        </row>
        <row r="485">
          <cell r="B485"/>
          <cell r="C485"/>
          <cell r="E485"/>
          <cell r="F485"/>
          <cell r="G485"/>
          <cell r="H485"/>
          <cell r="I485"/>
          <cell r="J485"/>
          <cell r="L485"/>
          <cell r="M485"/>
          <cell r="N485"/>
          <cell r="R485"/>
          <cell r="T485"/>
          <cell r="U485"/>
          <cell r="V485"/>
          <cell r="X485"/>
          <cell r="Z485"/>
          <cell r="AA485"/>
          <cell r="AB485"/>
          <cell r="AC485"/>
          <cell r="AD485"/>
          <cell r="AG485"/>
          <cell r="AI485"/>
          <cell r="AJ485"/>
          <cell r="AL485"/>
          <cell r="AM485"/>
          <cell r="AN485"/>
          <cell r="AO485"/>
          <cell r="AQ485"/>
          <cell r="AR485"/>
          <cell r="AS485"/>
          <cell r="AT485"/>
          <cell r="AU485"/>
          <cell r="BZ485"/>
          <cell r="CA485"/>
          <cell r="DL485"/>
          <cell r="DM485"/>
          <cell r="DN485"/>
          <cell r="DP485"/>
          <cell r="DQ485"/>
          <cell r="DR485"/>
          <cell r="DS485"/>
          <cell r="DT485"/>
          <cell r="DU485"/>
          <cell r="DW485"/>
          <cell r="DX485"/>
          <cell r="DY485"/>
          <cell r="DZ485"/>
          <cell r="EA485"/>
          <cell r="EB485"/>
          <cell r="EC485"/>
          <cell r="ED485"/>
          <cell r="EG485"/>
          <cell r="EH485"/>
          <cell r="EI485"/>
        </row>
        <row r="486">
          <cell r="B486"/>
          <cell r="C486"/>
          <cell r="E486"/>
          <cell r="F486"/>
          <cell r="G486"/>
          <cell r="H486"/>
          <cell r="I486"/>
          <cell r="J486"/>
          <cell r="L486"/>
          <cell r="M486"/>
          <cell r="N486"/>
          <cell r="R486"/>
          <cell r="T486"/>
          <cell r="U486"/>
          <cell r="V486"/>
          <cell r="X486"/>
          <cell r="Z486"/>
          <cell r="AA486"/>
          <cell r="AB486"/>
          <cell r="AC486"/>
          <cell r="AD486"/>
          <cell r="AG486"/>
          <cell r="AI486"/>
          <cell r="AJ486"/>
          <cell r="AL486"/>
          <cell r="AM486"/>
          <cell r="AN486"/>
          <cell r="AO486"/>
          <cell r="AQ486"/>
          <cell r="AR486"/>
          <cell r="AS486"/>
          <cell r="AT486"/>
          <cell r="AU486"/>
          <cell r="BZ486"/>
          <cell r="CA486"/>
          <cell r="DL486"/>
          <cell r="DM486"/>
          <cell r="DN486"/>
          <cell r="DP486"/>
          <cell r="DQ486"/>
          <cell r="DR486"/>
          <cell r="DS486"/>
          <cell r="DT486"/>
          <cell r="DU486"/>
          <cell r="DW486"/>
          <cell r="DX486"/>
          <cell r="DY486"/>
          <cell r="DZ486"/>
          <cell r="EA486"/>
          <cell r="EB486"/>
          <cell r="EC486"/>
          <cell r="ED486"/>
          <cell r="EG486"/>
          <cell r="EH486"/>
          <cell r="EI486"/>
        </row>
        <row r="487">
          <cell r="B487"/>
          <cell r="C487"/>
          <cell r="E487"/>
          <cell r="F487"/>
          <cell r="G487"/>
          <cell r="H487"/>
          <cell r="I487"/>
          <cell r="J487"/>
          <cell r="L487"/>
          <cell r="M487"/>
          <cell r="N487"/>
          <cell r="R487"/>
          <cell r="T487"/>
          <cell r="U487"/>
          <cell r="V487"/>
          <cell r="X487"/>
          <cell r="Z487"/>
          <cell r="AA487"/>
          <cell r="AB487"/>
          <cell r="AC487"/>
          <cell r="AD487"/>
          <cell r="AG487"/>
          <cell r="AI487"/>
          <cell r="AJ487"/>
          <cell r="AL487"/>
          <cell r="AM487"/>
          <cell r="AN487"/>
          <cell r="AO487"/>
          <cell r="AQ487"/>
          <cell r="AR487"/>
          <cell r="AS487"/>
          <cell r="AT487"/>
          <cell r="AU487"/>
          <cell r="BZ487"/>
          <cell r="CA487"/>
          <cell r="DL487"/>
          <cell r="DM487"/>
          <cell r="DN487"/>
          <cell r="DP487"/>
          <cell r="DQ487"/>
          <cell r="DR487"/>
          <cell r="DS487"/>
          <cell r="DT487"/>
          <cell r="DU487"/>
          <cell r="DW487"/>
          <cell r="DX487"/>
          <cell r="DY487"/>
          <cell r="DZ487"/>
          <cell r="EA487"/>
          <cell r="EB487"/>
          <cell r="EC487"/>
          <cell r="ED487"/>
          <cell r="EG487"/>
          <cell r="EH487"/>
          <cell r="EI487"/>
        </row>
        <row r="488">
          <cell r="B488"/>
          <cell r="C488"/>
          <cell r="E488"/>
          <cell r="F488"/>
          <cell r="G488"/>
          <cell r="H488"/>
          <cell r="I488"/>
          <cell r="J488"/>
          <cell r="L488"/>
          <cell r="M488"/>
          <cell r="N488"/>
          <cell r="R488"/>
          <cell r="T488"/>
          <cell r="U488"/>
          <cell r="V488"/>
          <cell r="X488"/>
          <cell r="Z488"/>
          <cell r="AA488"/>
          <cell r="AB488"/>
          <cell r="AC488"/>
          <cell r="AD488"/>
          <cell r="AG488"/>
          <cell r="AI488"/>
          <cell r="AJ488"/>
          <cell r="AL488"/>
          <cell r="AM488"/>
          <cell r="AN488"/>
          <cell r="AO488"/>
          <cell r="AQ488"/>
          <cell r="AR488"/>
          <cell r="AS488"/>
          <cell r="AT488"/>
          <cell r="AU488"/>
          <cell r="BZ488"/>
          <cell r="CA488"/>
          <cell r="DL488"/>
          <cell r="DM488"/>
          <cell r="DN488"/>
          <cell r="DP488"/>
          <cell r="DQ488"/>
          <cell r="DR488"/>
          <cell r="DS488"/>
          <cell r="DT488"/>
          <cell r="DU488"/>
          <cell r="DW488"/>
          <cell r="DX488"/>
          <cell r="DY488"/>
          <cell r="DZ488"/>
          <cell r="EA488"/>
          <cell r="EB488"/>
          <cell r="EC488"/>
          <cell r="ED488"/>
          <cell r="EG488"/>
          <cell r="EH488"/>
          <cell r="EI488"/>
        </row>
        <row r="489">
          <cell r="B489"/>
          <cell r="C489"/>
          <cell r="E489"/>
          <cell r="F489"/>
          <cell r="G489"/>
          <cell r="H489"/>
          <cell r="I489"/>
          <cell r="J489"/>
          <cell r="L489"/>
          <cell r="M489"/>
          <cell r="N489"/>
          <cell r="R489"/>
          <cell r="T489"/>
          <cell r="U489"/>
          <cell r="V489"/>
          <cell r="X489"/>
          <cell r="Z489"/>
          <cell r="AA489"/>
          <cell r="AB489"/>
          <cell r="AC489"/>
          <cell r="AD489"/>
          <cell r="AG489"/>
          <cell r="AI489"/>
          <cell r="AJ489"/>
          <cell r="AL489"/>
          <cell r="AM489"/>
          <cell r="AN489"/>
          <cell r="AO489"/>
          <cell r="AQ489"/>
          <cell r="AR489"/>
          <cell r="AS489"/>
          <cell r="AT489"/>
          <cell r="AU489"/>
          <cell r="BZ489"/>
          <cell r="CA489"/>
          <cell r="DL489"/>
          <cell r="DM489"/>
          <cell r="DN489"/>
          <cell r="DP489"/>
          <cell r="DQ489"/>
          <cell r="DR489"/>
          <cell r="DS489"/>
          <cell r="DT489"/>
          <cell r="DU489"/>
          <cell r="DW489"/>
          <cell r="DX489"/>
          <cell r="DY489"/>
          <cell r="DZ489"/>
          <cell r="EA489"/>
          <cell r="EB489"/>
          <cell r="EC489"/>
          <cell r="ED489"/>
          <cell r="EG489"/>
          <cell r="EH489"/>
          <cell r="EI489"/>
        </row>
        <row r="490">
          <cell r="B490"/>
          <cell r="C490"/>
          <cell r="E490"/>
          <cell r="F490"/>
          <cell r="G490"/>
          <cell r="H490"/>
          <cell r="I490"/>
          <cell r="J490"/>
          <cell r="L490"/>
          <cell r="M490"/>
          <cell r="N490"/>
          <cell r="R490"/>
          <cell r="T490"/>
          <cell r="U490"/>
          <cell r="V490"/>
          <cell r="X490"/>
          <cell r="Z490"/>
          <cell r="AA490"/>
          <cell r="AB490"/>
          <cell r="AC490"/>
          <cell r="AD490"/>
          <cell r="AG490"/>
          <cell r="AI490"/>
          <cell r="AJ490"/>
          <cell r="AL490"/>
          <cell r="AM490"/>
          <cell r="AN490"/>
          <cell r="AO490"/>
          <cell r="AQ490"/>
          <cell r="AR490"/>
          <cell r="AS490"/>
          <cell r="AT490"/>
          <cell r="AU490"/>
          <cell r="BZ490"/>
          <cell r="CA490"/>
          <cell r="DL490"/>
          <cell r="DM490"/>
          <cell r="DN490"/>
          <cell r="DP490"/>
          <cell r="DQ490"/>
          <cell r="DR490"/>
          <cell r="DS490"/>
          <cell r="DT490"/>
          <cell r="DU490"/>
          <cell r="DW490"/>
          <cell r="DX490"/>
          <cell r="DY490"/>
          <cell r="DZ490"/>
          <cell r="EA490"/>
          <cell r="EB490"/>
          <cell r="EC490"/>
          <cell r="ED490"/>
          <cell r="EG490"/>
          <cell r="EH490"/>
          <cell r="EI490"/>
        </row>
        <row r="491">
          <cell r="B491"/>
          <cell r="C491"/>
          <cell r="E491"/>
          <cell r="F491"/>
          <cell r="G491"/>
          <cell r="H491"/>
          <cell r="I491"/>
          <cell r="J491"/>
          <cell r="L491"/>
          <cell r="M491"/>
          <cell r="N491"/>
          <cell r="R491"/>
          <cell r="T491"/>
          <cell r="U491"/>
          <cell r="V491"/>
          <cell r="X491"/>
          <cell r="Z491"/>
          <cell r="AA491"/>
          <cell r="AB491"/>
          <cell r="AC491"/>
          <cell r="AD491"/>
          <cell r="AG491"/>
          <cell r="AI491"/>
          <cell r="AJ491"/>
          <cell r="AL491"/>
          <cell r="AM491"/>
          <cell r="AN491"/>
          <cell r="AO491"/>
          <cell r="AQ491"/>
          <cell r="AR491"/>
          <cell r="AS491"/>
          <cell r="AT491"/>
          <cell r="AU491"/>
          <cell r="BZ491"/>
          <cell r="CA491"/>
          <cell r="DL491"/>
          <cell r="DM491"/>
          <cell r="DN491"/>
          <cell r="DP491"/>
          <cell r="DQ491"/>
          <cell r="DR491"/>
          <cell r="DS491"/>
          <cell r="DT491"/>
          <cell r="DU491"/>
          <cell r="DW491"/>
          <cell r="DX491"/>
          <cell r="DY491"/>
          <cell r="DZ491"/>
          <cell r="EA491"/>
          <cell r="EB491"/>
          <cell r="EC491"/>
          <cell r="ED491"/>
          <cell r="EG491"/>
          <cell r="EH491"/>
          <cell r="EI491"/>
        </row>
        <row r="492">
          <cell r="B492"/>
          <cell r="C492"/>
          <cell r="E492"/>
          <cell r="F492"/>
          <cell r="G492"/>
          <cell r="H492"/>
          <cell r="I492"/>
          <cell r="J492"/>
          <cell r="L492"/>
          <cell r="M492"/>
          <cell r="N492"/>
          <cell r="R492"/>
          <cell r="T492"/>
          <cell r="U492"/>
          <cell r="V492"/>
          <cell r="X492"/>
          <cell r="Z492"/>
          <cell r="AA492"/>
          <cell r="AB492"/>
          <cell r="AC492"/>
          <cell r="AD492"/>
          <cell r="AG492"/>
          <cell r="AI492"/>
          <cell r="AJ492"/>
          <cell r="AL492"/>
          <cell r="AM492"/>
          <cell r="AN492"/>
          <cell r="AO492"/>
          <cell r="AQ492"/>
          <cell r="AR492"/>
          <cell r="AS492"/>
          <cell r="AT492"/>
          <cell r="AU492"/>
          <cell r="BZ492"/>
          <cell r="CA492"/>
          <cell r="DL492"/>
          <cell r="DM492"/>
          <cell r="DN492"/>
          <cell r="DP492"/>
          <cell r="DQ492"/>
          <cell r="DR492"/>
          <cell r="DS492"/>
          <cell r="DT492"/>
          <cell r="DU492"/>
          <cell r="DW492"/>
          <cell r="DX492"/>
          <cell r="DY492"/>
          <cell r="DZ492"/>
          <cell r="EA492"/>
          <cell r="EB492"/>
          <cell r="EC492"/>
          <cell r="ED492"/>
          <cell r="EG492"/>
          <cell r="EH492"/>
          <cell r="EI492"/>
        </row>
        <row r="493">
          <cell r="B493"/>
          <cell r="C493"/>
          <cell r="E493"/>
          <cell r="F493"/>
          <cell r="G493"/>
          <cell r="H493"/>
          <cell r="I493"/>
          <cell r="J493"/>
          <cell r="L493"/>
          <cell r="M493"/>
          <cell r="N493"/>
          <cell r="R493"/>
          <cell r="T493"/>
          <cell r="U493"/>
          <cell r="V493"/>
          <cell r="X493"/>
          <cell r="Z493"/>
          <cell r="AA493"/>
          <cell r="AB493"/>
          <cell r="AC493"/>
          <cell r="AD493"/>
          <cell r="AG493"/>
          <cell r="AI493"/>
          <cell r="AJ493"/>
          <cell r="AL493"/>
          <cell r="AM493"/>
          <cell r="AN493"/>
          <cell r="AO493"/>
          <cell r="AQ493"/>
          <cell r="AR493"/>
          <cell r="AS493"/>
          <cell r="AT493"/>
          <cell r="AU493"/>
          <cell r="BZ493"/>
          <cell r="CA493"/>
          <cell r="DL493"/>
          <cell r="DM493"/>
          <cell r="DN493"/>
          <cell r="DP493"/>
          <cell r="DQ493"/>
          <cell r="DR493"/>
          <cell r="DS493"/>
          <cell r="DT493"/>
          <cell r="DU493"/>
          <cell r="DW493"/>
          <cell r="DX493"/>
          <cell r="DY493"/>
          <cell r="DZ493"/>
          <cell r="EA493"/>
          <cell r="EB493"/>
          <cell r="EC493"/>
          <cell r="ED493"/>
          <cell r="EG493"/>
          <cell r="EH493"/>
          <cell r="EI493"/>
        </row>
        <row r="494">
          <cell r="B494"/>
          <cell r="C494"/>
          <cell r="E494"/>
          <cell r="F494"/>
          <cell r="G494"/>
          <cell r="H494"/>
          <cell r="I494"/>
          <cell r="J494"/>
          <cell r="L494"/>
          <cell r="M494"/>
          <cell r="N494"/>
          <cell r="R494"/>
          <cell r="T494"/>
          <cell r="U494"/>
          <cell r="V494"/>
          <cell r="X494"/>
          <cell r="Z494"/>
          <cell r="AA494"/>
          <cell r="AB494"/>
          <cell r="AC494"/>
          <cell r="AD494"/>
          <cell r="AG494"/>
          <cell r="AI494"/>
          <cell r="AJ494"/>
          <cell r="AL494"/>
          <cell r="AM494"/>
          <cell r="AN494"/>
          <cell r="AO494"/>
          <cell r="AQ494"/>
          <cell r="AR494"/>
          <cell r="AS494"/>
          <cell r="AT494"/>
          <cell r="AU494"/>
          <cell r="BZ494"/>
          <cell r="CA494"/>
          <cell r="DL494"/>
          <cell r="DM494"/>
          <cell r="DN494"/>
          <cell r="DP494"/>
          <cell r="DQ494"/>
          <cell r="DR494"/>
          <cell r="DS494"/>
          <cell r="DT494"/>
          <cell r="DU494"/>
          <cell r="DW494"/>
          <cell r="DX494"/>
          <cell r="DY494"/>
          <cell r="DZ494"/>
          <cell r="EA494"/>
          <cell r="EB494"/>
          <cell r="EC494"/>
          <cell r="ED494"/>
          <cell r="EG494"/>
          <cell r="EH494"/>
          <cell r="EI494"/>
        </row>
        <row r="495">
          <cell r="B495"/>
          <cell r="C495"/>
          <cell r="E495"/>
          <cell r="F495"/>
          <cell r="G495"/>
          <cell r="H495"/>
          <cell r="I495"/>
          <cell r="J495"/>
          <cell r="L495"/>
          <cell r="M495"/>
          <cell r="N495"/>
          <cell r="R495"/>
          <cell r="T495"/>
          <cell r="U495"/>
          <cell r="V495"/>
          <cell r="X495"/>
          <cell r="Z495"/>
          <cell r="AA495"/>
          <cell r="AB495"/>
          <cell r="AC495"/>
          <cell r="AD495"/>
          <cell r="AG495"/>
          <cell r="AI495"/>
          <cell r="AJ495"/>
          <cell r="AL495"/>
          <cell r="AM495"/>
          <cell r="AN495"/>
          <cell r="AO495"/>
          <cell r="AQ495"/>
          <cell r="AR495"/>
          <cell r="AS495"/>
          <cell r="AT495"/>
          <cell r="AU495"/>
          <cell r="BZ495"/>
          <cell r="CA495"/>
          <cell r="DL495"/>
          <cell r="DM495"/>
          <cell r="DN495"/>
          <cell r="DP495"/>
          <cell r="DQ495"/>
          <cell r="DR495"/>
          <cell r="DS495"/>
          <cell r="DT495"/>
          <cell r="DU495"/>
          <cell r="DW495"/>
          <cell r="DX495"/>
          <cell r="DY495"/>
          <cell r="DZ495"/>
          <cell r="EA495"/>
          <cell r="EB495"/>
          <cell r="EC495"/>
          <cell r="ED495"/>
          <cell r="EG495"/>
          <cell r="EH495"/>
          <cell r="EI495"/>
        </row>
        <row r="496">
          <cell r="B496"/>
          <cell r="C496"/>
          <cell r="E496"/>
          <cell r="F496"/>
          <cell r="G496"/>
          <cell r="H496"/>
          <cell r="I496"/>
          <cell r="J496"/>
          <cell r="L496"/>
          <cell r="M496"/>
          <cell r="N496"/>
          <cell r="R496"/>
          <cell r="T496"/>
          <cell r="U496"/>
          <cell r="V496"/>
          <cell r="X496"/>
          <cell r="Z496"/>
          <cell r="AA496"/>
          <cell r="AB496"/>
          <cell r="AC496"/>
          <cell r="AD496"/>
          <cell r="AG496"/>
          <cell r="AI496"/>
          <cell r="AJ496"/>
          <cell r="AL496"/>
          <cell r="AM496"/>
          <cell r="AN496"/>
          <cell r="AO496"/>
          <cell r="AQ496"/>
          <cell r="AR496"/>
          <cell r="AS496"/>
          <cell r="AT496"/>
          <cell r="AU496"/>
          <cell r="BZ496"/>
          <cell r="CA496"/>
          <cell r="DL496"/>
          <cell r="DM496"/>
          <cell r="DN496"/>
          <cell r="DP496"/>
          <cell r="DQ496"/>
          <cell r="DR496"/>
          <cell r="DS496"/>
          <cell r="DT496"/>
          <cell r="DU496"/>
          <cell r="DW496"/>
          <cell r="DX496"/>
          <cell r="DY496"/>
          <cell r="DZ496"/>
          <cell r="EA496"/>
          <cell r="EB496"/>
          <cell r="EC496"/>
          <cell r="ED496"/>
          <cell r="EG496"/>
          <cell r="EH496"/>
          <cell r="EI496"/>
        </row>
        <row r="497">
          <cell r="B497"/>
          <cell r="C497"/>
          <cell r="E497"/>
          <cell r="F497"/>
          <cell r="G497"/>
          <cell r="H497"/>
          <cell r="I497"/>
          <cell r="J497"/>
          <cell r="L497"/>
          <cell r="M497"/>
          <cell r="N497"/>
          <cell r="R497"/>
          <cell r="T497"/>
          <cell r="U497"/>
          <cell r="V497"/>
          <cell r="X497"/>
          <cell r="Z497"/>
          <cell r="AA497"/>
          <cell r="AB497"/>
          <cell r="AC497"/>
          <cell r="AD497"/>
          <cell r="AG497"/>
          <cell r="AI497"/>
          <cell r="AJ497"/>
          <cell r="AL497"/>
          <cell r="AM497"/>
          <cell r="AN497"/>
          <cell r="AO497"/>
          <cell r="AQ497"/>
          <cell r="AR497"/>
          <cell r="AS497"/>
          <cell r="AT497"/>
          <cell r="AU497"/>
          <cell r="BZ497"/>
          <cell r="CA497"/>
          <cell r="DL497"/>
          <cell r="DM497"/>
          <cell r="DN497"/>
          <cell r="DP497"/>
          <cell r="DQ497"/>
          <cell r="DR497"/>
          <cell r="DS497"/>
          <cell r="DT497"/>
          <cell r="DU497"/>
          <cell r="DW497"/>
          <cell r="DX497"/>
          <cell r="DY497"/>
          <cell r="DZ497"/>
          <cell r="EA497"/>
          <cell r="EB497"/>
          <cell r="EC497"/>
          <cell r="ED497"/>
          <cell r="EG497"/>
          <cell r="EH497"/>
          <cell r="EI497"/>
        </row>
        <row r="498">
          <cell r="B498"/>
          <cell r="C498"/>
          <cell r="E498"/>
          <cell r="F498"/>
          <cell r="G498"/>
          <cell r="H498"/>
          <cell r="I498"/>
          <cell r="J498"/>
          <cell r="L498"/>
          <cell r="M498"/>
          <cell r="N498"/>
          <cell r="R498"/>
          <cell r="T498"/>
          <cell r="U498"/>
          <cell r="V498"/>
          <cell r="X498"/>
          <cell r="Z498"/>
          <cell r="AA498"/>
          <cell r="AB498"/>
          <cell r="AC498"/>
          <cell r="AD498"/>
          <cell r="AG498"/>
          <cell r="AI498"/>
          <cell r="AJ498"/>
          <cell r="AL498"/>
          <cell r="AM498"/>
          <cell r="AN498"/>
          <cell r="AO498"/>
          <cell r="AQ498"/>
          <cell r="AR498"/>
          <cell r="AS498"/>
          <cell r="AT498"/>
          <cell r="AU498"/>
          <cell r="BZ498"/>
          <cell r="CA498"/>
          <cell r="DL498"/>
          <cell r="DM498"/>
          <cell r="DN498"/>
          <cell r="DP498"/>
          <cell r="DQ498"/>
          <cell r="DR498"/>
          <cell r="DS498"/>
          <cell r="DT498"/>
          <cell r="DU498"/>
          <cell r="DW498"/>
          <cell r="DX498"/>
          <cell r="DY498"/>
          <cell r="DZ498"/>
          <cell r="EA498"/>
          <cell r="EB498"/>
          <cell r="EC498"/>
          <cell r="ED498"/>
          <cell r="EG498"/>
          <cell r="EH498"/>
          <cell r="EI498"/>
        </row>
        <row r="499">
          <cell r="B499"/>
          <cell r="C499"/>
          <cell r="E499"/>
          <cell r="F499"/>
          <cell r="G499"/>
          <cell r="H499"/>
          <cell r="I499"/>
          <cell r="J499"/>
          <cell r="L499"/>
          <cell r="M499"/>
          <cell r="N499"/>
          <cell r="R499"/>
          <cell r="T499"/>
          <cell r="U499"/>
          <cell r="V499"/>
          <cell r="X499"/>
          <cell r="Z499"/>
          <cell r="AA499"/>
          <cell r="AB499"/>
          <cell r="AC499"/>
          <cell r="AD499"/>
          <cell r="AG499"/>
          <cell r="AI499"/>
          <cell r="AJ499"/>
          <cell r="AL499"/>
          <cell r="AM499"/>
          <cell r="AN499"/>
          <cell r="AO499"/>
          <cell r="AQ499"/>
          <cell r="AR499"/>
          <cell r="AS499"/>
          <cell r="AT499"/>
          <cell r="AU499"/>
          <cell r="BZ499"/>
          <cell r="CA499"/>
          <cell r="DL499"/>
          <cell r="DM499"/>
          <cell r="DN499"/>
          <cell r="DP499"/>
          <cell r="DQ499"/>
          <cell r="DR499"/>
          <cell r="DS499"/>
          <cell r="DT499"/>
          <cell r="DU499"/>
          <cell r="DW499"/>
          <cell r="DX499"/>
          <cell r="DY499"/>
          <cell r="DZ499"/>
          <cell r="EA499"/>
          <cell r="EB499"/>
          <cell r="EC499"/>
          <cell r="ED499"/>
          <cell r="EG499"/>
          <cell r="EH499"/>
          <cell r="EI499"/>
        </row>
        <row r="500">
          <cell r="B500"/>
          <cell r="C500"/>
          <cell r="E500"/>
          <cell r="F500"/>
          <cell r="G500"/>
          <cell r="H500"/>
          <cell r="I500"/>
          <cell r="J500"/>
          <cell r="L500"/>
          <cell r="M500"/>
          <cell r="N500"/>
          <cell r="R500"/>
          <cell r="T500"/>
          <cell r="U500"/>
          <cell r="V500"/>
          <cell r="X500"/>
          <cell r="Z500"/>
          <cell r="AA500"/>
          <cell r="AB500"/>
          <cell r="AC500"/>
          <cell r="AD500"/>
          <cell r="AG500"/>
          <cell r="AI500"/>
          <cell r="AJ500"/>
          <cell r="AL500"/>
          <cell r="AM500"/>
          <cell r="AN500"/>
          <cell r="AO500"/>
          <cell r="AQ500"/>
          <cell r="AR500"/>
          <cell r="AS500"/>
          <cell r="AT500"/>
          <cell r="AU500"/>
          <cell r="BZ500"/>
          <cell r="CA500"/>
          <cell r="DL500"/>
          <cell r="DM500"/>
          <cell r="DN500"/>
          <cell r="DP500"/>
          <cell r="DQ500"/>
          <cell r="DR500"/>
          <cell r="DS500"/>
          <cell r="DT500"/>
          <cell r="DU500"/>
          <cell r="DW500"/>
          <cell r="DX500"/>
          <cell r="DY500"/>
          <cell r="DZ500"/>
          <cell r="EB500"/>
          <cell r="EC500"/>
          <cell r="ED500"/>
          <cell r="EG500"/>
          <cell r="EH500"/>
          <cell r="EI500"/>
        </row>
        <row r="501">
          <cell r="B501"/>
          <cell r="C501"/>
          <cell r="E501"/>
          <cell r="F501"/>
          <cell r="G501"/>
          <cell r="H501"/>
          <cell r="I501"/>
          <cell r="J501"/>
          <cell r="L501"/>
          <cell r="M501"/>
          <cell r="N501"/>
          <cell r="R501"/>
          <cell r="T501"/>
          <cell r="U501"/>
          <cell r="V501"/>
          <cell r="X501"/>
          <cell r="Z501"/>
          <cell r="AA501"/>
          <cell r="AB501"/>
          <cell r="AC501"/>
          <cell r="AD501"/>
          <cell r="AG501"/>
          <cell r="AI501"/>
          <cell r="AJ501"/>
          <cell r="AL501"/>
          <cell r="AM501"/>
          <cell r="AN501"/>
          <cell r="AO501"/>
          <cell r="AQ501"/>
          <cell r="AR501"/>
          <cell r="AS501"/>
          <cell r="AT501"/>
          <cell r="AU501"/>
          <cell r="BZ501"/>
          <cell r="CA501"/>
          <cell r="DL501"/>
          <cell r="DM501"/>
          <cell r="DN501"/>
          <cell r="DP501"/>
          <cell r="DQ501"/>
          <cell r="DR501"/>
          <cell r="DS501"/>
          <cell r="DT501"/>
          <cell r="DU501"/>
          <cell r="DW501"/>
          <cell r="DX501"/>
          <cell r="DY501"/>
          <cell r="DZ501"/>
          <cell r="EA501"/>
          <cell r="EB501"/>
          <cell r="EC501"/>
          <cell r="ED501"/>
          <cell r="EG501"/>
          <cell r="EH501"/>
          <cell r="EI501"/>
        </row>
        <row r="502">
          <cell r="B502"/>
          <cell r="C502"/>
          <cell r="E502"/>
          <cell r="F502"/>
          <cell r="G502"/>
          <cell r="H502"/>
          <cell r="I502"/>
          <cell r="J502"/>
          <cell r="L502"/>
          <cell r="M502"/>
          <cell r="N502"/>
          <cell r="R502"/>
          <cell r="T502"/>
          <cell r="U502"/>
          <cell r="V502"/>
          <cell r="X502"/>
          <cell r="Z502"/>
          <cell r="AA502"/>
          <cell r="AB502"/>
          <cell r="AC502"/>
          <cell r="AD502"/>
          <cell r="AG502"/>
          <cell r="AI502"/>
          <cell r="AJ502"/>
          <cell r="AL502"/>
          <cell r="AM502"/>
          <cell r="AN502"/>
          <cell r="AO502"/>
          <cell r="AQ502"/>
          <cell r="AR502"/>
          <cell r="AS502"/>
          <cell r="AT502"/>
          <cell r="AU502"/>
          <cell r="BZ502"/>
          <cell r="CA502"/>
          <cell r="DL502"/>
          <cell r="DM502"/>
          <cell r="DN502"/>
          <cell r="DP502"/>
          <cell r="DQ502"/>
          <cell r="DR502"/>
          <cell r="DS502"/>
          <cell r="DT502"/>
          <cell r="DU502"/>
          <cell r="DW502"/>
          <cell r="DX502"/>
          <cell r="DY502"/>
          <cell r="DZ502"/>
          <cell r="EA502"/>
          <cell r="EB502"/>
          <cell r="EC502"/>
          <cell r="ED502"/>
          <cell r="EG502"/>
          <cell r="EH502"/>
          <cell r="EI502"/>
        </row>
        <row r="503">
          <cell r="B503"/>
          <cell r="C503"/>
          <cell r="E503"/>
          <cell r="F503"/>
          <cell r="G503"/>
          <cell r="H503"/>
          <cell r="I503"/>
          <cell r="J503"/>
          <cell r="L503"/>
          <cell r="M503"/>
          <cell r="N503"/>
          <cell r="R503"/>
          <cell r="T503"/>
          <cell r="U503"/>
          <cell r="V503"/>
          <cell r="X503"/>
          <cell r="Z503"/>
          <cell r="AA503"/>
          <cell r="AB503"/>
          <cell r="AC503"/>
          <cell r="AD503"/>
          <cell r="AG503"/>
          <cell r="AI503"/>
          <cell r="AJ503"/>
          <cell r="AL503"/>
          <cell r="AM503"/>
          <cell r="AN503"/>
          <cell r="AO503"/>
          <cell r="AQ503"/>
          <cell r="AR503"/>
          <cell r="AS503"/>
          <cell r="AT503"/>
          <cell r="AU503"/>
          <cell r="BZ503"/>
          <cell r="CA503"/>
          <cell r="DL503"/>
          <cell r="DM503"/>
          <cell r="DN503"/>
          <cell r="DP503"/>
          <cell r="DQ503"/>
          <cell r="DR503"/>
          <cell r="DS503"/>
          <cell r="DT503"/>
          <cell r="DU503"/>
          <cell r="DW503"/>
          <cell r="DX503"/>
          <cell r="DY503"/>
          <cell r="DZ503"/>
          <cell r="EA503"/>
          <cell r="EB503"/>
          <cell r="EC503"/>
          <cell r="ED503"/>
          <cell r="EG503"/>
          <cell r="EH503"/>
          <cell r="EI503"/>
        </row>
        <row r="504">
          <cell r="B504"/>
          <cell r="C504"/>
          <cell r="E504"/>
          <cell r="F504"/>
          <cell r="G504"/>
          <cell r="H504"/>
          <cell r="I504"/>
          <cell r="J504"/>
          <cell r="L504"/>
          <cell r="M504"/>
          <cell r="N504"/>
          <cell r="R504"/>
          <cell r="T504"/>
          <cell r="U504"/>
          <cell r="V504"/>
          <cell r="X504"/>
          <cell r="Z504"/>
          <cell r="AA504"/>
          <cell r="AB504"/>
          <cell r="AC504"/>
          <cell r="AD504"/>
          <cell r="AG504"/>
          <cell r="AI504"/>
          <cell r="AJ504"/>
          <cell r="AL504"/>
          <cell r="AM504"/>
          <cell r="AN504"/>
          <cell r="AO504"/>
          <cell r="AQ504"/>
          <cell r="AR504"/>
          <cell r="AS504"/>
          <cell r="AT504"/>
          <cell r="AU504"/>
          <cell r="BZ504"/>
          <cell r="CA504"/>
          <cell r="DL504"/>
          <cell r="DM504"/>
          <cell r="DN504"/>
          <cell r="DP504"/>
          <cell r="DQ504"/>
          <cell r="DR504"/>
          <cell r="DS504"/>
          <cell r="DT504"/>
          <cell r="DU504"/>
          <cell r="DW504"/>
          <cell r="DX504"/>
          <cell r="DY504"/>
          <cell r="DZ504"/>
          <cell r="EB504"/>
          <cell r="EC504"/>
          <cell r="ED504"/>
          <cell r="EG504"/>
          <cell r="EH504"/>
          <cell r="EI504"/>
        </row>
        <row r="505">
          <cell r="B505"/>
          <cell r="C505"/>
          <cell r="E505"/>
          <cell r="F505"/>
          <cell r="G505"/>
          <cell r="H505"/>
          <cell r="I505"/>
          <cell r="J505"/>
          <cell r="L505"/>
          <cell r="M505"/>
          <cell r="N505"/>
          <cell r="R505"/>
          <cell r="T505"/>
          <cell r="U505"/>
          <cell r="V505"/>
          <cell r="X505"/>
          <cell r="Z505"/>
          <cell r="AA505"/>
          <cell r="AB505"/>
          <cell r="AC505"/>
          <cell r="AD505"/>
          <cell r="AG505"/>
          <cell r="AI505"/>
          <cell r="AJ505"/>
          <cell r="AL505"/>
          <cell r="AM505"/>
          <cell r="AN505"/>
          <cell r="AO505"/>
          <cell r="AQ505"/>
          <cell r="AR505"/>
          <cell r="AS505"/>
          <cell r="AT505"/>
          <cell r="AU505"/>
          <cell r="BZ505"/>
          <cell r="CA505"/>
          <cell r="DL505"/>
          <cell r="DM505"/>
          <cell r="DN505"/>
          <cell r="DP505"/>
          <cell r="DQ505"/>
          <cell r="DR505"/>
          <cell r="DS505"/>
          <cell r="DT505"/>
          <cell r="DU505"/>
          <cell r="DW505"/>
          <cell r="DX505"/>
          <cell r="DY505"/>
          <cell r="DZ505"/>
          <cell r="EA505"/>
          <cell r="EB505"/>
          <cell r="EC505"/>
          <cell r="ED505"/>
          <cell r="EG505"/>
          <cell r="EH505"/>
          <cell r="EI505"/>
        </row>
        <row r="506">
          <cell r="B506"/>
          <cell r="C506"/>
          <cell r="E506"/>
          <cell r="F506"/>
          <cell r="G506"/>
          <cell r="H506"/>
          <cell r="I506"/>
          <cell r="J506"/>
          <cell r="L506"/>
          <cell r="M506"/>
          <cell r="N506"/>
          <cell r="R506"/>
          <cell r="T506"/>
          <cell r="U506"/>
          <cell r="V506"/>
          <cell r="X506"/>
          <cell r="Z506"/>
          <cell r="AA506"/>
          <cell r="AB506"/>
          <cell r="AC506"/>
          <cell r="AD506"/>
          <cell r="AG506"/>
          <cell r="AI506"/>
          <cell r="AJ506"/>
          <cell r="AL506"/>
          <cell r="AM506"/>
          <cell r="AN506"/>
          <cell r="AO506"/>
          <cell r="AQ506"/>
          <cell r="AR506"/>
          <cell r="AS506"/>
          <cell r="AT506"/>
          <cell r="AU506"/>
          <cell r="BZ506"/>
          <cell r="CA506"/>
          <cell r="DL506"/>
          <cell r="DM506"/>
          <cell r="DN506"/>
          <cell r="DP506"/>
          <cell r="DQ506"/>
          <cell r="DR506"/>
          <cell r="DS506"/>
          <cell r="DT506"/>
          <cell r="DU506"/>
          <cell r="DW506"/>
          <cell r="DX506"/>
          <cell r="DY506"/>
          <cell r="DZ506"/>
          <cell r="EA506"/>
          <cell r="EB506"/>
          <cell r="EC506"/>
          <cell r="ED506"/>
          <cell r="EG506"/>
          <cell r="EH506"/>
          <cell r="EI506"/>
        </row>
        <row r="507">
          <cell r="B507"/>
          <cell r="C507"/>
          <cell r="E507"/>
          <cell r="F507"/>
          <cell r="G507"/>
          <cell r="H507"/>
          <cell r="I507"/>
          <cell r="J507"/>
          <cell r="L507"/>
          <cell r="M507"/>
          <cell r="N507"/>
          <cell r="R507"/>
          <cell r="T507"/>
          <cell r="U507"/>
          <cell r="V507"/>
          <cell r="X507"/>
          <cell r="Z507"/>
          <cell r="AA507"/>
          <cell r="AB507"/>
          <cell r="AC507"/>
          <cell r="AD507"/>
          <cell r="AG507"/>
          <cell r="AI507"/>
          <cell r="AJ507"/>
          <cell r="AL507"/>
          <cell r="AM507"/>
          <cell r="AN507"/>
          <cell r="AO507"/>
          <cell r="AQ507"/>
          <cell r="AR507"/>
          <cell r="AS507"/>
          <cell r="AT507"/>
          <cell r="AU507"/>
          <cell r="BZ507"/>
          <cell r="CA507"/>
          <cell r="DL507"/>
          <cell r="DM507"/>
          <cell r="DN507"/>
          <cell r="DP507"/>
          <cell r="DQ507"/>
          <cell r="DR507"/>
          <cell r="DS507"/>
          <cell r="DT507"/>
          <cell r="DU507"/>
          <cell r="DW507"/>
          <cell r="DX507"/>
          <cell r="DY507"/>
          <cell r="DZ507"/>
          <cell r="EA507"/>
          <cell r="EB507"/>
          <cell r="EC507"/>
          <cell r="ED507"/>
          <cell r="EG507"/>
          <cell r="EH507"/>
          <cell r="EI507"/>
        </row>
        <row r="508">
          <cell r="B508"/>
          <cell r="C508"/>
          <cell r="E508"/>
          <cell r="F508"/>
          <cell r="G508"/>
          <cell r="H508"/>
          <cell r="I508"/>
          <cell r="J508"/>
          <cell r="L508"/>
          <cell r="M508"/>
          <cell r="N508"/>
          <cell r="R508"/>
          <cell r="T508"/>
          <cell r="U508"/>
          <cell r="V508"/>
          <cell r="X508"/>
          <cell r="Z508"/>
          <cell r="AA508"/>
          <cell r="AB508"/>
          <cell r="AC508"/>
          <cell r="AD508"/>
          <cell r="AG508"/>
          <cell r="AI508"/>
          <cell r="AJ508"/>
          <cell r="AL508"/>
          <cell r="AM508"/>
          <cell r="AN508"/>
          <cell r="AO508"/>
          <cell r="AQ508"/>
          <cell r="AR508"/>
          <cell r="AS508"/>
          <cell r="AT508"/>
          <cell r="AU508"/>
          <cell r="BZ508"/>
          <cell r="CA508"/>
          <cell r="DL508"/>
          <cell r="DM508"/>
          <cell r="DN508"/>
          <cell r="DP508"/>
          <cell r="DQ508"/>
          <cell r="DR508"/>
          <cell r="DS508"/>
          <cell r="DT508"/>
          <cell r="DU508"/>
          <cell r="DW508"/>
          <cell r="DX508"/>
          <cell r="DY508"/>
          <cell r="DZ508"/>
          <cell r="EA508"/>
          <cell r="EB508"/>
          <cell r="EC508"/>
          <cell r="ED508"/>
          <cell r="EG508"/>
          <cell r="EH508"/>
          <cell r="EI508"/>
        </row>
        <row r="509">
          <cell r="B509"/>
          <cell r="C509"/>
          <cell r="E509"/>
          <cell r="F509"/>
          <cell r="G509"/>
          <cell r="H509"/>
          <cell r="I509"/>
          <cell r="J509"/>
          <cell r="L509"/>
          <cell r="M509"/>
          <cell r="N509"/>
          <cell r="R509"/>
          <cell r="T509"/>
          <cell r="U509"/>
          <cell r="V509"/>
          <cell r="X509"/>
          <cell r="Z509"/>
          <cell r="AA509"/>
          <cell r="AB509"/>
          <cell r="AC509"/>
          <cell r="AD509"/>
          <cell r="AG509"/>
          <cell r="AI509"/>
          <cell r="AJ509"/>
          <cell r="AL509"/>
          <cell r="AM509"/>
          <cell r="AN509"/>
          <cell r="AO509"/>
          <cell r="AQ509"/>
          <cell r="AR509"/>
          <cell r="AS509"/>
          <cell r="AT509"/>
          <cell r="AU509"/>
          <cell r="BZ509"/>
          <cell r="CA509"/>
          <cell r="DL509"/>
          <cell r="DM509"/>
          <cell r="DN509"/>
          <cell r="DP509"/>
          <cell r="DQ509"/>
          <cell r="DR509"/>
          <cell r="DS509"/>
          <cell r="DT509"/>
          <cell r="DU509"/>
          <cell r="DW509"/>
          <cell r="DX509"/>
          <cell r="DY509"/>
          <cell r="DZ509"/>
          <cell r="EB509"/>
          <cell r="EC509"/>
          <cell r="ED509"/>
          <cell r="EG509"/>
          <cell r="EH509"/>
          <cell r="EI509"/>
        </row>
        <row r="510">
          <cell r="B510"/>
          <cell r="C510"/>
          <cell r="E510"/>
          <cell r="F510"/>
          <cell r="G510"/>
          <cell r="H510"/>
          <cell r="I510"/>
          <cell r="J510"/>
          <cell r="L510"/>
          <cell r="M510"/>
          <cell r="N510"/>
          <cell r="R510"/>
          <cell r="T510"/>
          <cell r="U510"/>
          <cell r="V510"/>
          <cell r="X510"/>
          <cell r="Z510"/>
          <cell r="AA510"/>
          <cell r="AB510"/>
          <cell r="AC510"/>
          <cell r="AD510"/>
          <cell r="AG510"/>
          <cell r="AI510"/>
          <cell r="AJ510"/>
          <cell r="AL510"/>
          <cell r="AM510"/>
          <cell r="AN510"/>
          <cell r="AO510"/>
          <cell r="AQ510"/>
          <cell r="AR510"/>
          <cell r="AS510"/>
          <cell r="AT510"/>
          <cell r="AU510"/>
          <cell r="BZ510"/>
          <cell r="CA510"/>
          <cell r="DL510"/>
          <cell r="DM510"/>
          <cell r="DN510"/>
          <cell r="DP510"/>
          <cell r="DQ510"/>
          <cell r="DR510"/>
          <cell r="DS510"/>
          <cell r="DT510"/>
          <cell r="DU510"/>
          <cell r="DW510"/>
          <cell r="DX510"/>
          <cell r="DY510"/>
          <cell r="DZ510"/>
          <cell r="EB510"/>
          <cell r="EC510"/>
          <cell r="ED510"/>
          <cell r="EG510"/>
          <cell r="EH510"/>
          <cell r="EI510"/>
        </row>
        <row r="511">
          <cell r="B511"/>
          <cell r="C511"/>
          <cell r="E511"/>
          <cell r="F511"/>
          <cell r="G511"/>
          <cell r="H511"/>
          <cell r="I511"/>
          <cell r="J511"/>
          <cell r="L511"/>
          <cell r="M511"/>
          <cell r="N511"/>
          <cell r="R511"/>
          <cell r="T511"/>
          <cell r="U511"/>
          <cell r="V511"/>
          <cell r="X511"/>
          <cell r="Z511"/>
          <cell r="AA511"/>
          <cell r="AB511"/>
          <cell r="AC511"/>
          <cell r="AD511"/>
          <cell r="AG511"/>
          <cell r="AI511"/>
          <cell r="AJ511"/>
          <cell r="AL511"/>
          <cell r="AM511"/>
          <cell r="AN511"/>
          <cell r="AO511"/>
          <cell r="AQ511"/>
          <cell r="AR511"/>
          <cell r="AS511"/>
          <cell r="AT511"/>
          <cell r="AU511"/>
          <cell r="BZ511"/>
          <cell r="CA511"/>
          <cell r="DL511"/>
          <cell r="DM511"/>
          <cell r="DN511"/>
          <cell r="DP511"/>
          <cell r="DQ511"/>
          <cell r="DR511"/>
          <cell r="DS511"/>
          <cell r="DT511"/>
          <cell r="DU511"/>
          <cell r="DW511"/>
          <cell r="DX511"/>
          <cell r="DY511"/>
          <cell r="DZ511"/>
          <cell r="EB511"/>
          <cell r="EC511"/>
          <cell r="ED511"/>
          <cell r="EG511"/>
          <cell r="EH511"/>
          <cell r="EI511"/>
        </row>
        <row r="512">
          <cell r="B512"/>
          <cell r="C512"/>
          <cell r="E512"/>
          <cell r="F512"/>
          <cell r="G512"/>
          <cell r="H512"/>
          <cell r="I512"/>
          <cell r="J512"/>
          <cell r="L512"/>
          <cell r="M512"/>
          <cell r="N512"/>
          <cell r="R512"/>
          <cell r="T512"/>
          <cell r="U512"/>
          <cell r="V512"/>
          <cell r="X512"/>
          <cell r="Z512"/>
          <cell r="AA512"/>
          <cell r="AB512"/>
          <cell r="AC512"/>
          <cell r="AD512"/>
          <cell r="AG512"/>
          <cell r="AI512"/>
          <cell r="AJ512"/>
          <cell r="AL512"/>
          <cell r="AM512"/>
          <cell r="AN512"/>
          <cell r="AO512"/>
          <cell r="AQ512"/>
          <cell r="AR512"/>
          <cell r="AS512"/>
          <cell r="AT512"/>
          <cell r="AU512"/>
          <cell r="BZ512"/>
          <cell r="CA512"/>
          <cell r="DL512"/>
          <cell r="DM512"/>
          <cell r="DN512"/>
          <cell r="DP512"/>
          <cell r="DQ512"/>
          <cell r="DR512"/>
          <cell r="DS512"/>
          <cell r="DT512"/>
          <cell r="DU512"/>
          <cell r="DW512"/>
          <cell r="DX512"/>
          <cell r="DY512"/>
          <cell r="DZ512"/>
          <cell r="EA512"/>
          <cell r="EB512"/>
          <cell r="EC512"/>
          <cell r="ED512"/>
          <cell r="EG512"/>
          <cell r="EH512"/>
          <cell r="EI512"/>
        </row>
        <row r="513">
          <cell r="B513"/>
          <cell r="C513"/>
          <cell r="E513"/>
          <cell r="F513"/>
          <cell r="G513"/>
          <cell r="H513"/>
          <cell r="I513"/>
          <cell r="J513"/>
          <cell r="L513"/>
          <cell r="M513"/>
          <cell r="N513"/>
          <cell r="R513"/>
          <cell r="T513"/>
          <cell r="U513"/>
          <cell r="V513"/>
          <cell r="X513"/>
          <cell r="Z513"/>
          <cell r="AA513"/>
          <cell r="AB513"/>
          <cell r="AC513"/>
          <cell r="AD513"/>
          <cell r="AG513"/>
          <cell r="AI513"/>
          <cell r="AJ513"/>
          <cell r="AL513"/>
          <cell r="AM513"/>
          <cell r="AN513"/>
          <cell r="AO513"/>
          <cell r="AQ513"/>
          <cell r="AR513"/>
          <cell r="AS513"/>
          <cell r="AT513"/>
          <cell r="AU513"/>
          <cell r="BZ513"/>
          <cell r="CA513"/>
          <cell r="DL513"/>
          <cell r="DM513"/>
          <cell r="DN513"/>
          <cell r="DP513"/>
          <cell r="DQ513"/>
          <cell r="DR513"/>
          <cell r="DS513"/>
          <cell r="DT513"/>
          <cell r="DU513"/>
          <cell r="DW513"/>
          <cell r="DX513"/>
          <cell r="DY513"/>
          <cell r="DZ513"/>
          <cell r="EA513"/>
          <cell r="EB513"/>
          <cell r="EC513"/>
          <cell r="ED513"/>
          <cell r="EG513"/>
          <cell r="EH513"/>
          <cell r="EI513"/>
        </row>
        <row r="514">
          <cell r="B514"/>
          <cell r="C514"/>
          <cell r="E514"/>
          <cell r="F514"/>
          <cell r="G514"/>
          <cell r="H514"/>
          <cell r="I514"/>
          <cell r="J514"/>
          <cell r="L514"/>
          <cell r="M514"/>
          <cell r="N514"/>
          <cell r="R514"/>
          <cell r="T514"/>
          <cell r="U514"/>
          <cell r="V514"/>
          <cell r="X514"/>
          <cell r="Z514"/>
          <cell r="AA514"/>
          <cell r="AB514"/>
          <cell r="AC514"/>
          <cell r="AD514"/>
          <cell r="AG514"/>
          <cell r="AI514"/>
          <cell r="AJ514"/>
          <cell r="AL514"/>
          <cell r="AM514"/>
          <cell r="AN514"/>
          <cell r="AO514"/>
          <cell r="AQ514"/>
          <cell r="AR514"/>
          <cell r="AS514"/>
          <cell r="AT514"/>
          <cell r="AU514"/>
          <cell r="BZ514"/>
          <cell r="CA514"/>
          <cell r="DL514"/>
          <cell r="DM514"/>
          <cell r="DN514"/>
          <cell r="DP514"/>
          <cell r="DQ514"/>
          <cell r="DR514"/>
          <cell r="DS514"/>
          <cell r="DT514"/>
          <cell r="DU514"/>
          <cell r="DW514"/>
          <cell r="DX514"/>
          <cell r="DY514"/>
          <cell r="DZ514"/>
          <cell r="EB514"/>
          <cell r="EC514"/>
          <cell r="ED514"/>
          <cell r="EG514"/>
          <cell r="EH514"/>
          <cell r="EI514"/>
        </row>
        <row r="515">
          <cell r="B515"/>
          <cell r="C515"/>
          <cell r="E515"/>
          <cell r="F515"/>
          <cell r="G515"/>
          <cell r="H515"/>
          <cell r="I515"/>
          <cell r="J515"/>
          <cell r="L515"/>
          <cell r="M515"/>
          <cell r="N515"/>
          <cell r="R515"/>
          <cell r="T515"/>
          <cell r="U515"/>
          <cell r="V515"/>
          <cell r="X515"/>
          <cell r="Z515"/>
          <cell r="AA515"/>
          <cell r="AB515"/>
          <cell r="AC515"/>
          <cell r="AD515"/>
          <cell r="AG515"/>
          <cell r="AI515"/>
          <cell r="AJ515"/>
          <cell r="AL515"/>
          <cell r="AM515"/>
          <cell r="AN515"/>
          <cell r="AO515"/>
          <cell r="AQ515"/>
          <cell r="AR515"/>
          <cell r="AS515"/>
          <cell r="AT515"/>
          <cell r="AU515"/>
          <cell r="BZ515"/>
          <cell r="CA515"/>
          <cell r="DL515"/>
          <cell r="DM515"/>
          <cell r="DN515"/>
          <cell r="DP515"/>
          <cell r="DQ515"/>
          <cell r="DR515"/>
          <cell r="DS515"/>
          <cell r="DT515"/>
          <cell r="DU515"/>
          <cell r="DW515"/>
          <cell r="DX515"/>
          <cell r="DY515"/>
          <cell r="DZ515"/>
          <cell r="EA515"/>
          <cell r="EB515"/>
          <cell r="EC515"/>
          <cell r="ED515"/>
          <cell r="EG515"/>
          <cell r="EH515"/>
          <cell r="EI515"/>
        </row>
        <row r="516">
          <cell r="B516"/>
          <cell r="C516"/>
          <cell r="E516"/>
          <cell r="F516"/>
          <cell r="G516"/>
          <cell r="H516"/>
          <cell r="I516"/>
          <cell r="J516"/>
          <cell r="L516"/>
          <cell r="M516"/>
          <cell r="N516"/>
          <cell r="R516"/>
          <cell r="T516"/>
          <cell r="U516"/>
          <cell r="V516"/>
          <cell r="X516"/>
          <cell r="Z516"/>
          <cell r="AA516"/>
          <cell r="AB516"/>
          <cell r="AC516"/>
          <cell r="AD516"/>
          <cell r="AG516"/>
          <cell r="AI516"/>
          <cell r="AJ516"/>
          <cell r="AL516"/>
          <cell r="AM516"/>
          <cell r="AN516"/>
          <cell r="AO516"/>
          <cell r="AQ516"/>
          <cell r="AR516"/>
          <cell r="AS516"/>
          <cell r="AT516"/>
          <cell r="AU516"/>
          <cell r="BZ516"/>
          <cell r="CA516"/>
          <cell r="DL516"/>
          <cell r="DM516"/>
          <cell r="DN516"/>
          <cell r="DP516"/>
          <cell r="DQ516"/>
          <cell r="DR516"/>
          <cell r="DS516"/>
          <cell r="DT516"/>
          <cell r="DU516"/>
          <cell r="DW516"/>
          <cell r="DX516"/>
          <cell r="DY516"/>
          <cell r="DZ516"/>
          <cell r="EA516"/>
          <cell r="EB516"/>
          <cell r="EC516"/>
          <cell r="ED516"/>
          <cell r="EG516"/>
          <cell r="EH516"/>
          <cell r="EI516"/>
        </row>
        <row r="517">
          <cell r="B517"/>
          <cell r="C517"/>
          <cell r="E517"/>
          <cell r="F517"/>
          <cell r="G517"/>
          <cell r="H517"/>
          <cell r="I517"/>
          <cell r="J517"/>
          <cell r="L517"/>
          <cell r="M517"/>
          <cell r="N517"/>
          <cell r="R517"/>
          <cell r="T517"/>
          <cell r="U517"/>
          <cell r="V517"/>
          <cell r="X517"/>
          <cell r="Z517"/>
          <cell r="AA517"/>
          <cell r="AB517"/>
          <cell r="AC517"/>
          <cell r="AD517"/>
          <cell r="AG517"/>
          <cell r="AI517"/>
          <cell r="AJ517"/>
          <cell r="AL517"/>
          <cell r="AM517"/>
          <cell r="AN517"/>
          <cell r="AO517"/>
          <cell r="AQ517"/>
          <cell r="AR517"/>
          <cell r="AS517"/>
          <cell r="AT517"/>
          <cell r="AU517"/>
          <cell r="BZ517"/>
          <cell r="CA517"/>
          <cell r="DL517"/>
          <cell r="DM517"/>
          <cell r="DN517"/>
          <cell r="DP517"/>
          <cell r="DQ517"/>
          <cell r="DR517"/>
          <cell r="DS517"/>
          <cell r="DT517"/>
          <cell r="DU517"/>
          <cell r="EC517"/>
          <cell r="ED517"/>
        </row>
        <row r="518">
          <cell r="B518"/>
          <cell r="C518"/>
          <cell r="E518"/>
          <cell r="F518"/>
          <cell r="G518"/>
          <cell r="H518"/>
          <cell r="I518"/>
          <cell r="J518"/>
          <cell r="L518"/>
          <cell r="M518"/>
          <cell r="N518"/>
          <cell r="R518"/>
          <cell r="T518"/>
          <cell r="U518"/>
          <cell r="V518"/>
          <cell r="X518"/>
          <cell r="Z518"/>
          <cell r="AA518"/>
          <cell r="AB518"/>
          <cell r="AC518"/>
          <cell r="AD518"/>
          <cell r="AG518"/>
          <cell r="AI518"/>
          <cell r="AJ518"/>
          <cell r="AL518"/>
          <cell r="AM518"/>
          <cell r="AN518"/>
          <cell r="AO518"/>
          <cell r="AQ518"/>
          <cell r="AR518"/>
          <cell r="AS518"/>
          <cell r="AT518"/>
          <cell r="AU518"/>
          <cell r="BZ518"/>
          <cell r="CA518"/>
          <cell r="DL518"/>
          <cell r="DM518"/>
          <cell r="DN518"/>
          <cell r="DP518"/>
          <cell r="DQ518"/>
          <cell r="DR518"/>
          <cell r="DS518"/>
          <cell r="DT518"/>
          <cell r="DU518"/>
          <cell r="DW518"/>
          <cell r="DX518"/>
          <cell r="DY518"/>
          <cell r="DZ518"/>
          <cell r="EA518"/>
          <cell r="EB518"/>
          <cell r="EC518"/>
          <cell r="ED518"/>
          <cell r="EG518"/>
          <cell r="EH518"/>
          <cell r="EI518"/>
        </row>
        <row r="519">
          <cell r="B519"/>
          <cell r="C519"/>
          <cell r="E519"/>
          <cell r="F519"/>
          <cell r="G519"/>
          <cell r="H519"/>
          <cell r="I519"/>
          <cell r="J519"/>
          <cell r="L519"/>
          <cell r="M519"/>
          <cell r="N519"/>
          <cell r="R519"/>
          <cell r="T519"/>
          <cell r="U519"/>
          <cell r="V519"/>
          <cell r="X519"/>
          <cell r="Z519"/>
          <cell r="AA519"/>
          <cell r="AB519"/>
          <cell r="AC519"/>
          <cell r="AD519"/>
          <cell r="AG519"/>
          <cell r="AI519"/>
          <cell r="AJ519"/>
          <cell r="AL519"/>
          <cell r="AM519"/>
          <cell r="AN519"/>
          <cell r="AO519"/>
          <cell r="AQ519"/>
          <cell r="AR519"/>
          <cell r="AS519"/>
          <cell r="AT519"/>
          <cell r="AU519"/>
          <cell r="BZ519"/>
          <cell r="CA519"/>
          <cell r="DL519"/>
          <cell r="DM519"/>
          <cell r="DN519"/>
          <cell r="DP519"/>
          <cell r="DQ519"/>
          <cell r="DR519"/>
          <cell r="DS519"/>
          <cell r="DT519"/>
          <cell r="DU519"/>
          <cell r="DW519"/>
          <cell r="DX519"/>
          <cell r="DY519"/>
          <cell r="DZ519"/>
          <cell r="EA519"/>
          <cell r="EB519"/>
          <cell r="EC519"/>
          <cell r="ED519"/>
          <cell r="EG519"/>
          <cell r="EH519"/>
          <cell r="EI519"/>
        </row>
        <row r="520">
          <cell r="B520"/>
          <cell r="C520"/>
          <cell r="E520"/>
          <cell r="F520"/>
          <cell r="G520"/>
          <cell r="H520"/>
          <cell r="I520"/>
          <cell r="J520"/>
          <cell r="L520"/>
          <cell r="M520"/>
          <cell r="N520"/>
          <cell r="R520"/>
          <cell r="T520"/>
          <cell r="U520"/>
          <cell r="V520"/>
          <cell r="X520"/>
          <cell r="Z520"/>
          <cell r="AA520"/>
          <cell r="AB520"/>
          <cell r="AC520"/>
          <cell r="AD520"/>
          <cell r="AG520"/>
          <cell r="AI520"/>
          <cell r="AJ520"/>
          <cell r="AL520"/>
          <cell r="AM520"/>
          <cell r="AN520"/>
          <cell r="AO520"/>
          <cell r="AQ520"/>
          <cell r="AR520"/>
          <cell r="AS520"/>
          <cell r="AT520"/>
          <cell r="AU520"/>
          <cell r="BZ520"/>
          <cell r="CA520"/>
          <cell r="DL520"/>
          <cell r="DM520"/>
          <cell r="DN520"/>
          <cell r="DP520"/>
          <cell r="DQ520"/>
          <cell r="DR520"/>
          <cell r="DS520"/>
          <cell r="DT520"/>
          <cell r="DU520"/>
          <cell r="DW520"/>
          <cell r="DX520"/>
          <cell r="DY520"/>
          <cell r="DZ520"/>
          <cell r="EA520"/>
          <cell r="EB520"/>
          <cell r="EC520"/>
          <cell r="ED520"/>
          <cell r="EG520"/>
          <cell r="EH520"/>
          <cell r="EI520"/>
        </row>
        <row r="521">
          <cell r="B521"/>
          <cell r="C521"/>
          <cell r="E521"/>
          <cell r="F521"/>
          <cell r="G521"/>
          <cell r="H521"/>
          <cell r="I521"/>
          <cell r="J521"/>
          <cell r="L521"/>
          <cell r="M521"/>
          <cell r="N521"/>
          <cell r="R521"/>
          <cell r="T521"/>
          <cell r="U521"/>
          <cell r="V521"/>
          <cell r="X521"/>
          <cell r="Z521"/>
          <cell r="AA521"/>
          <cell r="AB521"/>
          <cell r="AC521"/>
          <cell r="AD521"/>
          <cell r="AG521"/>
          <cell r="AI521"/>
          <cell r="AJ521"/>
          <cell r="AL521"/>
          <cell r="AM521"/>
          <cell r="AN521"/>
          <cell r="AO521"/>
          <cell r="AQ521"/>
          <cell r="AR521"/>
          <cell r="AS521"/>
          <cell r="AT521"/>
          <cell r="AU521"/>
          <cell r="BZ521"/>
          <cell r="CA521"/>
          <cell r="DL521"/>
          <cell r="DM521"/>
          <cell r="DN521"/>
          <cell r="DP521"/>
          <cell r="DQ521"/>
          <cell r="DR521"/>
          <cell r="DS521"/>
          <cell r="DT521"/>
          <cell r="DU521"/>
          <cell r="DW521"/>
          <cell r="DX521"/>
          <cell r="DY521"/>
          <cell r="DZ521"/>
          <cell r="EA521"/>
          <cell r="EB521"/>
          <cell r="EC521"/>
          <cell r="ED521"/>
          <cell r="EG521"/>
          <cell r="EH521"/>
          <cell r="EI521"/>
        </row>
        <row r="522">
          <cell r="B522"/>
          <cell r="C522"/>
          <cell r="E522"/>
          <cell r="F522"/>
          <cell r="G522"/>
          <cell r="H522"/>
          <cell r="I522"/>
          <cell r="J522"/>
          <cell r="L522"/>
          <cell r="M522"/>
          <cell r="N522"/>
          <cell r="R522"/>
          <cell r="T522"/>
          <cell r="U522"/>
          <cell r="V522"/>
          <cell r="X522"/>
          <cell r="Z522"/>
          <cell r="AA522"/>
          <cell r="AB522"/>
          <cell r="AC522"/>
          <cell r="AD522"/>
          <cell r="AG522"/>
          <cell r="AI522"/>
          <cell r="AJ522"/>
          <cell r="AL522"/>
          <cell r="AM522"/>
          <cell r="AN522"/>
          <cell r="AO522"/>
          <cell r="AQ522"/>
          <cell r="AR522"/>
          <cell r="AS522"/>
          <cell r="AT522"/>
          <cell r="AU522"/>
          <cell r="BZ522"/>
          <cell r="CA522"/>
          <cell r="DL522"/>
          <cell r="DM522"/>
          <cell r="DN522"/>
          <cell r="DP522"/>
          <cell r="DQ522"/>
          <cell r="DR522"/>
          <cell r="DS522"/>
          <cell r="DT522"/>
          <cell r="DU522"/>
          <cell r="DW522"/>
          <cell r="DX522"/>
          <cell r="DY522"/>
          <cell r="DZ522"/>
          <cell r="EA522"/>
          <cell r="EB522"/>
          <cell r="EC522"/>
          <cell r="ED522"/>
          <cell r="EG522"/>
          <cell r="EH522"/>
          <cell r="EI522"/>
        </row>
        <row r="523">
          <cell r="B523"/>
          <cell r="C523"/>
          <cell r="E523"/>
          <cell r="F523"/>
          <cell r="G523"/>
          <cell r="H523"/>
          <cell r="I523"/>
          <cell r="J523"/>
          <cell r="L523"/>
          <cell r="M523"/>
          <cell r="N523"/>
          <cell r="R523"/>
          <cell r="T523"/>
          <cell r="U523"/>
          <cell r="V523"/>
          <cell r="X523"/>
          <cell r="Z523"/>
          <cell r="AA523"/>
          <cell r="AB523"/>
          <cell r="AC523"/>
          <cell r="AD523"/>
          <cell r="AG523"/>
          <cell r="AI523"/>
          <cell r="AJ523"/>
          <cell r="AL523"/>
          <cell r="AM523"/>
          <cell r="AN523"/>
          <cell r="AO523"/>
          <cell r="AQ523"/>
          <cell r="AR523"/>
          <cell r="AS523"/>
          <cell r="AT523"/>
          <cell r="AU523"/>
          <cell r="BZ523"/>
          <cell r="CA523"/>
          <cell r="DL523"/>
          <cell r="DM523"/>
          <cell r="DN523"/>
          <cell r="DP523"/>
          <cell r="DQ523"/>
          <cell r="DR523"/>
          <cell r="DS523"/>
          <cell r="DT523"/>
          <cell r="DU523"/>
          <cell r="DW523"/>
          <cell r="DX523"/>
          <cell r="DY523"/>
          <cell r="DZ523"/>
          <cell r="EA523"/>
          <cell r="EB523"/>
          <cell r="EC523"/>
          <cell r="ED523"/>
          <cell r="EG523"/>
          <cell r="EH523"/>
          <cell r="EI523"/>
        </row>
        <row r="524">
          <cell r="B524"/>
          <cell r="C524"/>
          <cell r="E524"/>
          <cell r="F524"/>
          <cell r="G524"/>
          <cell r="H524"/>
          <cell r="I524"/>
          <cell r="J524"/>
          <cell r="L524"/>
          <cell r="M524"/>
          <cell r="N524"/>
          <cell r="R524"/>
          <cell r="T524"/>
          <cell r="U524"/>
          <cell r="V524"/>
          <cell r="X524"/>
          <cell r="Z524"/>
          <cell r="AA524"/>
          <cell r="AB524"/>
          <cell r="AC524"/>
          <cell r="AD524"/>
          <cell r="AG524"/>
          <cell r="AI524"/>
          <cell r="AJ524"/>
          <cell r="AL524"/>
          <cell r="AM524"/>
          <cell r="AN524"/>
          <cell r="AO524"/>
          <cell r="AQ524"/>
          <cell r="AR524"/>
          <cell r="AS524"/>
          <cell r="AT524"/>
          <cell r="AU524"/>
          <cell r="BZ524"/>
          <cell r="CA524"/>
          <cell r="DL524"/>
          <cell r="DM524"/>
          <cell r="DN524"/>
          <cell r="DP524"/>
          <cell r="DQ524"/>
          <cell r="DR524"/>
          <cell r="DS524"/>
          <cell r="DT524"/>
          <cell r="DU524"/>
          <cell r="DW524"/>
          <cell r="DX524"/>
          <cell r="DY524"/>
          <cell r="DZ524"/>
          <cell r="EA524"/>
          <cell r="EB524"/>
          <cell r="EC524"/>
        </row>
        <row r="525">
          <cell r="B525"/>
          <cell r="C525"/>
          <cell r="E525"/>
          <cell r="F525"/>
          <cell r="G525"/>
          <cell r="H525"/>
          <cell r="I525"/>
          <cell r="J525"/>
          <cell r="L525"/>
          <cell r="M525"/>
          <cell r="N525"/>
          <cell r="R525"/>
          <cell r="T525"/>
          <cell r="U525"/>
          <cell r="V525"/>
          <cell r="X525"/>
          <cell r="Z525"/>
          <cell r="AA525"/>
          <cell r="AB525"/>
          <cell r="AC525"/>
          <cell r="AD525"/>
          <cell r="AG525"/>
          <cell r="AI525"/>
          <cell r="AJ525"/>
          <cell r="AL525"/>
          <cell r="AM525"/>
          <cell r="AN525"/>
          <cell r="AO525"/>
          <cell r="AQ525"/>
          <cell r="AR525"/>
          <cell r="AS525"/>
          <cell r="AT525"/>
          <cell r="AU525"/>
          <cell r="BZ525"/>
          <cell r="CA525"/>
          <cell r="DL525"/>
          <cell r="DM525"/>
          <cell r="DN525"/>
          <cell r="DP525"/>
          <cell r="DQ525"/>
          <cell r="DR525"/>
          <cell r="DS525"/>
          <cell r="DT525"/>
          <cell r="DU525"/>
          <cell r="DW525"/>
          <cell r="DX525"/>
          <cell r="DY525"/>
          <cell r="DZ525"/>
          <cell r="EA525"/>
          <cell r="EB525"/>
          <cell r="EC525"/>
          <cell r="ED525"/>
          <cell r="EG525"/>
          <cell r="EH525"/>
          <cell r="EI525"/>
        </row>
        <row r="526">
          <cell r="B526"/>
          <cell r="C526"/>
          <cell r="E526"/>
          <cell r="F526"/>
          <cell r="G526"/>
          <cell r="H526"/>
          <cell r="I526"/>
          <cell r="J526"/>
          <cell r="L526"/>
          <cell r="M526"/>
          <cell r="N526"/>
          <cell r="R526"/>
          <cell r="T526"/>
          <cell r="U526"/>
          <cell r="V526"/>
          <cell r="X526"/>
          <cell r="Z526"/>
          <cell r="AA526"/>
          <cell r="AB526"/>
          <cell r="AC526"/>
          <cell r="AD526"/>
          <cell r="AG526"/>
          <cell r="AI526"/>
          <cell r="AJ526"/>
          <cell r="AL526"/>
          <cell r="AM526"/>
          <cell r="AN526"/>
          <cell r="AO526"/>
          <cell r="AQ526"/>
          <cell r="AR526"/>
          <cell r="AS526"/>
          <cell r="AT526"/>
          <cell r="AU526"/>
          <cell r="BZ526"/>
          <cell r="CA526"/>
          <cell r="DL526"/>
          <cell r="DM526"/>
          <cell r="DN526"/>
          <cell r="DP526"/>
          <cell r="DQ526"/>
          <cell r="DR526"/>
          <cell r="DS526"/>
          <cell r="DT526"/>
          <cell r="DU526"/>
          <cell r="DW526"/>
          <cell r="DX526"/>
          <cell r="DY526"/>
          <cell r="DZ526"/>
          <cell r="EA526"/>
          <cell r="EB526"/>
          <cell r="EC526"/>
          <cell r="ED526"/>
          <cell r="EG526"/>
          <cell r="EH526"/>
          <cell r="EI526"/>
        </row>
        <row r="527">
          <cell r="B527"/>
          <cell r="C527"/>
          <cell r="E527"/>
          <cell r="F527"/>
          <cell r="G527"/>
          <cell r="H527"/>
          <cell r="I527"/>
          <cell r="J527"/>
          <cell r="L527"/>
          <cell r="M527"/>
          <cell r="N527"/>
          <cell r="R527"/>
          <cell r="T527"/>
          <cell r="U527"/>
          <cell r="V527"/>
          <cell r="X527"/>
          <cell r="Z527"/>
          <cell r="AA527"/>
          <cell r="AB527"/>
          <cell r="AC527"/>
          <cell r="AD527"/>
          <cell r="AG527"/>
          <cell r="AI527"/>
          <cell r="AJ527"/>
          <cell r="AL527"/>
          <cell r="AM527"/>
          <cell r="AN527"/>
          <cell r="AO527"/>
          <cell r="AQ527"/>
          <cell r="AR527"/>
          <cell r="AS527"/>
          <cell r="AT527"/>
          <cell r="AU527"/>
          <cell r="BZ527"/>
          <cell r="CA527"/>
          <cell r="DL527"/>
          <cell r="DM527"/>
          <cell r="DN527"/>
          <cell r="DP527"/>
          <cell r="DQ527"/>
          <cell r="DR527"/>
          <cell r="DS527"/>
          <cell r="DT527"/>
          <cell r="DU527"/>
          <cell r="DW527"/>
          <cell r="EC527"/>
          <cell r="ED527"/>
        </row>
        <row r="528">
          <cell r="B528"/>
          <cell r="C528"/>
          <cell r="E528"/>
          <cell r="F528"/>
          <cell r="G528"/>
          <cell r="H528"/>
          <cell r="I528"/>
          <cell r="J528"/>
          <cell r="L528"/>
          <cell r="M528"/>
          <cell r="N528"/>
          <cell r="R528"/>
          <cell r="T528"/>
          <cell r="U528"/>
          <cell r="V528"/>
          <cell r="X528"/>
          <cell r="Z528"/>
          <cell r="AA528"/>
          <cell r="AB528"/>
          <cell r="AC528"/>
          <cell r="AD528"/>
          <cell r="AG528"/>
          <cell r="AI528"/>
          <cell r="AJ528"/>
          <cell r="AL528"/>
          <cell r="AM528"/>
          <cell r="AN528"/>
          <cell r="AO528"/>
          <cell r="AQ528"/>
          <cell r="AR528"/>
          <cell r="AS528"/>
          <cell r="AT528"/>
          <cell r="AU528"/>
          <cell r="BZ528"/>
          <cell r="CA528"/>
          <cell r="DL528"/>
          <cell r="DM528"/>
          <cell r="DN528"/>
          <cell r="DP528"/>
          <cell r="DQ528"/>
          <cell r="DR528"/>
          <cell r="DS528"/>
          <cell r="DT528"/>
          <cell r="DU528"/>
          <cell r="DW528"/>
          <cell r="EC528"/>
          <cell r="ED528"/>
        </row>
        <row r="529">
          <cell r="B529"/>
          <cell r="C529"/>
          <cell r="E529"/>
          <cell r="F529"/>
          <cell r="G529"/>
          <cell r="H529"/>
          <cell r="I529"/>
          <cell r="J529"/>
          <cell r="L529"/>
          <cell r="M529"/>
          <cell r="N529"/>
          <cell r="R529"/>
          <cell r="T529"/>
          <cell r="U529"/>
          <cell r="V529"/>
          <cell r="X529"/>
          <cell r="Z529"/>
          <cell r="AA529"/>
          <cell r="AB529"/>
          <cell r="AC529"/>
          <cell r="AD529"/>
          <cell r="AG529"/>
          <cell r="AI529"/>
          <cell r="AJ529"/>
          <cell r="AL529"/>
          <cell r="AM529"/>
          <cell r="AN529"/>
          <cell r="AO529"/>
          <cell r="AQ529"/>
          <cell r="AR529"/>
          <cell r="AS529"/>
          <cell r="AT529"/>
          <cell r="AU529"/>
          <cell r="BZ529"/>
          <cell r="CA529"/>
          <cell r="DL529"/>
          <cell r="DM529"/>
          <cell r="DN529"/>
          <cell r="DP529"/>
          <cell r="DQ529"/>
          <cell r="DR529"/>
          <cell r="DS529"/>
          <cell r="DT529"/>
          <cell r="DU529"/>
          <cell r="EC529"/>
          <cell r="ED529"/>
        </row>
        <row r="530">
          <cell r="B530"/>
          <cell r="C530"/>
          <cell r="E530"/>
          <cell r="F530"/>
          <cell r="G530"/>
          <cell r="H530"/>
          <cell r="I530"/>
          <cell r="J530"/>
          <cell r="L530"/>
          <cell r="M530"/>
          <cell r="N530"/>
          <cell r="R530"/>
          <cell r="T530"/>
          <cell r="U530"/>
          <cell r="V530"/>
          <cell r="X530"/>
          <cell r="Z530"/>
          <cell r="AA530"/>
          <cell r="AB530"/>
          <cell r="AC530"/>
          <cell r="AD530"/>
          <cell r="AG530"/>
          <cell r="AI530"/>
          <cell r="AJ530"/>
          <cell r="AL530"/>
          <cell r="AM530"/>
          <cell r="AN530"/>
          <cell r="AO530"/>
          <cell r="AQ530"/>
          <cell r="AR530"/>
          <cell r="AS530"/>
          <cell r="AT530"/>
          <cell r="AU530"/>
          <cell r="BZ530"/>
          <cell r="CA530"/>
          <cell r="DL530"/>
          <cell r="DM530"/>
          <cell r="DN530"/>
          <cell r="DP530"/>
          <cell r="DQ530"/>
          <cell r="DR530"/>
          <cell r="DS530"/>
          <cell r="DT530"/>
          <cell r="DU530"/>
          <cell r="DW530"/>
          <cell r="DX530"/>
          <cell r="DY530"/>
          <cell r="DZ530"/>
          <cell r="EA530"/>
          <cell r="EB530"/>
          <cell r="EC530"/>
          <cell r="ED530"/>
          <cell r="EG530"/>
          <cell r="EH530"/>
          <cell r="EI530"/>
        </row>
        <row r="531">
          <cell r="B531"/>
          <cell r="C531"/>
          <cell r="E531"/>
          <cell r="F531"/>
          <cell r="G531"/>
          <cell r="H531"/>
          <cell r="I531"/>
          <cell r="J531"/>
          <cell r="L531"/>
          <cell r="M531"/>
          <cell r="N531"/>
          <cell r="R531"/>
          <cell r="T531"/>
          <cell r="U531"/>
          <cell r="V531"/>
          <cell r="X531"/>
          <cell r="Z531"/>
          <cell r="AA531"/>
          <cell r="AB531"/>
          <cell r="AC531"/>
          <cell r="AD531"/>
          <cell r="AG531"/>
          <cell r="AI531"/>
          <cell r="AJ531"/>
          <cell r="AL531"/>
          <cell r="AM531"/>
          <cell r="AN531"/>
          <cell r="AO531"/>
          <cell r="AQ531"/>
          <cell r="AR531"/>
          <cell r="AS531"/>
          <cell r="AT531"/>
          <cell r="AU531"/>
          <cell r="BZ531"/>
          <cell r="CA531"/>
          <cell r="DL531"/>
          <cell r="DM531"/>
          <cell r="DN531"/>
          <cell r="DP531"/>
          <cell r="DQ531"/>
          <cell r="DR531"/>
          <cell r="DS531"/>
          <cell r="DT531"/>
          <cell r="DU531"/>
          <cell r="DW531"/>
          <cell r="DX531"/>
          <cell r="DY531"/>
          <cell r="DZ531"/>
          <cell r="EA531"/>
          <cell r="EB531"/>
          <cell r="EC531"/>
          <cell r="ED531"/>
          <cell r="EG531"/>
          <cell r="EH531"/>
          <cell r="EI531"/>
        </row>
        <row r="532">
          <cell r="B532"/>
          <cell r="C532"/>
          <cell r="E532"/>
          <cell r="F532"/>
          <cell r="G532"/>
          <cell r="H532"/>
          <cell r="I532"/>
          <cell r="J532"/>
          <cell r="L532"/>
          <cell r="M532"/>
          <cell r="N532"/>
          <cell r="R532"/>
          <cell r="T532"/>
          <cell r="U532"/>
          <cell r="V532"/>
          <cell r="X532"/>
          <cell r="Z532"/>
          <cell r="AA532"/>
          <cell r="AB532"/>
          <cell r="AC532"/>
          <cell r="AD532"/>
          <cell r="AG532"/>
          <cell r="AI532"/>
          <cell r="AJ532"/>
          <cell r="AL532"/>
          <cell r="AM532"/>
          <cell r="AN532"/>
          <cell r="AO532"/>
          <cell r="AQ532"/>
          <cell r="AR532"/>
          <cell r="AS532"/>
          <cell r="AT532"/>
          <cell r="AU532"/>
          <cell r="BZ532"/>
          <cell r="CA532"/>
          <cell r="DL532"/>
          <cell r="DM532"/>
          <cell r="DN532"/>
          <cell r="DP532"/>
          <cell r="DQ532"/>
          <cell r="DR532"/>
          <cell r="DS532"/>
          <cell r="DU532"/>
          <cell r="EC532"/>
          <cell r="ED532"/>
        </row>
        <row r="533">
          <cell r="B533"/>
          <cell r="C533"/>
          <cell r="E533"/>
          <cell r="F533"/>
          <cell r="G533"/>
          <cell r="H533"/>
          <cell r="I533"/>
          <cell r="J533"/>
          <cell r="L533"/>
          <cell r="M533"/>
          <cell r="N533"/>
          <cell r="R533"/>
          <cell r="T533"/>
          <cell r="U533"/>
          <cell r="V533"/>
          <cell r="X533"/>
          <cell r="Z533"/>
          <cell r="AA533"/>
          <cell r="AB533"/>
          <cell r="AC533"/>
          <cell r="AD533"/>
          <cell r="AG533"/>
          <cell r="AI533"/>
          <cell r="AJ533"/>
          <cell r="AL533"/>
          <cell r="AM533"/>
          <cell r="AN533"/>
          <cell r="AO533"/>
          <cell r="AQ533"/>
          <cell r="AR533"/>
          <cell r="AS533"/>
          <cell r="AT533"/>
          <cell r="AU533"/>
          <cell r="BZ533"/>
          <cell r="CA533"/>
          <cell r="DL533"/>
          <cell r="DM533"/>
          <cell r="DN533"/>
          <cell r="DP533"/>
          <cell r="DQ533"/>
          <cell r="DR533"/>
          <cell r="DS533"/>
          <cell r="DT533"/>
          <cell r="DU533"/>
          <cell r="DW533"/>
          <cell r="DX533"/>
          <cell r="DY533"/>
          <cell r="DZ533"/>
          <cell r="EA533"/>
          <cell r="EB533"/>
          <cell r="EC533"/>
          <cell r="ED533"/>
          <cell r="EG533"/>
          <cell r="EH533"/>
          <cell r="EI533"/>
        </row>
        <row r="534">
          <cell r="B534"/>
          <cell r="C534"/>
          <cell r="E534"/>
          <cell r="F534"/>
          <cell r="G534"/>
          <cell r="H534"/>
          <cell r="I534"/>
          <cell r="J534"/>
          <cell r="L534"/>
          <cell r="M534"/>
          <cell r="N534"/>
          <cell r="R534"/>
          <cell r="T534"/>
          <cell r="U534"/>
          <cell r="V534"/>
          <cell r="X534"/>
          <cell r="Z534"/>
          <cell r="AA534"/>
          <cell r="AB534"/>
          <cell r="AC534"/>
          <cell r="AD534"/>
          <cell r="AG534"/>
          <cell r="AI534"/>
          <cell r="AJ534"/>
          <cell r="AL534"/>
          <cell r="AM534"/>
          <cell r="AN534"/>
          <cell r="AO534"/>
          <cell r="AQ534"/>
          <cell r="AR534"/>
          <cell r="AS534"/>
          <cell r="AT534"/>
          <cell r="AU534"/>
          <cell r="BZ534"/>
          <cell r="CA534"/>
          <cell r="DL534"/>
          <cell r="DM534"/>
          <cell r="DN534"/>
          <cell r="DP534"/>
          <cell r="DQ534"/>
          <cell r="DR534"/>
          <cell r="DS534"/>
          <cell r="DT534"/>
          <cell r="DU534"/>
          <cell r="DW534"/>
          <cell r="DX534"/>
          <cell r="DY534"/>
          <cell r="DZ534"/>
          <cell r="EA534"/>
          <cell r="EB534"/>
          <cell r="EC534"/>
          <cell r="ED534"/>
          <cell r="EG534"/>
          <cell r="EH534"/>
          <cell r="EI534"/>
        </row>
        <row r="535">
          <cell r="B535"/>
          <cell r="C535"/>
          <cell r="E535"/>
          <cell r="F535"/>
          <cell r="G535"/>
          <cell r="H535"/>
          <cell r="I535"/>
          <cell r="J535"/>
          <cell r="L535"/>
          <cell r="M535"/>
          <cell r="N535"/>
          <cell r="R535"/>
          <cell r="T535"/>
          <cell r="U535"/>
          <cell r="V535"/>
          <cell r="X535"/>
          <cell r="Z535"/>
          <cell r="AA535"/>
          <cell r="AB535"/>
          <cell r="AC535"/>
          <cell r="AD535"/>
          <cell r="AG535"/>
          <cell r="AI535"/>
          <cell r="AJ535"/>
          <cell r="AL535"/>
          <cell r="AM535"/>
          <cell r="AN535"/>
          <cell r="AO535"/>
          <cell r="AQ535"/>
          <cell r="AR535"/>
          <cell r="AS535"/>
          <cell r="AT535"/>
          <cell r="AU535"/>
          <cell r="BZ535"/>
          <cell r="CA535"/>
          <cell r="DL535"/>
          <cell r="DM535"/>
          <cell r="DN535"/>
          <cell r="DP535"/>
          <cell r="DQ535"/>
          <cell r="DR535"/>
          <cell r="ED535"/>
        </row>
        <row r="536">
          <cell r="B536"/>
          <cell r="C536"/>
          <cell r="E536"/>
          <cell r="F536"/>
          <cell r="G536"/>
          <cell r="H536"/>
          <cell r="I536"/>
          <cell r="J536"/>
          <cell r="L536"/>
          <cell r="M536"/>
          <cell r="N536"/>
          <cell r="R536"/>
          <cell r="T536"/>
          <cell r="U536"/>
          <cell r="V536"/>
          <cell r="X536"/>
          <cell r="Z536"/>
          <cell r="AA536"/>
          <cell r="AB536"/>
          <cell r="AC536"/>
          <cell r="AD536"/>
          <cell r="AG536"/>
          <cell r="AI536"/>
          <cell r="AJ536"/>
          <cell r="AL536"/>
          <cell r="AM536"/>
          <cell r="AN536"/>
          <cell r="AO536"/>
          <cell r="AQ536"/>
          <cell r="AR536"/>
          <cell r="AS536"/>
          <cell r="AT536"/>
          <cell r="AU536"/>
          <cell r="BZ536"/>
          <cell r="CA536"/>
          <cell r="DL536"/>
          <cell r="DM536"/>
          <cell r="DN536"/>
          <cell r="DP536"/>
          <cell r="DQ536"/>
          <cell r="DR536"/>
          <cell r="DS536"/>
          <cell r="DT536"/>
          <cell r="DU536"/>
          <cell r="DW536"/>
          <cell r="DX536"/>
          <cell r="DY536"/>
          <cell r="DZ536"/>
          <cell r="EA536"/>
          <cell r="EB536"/>
          <cell r="EC536"/>
          <cell r="ED536"/>
          <cell r="EG536"/>
          <cell r="EH536"/>
          <cell r="EI536"/>
        </row>
        <row r="537">
          <cell r="B537"/>
          <cell r="C537"/>
          <cell r="E537"/>
          <cell r="F537"/>
          <cell r="G537"/>
          <cell r="H537"/>
          <cell r="I537"/>
          <cell r="J537"/>
          <cell r="L537"/>
          <cell r="M537"/>
          <cell r="N537"/>
          <cell r="R537"/>
          <cell r="T537"/>
          <cell r="U537"/>
          <cell r="V537"/>
          <cell r="X537"/>
          <cell r="Z537"/>
          <cell r="AA537"/>
          <cell r="AB537"/>
          <cell r="AC537"/>
          <cell r="AD537"/>
          <cell r="AG537"/>
          <cell r="AI537"/>
          <cell r="AJ537"/>
          <cell r="AL537"/>
          <cell r="AM537"/>
          <cell r="AN537"/>
          <cell r="AO537"/>
          <cell r="AQ537"/>
          <cell r="AR537"/>
          <cell r="AS537"/>
          <cell r="AT537"/>
          <cell r="AU537"/>
          <cell r="BZ537"/>
          <cell r="CA537"/>
          <cell r="DL537"/>
          <cell r="DM537"/>
          <cell r="DN537"/>
          <cell r="DP537"/>
          <cell r="DQ537"/>
          <cell r="DR537"/>
          <cell r="DS537"/>
          <cell r="DT537"/>
          <cell r="DU537"/>
          <cell r="DW537"/>
          <cell r="DX537"/>
          <cell r="DY537"/>
          <cell r="DZ537"/>
          <cell r="EA537"/>
          <cell r="EB537"/>
          <cell r="EC537"/>
          <cell r="ED537"/>
          <cell r="EG537"/>
          <cell r="EH537"/>
          <cell r="EI537"/>
        </row>
        <row r="538">
          <cell r="B538"/>
          <cell r="C538"/>
          <cell r="E538"/>
          <cell r="F538"/>
          <cell r="G538"/>
          <cell r="H538"/>
          <cell r="I538"/>
          <cell r="J538"/>
          <cell r="L538"/>
          <cell r="M538"/>
          <cell r="N538"/>
          <cell r="R538"/>
          <cell r="T538"/>
          <cell r="U538"/>
          <cell r="V538"/>
          <cell r="X538"/>
          <cell r="Z538"/>
          <cell r="AA538"/>
          <cell r="AB538"/>
          <cell r="AC538"/>
          <cell r="AD538"/>
          <cell r="AG538"/>
          <cell r="AI538"/>
          <cell r="AJ538"/>
          <cell r="AL538"/>
          <cell r="AM538"/>
          <cell r="AN538"/>
          <cell r="AO538"/>
          <cell r="AQ538"/>
          <cell r="AR538"/>
          <cell r="AS538"/>
          <cell r="AT538"/>
          <cell r="AU538"/>
          <cell r="BZ538"/>
          <cell r="CA538"/>
          <cell r="DL538"/>
          <cell r="DM538"/>
          <cell r="DN538"/>
          <cell r="DP538"/>
          <cell r="DQ538"/>
          <cell r="DR538"/>
          <cell r="DS538"/>
          <cell r="DT538"/>
          <cell r="DU538"/>
          <cell r="DW538"/>
          <cell r="DX538"/>
          <cell r="DY538"/>
          <cell r="DZ538"/>
          <cell r="EA538"/>
          <cell r="EB538"/>
          <cell r="EC538"/>
          <cell r="ED538"/>
          <cell r="EG538"/>
          <cell r="EH538"/>
          <cell r="EI538"/>
        </row>
        <row r="539">
          <cell r="B539"/>
          <cell r="C539"/>
          <cell r="E539"/>
          <cell r="F539"/>
          <cell r="G539"/>
          <cell r="H539"/>
          <cell r="I539"/>
          <cell r="J539"/>
          <cell r="L539"/>
          <cell r="M539"/>
          <cell r="N539"/>
          <cell r="R539"/>
          <cell r="T539"/>
          <cell r="U539"/>
          <cell r="V539"/>
          <cell r="X539"/>
          <cell r="Z539"/>
          <cell r="AA539"/>
          <cell r="AB539"/>
          <cell r="AC539"/>
          <cell r="AD539"/>
          <cell r="AG539"/>
          <cell r="AI539"/>
          <cell r="AJ539"/>
          <cell r="AL539"/>
          <cell r="AM539"/>
          <cell r="AN539"/>
          <cell r="AO539"/>
          <cell r="AQ539"/>
          <cell r="AR539"/>
          <cell r="AS539"/>
          <cell r="AT539"/>
          <cell r="AU539"/>
          <cell r="BZ539"/>
          <cell r="CA539"/>
          <cell r="DL539"/>
          <cell r="DM539"/>
          <cell r="DN539"/>
          <cell r="DP539"/>
          <cell r="DQ539"/>
          <cell r="DR539"/>
          <cell r="DS539"/>
          <cell r="DT539"/>
          <cell r="DU539"/>
          <cell r="DW539"/>
          <cell r="DX539"/>
          <cell r="DY539"/>
          <cell r="DZ539"/>
          <cell r="EA539"/>
          <cell r="EB539"/>
          <cell r="EC539"/>
          <cell r="ED539"/>
          <cell r="EG539"/>
          <cell r="EH539"/>
          <cell r="EI539"/>
        </row>
        <row r="540">
          <cell r="B540"/>
          <cell r="C540"/>
          <cell r="E540"/>
          <cell r="F540"/>
          <cell r="G540"/>
          <cell r="H540"/>
          <cell r="I540"/>
          <cell r="J540"/>
          <cell r="L540"/>
          <cell r="M540"/>
          <cell r="N540"/>
          <cell r="R540"/>
          <cell r="T540"/>
          <cell r="U540"/>
          <cell r="V540"/>
          <cell r="X540"/>
          <cell r="Z540"/>
          <cell r="AA540"/>
          <cell r="AB540"/>
          <cell r="AC540"/>
          <cell r="AD540"/>
          <cell r="AG540"/>
          <cell r="AI540"/>
          <cell r="AJ540"/>
          <cell r="AL540"/>
          <cell r="AM540"/>
          <cell r="AN540"/>
          <cell r="AO540"/>
          <cell r="AQ540"/>
          <cell r="AR540"/>
          <cell r="AS540"/>
          <cell r="AT540"/>
          <cell r="AU540"/>
          <cell r="BZ540"/>
          <cell r="CA540"/>
          <cell r="DL540"/>
          <cell r="DM540"/>
          <cell r="DN540"/>
          <cell r="DP540"/>
          <cell r="DQ540"/>
          <cell r="DR540"/>
          <cell r="DS540"/>
          <cell r="DT540"/>
          <cell r="DU540"/>
          <cell r="DW540"/>
          <cell r="DX540"/>
          <cell r="DY540"/>
          <cell r="DZ540"/>
          <cell r="EA540"/>
          <cell r="EB540"/>
          <cell r="EC540"/>
          <cell r="ED540"/>
          <cell r="EG540"/>
          <cell r="EH540"/>
          <cell r="EI540"/>
        </row>
        <row r="541">
          <cell r="B541"/>
          <cell r="C541"/>
          <cell r="E541"/>
          <cell r="F541"/>
          <cell r="G541"/>
          <cell r="H541"/>
          <cell r="I541"/>
          <cell r="J541"/>
          <cell r="L541"/>
          <cell r="M541"/>
          <cell r="N541"/>
          <cell r="T541"/>
          <cell r="U541"/>
          <cell r="V541"/>
          <cell r="X541"/>
          <cell r="AA541"/>
          <cell r="AB541"/>
          <cell r="AC541"/>
          <cell r="AD541"/>
          <cell r="AG541"/>
          <cell r="AI541"/>
          <cell r="AJ541"/>
          <cell r="AO541"/>
          <cell r="AQ541"/>
          <cell r="AR541"/>
          <cell r="AS541"/>
          <cell r="AT541"/>
          <cell r="AU541"/>
          <cell r="DL541"/>
          <cell r="DM541"/>
          <cell r="DN541"/>
          <cell r="DP541"/>
          <cell r="DQ541"/>
          <cell r="DR541"/>
          <cell r="DS541"/>
          <cell r="DT541"/>
          <cell r="DU541"/>
          <cell r="DW541"/>
          <cell r="DX541"/>
          <cell r="DY541"/>
          <cell r="DZ541"/>
          <cell r="EA541"/>
          <cell r="EB541"/>
          <cell r="EC541"/>
          <cell r="ED541"/>
        </row>
        <row r="542">
          <cell r="B542"/>
          <cell r="C542"/>
          <cell r="E542"/>
          <cell r="F542"/>
          <cell r="G542"/>
          <cell r="H542"/>
          <cell r="J542"/>
          <cell r="L542"/>
          <cell r="M542"/>
          <cell r="N542"/>
          <cell r="T542"/>
          <cell r="U542"/>
          <cell r="V542"/>
          <cell r="X542"/>
          <cell r="AA542"/>
          <cell r="AB542"/>
          <cell r="AC542"/>
          <cell r="AD542"/>
          <cell r="AG542"/>
          <cell r="AI542"/>
          <cell r="AJ542"/>
          <cell r="AO542"/>
          <cell r="AQ542"/>
          <cell r="AR542"/>
          <cell r="AS542"/>
          <cell r="AT542"/>
          <cell r="AU542"/>
          <cell r="DL542"/>
          <cell r="DM542"/>
          <cell r="DN542"/>
          <cell r="DP542"/>
          <cell r="DQ542"/>
          <cell r="DR542"/>
          <cell r="DS542"/>
          <cell r="DT542"/>
          <cell r="DU542"/>
          <cell r="DW542"/>
          <cell r="DX542"/>
          <cell r="DY542"/>
          <cell r="DZ542"/>
          <cell r="EA542"/>
          <cell r="EB542"/>
          <cell r="EC542"/>
          <cell r="ED542"/>
        </row>
        <row r="543">
          <cell r="B543"/>
          <cell r="C543"/>
          <cell r="E543"/>
          <cell r="F543"/>
          <cell r="G543"/>
          <cell r="H543"/>
          <cell r="J543"/>
          <cell r="L543"/>
          <cell r="M543"/>
          <cell r="N543"/>
          <cell r="R543"/>
          <cell r="T543"/>
          <cell r="U543"/>
          <cell r="V543"/>
          <cell r="X543"/>
          <cell r="AA543"/>
          <cell r="AB543"/>
          <cell r="AC543"/>
          <cell r="AD543"/>
          <cell r="AG543"/>
          <cell r="AI543"/>
          <cell r="AJ543"/>
          <cell r="AO543"/>
          <cell r="AQ543"/>
          <cell r="AR543"/>
          <cell r="AS543"/>
          <cell r="AT543"/>
          <cell r="AU543"/>
          <cell r="DL543"/>
          <cell r="DM543"/>
          <cell r="DN543"/>
          <cell r="DP543"/>
          <cell r="DQ543"/>
          <cell r="DR543"/>
          <cell r="DS543"/>
          <cell r="DT543"/>
          <cell r="DU543"/>
          <cell r="DW543"/>
          <cell r="DX543"/>
          <cell r="DY543"/>
          <cell r="DZ543"/>
          <cell r="EA543"/>
          <cell r="EB543"/>
          <cell r="EC543"/>
          <cell r="ED543"/>
          <cell r="EG543"/>
          <cell r="EH543"/>
          <cell r="EI543"/>
        </row>
        <row r="544">
          <cell r="B544"/>
          <cell r="C544"/>
          <cell r="E544"/>
          <cell r="F544"/>
          <cell r="G544"/>
          <cell r="H544"/>
          <cell r="I544"/>
          <cell r="L544"/>
          <cell r="M544"/>
          <cell r="T544"/>
          <cell r="U544"/>
          <cell r="V544"/>
          <cell r="Z544"/>
          <cell r="AG544"/>
          <cell r="AI544"/>
          <cell r="AO544"/>
          <cell r="AQ544"/>
          <cell r="AR544"/>
          <cell r="AS544"/>
          <cell r="AT544"/>
          <cell r="AU544"/>
          <cell r="DL544"/>
          <cell r="DM544"/>
          <cell r="DN544"/>
          <cell r="DP544"/>
          <cell r="DQ544"/>
          <cell r="DR544"/>
          <cell r="DS544"/>
          <cell r="DT544"/>
          <cell r="DU544"/>
          <cell r="DW544"/>
          <cell r="DX544"/>
          <cell r="DY544"/>
          <cell r="DZ544"/>
          <cell r="EA544"/>
          <cell r="EB544"/>
          <cell r="EC544"/>
          <cell r="ED544"/>
          <cell r="EG544"/>
          <cell r="EH544"/>
          <cell r="EI544"/>
        </row>
        <row r="545">
          <cell r="B545"/>
          <cell r="C545"/>
          <cell r="E545"/>
          <cell r="F545"/>
          <cell r="G545"/>
          <cell r="H545"/>
          <cell r="I545"/>
          <cell r="J545"/>
          <cell r="L545"/>
          <cell r="M545"/>
          <cell r="N545"/>
          <cell r="R545"/>
          <cell r="T545"/>
          <cell r="U545"/>
          <cell r="V545"/>
          <cell r="X545"/>
          <cell r="Z545"/>
          <cell r="AA545"/>
          <cell r="AB545"/>
          <cell r="AC545"/>
          <cell r="AD545"/>
          <cell r="AG545"/>
          <cell r="AI545"/>
          <cell r="AJ545"/>
          <cell r="AL545"/>
          <cell r="AM545"/>
          <cell r="AN545"/>
          <cell r="AO545"/>
          <cell r="AQ545"/>
          <cell r="AR545"/>
          <cell r="AS545"/>
          <cell r="AT545"/>
          <cell r="AU545"/>
          <cell r="BZ545"/>
          <cell r="CA545"/>
          <cell r="DL545"/>
          <cell r="DM545"/>
          <cell r="DN545"/>
          <cell r="DP545"/>
          <cell r="DQ545"/>
          <cell r="DR545"/>
          <cell r="DS545"/>
          <cell r="DT545"/>
          <cell r="DU545"/>
          <cell r="DW545"/>
          <cell r="EC545"/>
        </row>
        <row r="546">
          <cell r="B546"/>
          <cell r="C546"/>
          <cell r="E546"/>
          <cell r="F546"/>
          <cell r="G546"/>
          <cell r="H546"/>
          <cell r="I546"/>
          <cell r="J546"/>
          <cell r="L546"/>
          <cell r="M546"/>
          <cell r="N546"/>
          <cell r="R546"/>
          <cell r="T546"/>
          <cell r="U546"/>
          <cell r="V546"/>
          <cell r="X546"/>
          <cell r="Z546"/>
          <cell r="AA546"/>
          <cell r="AB546"/>
          <cell r="AC546"/>
          <cell r="AD546"/>
          <cell r="AG546"/>
          <cell r="AI546"/>
          <cell r="AJ546"/>
          <cell r="AL546"/>
          <cell r="AM546"/>
          <cell r="AN546"/>
          <cell r="AO546"/>
          <cell r="AQ546"/>
          <cell r="AR546"/>
          <cell r="AS546"/>
          <cell r="AT546"/>
          <cell r="AU546"/>
          <cell r="BZ546"/>
          <cell r="CA546"/>
          <cell r="DL546"/>
          <cell r="DM546"/>
          <cell r="DN546"/>
          <cell r="DP546"/>
          <cell r="DQ546"/>
          <cell r="DR546"/>
          <cell r="DS546"/>
          <cell r="DT546"/>
          <cell r="DU546"/>
          <cell r="DW546"/>
          <cell r="EC546"/>
        </row>
        <row r="547">
          <cell r="B547"/>
          <cell r="C547"/>
          <cell r="E547"/>
          <cell r="F547"/>
          <cell r="G547"/>
          <cell r="H547"/>
          <cell r="I547"/>
          <cell r="J547"/>
          <cell r="L547"/>
          <cell r="M547"/>
          <cell r="N547"/>
          <cell r="R547"/>
          <cell r="T547"/>
          <cell r="U547"/>
          <cell r="V547"/>
          <cell r="X547"/>
          <cell r="Z547"/>
          <cell r="AA547"/>
          <cell r="AB547"/>
          <cell r="AC547"/>
          <cell r="AD547"/>
          <cell r="AG547"/>
          <cell r="AI547"/>
          <cell r="AJ547"/>
          <cell r="AL547"/>
          <cell r="AM547"/>
          <cell r="AN547"/>
          <cell r="AO547"/>
          <cell r="AQ547"/>
          <cell r="AR547"/>
          <cell r="AS547"/>
          <cell r="AT547"/>
          <cell r="AU547"/>
          <cell r="BZ547"/>
          <cell r="CA547"/>
          <cell r="DL547"/>
          <cell r="DM547"/>
          <cell r="DN547"/>
          <cell r="DP547"/>
          <cell r="DQ547"/>
          <cell r="DR547"/>
          <cell r="ED547"/>
        </row>
        <row r="548">
          <cell r="B548"/>
          <cell r="C548"/>
          <cell r="E548"/>
          <cell r="F548"/>
          <cell r="G548"/>
          <cell r="H548"/>
          <cell r="I548"/>
          <cell r="J548"/>
          <cell r="L548"/>
          <cell r="M548"/>
          <cell r="N548"/>
          <cell r="R548"/>
          <cell r="T548"/>
          <cell r="U548"/>
          <cell r="V548"/>
          <cell r="X548"/>
          <cell r="Z548"/>
          <cell r="AA548"/>
          <cell r="AB548"/>
          <cell r="AC548"/>
          <cell r="AD548"/>
          <cell r="AG548"/>
          <cell r="AI548"/>
          <cell r="AJ548"/>
          <cell r="AL548"/>
          <cell r="AM548"/>
          <cell r="AN548"/>
          <cell r="AO548"/>
          <cell r="AQ548"/>
          <cell r="AR548"/>
          <cell r="AS548"/>
          <cell r="AT548"/>
          <cell r="AU548"/>
          <cell r="BZ548"/>
          <cell r="CA548"/>
          <cell r="DL548"/>
          <cell r="DM548"/>
          <cell r="DN548"/>
          <cell r="DP548"/>
          <cell r="DQ548"/>
          <cell r="DR548"/>
          <cell r="DS548"/>
          <cell r="DT548"/>
          <cell r="DU548"/>
          <cell r="DW548"/>
          <cell r="DX548"/>
          <cell r="ED548"/>
        </row>
        <row r="549">
          <cell r="B549"/>
          <cell r="C549"/>
          <cell r="E549"/>
          <cell r="F549"/>
          <cell r="G549"/>
          <cell r="H549"/>
          <cell r="I549"/>
          <cell r="J549"/>
          <cell r="L549"/>
          <cell r="M549"/>
          <cell r="N549"/>
          <cell r="R549"/>
          <cell r="T549"/>
          <cell r="U549"/>
          <cell r="V549"/>
          <cell r="X549"/>
          <cell r="Z549"/>
          <cell r="AA549"/>
          <cell r="AB549"/>
          <cell r="AC549"/>
          <cell r="AD549"/>
          <cell r="AG549"/>
          <cell r="AI549"/>
          <cell r="AJ549"/>
          <cell r="AL549"/>
          <cell r="AM549"/>
          <cell r="AN549"/>
          <cell r="AO549"/>
          <cell r="AQ549"/>
          <cell r="AR549"/>
          <cell r="AS549"/>
          <cell r="AT549"/>
          <cell r="AU549"/>
          <cell r="BZ549"/>
          <cell r="CA549"/>
          <cell r="DL549"/>
          <cell r="DM549"/>
          <cell r="DN549"/>
          <cell r="DP549"/>
          <cell r="DQ549"/>
          <cell r="DR549"/>
          <cell r="DS549"/>
          <cell r="DT549"/>
          <cell r="DU549"/>
          <cell r="DW549"/>
          <cell r="DX549"/>
          <cell r="DY549"/>
          <cell r="DZ549"/>
          <cell r="EA549"/>
          <cell r="EB549"/>
          <cell r="ED549"/>
          <cell r="EG549"/>
          <cell r="EH549"/>
          <cell r="EI549"/>
        </row>
        <row r="550">
          <cell r="B550"/>
          <cell r="C550"/>
          <cell r="E550"/>
          <cell r="T550"/>
          <cell r="U550"/>
          <cell r="V550"/>
          <cell r="AG550"/>
          <cell r="AI550"/>
          <cell r="AN550"/>
          <cell r="AO550"/>
          <cell r="AQ550"/>
          <cell r="AR550"/>
          <cell r="AS550"/>
          <cell r="AT550"/>
          <cell r="AU550"/>
          <cell r="DL550"/>
          <cell r="DN550"/>
          <cell r="DP550"/>
          <cell r="DQ550"/>
          <cell r="DR550"/>
          <cell r="ED550"/>
        </row>
        <row r="551">
          <cell r="B551"/>
          <cell r="C551"/>
          <cell r="E551"/>
          <cell r="T551"/>
          <cell r="U551"/>
          <cell r="V551"/>
          <cell r="AG551"/>
          <cell r="AI551"/>
          <cell r="AO551"/>
          <cell r="AQ551"/>
          <cell r="AR551"/>
          <cell r="AS551"/>
          <cell r="AT551"/>
          <cell r="AU551"/>
          <cell r="DL551"/>
          <cell r="DN551"/>
          <cell r="DP551"/>
          <cell r="DQ551"/>
          <cell r="DR551"/>
          <cell r="ED551"/>
        </row>
        <row r="552">
          <cell r="B552"/>
          <cell r="C552"/>
          <cell r="E552"/>
          <cell r="T552"/>
          <cell r="U552"/>
          <cell r="V552"/>
          <cell r="AG552"/>
          <cell r="AI552"/>
          <cell r="AO552"/>
          <cell r="AQ552"/>
          <cell r="AR552"/>
          <cell r="AS552"/>
          <cell r="AT552"/>
          <cell r="AU552"/>
          <cell r="DL552"/>
          <cell r="DN552"/>
          <cell r="DP552"/>
          <cell r="DQ552"/>
          <cell r="DR552"/>
          <cell r="ED552"/>
        </row>
        <row r="553">
          <cell r="B553"/>
          <cell r="C553"/>
          <cell r="E553"/>
          <cell r="T553"/>
          <cell r="U553"/>
          <cell r="V553"/>
          <cell r="AG553"/>
          <cell r="AI553"/>
          <cell r="AO553"/>
          <cell r="AQ553"/>
          <cell r="AR553"/>
          <cell r="AS553"/>
          <cell r="AT553"/>
          <cell r="AU553"/>
          <cell r="DL553"/>
          <cell r="DN553"/>
          <cell r="DP553"/>
          <cell r="DQ553"/>
          <cell r="DR553"/>
          <cell r="ED553"/>
        </row>
        <row r="554">
          <cell r="B554"/>
          <cell r="C554"/>
          <cell r="E554"/>
          <cell r="T554"/>
          <cell r="U554"/>
          <cell r="V554"/>
          <cell r="AG554"/>
          <cell r="AI554"/>
          <cell r="AO554"/>
          <cell r="AQ554"/>
          <cell r="AR554"/>
          <cell r="AS554"/>
          <cell r="AT554"/>
          <cell r="AU554"/>
          <cell r="DL554"/>
          <cell r="DN554"/>
          <cell r="DP554"/>
          <cell r="DQ554"/>
          <cell r="DR554"/>
          <cell r="ED554"/>
        </row>
        <row r="555">
          <cell r="B555"/>
          <cell r="C555"/>
          <cell r="E555"/>
          <cell r="T555"/>
          <cell r="U555"/>
          <cell r="V555"/>
          <cell r="AG555"/>
          <cell r="AI555"/>
          <cell r="AO555"/>
          <cell r="AQ555"/>
          <cell r="AR555"/>
          <cell r="AS555"/>
          <cell r="AT555"/>
          <cell r="AU555"/>
          <cell r="DL555"/>
          <cell r="DN555"/>
          <cell r="DP555"/>
          <cell r="DQ555"/>
          <cell r="DR555"/>
          <cell r="ED555"/>
        </row>
        <row r="556">
          <cell r="B556"/>
          <cell r="C556"/>
          <cell r="E556"/>
          <cell r="T556"/>
          <cell r="U556"/>
          <cell r="V556"/>
          <cell r="AG556"/>
          <cell r="AI556"/>
          <cell r="AO556"/>
          <cell r="AQ556"/>
          <cell r="AR556"/>
          <cell r="AS556"/>
          <cell r="AT556"/>
          <cell r="AU556"/>
          <cell r="DL556"/>
          <cell r="DN556"/>
          <cell r="DP556"/>
          <cell r="DQ556"/>
          <cell r="DR556"/>
          <cell r="ED556"/>
        </row>
        <row r="557">
          <cell r="B557"/>
          <cell r="C557"/>
          <cell r="E557"/>
          <cell r="T557"/>
          <cell r="U557"/>
          <cell r="V557"/>
          <cell r="AG557"/>
          <cell r="AI557"/>
          <cell r="AO557"/>
          <cell r="AQ557"/>
          <cell r="AR557"/>
          <cell r="AS557"/>
          <cell r="AT557"/>
          <cell r="AU557"/>
          <cell r="DL557"/>
          <cell r="DN557"/>
          <cell r="DP557"/>
          <cell r="DQ557"/>
          <cell r="DR557"/>
          <cell r="ED557"/>
        </row>
        <row r="558">
          <cell r="B558"/>
          <cell r="C558"/>
          <cell r="E558"/>
          <cell r="T558"/>
          <cell r="U558"/>
          <cell r="V558"/>
          <cell r="AG558"/>
          <cell r="AI558"/>
          <cell r="AO558"/>
          <cell r="AQ558"/>
          <cell r="AR558"/>
          <cell r="AS558"/>
          <cell r="AT558"/>
          <cell r="AU558"/>
          <cell r="DL558"/>
          <cell r="DN558"/>
          <cell r="DP558"/>
          <cell r="DQ558"/>
          <cell r="DR558"/>
          <cell r="ED558"/>
        </row>
        <row r="559">
          <cell r="B559"/>
          <cell r="C559"/>
          <cell r="E559"/>
          <cell r="T559"/>
          <cell r="U559"/>
          <cell r="V559"/>
          <cell r="AG559"/>
          <cell r="AI559"/>
          <cell r="AO559"/>
          <cell r="AQ559"/>
          <cell r="AR559"/>
          <cell r="AS559"/>
          <cell r="AT559"/>
          <cell r="AU559"/>
          <cell r="DL559"/>
          <cell r="DN559"/>
          <cell r="DP559"/>
          <cell r="DQ559"/>
          <cell r="DR559"/>
          <cell r="ED559"/>
        </row>
        <row r="560">
          <cell r="B560"/>
          <cell r="C560"/>
          <cell r="E560"/>
          <cell r="T560"/>
          <cell r="U560"/>
          <cell r="V560"/>
          <cell r="AG560"/>
          <cell r="AI560"/>
          <cell r="AO560"/>
          <cell r="AQ560"/>
          <cell r="AR560"/>
          <cell r="AS560"/>
          <cell r="AT560"/>
          <cell r="AU560"/>
          <cell r="DL560"/>
          <cell r="DN560"/>
          <cell r="DP560"/>
          <cell r="DQ560"/>
          <cell r="DR560"/>
          <cell r="ED560"/>
        </row>
        <row r="561">
          <cell r="B561"/>
          <cell r="C561"/>
          <cell r="E561"/>
          <cell r="T561"/>
          <cell r="U561"/>
          <cell r="V561"/>
          <cell r="AG561"/>
          <cell r="AI561"/>
          <cell r="AO561"/>
          <cell r="AQ561"/>
          <cell r="AR561"/>
          <cell r="AS561"/>
          <cell r="AT561"/>
          <cell r="AU561"/>
          <cell r="DL561"/>
          <cell r="DN561"/>
          <cell r="DP561"/>
          <cell r="DQ561"/>
          <cell r="DR561"/>
          <cell r="ED561"/>
        </row>
        <row r="562">
          <cell r="B562"/>
          <cell r="C562"/>
          <cell r="E562"/>
          <cell r="T562"/>
          <cell r="U562"/>
          <cell r="V562"/>
          <cell r="AG562"/>
          <cell r="AI562"/>
          <cell r="AO562"/>
          <cell r="AQ562"/>
          <cell r="AR562"/>
          <cell r="AS562"/>
          <cell r="AT562"/>
          <cell r="AU562"/>
          <cell r="DL562"/>
          <cell r="DN562"/>
          <cell r="DP562"/>
          <cell r="DQ562"/>
          <cell r="DR562"/>
          <cell r="ED562"/>
        </row>
        <row r="563">
          <cell r="B563"/>
          <cell r="C563"/>
          <cell r="E563"/>
          <cell r="T563"/>
          <cell r="U563"/>
          <cell r="V563"/>
          <cell r="AG563"/>
          <cell r="AI563"/>
          <cell r="AO563"/>
          <cell r="AQ563"/>
          <cell r="AR563"/>
          <cell r="AS563"/>
          <cell r="AT563"/>
          <cell r="AU563"/>
          <cell r="DL563"/>
          <cell r="DN563"/>
          <cell r="DP563"/>
          <cell r="DQ563"/>
          <cell r="DR563"/>
        </row>
        <row r="564">
          <cell r="B564"/>
          <cell r="C564"/>
          <cell r="E564"/>
          <cell r="T564"/>
          <cell r="U564"/>
          <cell r="V564"/>
          <cell r="AG564"/>
          <cell r="AI564"/>
          <cell r="AO564"/>
          <cell r="AQ564"/>
          <cell r="AR564"/>
          <cell r="AS564"/>
          <cell r="AT564"/>
          <cell r="AU564"/>
          <cell r="DL564"/>
          <cell r="DN564"/>
          <cell r="DP564"/>
          <cell r="DQ564"/>
          <cell r="DR564"/>
        </row>
        <row r="565">
          <cell r="B565"/>
          <cell r="C565"/>
          <cell r="E565"/>
          <cell r="T565"/>
          <cell r="U565"/>
          <cell r="V565"/>
          <cell r="AG565"/>
          <cell r="AI565"/>
          <cell r="AO565"/>
          <cell r="AQ565"/>
          <cell r="AR565"/>
          <cell r="AS565"/>
          <cell r="AT565"/>
          <cell r="AU565"/>
          <cell r="DL565"/>
          <cell r="DN565"/>
          <cell r="DP565"/>
          <cell r="DQ565"/>
          <cell r="DR565"/>
        </row>
        <row r="566">
          <cell r="B566"/>
          <cell r="C566"/>
          <cell r="E566"/>
          <cell r="H566"/>
          <cell r="T566"/>
          <cell r="U566"/>
          <cell r="V566"/>
          <cell r="AG566"/>
          <cell r="AI566"/>
          <cell r="AO566"/>
          <cell r="AQ566"/>
          <cell r="AR566"/>
          <cell r="AS566"/>
          <cell r="AT566"/>
          <cell r="AU566"/>
          <cell r="DL566"/>
          <cell r="DN566"/>
          <cell r="DP566"/>
          <cell r="DQ566"/>
          <cell r="DR566"/>
        </row>
        <row r="567">
          <cell r="B567"/>
          <cell r="C567"/>
          <cell r="E567"/>
          <cell r="T567"/>
          <cell r="U567"/>
          <cell r="V567"/>
          <cell r="AG567"/>
          <cell r="AI567"/>
          <cell r="AO567"/>
          <cell r="AQ567"/>
          <cell r="AR567"/>
          <cell r="AS567"/>
          <cell r="AT567"/>
          <cell r="AU567"/>
          <cell r="DL567"/>
          <cell r="DN567"/>
          <cell r="DP567"/>
          <cell r="DQ567"/>
          <cell r="DR567"/>
        </row>
        <row r="568">
          <cell r="B568"/>
          <cell r="C568"/>
          <cell r="E568"/>
          <cell r="T568"/>
          <cell r="U568"/>
          <cell r="V568"/>
          <cell r="AG568"/>
          <cell r="AI568"/>
          <cell r="AO568"/>
          <cell r="AQ568"/>
          <cell r="AR568"/>
          <cell r="AS568"/>
          <cell r="AT568"/>
          <cell r="AU568"/>
          <cell r="DL568"/>
          <cell r="DN568"/>
          <cell r="DP568"/>
          <cell r="DQ568"/>
          <cell r="DR568"/>
        </row>
        <row r="569">
          <cell r="B569"/>
          <cell r="C569"/>
          <cell r="E569"/>
          <cell r="T569"/>
          <cell r="U569"/>
          <cell r="V569"/>
          <cell r="AG569"/>
          <cell r="AI569"/>
          <cell r="AO569"/>
          <cell r="AQ569"/>
          <cell r="AR569"/>
          <cell r="AS569"/>
          <cell r="AT569"/>
          <cell r="AU569"/>
          <cell r="DL569"/>
          <cell r="DN569"/>
          <cell r="DP569"/>
          <cell r="DQ569"/>
          <cell r="DR569"/>
        </row>
        <row r="570">
          <cell r="B570"/>
          <cell r="C570"/>
          <cell r="E570"/>
          <cell r="T570"/>
          <cell r="U570"/>
          <cell r="V570"/>
          <cell r="AG570"/>
          <cell r="AI570"/>
          <cell r="AO570"/>
          <cell r="AQ570"/>
          <cell r="AR570"/>
          <cell r="AS570"/>
          <cell r="AT570"/>
          <cell r="AU570"/>
          <cell r="DL570"/>
          <cell r="DN570"/>
          <cell r="DP570"/>
          <cell r="DQ570"/>
          <cell r="DR570"/>
        </row>
        <row r="571">
          <cell r="B571"/>
          <cell r="C571"/>
          <cell r="E571"/>
          <cell r="T571"/>
          <cell r="U571"/>
          <cell r="V571"/>
          <cell r="AG571"/>
          <cell r="AI571"/>
          <cell r="AO571"/>
          <cell r="AQ571"/>
          <cell r="AR571"/>
          <cell r="AS571"/>
          <cell r="AT571"/>
          <cell r="AU571"/>
          <cell r="DL571"/>
          <cell r="DN571"/>
          <cell r="DP571"/>
          <cell r="DQ571"/>
          <cell r="DR571"/>
        </row>
        <row r="572">
          <cell r="B572"/>
          <cell r="C572"/>
          <cell r="E572"/>
          <cell r="T572"/>
          <cell r="U572"/>
          <cell r="V572"/>
          <cell r="AG572"/>
          <cell r="AI572"/>
          <cell r="AO572"/>
          <cell r="AQ572"/>
          <cell r="AR572"/>
          <cell r="AS572"/>
          <cell r="AT572"/>
          <cell r="AU572"/>
          <cell r="DL572"/>
          <cell r="DN572"/>
          <cell r="DP572"/>
          <cell r="DQ572"/>
          <cell r="DR572"/>
        </row>
        <row r="573">
          <cell r="B573"/>
          <cell r="C573"/>
          <cell r="E573"/>
          <cell r="T573"/>
          <cell r="U573"/>
          <cell r="V573"/>
          <cell r="AG573"/>
          <cell r="AI573"/>
          <cell r="AO573"/>
          <cell r="AQ573"/>
          <cell r="AR573"/>
          <cell r="AS573"/>
          <cell r="AT573"/>
          <cell r="AU573"/>
          <cell r="DL573"/>
          <cell r="DN573"/>
          <cell r="DP573"/>
          <cell r="DQ573"/>
          <cell r="DR573"/>
        </row>
        <row r="574">
          <cell r="B574"/>
          <cell r="C574"/>
          <cell r="E574"/>
          <cell r="T574"/>
          <cell r="U574"/>
          <cell r="V574"/>
          <cell r="AG574"/>
          <cell r="AI574"/>
          <cell r="AO574"/>
          <cell r="AQ574"/>
          <cell r="AR574"/>
          <cell r="AS574"/>
          <cell r="AT574"/>
          <cell r="AU574"/>
          <cell r="DL574"/>
          <cell r="DN574"/>
          <cell r="DP574"/>
          <cell r="DQ574"/>
          <cell r="DR574"/>
        </row>
        <row r="575">
          <cell r="B575"/>
          <cell r="C575"/>
          <cell r="E575"/>
          <cell r="T575"/>
          <cell r="U575"/>
          <cell r="V575"/>
          <cell r="AG575"/>
          <cell r="AI575"/>
          <cell r="AO575"/>
          <cell r="AQ575"/>
          <cell r="AR575"/>
          <cell r="AS575"/>
          <cell r="AT575"/>
          <cell r="AU575"/>
          <cell r="DL575"/>
          <cell r="DN575"/>
          <cell r="DP575"/>
          <cell r="DQ575"/>
          <cell r="DR575"/>
        </row>
        <row r="576">
          <cell r="B576"/>
          <cell r="C576"/>
          <cell r="E576"/>
          <cell r="T576"/>
          <cell r="U576"/>
          <cell r="V576"/>
          <cell r="AG576"/>
          <cell r="AI576"/>
          <cell r="AO576"/>
          <cell r="AQ576"/>
          <cell r="AR576"/>
          <cell r="AS576"/>
          <cell r="AT576"/>
          <cell r="AU576"/>
          <cell r="DL576"/>
          <cell r="DN576"/>
          <cell r="DP576"/>
          <cell r="DQ576"/>
          <cell r="DR576"/>
        </row>
        <row r="577">
          <cell r="B577"/>
          <cell r="C577"/>
          <cell r="E577"/>
          <cell r="T577"/>
          <cell r="U577"/>
          <cell r="V577"/>
          <cell r="AG577"/>
          <cell r="AI577"/>
          <cell r="AO577"/>
          <cell r="AQ577"/>
          <cell r="AR577"/>
          <cell r="AS577"/>
          <cell r="AT577"/>
          <cell r="AU577"/>
          <cell r="DL577"/>
          <cell r="DN577"/>
          <cell r="DP577"/>
          <cell r="DQ577"/>
          <cell r="DR577"/>
        </row>
        <row r="578">
          <cell r="B578"/>
          <cell r="C578"/>
          <cell r="E578"/>
          <cell r="T578"/>
          <cell r="U578"/>
          <cell r="V578"/>
          <cell r="AG578"/>
          <cell r="AI578"/>
          <cell r="AO578"/>
          <cell r="AQ578"/>
          <cell r="AR578"/>
          <cell r="AS578"/>
          <cell r="AT578"/>
          <cell r="AU578"/>
          <cell r="DL578"/>
          <cell r="DN578"/>
          <cell r="DP578"/>
          <cell r="DQ578"/>
          <cell r="DR578"/>
        </row>
        <row r="579">
          <cell r="B579"/>
          <cell r="C579"/>
          <cell r="E579"/>
          <cell r="T579"/>
          <cell r="U579"/>
          <cell r="V579"/>
          <cell r="AG579"/>
          <cell r="AI579"/>
          <cell r="AO579"/>
          <cell r="AQ579"/>
          <cell r="AR579"/>
          <cell r="AS579"/>
          <cell r="AT579"/>
          <cell r="AU579"/>
          <cell r="DL579"/>
          <cell r="DN579"/>
          <cell r="DP579"/>
          <cell r="DQ579"/>
          <cell r="DR579"/>
        </row>
        <row r="580">
          <cell r="B580"/>
          <cell r="C580"/>
          <cell r="E580"/>
          <cell r="T580"/>
          <cell r="U580"/>
          <cell r="V580"/>
          <cell r="AG580"/>
          <cell r="AI580"/>
          <cell r="AO580"/>
          <cell r="AQ580"/>
          <cell r="AR580"/>
          <cell r="AS580"/>
          <cell r="AT580"/>
          <cell r="AU580"/>
          <cell r="DL580"/>
          <cell r="DN580"/>
          <cell r="DP580"/>
          <cell r="DQ580"/>
          <cell r="DR580"/>
        </row>
        <row r="581">
          <cell r="B581"/>
          <cell r="C581"/>
          <cell r="E581"/>
          <cell r="T581"/>
          <cell r="U581"/>
          <cell r="V581"/>
          <cell r="AG581"/>
          <cell r="AI581"/>
          <cell r="AO581"/>
          <cell r="AQ581"/>
          <cell r="AR581"/>
          <cell r="AS581"/>
          <cell r="AT581"/>
          <cell r="AU581"/>
          <cell r="DL581"/>
          <cell r="DN581"/>
          <cell r="DP581"/>
          <cell r="DQ581"/>
          <cell r="DR581"/>
        </row>
        <row r="582">
          <cell r="B582"/>
          <cell r="C582"/>
          <cell r="E582"/>
          <cell r="T582"/>
          <cell r="U582"/>
          <cell r="V582"/>
          <cell r="AG582"/>
          <cell r="AI582"/>
          <cell r="AO582"/>
          <cell r="AQ582"/>
          <cell r="AR582"/>
          <cell r="AS582"/>
          <cell r="AT582"/>
          <cell r="AU582"/>
          <cell r="DL582"/>
          <cell r="DN582"/>
          <cell r="DP582"/>
          <cell r="DQ582"/>
          <cell r="DR582"/>
        </row>
        <row r="583">
          <cell r="B583"/>
          <cell r="C583"/>
          <cell r="E583"/>
          <cell r="T583"/>
          <cell r="U583"/>
          <cell r="V583"/>
          <cell r="AG583"/>
          <cell r="AI583"/>
          <cell r="AO583"/>
          <cell r="AQ583"/>
          <cell r="AR583"/>
          <cell r="AS583"/>
          <cell r="AT583"/>
          <cell r="AU583"/>
          <cell r="DL583"/>
          <cell r="DN583"/>
          <cell r="DP583"/>
          <cell r="DQ583"/>
          <cell r="DR583"/>
        </row>
        <row r="584">
          <cell r="B584"/>
          <cell r="C584"/>
          <cell r="E584"/>
          <cell r="T584"/>
          <cell r="U584"/>
          <cell r="V584"/>
          <cell r="AG584"/>
          <cell r="AI584"/>
          <cell r="AO584"/>
          <cell r="AQ584"/>
          <cell r="AR584"/>
          <cell r="AS584"/>
          <cell r="AT584"/>
          <cell r="AU584"/>
          <cell r="DL584"/>
          <cell r="DN584"/>
          <cell r="DP584"/>
          <cell r="DQ584"/>
          <cell r="DR584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Sheet1"/>
      <sheetName val="งานสวมเดือน2"/>
      <sheetName val="ส่งแล้ว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ยอดผลิตเดือน2 ส่ง เดือน 3"/>
      <sheetName val="เบทาโกร"/>
    </sheetNames>
    <sheetDataSet>
      <sheetData sheetId="0"/>
      <sheetData sheetId="1">
        <row r="11">
          <cell r="F11">
            <v>41622</v>
          </cell>
        </row>
        <row r="18">
          <cell r="DC18" t="str">
            <v>&lt; Ord 20,000</v>
          </cell>
        </row>
        <row r="19">
          <cell r="DC19" t="str">
            <v>รอตัด</v>
          </cell>
        </row>
        <row r="20">
          <cell r="DC20" t="str">
            <v>รอตัด</v>
          </cell>
        </row>
        <row r="21">
          <cell r="DC21" t="str">
            <v>ยังไม่ได้พิมพ์</v>
          </cell>
        </row>
        <row r="22">
          <cell r="DC22" t="str">
            <v>พร้อมส่ง</v>
          </cell>
        </row>
        <row r="23">
          <cell r="DC23" t="str">
            <v>พร้อมส่ง</v>
          </cell>
        </row>
        <row r="24">
          <cell r="DC24" t="str">
            <v>พร้อมส่ง</v>
          </cell>
        </row>
        <row r="25">
          <cell r="DC25" t="str">
            <v>ยังไม่ได้พิมพ์</v>
          </cell>
        </row>
        <row r="26">
          <cell r="DC26" t="str">
            <v>พร้อมส่ง</v>
          </cell>
        </row>
        <row r="27">
          <cell r="DC27" t="str">
            <v>ยังไม่ได้พิมพ์</v>
          </cell>
        </row>
        <row r="28">
          <cell r="DC28" t="str">
            <v>พร้อมส่ง</v>
          </cell>
        </row>
        <row r="29">
          <cell r="DC29" t="str">
            <v>ยังไม่ได้พิมพ์</v>
          </cell>
        </row>
        <row r="30">
          <cell r="DC30" t="str">
            <v>พิมพ์ไม่ครบ</v>
          </cell>
        </row>
        <row r="31">
          <cell r="DC31" t="str">
            <v>รอแบบ</v>
          </cell>
        </row>
        <row r="32">
          <cell r="DC32" t="str">
            <v>ยังไม่ได้พิมพ์</v>
          </cell>
        </row>
        <row r="33">
          <cell r="DC33" t="str">
            <v>พร้อมส่ง</v>
          </cell>
        </row>
        <row r="34">
          <cell r="DC34" t="str">
            <v>พร้อมส่ง</v>
          </cell>
        </row>
        <row r="35">
          <cell r="DC35" t="str">
            <v>พร้อมส่ง</v>
          </cell>
        </row>
        <row r="36">
          <cell r="DC36" t="str">
            <v>พร้อมส่ง</v>
          </cell>
        </row>
        <row r="37">
          <cell r="DC37" t="str">
            <v>พร้อมส่ง</v>
          </cell>
        </row>
        <row r="38">
          <cell r="DC38" t="str">
            <v>พร้อมส่ง</v>
          </cell>
        </row>
        <row r="39">
          <cell r="DC39" t="str">
            <v>พร้อมส่ง</v>
          </cell>
        </row>
        <row r="40">
          <cell r="DC40" t="str">
            <v>พร้อมส่ง</v>
          </cell>
        </row>
        <row r="41">
          <cell r="DC41" t="str">
            <v>พร้อมส่ง</v>
          </cell>
        </row>
        <row r="42">
          <cell r="DC42" t="str">
            <v>รอตัด</v>
          </cell>
        </row>
        <row r="43">
          <cell r="DC43" t="str">
            <v>พร้อมส่ง</v>
          </cell>
        </row>
        <row r="44">
          <cell r="DC44" t="str">
            <v>พร้อมส่ง</v>
          </cell>
        </row>
        <row r="45">
          <cell r="DC45" t="str">
            <v>รอตัด</v>
          </cell>
        </row>
        <row r="46">
          <cell r="DC46" t="str">
            <v>พร้อมส่ง</v>
          </cell>
        </row>
        <row r="47">
          <cell r="DC47" t="str">
            <v>ยังไม่ได้พิมพ์</v>
          </cell>
        </row>
        <row r="48">
          <cell r="DC48" t="str">
            <v>ยังไม่ได้พิมพ์</v>
          </cell>
        </row>
        <row r="49">
          <cell r="DC49" t="str">
            <v>พร้อมส่ง</v>
          </cell>
        </row>
        <row r="50">
          <cell r="DC50" t="str">
            <v>ผ้าขาว</v>
          </cell>
        </row>
        <row r="51">
          <cell r="DC51" t="str">
            <v>ผ้าขาว</v>
          </cell>
        </row>
        <row r="52">
          <cell r="DC52" t="str">
            <v>ผ้าขาว</v>
          </cell>
        </row>
        <row r="53">
          <cell r="DC53" t="str">
            <v>ผ้าขาว</v>
          </cell>
        </row>
        <row r="54">
          <cell r="DC54" t="str">
            <v>ยังไม่ได้พิมพ์</v>
          </cell>
        </row>
        <row r="55">
          <cell r="DC55" t="str">
            <v>ยังไม่ได้พิมพ์</v>
          </cell>
        </row>
        <row r="56">
          <cell r="DC56" t="str">
            <v>ยังไม่ได้พิมพ์</v>
          </cell>
        </row>
        <row r="57">
          <cell r="DC57" t="str">
            <v>ยังไม่ได้พิมพ์</v>
          </cell>
        </row>
        <row r="58">
          <cell r="DC58" t="str">
            <v>ยังไม่ได้พิมพ์</v>
          </cell>
        </row>
        <row r="59">
          <cell r="DC59" t="str">
            <v>ยังไม่ได้พิมพ์</v>
          </cell>
        </row>
        <row r="60">
          <cell r="DC60" t="str">
            <v>ยังไม่ได้พิมพ์</v>
          </cell>
        </row>
        <row r="61">
          <cell r="DC61" t="str">
            <v>ยังไม่ได้พิมพ์</v>
          </cell>
        </row>
        <row r="62">
          <cell r="DC62" t="str">
            <v>รอแบบ</v>
          </cell>
        </row>
        <row r="63">
          <cell r="DC63" t="str">
            <v>พร้อมส่ง</v>
          </cell>
        </row>
        <row r="64">
          <cell r="DC64" t="str">
            <v>พร้อมส่ง</v>
          </cell>
        </row>
        <row r="65">
          <cell r="DC65" t="str">
            <v>ยังไม่ได้พิมพ์</v>
          </cell>
        </row>
        <row r="66">
          <cell r="DC66" t="str">
            <v>ยังไม่ได้พิมพ์</v>
          </cell>
        </row>
        <row r="67">
          <cell r="DC67" t="str">
            <v>พร้อมส่ง</v>
          </cell>
        </row>
        <row r="68">
          <cell r="DC68" t="str">
            <v>พร้อมส่ง</v>
          </cell>
        </row>
        <row r="69">
          <cell r="DC69" t="str">
            <v>พร้อมส่ง</v>
          </cell>
        </row>
        <row r="70">
          <cell r="DC70" t="str">
            <v>พร้อมส่ง</v>
          </cell>
        </row>
        <row r="71">
          <cell r="DC71" t="str">
            <v>พร้อมส่ง</v>
          </cell>
        </row>
        <row r="72">
          <cell r="DC72" t="str">
            <v>พร้อมส่ง</v>
          </cell>
        </row>
        <row r="73">
          <cell r="DC73" t="str">
            <v>ยังไม่ได้พิมพ์</v>
          </cell>
        </row>
        <row r="74">
          <cell r="DC74" t="str">
            <v>ยังไม่ได้พิมพ์</v>
          </cell>
        </row>
        <row r="75">
          <cell r="DC75" t="str">
            <v>ยังไม่ได้พิมพ์</v>
          </cell>
        </row>
        <row r="76">
          <cell r="DC76" t="str">
            <v>ยังไม่ได้พิมพ์</v>
          </cell>
        </row>
        <row r="77">
          <cell r="DC77" t="str">
            <v>พร้อมส่ง</v>
          </cell>
        </row>
        <row r="78">
          <cell r="DC78" t="str">
            <v>พร้อมส่ง</v>
          </cell>
        </row>
        <row r="79">
          <cell r="DC79" t="str">
            <v>รอตัด</v>
          </cell>
        </row>
        <row r="80">
          <cell r="DC80" t="str">
            <v>พร้อมส่ง</v>
          </cell>
        </row>
        <row r="81">
          <cell r="DC81" t="str">
            <v>รอตัด</v>
          </cell>
        </row>
        <row r="82">
          <cell r="DC82" t="str">
            <v>ยังไม่ได้พิมพ์</v>
          </cell>
        </row>
        <row r="83">
          <cell r="DC83" t="str">
            <v>ยังไม่ได้พิมพ์</v>
          </cell>
        </row>
        <row r="84">
          <cell r="DC84" t="str">
            <v>ยังไม่ได้พิมพ์</v>
          </cell>
        </row>
        <row r="85">
          <cell r="DC85" t="str">
            <v>ยังไม่ได้พิมพ์</v>
          </cell>
        </row>
        <row r="86">
          <cell r="DC86" t="str">
            <v>ยังไม่ได้พิมพ์</v>
          </cell>
        </row>
        <row r="87">
          <cell r="DC87" t="str">
            <v>ยังไม่ได้พิมพ์</v>
          </cell>
        </row>
        <row r="88">
          <cell r="DC88" t="str">
            <v>ยังไม่ได้พิมพ์</v>
          </cell>
        </row>
        <row r="89">
          <cell r="DC89" t="str">
            <v>ยังไม่ได้พิมพ์</v>
          </cell>
        </row>
        <row r="90">
          <cell r="DC90" t="str">
            <v>ยังไม่ได้พิมพ์</v>
          </cell>
        </row>
        <row r="91">
          <cell r="DC91" t="str">
            <v>รอตัด</v>
          </cell>
        </row>
        <row r="92">
          <cell r="DC92" t="str">
            <v>ยังไม่ได้พิมพ์</v>
          </cell>
        </row>
        <row r="93">
          <cell r="DC93" t="str">
            <v>ยังไม่ได้พิมพ์</v>
          </cell>
        </row>
        <row r="94">
          <cell r="DC94" t="str">
            <v>ยังไม่ได้พิมพ์</v>
          </cell>
        </row>
        <row r="95">
          <cell r="DC95" t="str">
            <v>ยังไม่ได้พิมพ์</v>
          </cell>
        </row>
        <row r="96">
          <cell r="DC96" t="str">
            <v>รอแบบ</v>
          </cell>
        </row>
        <row r="97">
          <cell r="DC97" t="str">
            <v>รอแบบ</v>
          </cell>
        </row>
        <row r="98">
          <cell r="DC98" t="str">
            <v>รอแบบ</v>
          </cell>
        </row>
        <row r="99">
          <cell r="DC99" t="str">
            <v>พร้อมส่ง</v>
          </cell>
        </row>
        <row r="100">
          <cell r="DC100" t="str">
            <v>ยังไม่ได้พิมพ์</v>
          </cell>
        </row>
        <row r="101">
          <cell r="DC101" t="str">
            <v>ยังไม่ได้พิมพ์</v>
          </cell>
        </row>
        <row r="102">
          <cell r="DC102" t="str">
            <v>ยังไม่ได้พิมพ์</v>
          </cell>
        </row>
        <row r="103">
          <cell r="DC103" t="str">
            <v>พร้อมส่ง</v>
          </cell>
        </row>
        <row r="104">
          <cell r="DC104" t="str">
            <v>พร้อมส่ง</v>
          </cell>
        </row>
        <row r="105">
          <cell r="DC105" t="str">
            <v>ยังไม่ได้พิมพ์</v>
          </cell>
        </row>
        <row r="106">
          <cell r="DC106" t="str">
            <v>รอแบบ</v>
          </cell>
        </row>
        <row r="107">
          <cell r="DC107" t="str">
            <v>พร้อมส่ง</v>
          </cell>
        </row>
        <row r="108">
          <cell r="DC108" t="str">
            <v>พร้อมส่ง</v>
          </cell>
        </row>
        <row r="109">
          <cell r="DC109" t="str">
            <v>ยังไม่ได้พิมพ์</v>
          </cell>
        </row>
        <row r="110">
          <cell r="DC110" t="str">
            <v>ยังไม่ได้พิมพ์</v>
          </cell>
        </row>
        <row r="111">
          <cell r="DC111" t="str">
            <v>พร้อมส่ง</v>
          </cell>
        </row>
        <row r="112">
          <cell r="DC112" t="str">
            <v>พร้อมส่ง</v>
          </cell>
        </row>
        <row r="113">
          <cell r="DC113" t="str">
            <v>รอตัด</v>
          </cell>
        </row>
        <row r="114">
          <cell r="DC114" t="str">
            <v>พร้อมส่ง</v>
          </cell>
        </row>
        <row r="115">
          <cell r="DC115" t="str">
            <v>รอตัด</v>
          </cell>
        </row>
        <row r="116">
          <cell r="DC116" t="str">
            <v>รอตัด</v>
          </cell>
        </row>
        <row r="117">
          <cell r="DC117" t="str">
            <v>พร้อมส่ง</v>
          </cell>
        </row>
        <row r="118">
          <cell r="DC118" t="str">
            <v>พร้อมส่ง</v>
          </cell>
        </row>
        <row r="119">
          <cell r="DC119" t="str">
            <v>พร้อมส่ง</v>
          </cell>
        </row>
        <row r="120">
          <cell r="DC120" t="str">
            <v>พร้อมส่ง</v>
          </cell>
        </row>
        <row r="121">
          <cell r="DC121" t="str">
            <v>พร้อมส่ง</v>
          </cell>
        </row>
        <row r="122">
          <cell r="DC122" t="str">
            <v>พร้อมส่ง</v>
          </cell>
        </row>
        <row r="123">
          <cell r="DC123" t="str">
            <v>รอแบบ</v>
          </cell>
        </row>
        <row r="124">
          <cell r="DC124" t="str">
            <v>พร้อมส่ง</v>
          </cell>
        </row>
        <row r="125">
          <cell r="DC125" t="str">
            <v>พร้อมส่ง</v>
          </cell>
        </row>
        <row r="126">
          <cell r="DC126" t="str">
            <v>พร้อมส่ง</v>
          </cell>
        </row>
        <row r="127">
          <cell r="DC127" t="str">
            <v>พร้อมส่ง</v>
          </cell>
        </row>
        <row r="128">
          <cell r="DC128" t="str">
            <v>รอตัด</v>
          </cell>
        </row>
        <row r="129">
          <cell r="DC129" t="str">
            <v>รอตัด</v>
          </cell>
        </row>
        <row r="130">
          <cell r="DC130" t="str">
            <v>รอตัด</v>
          </cell>
        </row>
        <row r="131">
          <cell r="DC131" t="str">
            <v>รอตัด</v>
          </cell>
        </row>
        <row r="132">
          <cell r="DC132" t="str">
            <v>รอตัด</v>
          </cell>
        </row>
        <row r="133">
          <cell r="DC133" t="str">
            <v>ยังไม่ได้พิมพ์</v>
          </cell>
        </row>
        <row r="134">
          <cell r="DC134" t="str">
            <v>รอแบบ</v>
          </cell>
        </row>
        <row r="135">
          <cell r="DC135" t="str">
            <v>พร้อมส่ง</v>
          </cell>
        </row>
        <row r="136">
          <cell r="DC136" t="str">
            <v>พร้อมส่ง</v>
          </cell>
        </row>
        <row r="137">
          <cell r="DC137" t="str">
            <v>พร้อมส่ง</v>
          </cell>
        </row>
        <row r="138">
          <cell r="DC138" t="str">
            <v>พร้อมส่ง</v>
          </cell>
        </row>
        <row r="139">
          <cell r="DC139" t="str">
            <v>พร้อมส่ง</v>
          </cell>
        </row>
        <row r="140">
          <cell r="DC140" t="str">
            <v>พร้อมส่ง</v>
          </cell>
        </row>
        <row r="141">
          <cell r="DC141" t="str">
            <v>พร้อมส่ง</v>
          </cell>
        </row>
        <row r="142">
          <cell r="DC142" t="str">
            <v>พร้อมส่ง</v>
          </cell>
        </row>
        <row r="143">
          <cell r="DC143" t="str">
            <v>พร้อมส่ง</v>
          </cell>
        </row>
        <row r="144">
          <cell r="DC144" t="str">
            <v>ผ้าขาว</v>
          </cell>
        </row>
        <row r="145">
          <cell r="DC145" t="str">
            <v>พร้อมส่ง</v>
          </cell>
        </row>
        <row r="146">
          <cell r="DC146" t="str">
            <v>พร้อมส่ง</v>
          </cell>
        </row>
        <row r="147">
          <cell r="DC147" t="str">
            <v>พร้อมส่ง</v>
          </cell>
        </row>
        <row r="148">
          <cell r="DC148" t="str">
            <v>พร้อมส่ง</v>
          </cell>
        </row>
        <row r="149">
          <cell r="DC149" t="str">
            <v>ยังไม่ได้พิมพ์</v>
          </cell>
        </row>
        <row r="150">
          <cell r="DC150" t="str">
            <v>ยังไม่ได้พิมพ์</v>
          </cell>
        </row>
        <row r="151">
          <cell r="DC151" t="str">
            <v>ยังไม่ได้พิมพ์</v>
          </cell>
        </row>
        <row r="152">
          <cell r="DC152" t="str">
            <v>ยังไม่ได้พิมพ์</v>
          </cell>
        </row>
        <row r="153">
          <cell r="DC153" t="str">
            <v>รอแบบ</v>
          </cell>
        </row>
        <row r="154">
          <cell r="DC154" t="str">
            <v>ยังไม่ได้พิมพ์</v>
          </cell>
        </row>
        <row r="155">
          <cell r="DC155" t="str">
            <v>ยังไม่ได้พิมพ์</v>
          </cell>
        </row>
        <row r="156">
          <cell r="DC156" t="str">
            <v>ยังไม่ได้พิมพ์</v>
          </cell>
        </row>
        <row r="157">
          <cell r="DC157" t="str">
            <v>ยังไม่ได้พิมพ์</v>
          </cell>
        </row>
        <row r="158">
          <cell r="DC158" t="str">
            <v>ยังไม่ได้พิมพ์</v>
          </cell>
        </row>
        <row r="159">
          <cell r="DC159" t="str">
            <v>ยังไม่ได้พิมพ์</v>
          </cell>
        </row>
        <row r="160">
          <cell r="DC160" t="str">
            <v>ยังไม่ได้พิมพ์</v>
          </cell>
        </row>
        <row r="161">
          <cell r="DC161" t="str">
            <v>ยังไม่ได้พิมพ์</v>
          </cell>
        </row>
        <row r="162">
          <cell r="DC162" t="str">
            <v>ยังไม่ได้พิมพ์</v>
          </cell>
        </row>
        <row r="163">
          <cell r="DC163" t="str">
            <v>ยังไม่ได้พิมพ์</v>
          </cell>
        </row>
        <row r="164">
          <cell r="DC164" t="str">
            <v>พร้อมส่ง</v>
          </cell>
        </row>
        <row r="165">
          <cell r="DC165" t="str">
            <v>พร้อมส่ง</v>
          </cell>
        </row>
        <row r="166">
          <cell r="DC166" t="str">
            <v>ยังไม่ได้พิมพ์</v>
          </cell>
        </row>
        <row r="167">
          <cell r="DC167" t="str">
            <v>รอแบบ</v>
          </cell>
        </row>
        <row r="168">
          <cell r="DC168" t="str">
            <v>พร้อมส่ง</v>
          </cell>
        </row>
        <row r="169">
          <cell r="DC169" t="str">
            <v>พร้อมส่ง</v>
          </cell>
        </row>
        <row r="170">
          <cell r="DC170" t="str">
            <v>พร้อมส่ง</v>
          </cell>
        </row>
        <row r="171">
          <cell r="DC171" t="str">
            <v>พร้อมส่ง</v>
          </cell>
        </row>
        <row r="172">
          <cell r="DC172" t="str">
            <v>ผ้าขาว</v>
          </cell>
        </row>
        <row r="173">
          <cell r="DC173" t="str">
            <v>พร้อมส่ง</v>
          </cell>
        </row>
        <row r="174">
          <cell r="DC174" t="str">
            <v>พร้อมส่ง</v>
          </cell>
        </row>
        <row r="175">
          <cell r="DC175" t="str">
            <v>พร้อมส่ง</v>
          </cell>
        </row>
        <row r="176">
          <cell r="DC176" t="str">
            <v>พร้อมส่ง</v>
          </cell>
        </row>
        <row r="177">
          <cell r="DC177" t="str">
            <v>พร้อมส่ง</v>
          </cell>
        </row>
        <row r="178">
          <cell r="DC178" t="str">
            <v>พร้อมส่ง</v>
          </cell>
        </row>
        <row r="179">
          <cell r="DC179" t="str">
            <v>ยังไม่ได้พิมพ์</v>
          </cell>
        </row>
        <row r="180">
          <cell r="DC180" t="str">
            <v>ยังไม่ได้พิมพ์</v>
          </cell>
        </row>
        <row r="181">
          <cell r="DC181" t="str">
            <v>พร้อมส่ง</v>
          </cell>
        </row>
        <row r="182">
          <cell r="DC182" t="str">
            <v>พร้อมส่ง</v>
          </cell>
        </row>
        <row r="183">
          <cell r="DC183" t="str">
            <v>พร้อมส่ง</v>
          </cell>
        </row>
        <row r="184">
          <cell r="DC184" t="str">
            <v>พร้อมส่ง</v>
          </cell>
        </row>
        <row r="185">
          <cell r="DC185" t="str">
            <v>ผ้าขาว</v>
          </cell>
        </row>
        <row r="186">
          <cell r="DC186" t="str">
            <v>รอแบบ</v>
          </cell>
        </row>
        <row r="187">
          <cell r="DC187" t="str">
            <v>พร้อมส่ง</v>
          </cell>
        </row>
        <row r="188">
          <cell r="DC188" t="str">
            <v>ยังไม่ได้พิมพ์</v>
          </cell>
        </row>
        <row r="189">
          <cell r="DC189" t="str">
            <v>พร้อมส่ง</v>
          </cell>
        </row>
        <row r="190">
          <cell r="DC190" t="str">
            <v>พร้อมส่ง</v>
          </cell>
        </row>
        <row r="191">
          <cell r="DC191" t="str">
            <v>พร้อมส่ง</v>
          </cell>
        </row>
        <row r="192">
          <cell r="DC192" t="str">
            <v>ผ้าขาว</v>
          </cell>
        </row>
        <row r="193">
          <cell r="DC193" t="str">
            <v>พร้อมส่ง</v>
          </cell>
        </row>
        <row r="194">
          <cell r="DC194" t="str">
            <v>รอตัด</v>
          </cell>
        </row>
        <row r="195">
          <cell r="DC195" t="str">
            <v>ผ้าขาว</v>
          </cell>
        </row>
        <row r="196">
          <cell r="DC196" t="str">
            <v>ผ้าขาว</v>
          </cell>
        </row>
        <row r="197">
          <cell r="DC197" t="str">
            <v>ยังไม่ได้พิมพ์</v>
          </cell>
        </row>
        <row r="198">
          <cell r="DC198" t="str">
            <v>ยังไม่ได้พิมพ์</v>
          </cell>
        </row>
        <row r="199">
          <cell r="DC199" t="str">
            <v>พร้อมส่ง</v>
          </cell>
        </row>
        <row r="200">
          <cell r="DC200" t="str">
            <v>พร้อมส่ง</v>
          </cell>
        </row>
        <row r="201">
          <cell r="DC201" t="str">
            <v>พร้อมส่ง</v>
          </cell>
        </row>
        <row r="202">
          <cell r="DC202" t="str">
            <v>ยังไม่ได้พิมพ์</v>
          </cell>
        </row>
        <row r="203">
          <cell r="DC203" t="str">
            <v>ผ้าขาว</v>
          </cell>
        </row>
        <row r="204">
          <cell r="DC204" t="str">
            <v>พร้อมส่ง</v>
          </cell>
        </row>
        <row r="205">
          <cell r="DC205" t="str">
            <v>พร้อมส่ง</v>
          </cell>
        </row>
        <row r="206">
          <cell r="DC206"/>
        </row>
        <row r="207">
          <cell r="DC207"/>
        </row>
        <row r="208">
          <cell r="DC208"/>
        </row>
        <row r="209">
          <cell r="DC209" t="str">
            <v xml:space="preserve"> </v>
          </cell>
        </row>
        <row r="210">
          <cell r="DC210"/>
        </row>
        <row r="211">
          <cell r="DC211"/>
        </row>
        <row r="212">
          <cell r="DC212"/>
        </row>
        <row r="213">
          <cell r="DC213"/>
        </row>
        <row r="214">
          <cell r="DC214"/>
        </row>
        <row r="215">
          <cell r="DC215"/>
        </row>
        <row r="216">
          <cell r="DC216"/>
        </row>
        <row r="217">
          <cell r="DC217"/>
        </row>
        <row r="218">
          <cell r="DC218"/>
        </row>
        <row r="219">
          <cell r="DC219"/>
        </row>
        <row r="220">
          <cell r="DC220"/>
        </row>
        <row r="221">
          <cell r="DC221"/>
        </row>
        <row r="222">
          <cell r="DC222"/>
        </row>
        <row r="223">
          <cell r="DC223"/>
        </row>
        <row r="224">
          <cell r="DC224"/>
        </row>
        <row r="225">
          <cell r="DC225"/>
        </row>
        <row r="226">
          <cell r="DC226"/>
        </row>
        <row r="227">
          <cell r="DC227"/>
        </row>
        <row r="228">
          <cell r="DC228"/>
        </row>
        <row r="229">
          <cell r="DC229"/>
        </row>
        <row r="230">
          <cell r="DC230"/>
        </row>
        <row r="231">
          <cell r="DC231"/>
        </row>
        <row r="232">
          <cell r="DC232"/>
        </row>
        <row r="233">
          <cell r="DC233"/>
        </row>
        <row r="234">
          <cell r="DC234"/>
        </row>
        <row r="235">
          <cell r="DC235"/>
        </row>
        <row r="236">
          <cell r="DC236"/>
        </row>
        <row r="237">
          <cell r="DC237"/>
        </row>
        <row r="238">
          <cell r="DC238"/>
        </row>
        <row r="239">
          <cell r="DC239"/>
        </row>
        <row r="240">
          <cell r="DC240"/>
        </row>
        <row r="241">
          <cell r="DC241"/>
        </row>
        <row r="242">
          <cell r="DC242"/>
        </row>
        <row r="243">
          <cell r="DC243"/>
        </row>
        <row r="244">
          <cell r="DC244"/>
        </row>
        <row r="245">
          <cell r="DC245"/>
        </row>
        <row r="246">
          <cell r="DC246"/>
        </row>
        <row r="247">
          <cell r="DC247"/>
        </row>
        <row r="248">
          <cell r="DC248"/>
        </row>
        <row r="249">
          <cell r="DC249"/>
        </row>
        <row r="250">
          <cell r="DC250"/>
        </row>
        <row r="251">
          <cell r="DC251"/>
        </row>
        <row r="252">
          <cell r="DC252"/>
        </row>
        <row r="253">
          <cell r="DC253"/>
        </row>
        <row r="254">
          <cell r="DC254"/>
        </row>
        <row r="255">
          <cell r="DC255"/>
        </row>
        <row r="256">
          <cell r="DC256"/>
        </row>
        <row r="257">
          <cell r="DC257"/>
        </row>
        <row r="258">
          <cell r="DC258"/>
        </row>
        <row r="259">
          <cell r="DC259"/>
        </row>
        <row r="260">
          <cell r="DC260"/>
        </row>
        <row r="261">
          <cell r="DC261"/>
        </row>
        <row r="262">
          <cell r="DC262"/>
        </row>
        <row r="263">
          <cell r="DC263"/>
        </row>
        <row r="264">
          <cell r="DC264"/>
        </row>
        <row r="265">
          <cell r="DC265"/>
        </row>
        <row r="266">
          <cell r="DC266"/>
        </row>
        <row r="267">
          <cell r="DC267"/>
        </row>
        <row r="268">
          <cell r="DC268"/>
        </row>
        <row r="269">
          <cell r="DC269"/>
        </row>
        <row r="270">
          <cell r="DC270"/>
        </row>
        <row r="271">
          <cell r="DC271"/>
        </row>
        <row r="272">
          <cell r="DC272"/>
        </row>
        <row r="273">
          <cell r="DC273"/>
        </row>
        <row r="274">
          <cell r="DC274"/>
        </row>
        <row r="275">
          <cell r="DC275"/>
        </row>
        <row r="276">
          <cell r="DC276"/>
        </row>
        <row r="277">
          <cell r="DC277"/>
        </row>
        <row r="278">
          <cell r="DC278"/>
        </row>
        <row r="279">
          <cell r="DC279"/>
        </row>
        <row r="280">
          <cell r="DC280"/>
        </row>
        <row r="281">
          <cell r="DC281"/>
        </row>
        <row r="282">
          <cell r="DC282"/>
        </row>
        <row r="283">
          <cell r="DC283"/>
        </row>
        <row r="284">
          <cell r="DC284"/>
        </row>
        <row r="285">
          <cell r="DC285"/>
        </row>
        <row r="286">
          <cell r="DC286"/>
        </row>
        <row r="287">
          <cell r="DC287"/>
        </row>
        <row r="288">
          <cell r="DC288"/>
        </row>
        <row r="289">
          <cell r="DC289"/>
        </row>
        <row r="290">
          <cell r="DC290"/>
        </row>
        <row r="291">
          <cell r="DC291"/>
        </row>
        <row r="292">
          <cell r="DC292"/>
        </row>
        <row r="293">
          <cell r="DC293"/>
        </row>
        <row r="294">
          <cell r="DC294"/>
        </row>
        <row r="295">
          <cell r="DC295"/>
        </row>
        <row r="296">
          <cell r="DC296"/>
        </row>
        <row r="297">
          <cell r="DC297"/>
        </row>
        <row r="298">
          <cell r="DC298"/>
        </row>
        <row r="299">
          <cell r="DC299"/>
        </row>
        <row r="300">
          <cell r="DC300"/>
        </row>
        <row r="301">
          <cell r="DC301"/>
        </row>
        <row r="302">
          <cell r="DC302"/>
        </row>
        <row r="303">
          <cell r="DC303"/>
        </row>
        <row r="304">
          <cell r="DC304"/>
        </row>
        <row r="305">
          <cell r="DC305"/>
        </row>
        <row r="306">
          <cell r="DC306"/>
        </row>
        <row r="307">
          <cell r="DC307"/>
        </row>
        <row r="308">
          <cell r="DC308"/>
        </row>
        <row r="309">
          <cell r="DC309"/>
        </row>
        <row r="310">
          <cell r="DC310"/>
        </row>
        <row r="311">
          <cell r="DC311"/>
        </row>
        <row r="312">
          <cell r="DC312"/>
        </row>
        <row r="313">
          <cell r="DC313"/>
        </row>
        <row r="314">
          <cell r="DC314"/>
        </row>
        <row r="315">
          <cell r="DC315"/>
        </row>
        <row r="316">
          <cell r="DC316"/>
        </row>
        <row r="317">
          <cell r="DC317"/>
        </row>
        <row r="318">
          <cell r="DC318"/>
        </row>
        <row r="319">
          <cell r="DC319"/>
        </row>
        <row r="320">
          <cell r="DC320"/>
        </row>
        <row r="321">
          <cell r="DC321"/>
        </row>
        <row r="322">
          <cell r="DC322"/>
        </row>
        <row r="323">
          <cell r="DC323"/>
        </row>
        <row r="324">
          <cell r="DC324"/>
        </row>
        <row r="325">
          <cell r="DC325"/>
        </row>
        <row r="326">
          <cell r="DC326"/>
        </row>
        <row r="327">
          <cell r="DC327"/>
        </row>
        <row r="328">
          <cell r="DC328"/>
        </row>
        <row r="329">
          <cell r="DC329"/>
        </row>
        <row r="330">
          <cell r="DC330"/>
        </row>
        <row r="331">
          <cell r="DC331"/>
        </row>
        <row r="332">
          <cell r="DC332"/>
        </row>
        <row r="333">
          <cell r="DC333"/>
        </row>
        <row r="334">
          <cell r="DC334"/>
        </row>
        <row r="335">
          <cell r="DC335"/>
        </row>
        <row r="336">
          <cell r="DC336"/>
        </row>
        <row r="337">
          <cell r="DC337"/>
        </row>
        <row r="338">
          <cell r="DC338"/>
        </row>
        <row r="339">
          <cell r="DC339"/>
        </row>
        <row r="340">
          <cell r="DC340"/>
        </row>
        <row r="341">
          <cell r="DC341"/>
        </row>
        <row r="342">
          <cell r="DC342"/>
        </row>
        <row r="343">
          <cell r="DC343"/>
        </row>
        <row r="344">
          <cell r="DC344"/>
        </row>
        <row r="345">
          <cell r="DC345"/>
        </row>
        <row r="346">
          <cell r="DC346"/>
        </row>
        <row r="347">
          <cell r="DC347"/>
        </row>
        <row r="348">
          <cell r="DC348"/>
        </row>
        <row r="349">
          <cell r="DC349"/>
        </row>
        <row r="350">
          <cell r="DC350"/>
        </row>
        <row r="351">
          <cell r="DC351"/>
        </row>
        <row r="352">
          <cell r="DC352"/>
        </row>
        <row r="353">
          <cell r="DC353"/>
        </row>
        <row r="354">
          <cell r="DC354"/>
        </row>
        <row r="355">
          <cell r="DC355"/>
        </row>
        <row r="356">
          <cell r="DC356"/>
        </row>
        <row r="357">
          <cell r="DC357"/>
        </row>
        <row r="358">
          <cell r="DC358"/>
        </row>
        <row r="359">
          <cell r="DC359"/>
        </row>
        <row r="360">
          <cell r="DC360"/>
        </row>
        <row r="361">
          <cell r="DC361"/>
        </row>
        <row r="362">
          <cell r="DC362"/>
        </row>
        <row r="363">
          <cell r="DC363"/>
        </row>
        <row r="364">
          <cell r="DC364"/>
        </row>
        <row r="365">
          <cell r="DC365"/>
        </row>
        <row r="366">
          <cell r="DC366"/>
        </row>
        <row r="367">
          <cell r="DC367"/>
        </row>
        <row r="368">
          <cell r="DC368"/>
        </row>
        <row r="369">
          <cell r="DC369"/>
        </row>
        <row r="370">
          <cell r="DC370"/>
        </row>
        <row r="371">
          <cell r="DC371"/>
        </row>
        <row r="372">
          <cell r="DC372"/>
        </row>
        <row r="373">
          <cell r="DC373"/>
        </row>
        <row r="374">
          <cell r="DC374"/>
        </row>
        <row r="375">
          <cell r="DC375"/>
        </row>
        <row r="376">
          <cell r="DC376"/>
        </row>
        <row r="377">
          <cell r="DC377"/>
        </row>
        <row r="378">
          <cell r="DC378"/>
        </row>
        <row r="379">
          <cell r="DC379"/>
        </row>
        <row r="380">
          <cell r="DC380"/>
        </row>
        <row r="381">
          <cell r="DC381"/>
        </row>
        <row r="382">
          <cell r="DC382"/>
        </row>
        <row r="383">
          <cell r="DC383"/>
        </row>
        <row r="384">
          <cell r="DC384"/>
        </row>
        <row r="385">
          <cell r="DC385"/>
        </row>
        <row r="386">
          <cell r="DC386"/>
        </row>
        <row r="387">
          <cell r="DC387"/>
        </row>
        <row r="388">
          <cell r="DC388"/>
        </row>
        <row r="389">
          <cell r="DC389"/>
        </row>
        <row r="390">
          <cell r="DC390"/>
        </row>
        <row r="391">
          <cell r="DC391"/>
        </row>
        <row r="392">
          <cell r="DC392"/>
        </row>
        <row r="393">
          <cell r="DC393"/>
        </row>
        <row r="394">
          <cell r="DC394"/>
        </row>
        <row r="395">
          <cell r="DC395"/>
        </row>
        <row r="396">
          <cell r="DC396"/>
        </row>
        <row r="397">
          <cell r="DC397"/>
        </row>
        <row r="398">
          <cell r="DC398"/>
        </row>
        <row r="399">
          <cell r="DC399"/>
        </row>
        <row r="400">
          <cell r="DC400"/>
        </row>
        <row r="401">
          <cell r="DC401"/>
        </row>
        <row r="402">
          <cell r="DC402"/>
        </row>
        <row r="403">
          <cell r="DC403"/>
        </row>
        <row r="404">
          <cell r="DC404"/>
        </row>
        <row r="405">
          <cell r="DC405"/>
        </row>
        <row r="406">
          <cell r="DC406"/>
        </row>
        <row r="407">
          <cell r="DC407"/>
        </row>
        <row r="408">
          <cell r="DC408"/>
        </row>
        <row r="409">
          <cell r="DC409"/>
        </row>
        <row r="410">
          <cell r="DC410"/>
        </row>
        <row r="411">
          <cell r="DC411"/>
        </row>
        <row r="412">
          <cell r="DC412"/>
        </row>
        <row r="413">
          <cell r="DC413"/>
        </row>
        <row r="414">
          <cell r="DC414"/>
        </row>
        <row r="415">
          <cell r="DC415"/>
        </row>
        <row r="416">
          <cell r="DC416"/>
        </row>
        <row r="417">
          <cell r="DC417"/>
        </row>
        <row r="418">
          <cell r="DC418"/>
        </row>
        <row r="419">
          <cell r="DC419"/>
        </row>
        <row r="420">
          <cell r="DC420"/>
        </row>
        <row r="421">
          <cell r="DC421"/>
        </row>
        <row r="422">
          <cell r="DC422"/>
        </row>
        <row r="423">
          <cell r="DC423"/>
        </row>
        <row r="424">
          <cell r="DC424"/>
        </row>
        <row r="425">
          <cell r="DC425"/>
        </row>
        <row r="426">
          <cell r="DC426"/>
        </row>
        <row r="427">
          <cell r="DC427"/>
        </row>
        <row r="428">
          <cell r="DC428"/>
        </row>
        <row r="429">
          <cell r="DC429"/>
        </row>
        <row r="430">
          <cell r="DC430"/>
        </row>
        <row r="431">
          <cell r="DC431"/>
        </row>
        <row r="432">
          <cell r="DC432"/>
        </row>
        <row r="433">
          <cell r="DC433"/>
        </row>
        <row r="434">
          <cell r="DC434"/>
        </row>
        <row r="435">
          <cell r="DC435"/>
        </row>
        <row r="436">
          <cell r="DC436"/>
        </row>
        <row r="437">
          <cell r="DC437"/>
        </row>
        <row r="438">
          <cell r="DC438"/>
        </row>
        <row r="439">
          <cell r="DC439"/>
        </row>
        <row r="440">
          <cell r="DC440"/>
        </row>
        <row r="441">
          <cell r="DC441"/>
        </row>
        <row r="442">
          <cell r="DC442"/>
        </row>
        <row r="443">
          <cell r="DC443"/>
        </row>
        <row r="444">
          <cell r="DC444"/>
        </row>
        <row r="445">
          <cell r="DC445"/>
        </row>
        <row r="446">
          <cell r="DC446"/>
        </row>
        <row r="447">
          <cell r="DC447"/>
        </row>
        <row r="448">
          <cell r="DC448"/>
        </row>
        <row r="449">
          <cell r="DC449"/>
        </row>
        <row r="450">
          <cell r="DC450"/>
        </row>
        <row r="451">
          <cell r="DC451"/>
        </row>
        <row r="452">
          <cell r="DC452"/>
        </row>
        <row r="453">
          <cell r="DC453"/>
        </row>
        <row r="454">
          <cell r="DC454"/>
        </row>
        <row r="455">
          <cell r="DC455"/>
        </row>
        <row r="456">
          <cell r="DC456"/>
        </row>
        <row r="457">
          <cell r="DC457"/>
        </row>
        <row r="458">
          <cell r="DC458"/>
        </row>
        <row r="459">
          <cell r="DC459"/>
        </row>
        <row r="460">
          <cell r="DC460"/>
        </row>
        <row r="461">
          <cell r="DC461"/>
        </row>
        <row r="462">
          <cell r="DC462"/>
        </row>
        <row r="463">
          <cell r="DC463"/>
        </row>
        <row r="464">
          <cell r="DC464"/>
        </row>
        <row r="465">
          <cell r="DC465"/>
        </row>
        <row r="466">
          <cell r="DC466"/>
        </row>
        <row r="467">
          <cell r="DC467"/>
        </row>
        <row r="468">
          <cell r="DC468"/>
        </row>
        <row r="469">
          <cell r="DC469"/>
        </row>
        <row r="470">
          <cell r="DC470"/>
        </row>
        <row r="471">
          <cell r="DC471"/>
        </row>
        <row r="472">
          <cell r="DC472"/>
        </row>
        <row r="473">
          <cell r="DC473"/>
        </row>
        <row r="474">
          <cell r="DC474"/>
        </row>
        <row r="475">
          <cell r="DC475"/>
        </row>
        <row r="476">
          <cell r="DC476"/>
        </row>
        <row r="477">
          <cell r="DC477"/>
        </row>
        <row r="478">
          <cell r="DC478"/>
        </row>
        <row r="479">
          <cell r="DC479"/>
        </row>
        <row r="480">
          <cell r="DC480"/>
        </row>
        <row r="481">
          <cell r="DC481"/>
        </row>
        <row r="482">
          <cell r="DC482"/>
        </row>
        <row r="483">
          <cell r="DC483"/>
        </row>
        <row r="484">
          <cell r="DC484"/>
        </row>
        <row r="485">
          <cell r="DC485"/>
        </row>
        <row r="486">
          <cell r="DC486"/>
        </row>
        <row r="487">
          <cell r="DC487"/>
        </row>
        <row r="488">
          <cell r="DC488"/>
        </row>
        <row r="489">
          <cell r="DC489"/>
        </row>
        <row r="490">
          <cell r="DC490"/>
        </row>
        <row r="491">
          <cell r="DC491"/>
        </row>
        <row r="492">
          <cell r="DC492"/>
        </row>
        <row r="493">
          <cell r="DC493"/>
        </row>
        <row r="494">
          <cell r="DC494"/>
        </row>
        <row r="495">
          <cell r="DC495"/>
        </row>
        <row r="496">
          <cell r="DC496"/>
        </row>
        <row r="497">
          <cell r="DC497"/>
        </row>
        <row r="498">
          <cell r="DC498"/>
        </row>
        <row r="499">
          <cell r="DC499"/>
        </row>
        <row r="500">
          <cell r="DC500"/>
        </row>
        <row r="501">
          <cell r="DC501"/>
        </row>
        <row r="502">
          <cell r="DC502"/>
        </row>
        <row r="503">
          <cell r="DC503"/>
        </row>
        <row r="504">
          <cell r="DC504"/>
        </row>
        <row r="505">
          <cell r="DC505"/>
        </row>
        <row r="506">
          <cell r="DC506"/>
        </row>
        <row r="507">
          <cell r="DC507"/>
        </row>
        <row r="508">
          <cell r="DC508"/>
        </row>
        <row r="509">
          <cell r="DC509"/>
        </row>
        <row r="510">
          <cell r="DC510"/>
        </row>
        <row r="511">
          <cell r="DC511"/>
        </row>
        <row r="512">
          <cell r="DC512"/>
        </row>
        <row r="513">
          <cell r="DC513"/>
        </row>
        <row r="514">
          <cell r="DC514"/>
        </row>
        <row r="515">
          <cell r="DC515"/>
        </row>
        <row r="516">
          <cell r="DC516"/>
        </row>
        <row r="517">
          <cell r="DC517"/>
        </row>
        <row r="518">
          <cell r="DC518"/>
        </row>
        <row r="519">
          <cell r="DC519"/>
        </row>
        <row r="520">
          <cell r="DC520"/>
        </row>
        <row r="521">
          <cell r="DC521"/>
        </row>
        <row r="522">
          <cell r="DC522"/>
        </row>
        <row r="523">
          <cell r="DC523"/>
        </row>
        <row r="524">
          <cell r="DC524"/>
        </row>
        <row r="525">
          <cell r="DC525"/>
        </row>
        <row r="526">
          <cell r="DC526"/>
        </row>
        <row r="527">
          <cell r="DC527"/>
        </row>
        <row r="528">
          <cell r="DC528"/>
        </row>
        <row r="529">
          <cell r="DC529"/>
        </row>
        <row r="530">
          <cell r="DC530"/>
        </row>
        <row r="531">
          <cell r="DC531"/>
        </row>
        <row r="532">
          <cell r="DC532"/>
        </row>
        <row r="533">
          <cell r="DC533"/>
        </row>
        <row r="534">
          <cell r="DC534"/>
        </row>
        <row r="535">
          <cell r="DC535"/>
        </row>
        <row r="536">
          <cell r="DC536"/>
        </row>
        <row r="537">
          <cell r="DC537"/>
        </row>
        <row r="538">
          <cell r="DC538"/>
        </row>
        <row r="539">
          <cell r="DC539"/>
        </row>
        <row r="540">
          <cell r="DC540"/>
        </row>
        <row r="541">
          <cell r="DC541"/>
        </row>
        <row r="542">
          <cell r="DC542"/>
        </row>
        <row r="543">
          <cell r="DC543"/>
        </row>
        <row r="544">
          <cell r="DC544"/>
        </row>
        <row r="545">
          <cell r="DC545"/>
        </row>
        <row r="546">
          <cell r="DC546"/>
        </row>
        <row r="547">
          <cell r="DC547"/>
        </row>
        <row r="548">
          <cell r="DC548"/>
        </row>
        <row r="549">
          <cell r="DC549"/>
        </row>
        <row r="550">
          <cell r="DC550"/>
        </row>
        <row r="551">
          <cell r="DC551"/>
        </row>
        <row r="552">
          <cell r="DC552"/>
        </row>
        <row r="553">
          <cell r="DC553"/>
        </row>
        <row r="554">
          <cell r="DC554"/>
        </row>
        <row r="555">
          <cell r="DC555"/>
        </row>
        <row r="556">
          <cell r="DC556"/>
        </row>
        <row r="557">
          <cell r="DC557"/>
        </row>
        <row r="558">
          <cell r="DC558"/>
        </row>
        <row r="559">
          <cell r="DC559"/>
        </row>
        <row r="560">
          <cell r="DC560"/>
        </row>
        <row r="561">
          <cell r="DC561"/>
        </row>
        <row r="562">
          <cell r="DC562"/>
        </row>
        <row r="563">
          <cell r="DC563"/>
        </row>
        <row r="564">
          <cell r="DC564"/>
        </row>
        <row r="565">
          <cell r="DC565"/>
        </row>
        <row r="566">
          <cell r="DC566"/>
        </row>
        <row r="567">
          <cell r="DC567"/>
        </row>
        <row r="568">
          <cell r="DC568"/>
        </row>
        <row r="569">
          <cell r="DC569"/>
        </row>
        <row r="570">
          <cell r="DC570"/>
        </row>
        <row r="571">
          <cell r="DC571"/>
        </row>
        <row r="572">
          <cell r="DC572"/>
        </row>
        <row r="573">
          <cell r="DC573"/>
        </row>
        <row r="574">
          <cell r="DC574"/>
        </row>
        <row r="575">
          <cell r="DC575"/>
        </row>
        <row r="576">
          <cell r="DC576"/>
        </row>
        <row r="577">
          <cell r="DC577"/>
        </row>
        <row r="578">
          <cell r="DC578"/>
        </row>
        <row r="579">
          <cell r="DC579"/>
        </row>
        <row r="580">
          <cell r="DC580"/>
        </row>
        <row r="581">
          <cell r="DC581"/>
        </row>
        <row r="582">
          <cell r="DC582"/>
        </row>
        <row r="583">
          <cell r="DC583"/>
        </row>
        <row r="584">
          <cell r="DC584"/>
        </row>
        <row r="585">
          <cell r="DC585"/>
        </row>
        <row r="586">
          <cell r="DC586"/>
        </row>
        <row r="587">
          <cell r="DC587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91.476727777779" createdVersion="8" refreshedVersion="8" minRefreshableVersion="3" recordCount="166" xr:uid="{722F9C5D-D27F-482C-B488-60F2A6A97708}">
  <cacheSource type="worksheet">
    <worksheetSource ref="A5:AF171" sheet="22-8-68"/>
  </cacheSource>
  <cacheFields count="32">
    <cacheField name="วันรับออร์เดอร์/แบบ" numFmtId="187">
      <sharedItems containsDate="1" containsMixedTypes="1" minDate="1899-12-30T00:00:00" maxDate="2025-08-23T00:00:00"/>
    </cacheField>
    <cacheField name="เลขที่ SO" numFmtId="0">
      <sharedItems containsMixedTypes="1" containsNumber="1" containsInteger="1" minValue="0" maxValue="0" count="80">
        <s v="MK68-000868"/>
        <s v="ประมาณการ"/>
        <n v="0"/>
        <s v="MK68-000951"/>
        <s v="MK68-000944"/>
        <s v="MK68-001001"/>
        <s v="MK68-001002"/>
        <s v="MK68-000945"/>
        <s v="MK68-000953"/>
        <s v="MK68-000954"/>
        <s v="MK68-001011"/>
        <s v="MK68-000680"/>
        <s v="MK68-001018"/>
        <s v="MK68-000952"/>
        <s v="MK68-000880"/>
        <s v="MK68-000976"/>
        <s v="MK68-000980"/>
        <s v="MK68-000966"/>
        <s v="MK68-000675"/>
        <s v="MK68-001019"/>
        <s v="MK68-000979"/>
        <s v="MK68-000983"/>
        <s v="MK68-000879"/>
        <s v="MK68-001003"/>
        <s v="MK68-000796"/>
        <s v="MK68-001004"/>
        <s v="MK68-001005"/>
        <s v="MK68-000902"/>
        <s v="MK68-001006"/>
        <s v="MK68-000674"/>
        <s v="MK68-001007"/>
        <s v="MK68-001012"/>
        <s v="MK68-000990"/>
        <s v="MK68-000961"/>
        <s v="MK68-000801"/>
        <s v="MK68-000671"/>
        <s v="MK68-000673"/>
        <s v="MK68-000877"/>
        <s v="MK68-000609"/>
        <s v="MK68-000693"/>
        <s v="MK68-000093"/>
        <s v="MK67-001532"/>
        <s v="MK67-001153"/>
        <s v="MK68-000694"/>
        <s v="MK68-000452"/>
        <s v="ใบรับคำสั่งซื้อ"/>
        <s v="MK67-001236"/>
        <s v="MK67-001396"/>
        <s v="MK68-000965"/>
        <s v="MK68-000926"/>
        <s v="MK68-000924"/>
        <s v="MK68-000927"/>
        <s v="MK68-000946"/>
        <s v="MK68-001008"/>
        <s v="MK68-001009"/>
        <s v="MK68-001010"/>
        <s v="MK68-001020"/>
        <s v="MK68-000930"/>
        <s v="MK68-000984"/>
        <s v="MK68-000985"/>
        <s v="MK68-001017"/>
        <s v="MK68-000982"/>
        <s v="MK68-000977"/>
        <s v="MK68-000978"/>
        <s v="MK68-000892"/>
        <s v="MK68-000893"/>
        <s v="MK68-000804"/>
        <s v="MK67-001617"/>
        <s v="MK67-001642"/>
        <s v="MK67-001643"/>
        <s v="MK66-000701"/>
        <s v="MK68-000972"/>
        <s v="MK68-001022"/>
        <s v="MK68-001021"/>
        <s v="MK68-001013"/>
        <s v="MK68-000378"/>
        <s v="MK68-000997"/>
        <s v="MK67-001490"/>
        <s v="MK68-000995"/>
        <s v="MK68-000913"/>
      </sharedItems>
    </cacheField>
    <cacheField name="ชื่อลูกค้า" numFmtId="0">
      <sharedItems containsMixedTypes="1" containsNumber="1" containsInteger="1" minValue="0" maxValue="0" count="35">
        <s v="พีมินเนอร์"/>
        <s v="บจก.ซัน ซีเมนต์ โพรเซส"/>
        <n v="0"/>
        <s v="บจก.ฟาร์เธอร์ส วิง ซัพพลาย"/>
        <s v="  "/>
        <s v="บจก.ซีแมน"/>
        <s v="บจก.เพรซิเดนท์ฟลาวมิลล์"/>
        <s v="บจก.เอ็กเซลเล้นท์"/>
        <s v="บจก.ไลม์มาสเตอร์"/>
        <s v="บจก.เคอรี่ฟลาวมิลล์"/>
        <s v="บจก.อินเทคค์ โกลบอล"/>
        <s v="บจก.หนกองบัวฟีด"/>
        <s v="บจก.วีซีเอฟ"/>
        <s v="บจก.เอพีเอ็ม อะโกร"/>
        <s v="บจก.กันยาวิ "/>
        <s v="บจก.เอสพีเอ็ม อาหารสัตว์"/>
        <s v="บจก.ไทยธรรมดี"/>
        <s v="บจก.ซันฟีด"/>
        <s v="บจก.เอ.เจ.ฟาร์ม่าแล็บ"/>
        <s v="บจก.เบทาโกร"/>
        <s v="บจก.หนองบัวฟีดมิลล์"/>
        <s v="บจก.บลูฟาโล่"/>
        <s v="บจก.เอ็นบี ดิสทริบิวชั่น"/>
        <s v="บจก.แอมโก้เวท"/>
        <s v="บจก.ที.ซี.ยูเนี่ยน อโกรเทค"/>
        <s v="บจก.ซิเบลโก้(บางเลน)"/>
        <s v="คุณปราสาท เจริญธรรมรักษา"/>
        <s v="พันธุ์ข้าว"/>
        <s v="บจก.ซิเบลโก้(สบปราบ)"/>
        <s v="คุณวัลภา เผ่าเต็ม"/>
        <s v="โรงสีธัญญกิจ(ราชบุรี)"/>
        <s v="บจก.น้ำตาลทิพย์สุโขทัย"/>
        <s v="บจก.กบินทร์อินทรีย์"/>
        <s v="บจก.แลบอินเตอร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8-23T00:00:00" maxDate="2025-09-27T00:00:00" count="20">
        <s v="รอส่ง"/>
        <s v="รอแจ้ง"/>
        <m/>
        <d v="2025-08-25T00:00:00"/>
        <d v="2025-09-25T00:00:00"/>
        <d v="2025-08-23T00:00:00"/>
        <d v="2025-08-26T00:00:00"/>
        <d v="2025-08-28T00:00:00"/>
        <d v="2025-08-29T00:00:00"/>
        <d v="2025-08-30T00:00:00"/>
        <d v="2025-08-27T00:00:00"/>
        <d v="2025-09-12T00:00:00"/>
        <d v="2025-09-08T00:00:00"/>
        <d v="2025-09-15T00:00:00"/>
        <d v="2025-09-02T00:00:00"/>
        <d v="2025-09-09T00:00:00"/>
        <d v="2025-09-16T00:00:00"/>
        <d v="2025-09-19T00:00:00"/>
        <d v="2025-09-22T00:00:00"/>
        <d v="2025-09-26T00:00:00"/>
      </sharedItems>
    </cacheField>
    <cacheField name="จำนวนส่ง" numFmtId="188">
      <sharedItems containsSemiMixedTypes="0" containsString="0" containsNumber="1" containsInteger="1" minValue="0" maxValue="337878"/>
    </cacheField>
    <cacheField name="StockFG" numFmtId="41">
      <sharedItems containsSemiMixedTypes="0" containsString="0" containsNumber="1" containsInteger="1" minValue="0" maxValue="64000"/>
    </cacheField>
    <cacheField name="ค้างตัด" numFmtId="41">
      <sharedItems containsSemiMixedTypes="0" containsString="0" containsNumber="1" containsInteger="1" minValue="0" maxValue="337878"/>
    </cacheField>
    <cacheField name="พิมพ์แล้ว" numFmtId="41">
      <sharedItems containsSemiMixedTypes="0" containsString="0" containsNumber="1" containsInteger="1" minValue="0" maxValue="67899"/>
    </cacheField>
    <cacheField name="ค้างพิมพ์" numFmtId="41">
      <sharedItems containsSemiMixedTypes="0" containsString="0" containsNumber="1" minValue="0" maxValue="354771.9"/>
    </cacheField>
    <cacheField name="ประเภท" numFmtId="0">
      <sharedItems count="20">
        <s v="WSWT1625800SM"/>
        <s v="WSWT1825800"/>
        <s v="WSWT1925800"/>
        <s v="WSWT1921720"/>
        <s v="WSWT19251000SM"/>
        <s v="WSWT2025650"/>
        <s v="WSWT2025800SM"/>
        <s v="WSWT2025850"/>
        <s v="WSWT2025800"/>
        <s v="WSWT2125650"/>
        <s v="WSWT2121670SM"/>
        <s v="WSWT2325650"/>
        <s v="WSWTFCL022325650"/>
        <s v="WSWT2321750"/>
        <s v="WSWT23211125120SMFX"/>
        <s v="WSWT2321112512551"/>
        <s v="WSWT2625650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546019.98206249997"/>
    </cacheField>
    <cacheField name="Stock" numFmtId="3">
      <sharedItems containsSemiMixedTypes="0" containsString="0" containsNumber="1" minValue="0" maxValue="249563.4820625"/>
    </cacheField>
    <cacheField name="ค้างทอ" numFmtId="3">
      <sharedItems containsSemiMixedTypes="0" containsString="0" containsNumber="1" minValue="0" maxValue="461812.45082000003"/>
    </cacheField>
    <cacheField name="Stock2" numFmtId="3">
      <sharedItems containsSemiMixedTypes="0" containsString="0" containsNumber="1" minValue="0" maxValue="136291.32"/>
    </cacheField>
    <cacheField name="ค้างเคลือบ" numFmtId="3">
      <sharedItems containsSemiMixedTypes="0" containsString="0" containsNumber="1" minValue="0" maxValue="376873.85890000005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96.388476041669" createdVersion="8" refreshedVersion="8" minRefreshableVersion="3" recordCount="141" xr:uid="{1B12C469-73ED-4334-AD99-D1B3FED708D3}">
  <cacheSource type="worksheet">
    <worksheetSource ref="A5:AF146" sheet="26-8-68"/>
  </cacheSource>
  <cacheFields count="32">
    <cacheField name="วันรับออร์เดอร์/แบบ" numFmtId="187">
      <sharedItems containsDate="1" containsBlank="1" containsMixedTypes="1" minDate="1899-12-30T00:00:00" maxDate="2025-08-27T00:00:00"/>
    </cacheField>
    <cacheField name="เลขที่ SO" numFmtId="0">
      <sharedItems containsMixedTypes="1" containsNumber="1" containsInteger="1" minValue="0" maxValue="0" count="76">
        <s v="MK68-000868"/>
        <s v="ประมาณการ"/>
        <n v="0"/>
        <s v="MK68-001031"/>
        <s v="MK68-000944"/>
        <s v="MK68-000945"/>
        <s v="MK68-001001"/>
        <s v="MK68-000953"/>
        <s v="MK68-000954"/>
        <s v="MK68-001011"/>
        <s v="MK68-000680"/>
        <s v="ใบรับคำสั่งซื้อ"/>
        <s v="MK68-000952"/>
        <s v="MK68-001019"/>
        <s v="MK68-000880"/>
        <s v="MK68-000976"/>
        <s v="MK68-000980"/>
        <s v="MK68-000879"/>
        <s v="MK68-001004"/>
        <s v="MK68-001024"/>
        <s v="MK68-001005"/>
        <s v="MK68-000902"/>
        <s v="MK68-001006"/>
        <s v="MK68-000674"/>
        <s v="MK68-001007"/>
        <s v="MK68-000966"/>
        <s v="MK68-001012"/>
        <s v="MK68-000990"/>
        <s v="MK68-000609"/>
        <s v="MK68-001023"/>
        <s v="MK68-000877"/>
        <s v="MK68-001026"/>
        <s v="MK68-000979"/>
        <s v="MK68-000961"/>
        <s v="MK68-001029"/>
        <s v="MK68-001027"/>
        <s v="MK68-000675"/>
        <s v="MK68-000983"/>
        <s v="MK68-000801"/>
        <s v="MK68-000671"/>
        <s v="MK68-000673"/>
        <s v="MK68-000693"/>
        <s v="MK68-000093"/>
        <s v="MK67-001532"/>
        <s v="MK67-001153"/>
        <s v="MK68-000694"/>
        <s v="MK68-000452"/>
        <s v="MK67-001236"/>
        <s v="MK67-001396"/>
        <s v="MK68-000926"/>
        <s v="MK68-000924"/>
        <s v="MK68-000927"/>
        <s v="MK68-000965"/>
        <s v="MK68-001009"/>
        <s v="MK68-001010"/>
        <s v="MK68-001025"/>
        <s v="MK68-000984"/>
        <s v="MK68-000985"/>
        <s v="MK67-001617"/>
        <s v="MK67-001642"/>
        <s v="MK68/001028"/>
        <s v="MK68-000977"/>
        <s v="MK68-000982"/>
        <s v="MK68-000978"/>
        <s v="MK68-000892"/>
        <s v="MK68-000893"/>
        <s v="MK68-000804"/>
        <s v="MK67-001643"/>
        <s v="MK66-000701"/>
        <s v="MK68-000972"/>
        <s v="MK68-001022"/>
        <s v="MK68-001021"/>
        <s v="MK68-001013"/>
        <s v="MK68-000378"/>
        <s v="MK67-001490"/>
        <s v="MK68-000913"/>
      </sharedItems>
    </cacheField>
    <cacheField name="ชื่อลูกค้า" numFmtId="0">
      <sharedItems containsMixedTypes="1" containsNumber="1" containsInteger="1" minValue="0" maxValue="0" count="31">
        <s v="พีมินเนอร์"/>
        <s v="บจก.ซัน ซีเมนต์ โพรเซส"/>
        <n v="0"/>
        <s v="บจก.ฟาร์เธอร์ส วิง ซัพพลาย"/>
        <s v="  "/>
        <s v="บจก.เพรซิเดนท์ฟลาวมิลล์"/>
        <s v="บจก.เอ็กเซลเล้นท์"/>
        <s v="บจก.ไลม์มาสเตอร์"/>
        <s v="บจก.เคอรี่ฟลาวมิลล์"/>
        <s v="บจก.อินเทคค์ โกลบอล"/>
        <s v="บจก.วีซีเอฟ"/>
        <s v="บจก.กันยาวิ "/>
        <s v="บจก.เอพีเอ็ม อะโกร"/>
        <s v="บจก.เอสพีเอ็ม อาหารสัตว์"/>
        <s v="บจก.มารีนลีดเดอร์"/>
        <s v="บจก.ไทยธรรมดี"/>
        <s v="บจก.ซันฟีด"/>
        <s v="บจก.เอ.เจ.ฟาร์ม่าแล็บ"/>
        <s v="บจก.เบทาโกร"/>
        <s v="บจก.เอ็นบี ดิสทริบิวชั่น"/>
        <s v="บจก.ที.ซี.ยูเนี่ยน อโกรเทค"/>
        <s v="บจก.แอมโก้เวท"/>
        <s v="บจก.ซิเบลโก้(บางเลน)"/>
        <s v="คุณปราสาท เจริญธรรมรักษา"/>
        <s v="พันธุ์ข้าว"/>
        <s v="บจก.ซิเบลโก้(สบปราบ)"/>
        <s v="คุณวัลภา เผ่าเต็ม"/>
        <s v="บจก.น้ำตาลทิพย์สุโขทัย"/>
        <s v="คุณธนนท์ อุทัยไพศาลวงศ์"/>
        <s v="บจก.กบินทร์อินทรีย์"/>
        <s v="บจก.ไทยร่วมใจน้ำมันพืช"/>
      </sharedItems>
    </cacheField>
    <cacheField name="ตรา" numFmtId="0">
      <sharedItems containsMixedTypes="1" containsNumber="1" containsInteger="1" minValue="0" maxValue="0"/>
    </cacheField>
    <cacheField name="กว้าง" numFmtId="0">
      <sharedItems containsSemiMixedTypes="0" containsString="0" containsNumber="1" containsInteg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55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8-25T00:00:00" maxDate="2025-10-01T00:00:00" count="18">
        <s v="รอส่ง"/>
        <d v="2025-09-08T00:00:00"/>
        <m/>
        <s v="รอแจ้ง"/>
        <d v="2025-09-25T00:00:00"/>
        <d v="2025-08-30T00:00:00"/>
        <d v="2025-08-28T00:00:00"/>
        <d v="2025-08-29T00:00:00"/>
        <d v="2025-08-25T00:00:00"/>
        <d v="2025-08-27T00:00:00"/>
        <d v="2025-09-02T00:00:00"/>
        <d v="2025-09-05T00:00:00"/>
        <d v="2025-09-22T00:00:00"/>
        <d v="2025-09-30T00:00:00"/>
        <d v="2025-09-15T00:00:00"/>
        <d v="2025-09-19T00:00:00"/>
        <d v="2025-09-26T00:00:00"/>
        <d v="2025-09-16T00:00:00"/>
      </sharedItems>
    </cacheField>
    <cacheField name="จำนวนส่ง" numFmtId="188">
      <sharedItems containsSemiMixedTypes="0" containsString="0" containsNumber="1" containsInteger="1" minValue="0" maxValue="337878"/>
    </cacheField>
    <cacheField name="StockFG" numFmtId="41">
      <sharedItems containsSemiMixedTypes="0" containsString="0" containsNumber="1" containsInteger="1" minValue="0" maxValue="64000"/>
    </cacheField>
    <cacheField name="ค้างตัด" numFmtId="41">
      <sharedItems containsSemiMixedTypes="0" containsString="0" containsNumber="1" containsInteger="1" minValue="0" maxValue="337878"/>
    </cacheField>
    <cacheField name="พิมพ์แล้ว" numFmtId="41">
      <sharedItems containsSemiMixedTypes="0" containsString="0" containsNumber="1" containsInteger="1" minValue="0" maxValue="73500"/>
    </cacheField>
    <cacheField name="ค้างพิมพ์" numFmtId="41">
      <sharedItems containsSemiMixedTypes="0" containsString="0" containsNumber="1" minValue="0" maxValue="354771.9"/>
    </cacheField>
    <cacheField name="ประเภท" numFmtId="0">
      <sharedItems count="18">
        <s v="WSWT1625800SM"/>
        <s v="WSWT1825800"/>
        <s v="WSWT1925800"/>
        <s v="WSWT1921720"/>
        <s v="WSWT19251000SM"/>
        <s v="WSWT2025700"/>
        <s v="WSWT2025800SM"/>
        <s v="WSWT2025850"/>
        <s v="WSWT2025800"/>
        <s v="WSWT2121670SM"/>
        <s v="WSWT2325650"/>
        <s v="WSWTFCL022325650"/>
        <s v="WSWT2321750"/>
        <s v="WSWT2321112512551"/>
        <s v="WSWT2625650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469407.45082000003"/>
    </cacheField>
    <cacheField name="Stock" numFmtId="3">
      <sharedItems containsSemiMixedTypes="0" containsString="0" containsNumber="1" minValue="0" maxValue="203106.877775"/>
    </cacheField>
    <cacheField name="ค้างทอ" numFmtId="3">
      <sharedItems containsSemiMixedTypes="0" containsString="0" containsNumber="1" minValue="0" maxValue="461812.45082000003"/>
    </cacheField>
    <cacheField name="Stock2" numFmtId="3">
      <sharedItems containsSemiMixedTypes="0" containsString="0" containsNumber="1" minValue="0" maxValue="107569.00000000001"/>
    </cacheField>
    <cacheField name="ค้างเคลือบ" numFmtId="3">
      <sharedItems containsSemiMixedTypes="0" containsString="0" containsNumber="1" minValue="-6000" maxValue="360309.11625000008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903.447371527778" createdVersion="8" refreshedVersion="8" minRefreshableVersion="3" recordCount="151" xr:uid="{0FAE98F5-6360-4F22-9103-FC18F7EEE8EF}">
  <cacheSource type="worksheet">
    <worksheetSource ref="A5:AF156" sheet="3-9-68"/>
  </cacheSource>
  <cacheFields count="32">
    <cacheField name="วันรับออร์เดอร์/แบบ" numFmtId="187">
      <sharedItems containsDate="1" containsMixedTypes="1" minDate="1899-12-30T00:00:00" maxDate="2025-09-03T00:00:00"/>
    </cacheField>
    <cacheField name="เลขที่ SO" numFmtId="0">
      <sharedItems containsMixedTypes="1" containsNumber="1" containsInteger="1" minValue="0" maxValue="0" count="71">
        <s v="MK68-000868"/>
        <s v="MK68-001041"/>
        <n v="0"/>
        <s v="MK68-001045"/>
        <s v="ประมาณการ"/>
        <s v="MK68-001068"/>
        <s v="MK68-001049"/>
        <s v="MK68-001048"/>
        <s v="MK68-001043"/>
        <s v="MK68-001044"/>
        <s v="MK68-000680"/>
        <s v="MK68-001012"/>
        <s v="MK68-000990"/>
        <s v="MK68-001023"/>
        <s v="MK68-000877"/>
        <s v="MK68-001024"/>
        <s v="MK68-001026"/>
        <s v="MK68-000609"/>
        <s v="ใบรับคำสั่งซื้อ"/>
        <s v="MK68-000961"/>
        <s v="MK68-001029"/>
        <s v="MK68-001033"/>
        <s v="MK68-001034"/>
        <s v="MK68-001035"/>
        <s v="MK68-001007"/>
        <s v="MK68-001039"/>
        <s v="MK68-001040"/>
        <s v="MK68-001027"/>
        <s v="MK68-000675"/>
        <s v="MK68-000983"/>
        <s v="MK68-000801"/>
        <s v="MK68-000671"/>
        <s v="MK68-000673"/>
        <s v="MK68-000693"/>
        <s v="MK68-000093"/>
        <s v="MK67-001532"/>
        <s v="MK67-001153"/>
        <s v="MK68-000694"/>
        <s v="MK68-000452"/>
        <s v="MK67-001236"/>
        <s v="MK67-001396"/>
        <s v="MK68-001010"/>
        <s v="MK68-001046"/>
        <s v="MK68-001025"/>
        <s v="MK68-001009"/>
        <s v="MK68-000984"/>
        <s v="MK68-000985"/>
        <s v="MK68/001028"/>
        <s v="MK68-000977"/>
        <s v="MK67-001643"/>
        <s v="MK67-001642"/>
        <s v="MK68-001036"/>
        <s v="MK68-001038"/>
        <s v="MK68-001037"/>
        <s v="MK68-000982"/>
        <s v="MK68-000978"/>
        <s v="MK68-000892"/>
        <s v="MK68-000893"/>
        <s v="MK68-000804"/>
        <s v="MK66-000701"/>
        <s v="MK68-001064"/>
        <s v="MK68-000378"/>
        <s v="MK67-001490"/>
        <s v="MK68-001030"/>
        <s v="MK68-001065"/>
        <s v="MK68-001051"/>
        <s v="MK68-001052"/>
        <s v="MK68-001066"/>
        <s v="MK68-001067"/>
        <s v="MK68-000913"/>
        <s v="MK68-001032"/>
      </sharedItems>
    </cacheField>
    <cacheField name="ชื่อลูกค้า" numFmtId="0">
      <sharedItems containsMixedTypes="1" containsNumber="1" containsInteger="1" minValue="0" maxValue="0" count="27">
        <s v="พีมินเนอร์"/>
        <s v="บจก.ซัน ซีเมนต์ โพรเซส"/>
        <n v="0"/>
        <s v="บจก.เคอรี่ฟลาวมิลล์"/>
        <s v="บจก.ฟาร์เธอร์ส วิง ซัพพลาย"/>
        <s v="  "/>
        <s v="บจก.ยืนยงยิปซั่มปลาสเตอร์"/>
        <s v="บจก.เพรซิเดนท์ฟลาวมิลล์"/>
        <s v="บจก.เอ็กเซลเล้นท์"/>
        <s v="บจก.ไลม์มาสเตอร์"/>
        <s v="บจก.อินเทคค์ โกลบอล"/>
        <s v="บจก.เอสพีเอ็ม อาหารสัตว์"/>
        <s v="บจก.มารีนลีดเดอร์"/>
        <s v="บจก.เอพีเอ็ม อะโกร"/>
        <s v="บจก.วีซีเอฟ"/>
        <s v="บจก.ไทยธรรมดี"/>
        <s v="บจก.ซันฟีด"/>
        <s v="บจก.เอ.เจ.ฟาร์ม่าแล็บ"/>
        <s v="บจก.เอ็นบี ดิสทริบิวชั่น"/>
        <s v="บจก.ที.ซี.ยูเนี่ยน อโกรเทค"/>
        <s v="บจก.แอมโก้เวท"/>
        <s v="พันธุ์ข้าว"/>
        <s v="บจก.ซิเบลโก้(สบปราบ)"/>
        <s v="บจก.ไทยร่วมใจน้ำมันพืช"/>
        <s v="บจก.น้ำตาลทิพย์สุโขทัย"/>
        <s v="คุณธนนท์ อุทัยไพศาลวงศ์"/>
        <s v="บจก.กบินทร์อินทรีย์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55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9-04T00:00:00" maxDate="2025-10-16T00:00:00" count="19">
        <s v="รอส่ง"/>
        <d v="2025-09-08T00:00:00"/>
        <m/>
        <d v="2025-09-04T00:00:00"/>
        <d v="2025-09-09T00:00:00"/>
        <d v="2025-09-25T00:00:00"/>
        <s v="รอแจ้ง"/>
        <d v="2025-09-12T00:00:00"/>
        <d v="2025-09-10T00:00:00"/>
        <d v="2025-09-06T00:00:00"/>
        <d v="2025-09-30T00:00:00"/>
        <d v="2025-09-05T00:00:00"/>
        <d v="2025-09-22T00:00:00"/>
        <d v="2025-09-15T00:00:00"/>
        <d v="2025-09-19T00:00:00"/>
        <d v="2025-09-26T00:00:00"/>
        <d v="2025-09-17T00:00:00"/>
        <d v="2025-10-15T00:00:00"/>
        <d v="2025-09-20T00:00:00"/>
      </sharedItems>
    </cacheField>
    <cacheField name="จำนวนส่ง" numFmtId="188">
      <sharedItems containsSemiMixedTypes="0" containsString="0" containsNumber="1" containsInteger="1" minValue="0" maxValue="337878"/>
    </cacheField>
    <cacheField name="StockFG" numFmtId="41">
      <sharedItems containsSemiMixedTypes="0" containsString="0" containsNumber="1" containsInteger="1" minValue="0" maxValue="30000"/>
    </cacheField>
    <cacheField name="ค้างตัด" numFmtId="41">
      <sharedItems containsSemiMixedTypes="0" containsString="0" containsNumber="1" containsInteger="1" minValue="0" maxValue="337878"/>
    </cacheField>
    <cacheField name="พิมพ์แล้ว" numFmtId="41">
      <sharedItems containsSemiMixedTypes="0" containsString="0" containsNumber="1" containsInteger="1" minValue="0" maxValue="53544"/>
    </cacheField>
    <cacheField name="ค้างพิมพ์" numFmtId="41">
      <sharedItems containsSemiMixedTypes="0" containsString="0" containsNumber="1" minValue="0" maxValue="354771.9"/>
    </cacheField>
    <cacheField name="ประเภท" numFmtId="0">
      <sharedItems count="19">
        <s v="WSWT1625800SM"/>
        <s v="WSWT1625800"/>
        <s v="WSWT1825800"/>
        <s v="WSWT1825800SM"/>
        <s v="WSWT1925800"/>
        <s v="WSWT1921720"/>
        <s v="WSWT19251000SM"/>
        <s v="WSWT2025800SM"/>
        <s v="WSWT2025850"/>
        <s v="WSWT2025800"/>
        <s v="WSWT2121670SM"/>
        <s v="WSWT2325650"/>
        <s v="WSWT2325800"/>
        <s v="WSWT2321750"/>
        <s v="WSWT2321112512551"/>
        <s v="WSWT2625650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469407.45082000003"/>
    </cacheField>
    <cacheField name="Stock" numFmtId="3">
      <sharedItems containsSemiMixedTypes="0" containsString="0" containsNumber="1" minValue="0" maxValue="190395.31390000004"/>
    </cacheField>
    <cacheField name="ค้างทอ" numFmtId="3">
      <sharedItems containsSemiMixedTypes="0" containsString="0" containsNumber="1" minValue="0" maxValue="461812.45082000003"/>
    </cacheField>
    <cacheField name="Stock2" numFmtId="3">
      <sharedItems containsSemiMixedTypes="0" containsString="0" containsNumber="1" minValue="0" maxValue="110879.89000000001"/>
    </cacheField>
    <cacheField name="ค้างเคลือบ" numFmtId="3">
      <sharedItems containsSemiMixedTypes="0" containsString="0" containsNumber="1" minValue="0" maxValue="457503.53000000009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6">
  <r>
    <d v="2025-07-04T00:00:00"/>
    <x v="0"/>
    <x v="0"/>
    <s v="พี-มินเนอร์ นิวพลัส"/>
    <n v="16"/>
    <n v="28"/>
    <s v="ขาว"/>
    <s v="ใส"/>
    <n v="56"/>
    <s v="±"/>
    <n v="5"/>
    <s v="ไม่"/>
    <n v="19"/>
    <n v="31"/>
    <n v="40"/>
    <n v="1.1334313331327999"/>
    <n v="0"/>
    <n v="1.1334313331327999"/>
    <s v="500กระสอบ"/>
    <x v="0"/>
    <n v="4000"/>
    <n v="3922"/>
    <n v="78"/>
    <n v="5295"/>
    <n v="0"/>
    <x v="0"/>
    <n v="0"/>
    <n v="0"/>
    <n v="0"/>
    <n v="0"/>
    <n v="0"/>
    <s v="รอส่ง รอลูกค้ามารับเอง"/>
  </r>
  <r>
    <s v="ประมาณการ"/>
    <x v="1"/>
    <x v="1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1"/>
    <n v="5000"/>
    <n v="0"/>
    <n v="5000"/>
    <n v="0"/>
    <n v="5250"/>
    <x v="0"/>
    <n v="3702.0499999999997"/>
    <n v="0"/>
    <n v="3702.0499999999997"/>
    <n v="0"/>
    <n v="3702.0499999999997"/>
    <n v="0"/>
  </r>
  <r>
    <d v="1899-12-30T00:00:00"/>
    <x v="2"/>
    <x v="2"/>
    <s v=" "/>
    <n v="16"/>
    <n v="25"/>
    <s v="ขาว"/>
    <n v="0"/>
    <n v="45"/>
    <s v="±"/>
    <n v="5"/>
    <n v="0"/>
    <n v="0"/>
    <n v="0"/>
    <n v="0"/>
    <n v="0"/>
    <n v="0"/>
    <n v="0"/>
    <n v="0"/>
    <x v="2"/>
    <n v="0"/>
    <n v="0"/>
    <n v="0"/>
    <n v="0"/>
    <n v="0"/>
    <x v="0"/>
    <n v="3702.0499999999997"/>
    <n v="0"/>
    <n v="3702.0499999999997"/>
    <n v="0"/>
    <n v="3702.0499999999997"/>
    <s v="ระบุในSD"/>
  </r>
  <r>
    <s v="ประมาณการ"/>
    <x v="1"/>
    <x v="3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1"/>
    <n v="15000"/>
    <n v="0"/>
    <n v="15000"/>
    <n v="0"/>
    <n v="15750"/>
    <x v="1"/>
    <n v="13201.65"/>
    <n v="2599"/>
    <n v="10602.65"/>
    <n v="0"/>
    <n v="0"/>
    <n v="0"/>
  </r>
  <r>
    <d v="1899-12-30T00:00:00"/>
    <x v="2"/>
    <x v="4"/>
    <s v=" "/>
    <n v="18"/>
    <n v="30"/>
    <s v="ขาว"/>
    <n v="0"/>
    <n v="54"/>
    <s v="±"/>
    <n v="5"/>
    <n v="0"/>
    <n v="0"/>
    <n v="0"/>
    <n v="0"/>
    <n v="0"/>
    <n v="0"/>
    <n v="0"/>
    <n v="0"/>
    <x v="2"/>
    <n v="0"/>
    <n v="0"/>
    <n v="0"/>
    <n v="0"/>
    <n v="0"/>
    <x v="1"/>
    <n v="13201.65"/>
    <n v="2599"/>
    <n v="10602.65"/>
    <n v="0"/>
    <n v="0"/>
    <s v="ระบุในSD"/>
  </r>
  <r>
    <d v="2025-08-01T00:00:00"/>
    <x v="3"/>
    <x v="5"/>
    <s v="W30"/>
    <n v="19"/>
    <n v="28"/>
    <s v="ขาว"/>
    <n v="0"/>
    <n v="56"/>
    <s v="±"/>
    <n v="5"/>
    <s v="ไม่"/>
    <n v="20"/>
    <n v="30"/>
    <n v="90"/>
    <n v="0"/>
    <n v="0"/>
    <n v="0"/>
    <s v="มัด100"/>
    <x v="3"/>
    <n v="5800"/>
    <n v="5800"/>
    <n v="0"/>
    <n v="41600"/>
    <n v="0"/>
    <x v="2"/>
    <n v="0"/>
    <n v="0"/>
    <n v="0"/>
    <n v="0"/>
    <n v="0"/>
    <n v="0"/>
  </r>
  <r>
    <s v="ประมาณการ"/>
    <x v="1"/>
    <x v="6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4"/>
    <n v="100000"/>
    <n v="0"/>
    <n v="100000"/>
    <n v="0"/>
    <n v="105000"/>
    <x v="2"/>
    <n v="88010.999999999985"/>
    <n v="28203"/>
    <n v="59807.999999999985"/>
    <n v="0"/>
    <n v="0"/>
    <n v="0"/>
  </r>
  <r>
    <s v="ประมาณการ"/>
    <x v="1"/>
    <x v="7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4"/>
    <n v="25000"/>
    <n v="0"/>
    <n v="25000"/>
    <n v="0"/>
    <n v="26250"/>
    <x v="2"/>
    <n v="22002.749999999996"/>
    <n v="0"/>
    <n v="22002.749999999996"/>
    <n v="0"/>
    <n v="0"/>
    <n v="0"/>
  </r>
  <r>
    <s v="ประมาณการ"/>
    <x v="1"/>
    <x v="8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4"/>
    <n v="20000"/>
    <n v="233"/>
    <n v="19767"/>
    <n v="0"/>
    <n v="20755.350000000002"/>
    <x v="2"/>
    <n v="18501.714330000003"/>
    <n v="0"/>
    <n v="18501.714330000003"/>
    <n v="0"/>
    <n v="0"/>
    <n v="0"/>
  </r>
  <r>
    <d v="1899-12-30T00:00:00"/>
    <x v="2"/>
    <x v="2"/>
    <n v="0"/>
    <n v="19"/>
    <n v="30"/>
    <s v="ขาว"/>
    <n v="0"/>
    <n v="60"/>
    <s v="±"/>
    <n v="5"/>
    <n v="0"/>
    <n v="0"/>
    <n v="0"/>
    <n v="0"/>
    <n v="0"/>
    <n v="0"/>
    <n v="0"/>
    <n v="0"/>
    <x v="2"/>
    <n v="0"/>
    <n v="0"/>
    <n v="0"/>
    <n v="0"/>
    <n v="0"/>
    <x v="2"/>
    <n v="128515.46432999999"/>
    <n v="28203"/>
    <n v="100312.46432999999"/>
    <n v="0"/>
    <n v="0"/>
    <s v="ระบุในSD"/>
  </r>
  <r>
    <d v="2025-07-31T00:00:00"/>
    <x v="4"/>
    <x v="9"/>
    <s v="ชา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250"/>
    <n v="0"/>
    <x v="3"/>
    <n v="0"/>
    <n v="0"/>
    <n v="0"/>
    <n v="0"/>
    <n v="0"/>
    <s v="PDR250251"/>
  </r>
  <r>
    <d v="2025-07-31T00:00:00"/>
    <x v="4"/>
    <x v="9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400"/>
    <n v="0"/>
    <x v="3"/>
    <n v="0"/>
    <n v="0"/>
    <n v="0"/>
    <n v="0"/>
    <n v="0"/>
    <s v="PDR250251"/>
  </r>
  <r>
    <d v="2025-07-31T00:00:00"/>
    <x v="4"/>
    <x v="9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250"/>
    <n v="0"/>
    <x v="3"/>
    <n v="0"/>
    <n v="0"/>
    <n v="0"/>
    <n v="0"/>
    <n v="0"/>
    <s v="PDR250251"/>
  </r>
  <r>
    <d v="2025-07-31T00:00:00"/>
    <x v="4"/>
    <x v="9"/>
    <s v="KFM-HF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400"/>
    <n v="0"/>
    <x v="3"/>
    <n v="0"/>
    <n v="0"/>
    <n v="0"/>
    <n v="0"/>
    <n v="0"/>
    <s v="PDR250251"/>
  </r>
  <r>
    <d v="2025-07-31T00:00:00"/>
    <x v="4"/>
    <x v="9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5"/>
    <n v="5000"/>
    <n v="5000"/>
    <n v="0"/>
    <n v="5250"/>
    <n v="0"/>
    <x v="3"/>
    <n v="0"/>
    <n v="0"/>
    <n v="0"/>
    <n v="0"/>
    <n v="0"/>
    <s v="PDR250251"/>
  </r>
  <r>
    <d v="2025-08-15T00:00:00"/>
    <x v="5"/>
    <x v="9"/>
    <s v="ชา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250"/>
    <n v="0"/>
    <x v="3"/>
    <n v="0"/>
    <n v="0"/>
    <n v="0"/>
    <n v="0"/>
    <n v="0"/>
    <s v="PDR250266"/>
  </r>
  <r>
    <d v="2025-08-15T00:00:00"/>
    <x v="5"/>
    <x v="9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266"/>
    <n v="0"/>
    <x v="3"/>
    <n v="0"/>
    <n v="0"/>
    <n v="0"/>
    <n v="0"/>
    <n v="0"/>
    <s v="PDR250266"/>
  </r>
  <r>
    <d v="2025-08-15T00:00:00"/>
    <x v="5"/>
    <x v="9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352"/>
    <n v="0"/>
    <x v="3"/>
    <n v="0"/>
    <n v="0"/>
    <n v="0"/>
    <n v="0"/>
    <n v="0"/>
    <s v="PDR250266"/>
  </r>
  <r>
    <d v="2025-08-15T00:00:00"/>
    <x v="5"/>
    <x v="9"/>
    <s v="แต้ม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400"/>
    <n v="0"/>
    <x v="3"/>
    <n v="0"/>
    <n v="0"/>
    <n v="0"/>
    <n v="0"/>
    <n v="0"/>
    <s v="PDR250266"/>
  </r>
  <r>
    <d v="2025-08-15T00:00:00"/>
    <x v="5"/>
    <x v="9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5"/>
    <n v="5000"/>
    <n v="5000"/>
    <n v="0"/>
    <n v="5250"/>
    <n v="0"/>
    <x v="3"/>
    <n v="0"/>
    <n v="0"/>
    <n v="0"/>
    <n v="0"/>
    <n v="0"/>
    <s v="PDR250266"/>
  </r>
  <r>
    <d v="2025-08-15T00:00:00"/>
    <x v="5"/>
    <x v="9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10000"/>
    <n v="0"/>
    <n v="10000"/>
    <n v="0"/>
    <n v="10500"/>
    <x v="3"/>
    <n v="9359.9000000000015"/>
    <n v="9359.9000000000015"/>
    <n v="0"/>
    <n v="0"/>
    <n v="0"/>
    <s v="PDR250263"/>
  </r>
  <r>
    <d v="2025-08-15T00:00:00"/>
    <x v="5"/>
    <x v="9"/>
    <s v="ปลาโลมาท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0"/>
    <n v="5000"/>
    <n v="5400"/>
    <n v="0"/>
    <x v="3"/>
    <n v="0"/>
    <n v="0"/>
    <n v="0"/>
    <n v="0"/>
    <n v="0"/>
    <s v="PDR250263"/>
  </r>
  <r>
    <d v="2025-08-15T00:00:00"/>
    <x v="5"/>
    <x v="9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5000"/>
    <n v="0"/>
    <n v="5665"/>
    <n v="0"/>
    <x v="3"/>
    <n v="0"/>
    <n v="0"/>
    <n v="0"/>
    <n v="0"/>
    <n v="0"/>
    <s v="PDR250263"/>
  </r>
  <r>
    <d v="2025-08-15T00:00:00"/>
    <x v="5"/>
    <x v="9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5000"/>
    <n v="0"/>
    <n v="5250"/>
    <n v="0"/>
    <x v="3"/>
    <n v="0"/>
    <n v="0"/>
    <n v="0"/>
    <n v="0"/>
    <n v="0"/>
    <s v="PDR250263"/>
  </r>
  <r>
    <d v="2025-07-31T00:00:00"/>
    <x v="4"/>
    <x v="9"/>
    <s v="เคเอ็ม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00"/>
    <n v="0"/>
    <n v="5400"/>
    <n v="0"/>
    <x v="3"/>
    <n v="0"/>
    <n v="0"/>
    <n v="0"/>
    <n v="0"/>
    <n v="0"/>
    <s v="PDR250252"/>
  </r>
  <r>
    <d v="2025-07-31T00:00:00"/>
    <x v="4"/>
    <x v="9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380"/>
    <n v="0"/>
    <x v="3"/>
    <n v="0"/>
    <n v="0"/>
    <n v="0"/>
    <n v="0"/>
    <n v="0"/>
    <s v="PDR250252"/>
  </r>
  <r>
    <d v="2025-07-31T00:00:00"/>
    <x v="4"/>
    <x v="9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00"/>
    <n v="0"/>
    <n v="5250"/>
    <n v="0"/>
    <x v="3"/>
    <n v="0"/>
    <n v="0"/>
    <n v="0"/>
    <n v="0"/>
    <n v="0"/>
    <s v="PDR250252"/>
  </r>
  <r>
    <d v="2025-07-31T00:00:00"/>
    <x v="4"/>
    <x v="9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665"/>
    <n v="0"/>
    <x v="3"/>
    <n v="0"/>
    <n v="0"/>
    <n v="0"/>
    <n v="0"/>
    <n v="0"/>
    <s v="PDR250252"/>
  </r>
  <r>
    <d v="2025-07-31T00:00:00"/>
    <x v="4"/>
    <x v="9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6"/>
    <n v="5000"/>
    <n v="0"/>
    <n v="5000"/>
    <n v="5400"/>
    <n v="0"/>
    <x v="3"/>
    <n v="0"/>
    <n v="0"/>
    <n v="0"/>
    <n v="0"/>
    <n v="0"/>
    <s v="PDR250252"/>
  </r>
  <r>
    <d v="2025-08-15T00:00:00"/>
    <x v="6"/>
    <x v="9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6"/>
    <n v="5000"/>
    <n v="0"/>
    <n v="5000"/>
    <n v="0"/>
    <n v="0"/>
    <x v="3"/>
    <n v="5238.75"/>
    <n v="5238.75"/>
    <n v="0"/>
    <n v="0"/>
    <n v="0"/>
    <s v="PDR250264"/>
  </r>
  <r>
    <d v="2025-08-15T00:00:00"/>
    <x v="5"/>
    <x v="9"/>
    <s v="8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6"/>
    <n v="5000"/>
    <n v="0"/>
    <n v="5000"/>
    <n v="5400"/>
    <n v="0"/>
    <x v="3"/>
    <n v="0"/>
    <n v="0"/>
    <n v="0"/>
    <n v="0"/>
    <n v="0"/>
    <s v="PDR250264"/>
  </r>
  <r>
    <d v="2025-08-15T00:00:00"/>
    <x v="5"/>
    <x v="9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267"/>
    <n v="0"/>
    <x v="3"/>
    <n v="0"/>
    <n v="0"/>
    <n v="0"/>
    <n v="0"/>
    <n v="0"/>
    <s v="PDR250264"/>
  </r>
  <r>
    <d v="2025-08-15T00:00:00"/>
    <x v="5"/>
    <x v="9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250"/>
    <n v="0"/>
    <x v="3"/>
    <n v="0"/>
    <n v="0"/>
    <n v="0"/>
    <n v="0"/>
    <n v="0"/>
    <s v="PDR250264"/>
  </r>
  <r>
    <d v="2025-08-15T00:00:00"/>
    <x v="5"/>
    <x v="9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250"/>
    <n v="0"/>
    <x v="3"/>
    <n v="0"/>
    <n v="0"/>
    <n v="0"/>
    <n v="0"/>
    <n v="0"/>
    <s v="PDR250264"/>
  </r>
  <r>
    <d v="2025-07-31T00:00:00"/>
    <x v="4"/>
    <x v="9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3"/>
    <n v="4679.9500000000007"/>
    <n v="4679.9500000000007"/>
    <n v="0"/>
    <n v="0"/>
    <n v="0"/>
    <s v="PDR250253"/>
  </r>
  <r>
    <d v="2025-07-31T00:00:00"/>
    <x v="4"/>
    <x v="9"/>
    <s v="แต้ม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3"/>
    <n v="4679.9500000000007"/>
    <n v="4679.9500000000007"/>
    <n v="0"/>
    <n v="0"/>
    <n v="0"/>
    <s v="PDR250253"/>
  </r>
  <r>
    <d v="2025-07-31T00:00:00"/>
    <x v="4"/>
    <x v="9"/>
    <s v="หีบเพลง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3"/>
    <n v="4679.9500000000007"/>
    <n v="4679.9500000000007"/>
    <n v="0"/>
    <n v="0"/>
    <n v="0"/>
    <s v="PDR250253"/>
  </r>
  <r>
    <d v="2025-07-31T00:00:00"/>
    <x v="4"/>
    <x v="9"/>
    <s v="หีบเพลง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3"/>
    <n v="4679.9500000000007"/>
    <n v="4679.9500000000007"/>
    <n v="0"/>
    <n v="0"/>
    <n v="0"/>
    <s v="PDR250253"/>
  </r>
  <r>
    <d v="2025-07-31T00:00:00"/>
    <x v="7"/>
    <x v="9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7"/>
    <n v="5000"/>
    <n v="0"/>
    <n v="5000"/>
    <n v="0"/>
    <n v="0"/>
    <x v="3"/>
    <n v="5238.75"/>
    <n v="5238.75"/>
    <n v="0"/>
    <n v="0"/>
    <n v="0"/>
    <s v="PDR250253"/>
  </r>
  <r>
    <d v="2025-08-15T00:00:00"/>
    <x v="5"/>
    <x v="9"/>
    <s v="ถุงเขีย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0"/>
    <n v="10000"/>
    <n v="0"/>
    <n v="10500"/>
    <x v="3"/>
    <n v="9359.9000000000015"/>
    <n v="9359.9000000000015"/>
    <n v="0"/>
    <n v="0"/>
    <n v="0"/>
    <s v="PDR250265"/>
  </r>
  <r>
    <d v="2025-08-15T00:00:00"/>
    <x v="5"/>
    <x v="9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0"/>
    <n v="10000"/>
    <n v="0"/>
    <n v="10500"/>
    <x v="3"/>
    <n v="9359.9000000000015"/>
    <n v="9359.9000000000015"/>
    <n v="0"/>
    <n v="0"/>
    <n v="0"/>
    <s v="PDR250265"/>
  </r>
  <r>
    <d v="2025-08-15T00:00:00"/>
    <x v="5"/>
    <x v="9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3"/>
    <n v="4679.9500000000007"/>
    <n v="4679.9500000000007"/>
    <n v="0"/>
    <n v="0"/>
    <n v="0"/>
    <s v="PDR250265"/>
  </r>
  <r>
    <d v="2025-08-01T00:00:00"/>
    <x v="8"/>
    <x v="9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8"/>
    <n v="20000"/>
    <n v="0"/>
    <n v="20000"/>
    <n v="0"/>
    <n v="0"/>
    <x v="3"/>
    <n v="18719.800000000003"/>
    <n v="18719.800000000003"/>
    <n v="0"/>
    <n v="0"/>
    <n v="0"/>
    <n v="0"/>
  </r>
  <r>
    <d v="2025-08-01T00:00:00"/>
    <x v="9"/>
    <x v="9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8"/>
    <n v="20000"/>
    <n v="0"/>
    <n v="20000"/>
    <n v="0"/>
    <n v="0"/>
    <x v="3"/>
    <n v="18719.800000000003"/>
    <n v="18719.800000000003"/>
    <n v="0"/>
    <n v="0"/>
    <n v="0"/>
    <n v="0"/>
  </r>
  <r>
    <d v="1899-12-30T00:00:00"/>
    <x v="2"/>
    <x v="2"/>
    <n v="0"/>
    <n v="19"/>
    <n v="30"/>
    <n v="0"/>
    <n v="0"/>
    <n v="63"/>
    <s v="+"/>
    <n v="5"/>
    <n v="0"/>
    <n v="0"/>
    <n v="0"/>
    <n v="0"/>
    <n v="0"/>
    <n v="0"/>
    <n v="0"/>
    <n v="0"/>
    <x v="2"/>
    <n v="0"/>
    <n v="0"/>
    <n v="0"/>
    <n v="0"/>
    <n v="0"/>
    <x v="3"/>
    <n v="99396.550000000017"/>
    <n v="99396.550000000017"/>
    <n v="0"/>
    <n v="0"/>
    <n v="0"/>
    <s v="ระบุในSD"/>
  </r>
  <r>
    <d v="2025-08-18T00:00:00"/>
    <x v="10"/>
    <x v="10"/>
    <s v="เพอเฟคค์ 102Sโกลด์"/>
    <n v="19"/>
    <n v="35"/>
    <s v="ขาว"/>
    <s v="ด้าน"/>
    <n v="102"/>
    <s v="±"/>
    <n v="5"/>
    <s v="จับจีบ4&quot;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4"/>
    <n v="5139.8424000000005"/>
    <n v="5139.8424000000005"/>
    <n v="0"/>
    <n v="0"/>
    <n v="5139.8424000000005"/>
    <n v="0"/>
  </r>
  <r>
    <d v="2025-08-18T00:00:00"/>
    <x v="10"/>
    <x v="10"/>
    <s v="เพอเฟคค์ 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4"/>
    <n v="4999.0247999999992"/>
    <n v="0"/>
    <n v="4999.0247999999992"/>
    <n v="0"/>
    <n v="4999.0247999999992"/>
    <n v="0"/>
  </r>
  <r>
    <d v="2025-05-19T00:00:00"/>
    <x v="11"/>
    <x v="10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"/>
    <n v="503"/>
    <n v="0"/>
    <n v="503"/>
    <n v="5250"/>
    <n v="0"/>
    <x v="4"/>
    <n v="0"/>
    <n v="0"/>
    <n v="0"/>
    <n v="0"/>
    <n v="0"/>
    <n v="0"/>
  </r>
  <r>
    <d v="1899-12-30T00:00:00"/>
    <x v="2"/>
    <x v="2"/>
    <n v="0"/>
    <n v="19"/>
    <n v="34"/>
    <s v="ขาว"/>
    <n v="0"/>
    <n v="80"/>
    <s v="±"/>
    <n v="5"/>
    <n v="0"/>
    <n v="0"/>
    <n v="0"/>
    <n v="0"/>
    <n v="0"/>
    <n v="0"/>
    <n v="0"/>
    <n v="0"/>
    <x v="2"/>
    <n v="0"/>
    <n v="0"/>
    <n v="0"/>
    <n v="0"/>
    <n v="0"/>
    <x v="4"/>
    <n v="10138.867200000001"/>
    <n v="5139.8424000000005"/>
    <n v="4999.0247999999992"/>
    <n v="0"/>
    <n v="10138.867200000001"/>
    <s v="ระบุในSD"/>
  </r>
  <r>
    <d v="2025-08-20T00:00:00"/>
    <x v="12"/>
    <x v="11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5"/>
    <n v="5000"/>
    <n v="5000"/>
    <n v="0"/>
    <n v="0"/>
    <n v="0"/>
    <x v="5"/>
    <n v="0"/>
    <n v="0"/>
    <n v="0"/>
    <n v="0"/>
    <n v="0"/>
    <n v="0"/>
  </r>
  <r>
    <d v="1899-12-30T00:00:00"/>
    <x v="2"/>
    <x v="2"/>
    <n v="0"/>
    <n v="20"/>
    <n v="37"/>
    <s v="ขาว"/>
    <n v="0"/>
    <n v="65"/>
    <s v="±"/>
    <n v="5"/>
    <n v="0"/>
    <n v="0"/>
    <n v="0"/>
    <n v="0"/>
    <n v="0"/>
    <n v="0"/>
    <n v="0"/>
    <n v="0"/>
    <x v="2"/>
    <n v="0"/>
    <n v="0"/>
    <n v="0"/>
    <n v="0"/>
    <n v="0"/>
    <x v="5"/>
    <n v="0"/>
    <n v="0"/>
    <n v="0"/>
    <n v="0"/>
    <n v="0"/>
    <s v="ระบุในSD"/>
  </r>
  <r>
    <d v="2025-07-30T00:00:00"/>
    <x v="13"/>
    <x v="12"/>
    <s v="VC 10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20000"/>
    <n v="20000"/>
    <n v="0"/>
    <n v="20900"/>
    <n v="0"/>
    <x v="6"/>
    <n v="0"/>
    <n v="0"/>
    <n v="0"/>
    <n v="0"/>
    <n v="0"/>
    <n v="0"/>
  </r>
  <r>
    <d v="2025-07-12T00:00:00"/>
    <x v="14"/>
    <x v="13"/>
    <s v="SPM195 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8"/>
    <n v="4000"/>
    <n v="4000"/>
    <n v="0"/>
    <n v="4100"/>
    <n v="0"/>
    <x v="6"/>
    <n v="0"/>
    <n v="0"/>
    <n v="0"/>
    <n v="0"/>
    <n v="0"/>
    <n v="0"/>
  </r>
  <r>
    <d v="2025-08-07T00:00:00"/>
    <x v="15"/>
    <x v="13"/>
    <s v="นีโอ พี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8"/>
    <n v="3000"/>
    <n v="0"/>
    <n v="3000"/>
    <n v="3100"/>
    <n v="0"/>
    <x v="6"/>
    <n v="0"/>
    <n v="0"/>
    <n v="0"/>
    <n v="0"/>
    <n v="0"/>
    <s v="ห้ามเกิน-ขาดได้5%"/>
  </r>
  <r>
    <d v="2025-08-07T00:00:00"/>
    <x v="16"/>
    <x v="13"/>
    <s v="วี-ฟีด วี18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8"/>
    <n v="3000"/>
    <n v="0"/>
    <n v="3000"/>
    <n v="3200"/>
    <n v="0"/>
    <x v="6"/>
    <n v="0"/>
    <n v="0"/>
    <n v="0"/>
    <n v="0"/>
    <n v="0"/>
    <s v="ห้ามเกิน-ขาดได้5%"/>
  </r>
  <r>
    <d v="2025-08-05T00:00:00"/>
    <x v="17"/>
    <x v="10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614"/>
    <n v="0"/>
    <n v="614"/>
    <n v="0"/>
    <n v="644.70000000000005"/>
    <x v="6"/>
    <n v="643.31850000000009"/>
    <n v="643.31850000000009"/>
    <n v="0"/>
    <n v="643.31850000000009"/>
    <n v="0"/>
    <n v="0"/>
  </r>
  <r>
    <d v="2025-05-19T00:00:00"/>
    <x v="18"/>
    <x v="10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240"/>
    <n v="0"/>
    <n v="240"/>
    <n v="0"/>
    <n v="252"/>
    <x v="6"/>
    <n v="251.46"/>
    <n v="251.46"/>
    <n v="0"/>
    <n v="251.46"/>
    <n v="0"/>
    <n v="0"/>
  </r>
  <r>
    <d v="2025-08-22T00:00:00"/>
    <x v="19"/>
    <x v="14"/>
    <s v="หมูแดง 002"/>
    <n v="20"/>
    <n v="37"/>
    <s v="ขาว"/>
    <s v="ใส"/>
    <n v="97"/>
    <s v="±"/>
    <n v="5"/>
    <s v="ไม่"/>
    <s v="ไม่สวมถุงใน"/>
    <n v="0"/>
    <n v="0"/>
    <n v="0"/>
    <n v="0"/>
    <n v="0"/>
    <s v="500กระสอบ"/>
    <x v="10"/>
    <n v="8000"/>
    <n v="0"/>
    <n v="8000"/>
    <n v="0"/>
    <n v="8400"/>
    <x v="6"/>
    <n v="8605.52"/>
    <n v="8605.52"/>
    <n v="0"/>
    <n v="0"/>
    <n v="8605.52"/>
    <s v="ขาด-เกินได้5%"/>
  </r>
  <r>
    <d v="2025-08-07T00:00:00"/>
    <x v="20"/>
    <x v="13"/>
    <s v="นีโอ พี2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4000"/>
    <n v="0"/>
    <n v="4000"/>
    <n v="0"/>
    <n v="4200"/>
    <x v="6"/>
    <n v="4414.5199999999995"/>
    <n v="4414.5199999999995"/>
    <n v="0"/>
    <n v="0"/>
    <n v="4414.5199999999995"/>
    <s v="ขอ 3000เกิน"/>
  </r>
  <r>
    <d v="2025-08-07T00:00:00"/>
    <x v="21"/>
    <x v="13"/>
    <s v="ยูฟีด บี2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1"/>
    <n v="3000"/>
    <n v="3075"/>
    <n v="0"/>
    <n v="0"/>
    <n v="0"/>
    <x v="6"/>
    <n v="0"/>
    <n v="0"/>
    <n v="0"/>
    <n v="0"/>
    <n v="0"/>
    <n v="0"/>
  </r>
  <r>
    <d v="2025-07-12T00:00:00"/>
    <x v="22"/>
    <x v="13"/>
    <s v="ฟี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8"/>
    <n v="4000"/>
    <n v="0"/>
    <n v="4000"/>
    <n v="4100"/>
    <n v="0"/>
    <x v="6"/>
    <n v="0"/>
    <n v="0"/>
    <n v="0"/>
    <n v="0"/>
    <n v="0"/>
    <n v="0"/>
  </r>
  <r>
    <d v="2025-08-18T00:00:00"/>
    <x v="23"/>
    <x v="10"/>
    <s v="เฟิร์สช้อย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6000"/>
    <n v="0"/>
    <x v="6"/>
    <n v="0"/>
    <n v="0"/>
    <n v="0"/>
    <n v="0"/>
    <n v="0"/>
    <n v="0"/>
  </r>
  <r>
    <d v="2025-06-17T00:00:00"/>
    <x v="24"/>
    <x v="10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9"/>
    <n v="127"/>
    <n v="0"/>
    <n v="127"/>
    <n v="145"/>
    <n v="0"/>
    <x v="6"/>
    <n v="0"/>
    <n v="0"/>
    <n v="0"/>
    <n v="0"/>
    <n v="0"/>
    <n v="0"/>
  </r>
  <r>
    <d v="2025-08-18T00:00:00"/>
    <x v="23"/>
    <x v="10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20000"/>
    <n v="0"/>
    <n v="20000"/>
    <n v="3943"/>
    <n v="16859.850000000002"/>
    <x v="6"/>
    <n v="17664.907837500003"/>
    <n v="17664.907837500003"/>
    <n v="0"/>
    <n v="17664.907837500003"/>
    <n v="0"/>
    <n v="0"/>
  </r>
  <r>
    <d v="2025-08-18T00:00:00"/>
    <x v="25"/>
    <x v="10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0000"/>
    <n v="0"/>
    <n v="10000"/>
    <n v="0"/>
    <n v="10500"/>
    <x v="6"/>
    <n v="10477.5"/>
    <n v="10477.5"/>
    <n v="0"/>
    <n v="0"/>
    <n v="10477.5"/>
    <n v="0"/>
  </r>
  <r>
    <d v="2025-08-18T00:00:00"/>
    <x v="25"/>
    <x v="10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6"/>
    <n v="5280.6600000000008"/>
    <n v="5280.6600000000008"/>
    <n v="0"/>
    <n v="0"/>
    <n v="5280.6600000000008"/>
    <n v="0"/>
  </r>
  <r>
    <d v="2025-08-18T00:00:00"/>
    <x v="26"/>
    <x v="10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0000"/>
    <n v="0"/>
    <n v="10000"/>
    <n v="0"/>
    <n v="10500"/>
    <x v="6"/>
    <n v="10477.5"/>
    <n v="8675"/>
    <n v="1802.5"/>
    <n v="0"/>
    <n v="10477.5"/>
    <n v="0"/>
  </r>
  <r>
    <d v="2025-07-19T00:00:00"/>
    <x v="27"/>
    <x v="10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20"/>
    <n v="0"/>
    <n v="120"/>
    <n v="0"/>
    <n v="126"/>
    <x v="6"/>
    <n v="125.73"/>
    <n v="0"/>
    <n v="125.73"/>
    <n v="0"/>
    <n v="125.73"/>
    <n v="0"/>
  </r>
  <r>
    <d v="2025-08-18T00:00:00"/>
    <x v="26"/>
    <x v="10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6"/>
    <n v="5280.6600000000008"/>
    <n v="0"/>
    <n v="5280.6600000000008"/>
    <n v="0"/>
    <n v="5280.6600000000008"/>
    <n v="0"/>
  </r>
  <r>
    <d v="2025-08-18T00:00:00"/>
    <x v="28"/>
    <x v="10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6"/>
    <n v="5280.6600000000008"/>
    <n v="0"/>
    <n v="5280.6600000000008"/>
    <n v="0"/>
    <n v="5280.6600000000008"/>
    <n v="0"/>
  </r>
  <r>
    <d v="2025-08-18T00:00:00"/>
    <x v="28"/>
    <x v="10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0000"/>
    <n v="0"/>
    <n v="10000"/>
    <n v="0"/>
    <n v="10500"/>
    <x v="6"/>
    <n v="10477.5"/>
    <n v="0"/>
    <n v="10477.5"/>
    <n v="0"/>
    <n v="10477.5"/>
    <n v="0"/>
  </r>
  <r>
    <d v="2025-05-19T00:00:00"/>
    <x v="29"/>
    <x v="10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446"/>
    <n v="0"/>
    <n v="1446"/>
    <n v="0"/>
    <n v="1518.3"/>
    <x v="6"/>
    <n v="1515.0465000000002"/>
    <n v="0"/>
    <n v="1515.0465000000002"/>
    <n v="0"/>
    <n v="1515.0465000000002"/>
    <n v="0"/>
  </r>
  <r>
    <d v="2025-08-18T00:00:00"/>
    <x v="30"/>
    <x v="10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0000"/>
    <n v="0"/>
    <n v="10000"/>
    <n v="0"/>
    <n v="10500"/>
    <x v="6"/>
    <n v="10477.5"/>
    <n v="0"/>
    <n v="10477.5"/>
    <n v="0"/>
    <n v="10477.5"/>
    <n v="0"/>
  </r>
  <r>
    <d v="2025-08-18T00:00:00"/>
    <x v="30"/>
    <x v="10"/>
    <s v="สุบรรณ 22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6"/>
    <n v="5280.6600000000008"/>
    <n v="0"/>
    <n v="5280.6600000000008"/>
    <n v="0"/>
    <n v="5280.6600000000008"/>
    <n v="0"/>
  </r>
  <r>
    <d v="2025-08-18T00:00:00"/>
    <x v="31"/>
    <x v="10"/>
    <s v="เฟิร์สคลาส 912"/>
    <n v="20"/>
    <n v="35"/>
    <s v="ขาว"/>
    <s v="ด้าน"/>
    <n v="97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6"/>
    <n v="5139.8424000000005"/>
    <n v="0"/>
    <n v="5139.8424000000005"/>
    <n v="0"/>
    <n v="5139.8424000000005"/>
    <n v="0"/>
  </r>
  <r>
    <s v="ประมาณการ"/>
    <x v="1"/>
    <x v="10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00000"/>
    <n v="0"/>
    <n v="100000"/>
    <n v="0"/>
    <n v="105000"/>
    <x v="6"/>
    <n v="104775.00000000001"/>
    <n v="0"/>
    <n v="104775.00000000001"/>
    <n v="0"/>
    <n v="104775.00000000001"/>
    <n v="0"/>
  </r>
  <r>
    <s v="ประมาณการ"/>
    <x v="1"/>
    <x v="15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20000"/>
    <n v="0"/>
    <n v="20000"/>
    <n v="0"/>
    <n v="21000"/>
    <x v="6"/>
    <n v="22072.6"/>
    <n v="0"/>
    <n v="22072.6"/>
    <n v="0"/>
    <n v="22072.6"/>
    <n v="0"/>
  </r>
  <r>
    <s v="ประมาณการ"/>
    <x v="1"/>
    <x v="16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4"/>
    <n v="20000"/>
    <n v="0"/>
    <n v="20000"/>
    <n v="0"/>
    <n v="21000"/>
    <x v="6"/>
    <n v="21513.800000000003"/>
    <n v="0"/>
    <n v="21513.800000000003"/>
    <n v="0"/>
    <n v="21513.800000000003"/>
    <n v="0"/>
  </r>
  <r>
    <d v="2025-08-08T00:00:00"/>
    <x v="32"/>
    <x v="15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"/>
    <n v="10000"/>
    <n v="0"/>
    <n v="10000"/>
    <n v="0"/>
    <n v="10500"/>
    <x v="6"/>
    <n v="11036.3"/>
    <n v="0"/>
    <n v="11036.3"/>
    <n v="0"/>
    <n v="11036.3"/>
    <n v="0"/>
  </r>
  <r>
    <d v="2025-08-04T00:00:00"/>
    <x v="33"/>
    <x v="13"/>
    <s v="U-FEED U2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"/>
    <n v="4000"/>
    <n v="0"/>
    <n v="4000"/>
    <n v="0"/>
    <n v="4200"/>
    <x v="6"/>
    <n v="4414.5199999999995"/>
    <n v="0"/>
    <n v="4414.5199999999995"/>
    <n v="0"/>
    <n v="4414.5199999999995"/>
    <s v="ห้ามเกิน-ขาดได้5%"/>
  </r>
  <r>
    <s v="ประมาณการ"/>
    <x v="1"/>
    <x v="17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"/>
    <n v="100000"/>
    <n v="0"/>
    <n v="100000"/>
    <n v="0"/>
    <n v="105000"/>
    <x v="6"/>
    <n v="110363"/>
    <n v="0"/>
    <n v="110363"/>
    <n v="0"/>
    <n v="110363"/>
    <n v="0"/>
  </r>
  <r>
    <d v="2025-06-17T00:00:00"/>
    <x v="34"/>
    <x v="10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1"/>
    <n v="894"/>
    <n v="525"/>
    <n v="369"/>
    <n v="6000"/>
    <n v="0"/>
    <x v="6"/>
    <n v="0"/>
    <n v="0"/>
    <n v="0"/>
    <n v="0"/>
    <n v="0"/>
    <n v="0"/>
  </r>
  <r>
    <d v="2025-05-19T00:00:00"/>
    <x v="35"/>
    <x v="10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366"/>
    <n v="0"/>
    <n v="366"/>
    <n v="5113"/>
    <n v="0"/>
    <x v="6"/>
    <n v="0"/>
    <n v="0"/>
    <n v="0"/>
    <n v="0"/>
    <n v="0"/>
    <n v="0"/>
  </r>
  <r>
    <d v="2025-05-19T00:00:00"/>
    <x v="36"/>
    <x v="10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302"/>
    <n v="0"/>
    <n v="302"/>
    <n v="5300"/>
    <n v="0"/>
    <x v="6"/>
    <n v="0"/>
    <n v="0"/>
    <n v="0"/>
    <n v="0"/>
    <n v="0"/>
    <n v="0"/>
  </r>
  <r>
    <d v="2025-07-12T00:00:00"/>
    <x v="37"/>
    <x v="13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"/>
    <n v="3000"/>
    <n v="0"/>
    <n v="3000"/>
    <n v="0"/>
    <n v="3150"/>
    <x v="6"/>
    <n v="3310.89"/>
    <n v="0"/>
    <n v="3310.89"/>
    <n v="0"/>
    <n v="3310.89"/>
    <n v="0"/>
  </r>
  <r>
    <d v="2025-05-05T00:00:00"/>
    <x v="38"/>
    <x v="15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"/>
    <n v="10000"/>
    <n v="0"/>
    <n v="10000"/>
    <n v="0"/>
    <n v="10500"/>
    <x v="6"/>
    <n v="11036.3"/>
    <n v="0"/>
    <n v="11036.3"/>
    <n v="0"/>
    <n v="11036.3"/>
    <n v="0"/>
  </r>
  <r>
    <d v="2025-05-21T00:00:00"/>
    <x v="39"/>
    <x v="13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"/>
    <n v="5000"/>
    <n v="0"/>
    <n v="5000"/>
    <n v="0"/>
    <n v="5250"/>
    <x v="6"/>
    <n v="5518.15"/>
    <n v="0"/>
    <n v="5518.15"/>
    <n v="0"/>
    <n v="5518.15"/>
    <n v="0"/>
  </r>
  <r>
    <d v="2025-01-17T00:00:00"/>
    <x v="40"/>
    <x v="10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1"/>
    <n v="152"/>
    <n v="0"/>
    <n v="152"/>
    <n v="6000"/>
    <n v="0"/>
    <x v="6"/>
    <n v="0"/>
    <n v="0"/>
    <n v="0"/>
    <n v="0"/>
    <n v="0"/>
    <n v="5987"/>
  </r>
  <r>
    <d v="2024-11-15T00:00:00"/>
    <x v="41"/>
    <x v="10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117"/>
    <n v="0"/>
    <n v="117"/>
    <n v="10065"/>
    <n v="0"/>
    <x v="6"/>
    <n v="0"/>
    <n v="0"/>
    <n v="0"/>
    <n v="0"/>
    <n v="0"/>
    <n v="0"/>
  </r>
  <r>
    <d v="2024-08-19T00:00:00"/>
    <x v="42"/>
    <x v="10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1260"/>
    <n v="0"/>
    <n v="1260"/>
    <n v="11095"/>
    <n v="0"/>
    <x v="6"/>
    <n v="0"/>
    <n v="0"/>
    <n v="0"/>
    <n v="0"/>
    <n v="0"/>
    <n v="0"/>
  </r>
  <r>
    <d v="2024-08-19T00:00:00"/>
    <x v="42"/>
    <x v="10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89"/>
    <n v="0"/>
    <n v="89"/>
    <n v="11180"/>
    <n v="0"/>
    <x v="6"/>
    <n v="0"/>
    <n v="0"/>
    <n v="0"/>
    <n v="0"/>
    <n v="0"/>
    <n v="0"/>
  </r>
  <r>
    <d v="2025-05-22T00:00:00"/>
    <x v="43"/>
    <x v="18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0"/>
    <n v="4000"/>
    <n v="3840"/>
    <n v="160"/>
    <n v="8450"/>
    <n v="0"/>
    <x v="6"/>
    <n v="0"/>
    <n v="0"/>
    <n v="0"/>
    <n v="0"/>
    <n v="0"/>
    <s v="ห้ามขาด-ห้ามเกิน"/>
  </r>
  <r>
    <d v="2025-03-25T00:00:00"/>
    <x v="44"/>
    <x v="13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4000"/>
    <n v="3867"/>
    <n v="133"/>
    <n v="4200"/>
    <n v="0"/>
    <x v="6"/>
    <n v="0"/>
    <n v="0"/>
    <n v="0"/>
    <n v="0"/>
    <n v="0"/>
    <n v="0"/>
  </r>
  <r>
    <d v="2025-03-04T00:00:00"/>
    <x v="45"/>
    <x v="13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0"/>
    <n v="4000"/>
    <n v="4010"/>
    <n v="0"/>
    <n v="4470"/>
    <n v="0"/>
    <x v="6"/>
    <n v="0"/>
    <n v="0"/>
    <n v="0"/>
    <n v="0"/>
    <n v="0"/>
    <n v="0"/>
  </r>
  <r>
    <d v="2025-03-04T00:00:00"/>
    <x v="45"/>
    <x v="13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3065"/>
    <n v="0"/>
    <n v="3300"/>
    <n v="0"/>
    <x v="6"/>
    <n v="0"/>
    <n v="0"/>
    <n v="0"/>
    <n v="0"/>
    <n v="0"/>
    <n v="0"/>
  </r>
  <r>
    <d v="2024-09-06T00:00:00"/>
    <x v="46"/>
    <x v="13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0"/>
    <n v="3000"/>
    <n v="3318"/>
    <n v="0"/>
    <n v="0"/>
    <n v="0"/>
    <x v="6"/>
    <n v="0"/>
    <n v="0"/>
    <n v="0"/>
    <n v="0"/>
    <n v="0"/>
    <s v="ลูกค้าสั่งผิดเอาไปส่งเดือน10"/>
  </r>
  <r>
    <d v="2024-10-16T00:00:00"/>
    <x v="47"/>
    <x v="13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3194"/>
    <n v="0"/>
    <n v="5632"/>
    <n v="0"/>
    <x v="6"/>
    <n v="0"/>
    <n v="0"/>
    <n v="0"/>
    <n v="0"/>
    <n v="0"/>
    <n v="0"/>
  </r>
  <r>
    <d v="1899-12-30T00:00:00"/>
    <x v="2"/>
    <x v="2"/>
    <n v="0"/>
    <n v="20"/>
    <n v="38"/>
    <n v="0"/>
    <n v="0"/>
    <n v="84"/>
    <s v="±"/>
    <n v="5"/>
    <n v="0"/>
    <n v="0"/>
    <n v="0"/>
    <n v="0"/>
    <n v="0"/>
    <n v="0"/>
    <n v="0"/>
    <n v="0"/>
    <x v="2"/>
    <n v="0"/>
    <n v="0"/>
    <n v="0"/>
    <n v="0"/>
    <n v="0"/>
    <x v="6"/>
    <n v="395433.54523750005"/>
    <n v="56012.886337500007"/>
    <n v="339420.65889999998"/>
    <n v="18559.686337500003"/>
    <n v="376873.85890000005"/>
    <s v="ระบุในSD"/>
  </r>
  <r>
    <s v="ประมาณการ"/>
    <x v="1"/>
    <x v="17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"/>
    <n v="100000"/>
    <n v="0"/>
    <n v="100000"/>
    <n v="0"/>
    <n v="105000"/>
    <x v="7"/>
    <n v="113157.00000000001"/>
    <n v="0"/>
    <n v="113157.00000000001"/>
    <n v="0"/>
    <n v="0"/>
    <n v="0"/>
  </r>
  <r>
    <d v="1899-12-30T00:00:00"/>
    <x v="2"/>
    <x v="2"/>
    <n v="0"/>
    <n v="20"/>
    <n v="38"/>
    <n v="0"/>
    <n v="0"/>
    <n v="82"/>
    <s v="+"/>
    <n v="2"/>
    <n v="0"/>
    <n v="0"/>
    <n v="0"/>
    <n v="0"/>
    <n v="0"/>
    <n v="0"/>
    <n v="0"/>
    <n v="0"/>
    <x v="2"/>
    <n v="0"/>
    <n v="0"/>
    <n v="0"/>
    <n v="0"/>
    <n v="0"/>
    <x v="7"/>
    <n v="113157.00000000001"/>
    <n v="0"/>
    <n v="113157.00000000001"/>
    <n v="0"/>
    <n v="0"/>
    <s v="ระบุในSD"/>
  </r>
  <r>
    <d v="2025-08-05T00:00:00"/>
    <x v="48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9"/>
    <n v="393"/>
    <n v="0"/>
    <n v="393"/>
    <n v="0"/>
    <n v="412.65000000000003"/>
    <x v="8"/>
    <n v="411.76575000000003"/>
    <n v="411.76575000000003"/>
    <n v="0"/>
    <n v="0"/>
    <n v="0"/>
    <s v="ห้ามขาด-ห้ามเกิน"/>
  </r>
  <r>
    <d v="2025-07-24T00:00:00"/>
    <x v="49"/>
    <x v="19"/>
    <s v="WB บาลานส์ 924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7000"/>
    <n v="7000"/>
    <n v="0"/>
    <n v="7315"/>
    <n v="0"/>
    <x v="8"/>
    <n v="0"/>
    <n v="0"/>
    <n v="0"/>
    <n v="0"/>
    <n v="0"/>
    <s v="หนองบุญมาก"/>
  </r>
  <r>
    <d v="2025-07-24T00:00:00"/>
    <x v="50"/>
    <x v="19"/>
    <s v="WB เบทาโกร 124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64000"/>
    <n v="64000"/>
    <n v="0"/>
    <n v="67899"/>
    <n v="0"/>
    <x v="8"/>
    <n v="0"/>
    <n v="0"/>
    <n v="0"/>
    <n v="0"/>
    <n v="0"/>
    <s v="หนองบุญมาก"/>
  </r>
  <r>
    <d v="2025-07-24T00:00:00"/>
    <x v="51"/>
    <x v="19"/>
    <s v="WB เบทาโกร 323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7000"/>
    <n v="5000"/>
    <n v="2000"/>
    <n v="7350"/>
    <n v="0"/>
    <x v="8"/>
    <n v="0"/>
    <n v="0"/>
    <n v="0"/>
    <n v="0"/>
    <n v="0"/>
    <s v="หนองบุญมาก"/>
  </r>
  <r>
    <d v="2025-08-01T00:00:00"/>
    <x v="52"/>
    <x v="19"/>
    <s v="บาลานส์ 957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5000"/>
    <n v="5000"/>
    <n v="0"/>
    <n v="5400"/>
    <n v="0"/>
    <x v="8"/>
    <n v="0"/>
    <n v="0"/>
    <n v="0"/>
    <n v="0"/>
    <n v="0"/>
    <s v="ลพบุรี3"/>
  </r>
  <r>
    <d v="2025-08-01T00:00:00"/>
    <x v="52"/>
    <x v="19"/>
    <s v="เบทาโกร 323 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20000"/>
    <n v="20000"/>
    <n v="0"/>
    <n v="20900"/>
    <n v="0"/>
    <x v="8"/>
    <n v="0"/>
    <n v="0"/>
    <n v="0"/>
    <n v="0"/>
    <n v="0"/>
    <s v="ลพบุรี3"/>
  </r>
  <r>
    <d v="2025-08-18T00:00:00"/>
    <x v="53"/>
    <x v="10"/>
    <s v="เพอเฟคค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9"/>
    <n v="10000"/>
    <n v="10000"/>
    <n v="0"/>
    <n v="10975"/>
    <n v="0"/>
    <x v="8"/>
    <n v="0"/>
    <n v="0"/>
    <n v="0"/>
    <n v="0"/>
    <n v="0"/>
    <s v="ห้ามขาด-ห้ามเกิน"/>
  </r>
  <r>
    <d v="2025-08-18T00:00:00"/>
    <x v="54"/>
    <x v="10"/>
    <s v="เพอเฟคค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9"/>
    <n v="70000"/>
    <n v="20000"/>
    <n v="50000"/>
    <n v="50245"/>
    <n v="20742.75"/>
    <x v="8"/>
    <n v="21733.216312500001"/>
    <n v="21733.216312500001"/>
    <n v="0"/>
    <n v="0"/>
    <n v="0"/>
    <s v="ห้ามขาด-ห้ามเกิน"/>
  </r>
  <r>
    <d v="2025-08-18T00:00:00"/>
    <x v="54"/>
    <x v="10"/>
    <s v="เพอเฟคค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2"/>
    <n v="30000"/>
    <n v="0"/>
    <n v="30000"/>
    <n v="0"/>
    <n v="31500"/>
    <x v="8"/>
    <n v="31432.500000000004"/>
    <n v="31432.500000000004"/>
    <n v="0"/>
    <n v="0"/>
    <n v="0"/>
    <s v="ห้ามขาด-ห้ามเกิน"/>
  </r>
  <r>
    <d v="2025-08-18T00:00:00"/>
    <x v="54"/>
    <x v="10"/>
    <s v="เพอเฟคค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20000"/>
    <n v="0"/>
    <n v="20000"/>
    <n v="0"/>
    <n v="21000"/>
    <x v="8"/>
    <n v="20955"/>
    <n v="20955"/>
    <n v="0"/>
    <n v="0"/>
    <n v="0"/>
    <s v="ห้ามขาด-ห้ามเกิน"/>
  </r>
  <r>
    <d v="2025-08-18T00:00:00"/>
    <x v="55"/>
    <x v="10"/>
    <s v="เพอเฟคค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4"/>
    <n v="30000"/>
    <n v="0"/>
    <n v="30000"/>
    <n v="0"/>
    <n v="31500"/>
    <x v="8"/>
    <n v="31432.500000000004"/>
    <n v="31432.500000000004"/>
    <n v="0"/>
    <n v="0"/>
    <n v="0"/>
    <s v="ห้ามขาด-ห้ามเกิน"/>
  </r>
  <r>
    <d v="2025-08-18T00:00:00"/>
    <x v="55"/>
    <x v="10"/>
    <s v="เพอเฟคค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5"/>
    <n v="30000"/>
    <n v="0"/>
    <n v="30000"/>
    <n v="0"/>
    <n v="31500"/>
    <x v="8"/>
    <n v="31432.500000000004"/>
    <n v="31432.500000000004"/>
    <n v="0"/>
    <n v="0"/>
    <n v="0"/>
    <s v="ห้ามขาด-ห้ามเกิน"/>
  </r>
  <r>
    <d v="2025-08-18T00:00:00"/>
    <x v="55"/>
    <x v="10"/>
    <s v="เพอเฟคค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6"/>
    <n v="30000"/>
    <n v="0"/>
    <n v="30000"/>
    <n v="0"/>
    <n v="31500"/>
    <x v="8"/>
    <n v="31432.500000000004"/>
    <n v="31432.500000000004"/>
    <n v="0"/>
    <n v="0"/>
    <n v="0"/>
    <s v="ห้ามขาด-ห้ามเกิน"/>
  </r>
  <r>
    <d v="2025-08-18T00:00:00"/>
    <x v="55"/>
    <x v="10"/>
    <s v="เพอเฟคค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7"/>
    <n v="30000"/>
    <n v="0"/>
    <n v="30000"/>
    <n v="0"/>
    <n v="31500"/>
    <x v="8"/>
    <n v="31432.500000000004"/>
    <n v="31432.500000000004"/>
    <n v="0"/>
    <n v="0"/>
    <n v="0"/>
    <s v="ห้ามขาด-ห้ามเกิน"/>
  </r>
  <r>
    <d v="2025-08-18T00:00:00"/>
    <x v="55"/>
    <x v="10"/>
    <s v="เพอเฟคค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8"/>
    <n v="30000"/>
    <n v="0"/>
    <n v="30000"/>
    <n v="0"/>
    <n v="31500"/>
    <x v="8"/>
    <n v="31432.500000000004"/>
    <n v="31432.500000000004"/>
    <n v="0"/>
    <n v="0"/>
    <n v="0"/>
    <s v="ห้ามขาด-ห้ามเกิน"/>
  </r>
  <r>
    <d v="2025-08-18T00:00:00"/>
    <x v="55"/>
    <x v="10"/>
    <s v="เพอเฟคค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9"/>
    <n v="10000"/>
    <n v="0"/>
    <n v="10000"/>
    <n v="0"/>
    <n v="10500"/>
    <x v="8"/>
    <n v="10477.5"/>
    <n v="10477.5"/>
    <n v="0"/>
    <n v="0"/>
    <n v="0"/>
    <s v="ห้ามขาด-ห้ามเกิน"/>
  </r>
  <r>
    <s v="ประมาณการ"/>
    <x v="1"/>
    <x v="10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"/>
    <n v="290000"/>
    <n v="0"/>
    <n v="290000"/>
    <n v="0"/>
    <n v="304500"/>
    <x v="8"/>
    <n v="303847.5"/>
    <n v="7391"/>
    <n v="296456.5"/>
    <n v="0"/>
    <n v="0"/>
    <s v="ห้ามขาด-ห้ามเกิน"/>
  </r>
  <r>
    <d v="1899-12-30T00:00:00"/>
    <x v="2"/>
    <x v="2"/>
    <n v="0"/>
    <n v="20"/>
    <n v="37"/>
    <n v="0"/>
    <n v="0"/>
    <n v="80"/>
    <s v="±"/>
    <n v="3"/>
    <n v="0"/>
    <n v="0"/>
    <n v="0"/>
    <n v="0"/>
    <n v="0"/>
    <n v="0"/>
    <n v="0"/>
    <n v="0"/>
    <x v="2"/>
    <n v="0"/>
    <n v="0"/>
    <n v="0"/>
    <n v="0"/>
    <n v="0"/>
    <x v="8"/>
    <n v="546019.98206249997"/>
    <n v="249563.4820625"/>
    <n v="296456.5"/>
    <n v="0"/>
    <n v="0"/>
    <s v="ระบุในSD"/>
  </r>
  <r>
    <d v="2025-08-21T00:00:00"/>
    <x v="56"/>
    <x v="20"/>
    <s v="ไม่พิมพ์"/>
    <n v="21"/>
    <n v="38"/>
    <s v="ขาว"/>
    <n v="0"/>
    <n v="69"/>
    <s v="±"/>
    <n v="5"/>
    <s v="ไม่"/>
    <n v="22"/>
    <n v="41"/>
    <n v="40"/>
    <n v="333.79752595199994"/>
    <n v="0"/>
    <n v="333.79752595199994"/>
    <s v="500กระสอบ"/>
    <x v="5"/>
    <n v="15000"/>
    <n v="0"/>
    <n v="15000"/>
    <n v="0"/>
    <n v="0"/>
    <x v="9"/>
    <n v="16554.45"/>
    <n v="16554.45"/>
    <n v="0"/>
    <n v="0"/>
    <n v="0"/>
    <n v="0"/>
  </r>
  <r>
    <d v="1899-12-30T00:00:00"/>
    <x v="2"/>
    <x v="2"/>
    <n v="0"/>
    <n v="21"/>
    <n v="37"/>
    <s v="ขาว"/>
    <n v="0"/>
    <n v="67"/>
    <s v="±"/>
    <n v="5"/>
    <n v="0"/>
    <n v="0"/>
    <n v="0"/>
    <n v="0"/>
    <n v="0"/>
    <n v="0"/>
    <n v="0"/>
    <n v="0"/>
    <x v="2"/>
    <n v="0"/>
    <n v="0"/>
    <n v="0"/>
    <n v="0"/>
    <n v="0"/>
    <x v="9"/>
    <n v="16554.45"/>
    <n v="16554.45"/>
    <n v="0"/>
    <n v="0"/>
    <n v="0"/>
    <s v="ระบุในSD"/>
  </r>
  <r>
    <d v="2025-07-29T00:00:00"/>
    <x v="57"/>
    <x v="21"/>
    <s v="เมอรี่ 882S"/>
    <n v="21"/>
    <n v="37"/>
    <s v="ขาว"/>
    <s v="ใส"/>
    <n v="97"/>
    <s v="±"/>
    <n v="5"/>
    <s v="บิด"/>
    <n v="22"/>
    <n v="40"/>
    <n v="40"/>
    <n v="0"/>
    <n v="0"/>
    <n v="0"/>
    <s v="500กระสอบ"/>
    <x v="5"/>
    <n v="5000"/>
    <n v="5288"/>
    <n v="0"/>
    <n v="5400"/>
    <n v="0"/>
    <x v="10"/>
    <n v="0"/>
    <n v="0"/>
    <n v="0"/>
    <n v="0"/>
    <n v="0"/>
    <n v="0"/>
  </r>
  <r>
    <d v="2025-08-07T00:00:00"/>
    <x v="58"/>
    <x v="22"/>
    <s v="กัสโซ่ฟีด101-102"/>
    <n v="21"/>
    <n v="37"/>
    <s v="ขาว"/>
    <s v="ใส"/>
    <n v="100"/>
    <s v="±"/>
    <n v="5"/>
    <s v="บิด"/>
    <n v="22"/>
    <n v="40"/>
    <n v="40"/>
    <n v="0"/>
    <n v="0"/>
    <n v="0"/>
    <s v="500กระสอบ"/>
    <x v="5"/>
    <n v="20000"/>
    <n v="20006"/>
    <n v="0"/>
    <n v="21000"/>
    <n v="0"/>
    <x v="10"/>
    <n v="0"/>
    <n v="0"/>
    <n v="0"/>
    <n v="0"/>
    <n v="0"/>
    <n v="0"/>
  </r>
  <r>
    <d v="2025-08-07T00:00:00"/>
    <x v="59"/>
    <x v="22"/>
    <s v="NB FISH 103L"/>
    <n v="21"/>
    <n v="37"/>
    <s v="ขาว"/>
    <s v="ใส"/>
    <n v="100"/>
    <s v="±"/>
    <n v="5"/>
    <s v="บิด"/>
    <n v="22"/>
    <n v="40"/>
    <n v="40"/>
    <n v="0"/>
    <n v="0"/>
    <n v="0"/>
    <s v="500กระสอบ"/>
    <x v="5"/>
    <n v="10000"/>
    <n v="10000"/>
    <n v="0"/>
    <n v="10500"/>
    <n v="0"/>
    <x v="10"/>
    <n v="0"/>
    <n v="0"/>
    <n v="0"/>
    <n v="0"/>
    <n v="0"/>
    <n v="0"/>
  </r>
  <r>
    <d v="2025-08-19T00:00:00"/>
    <x v="60"/>
    <x v="20"/>
    <s v="ยูนิคอร์นฟิช101-102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6"/>
    <n v="5000"/>
    <n v="0"/>
    <n v="5000"/>
    <n v="0"/>
    <n v="5250"/>
    <x v="10"/>
    <n v="5378.4500000000007"/>
    <n v="5378.4500000000007"/>
    <n v="0"/>
    <n v="5378.4500000000007"/>
    <n v="0"/>
    <n v="0"/>
  </r>
  <r>
    <d v="2025-08-07T00:00:00"/>
    <x v="61"/>
    <x v="13"/>
    <s v="ฟีล กู๊ด 893"/>
    <n v="21"/>
    <n v="40"/>
    <s v="ขาว"/>
    <s v="ใส"/>
    <n v="108"/>
    <s v="±"/>
    <n v="5"/>
    <s v="บิด"/>
    <n v="22"/>
    <n v="42"/>
    <n v="40"/>
    <n v="68.387785804799989"/>
    <n v="0"/>
    <n v="68.387785804799989"/>
    <s v="500กระสอบ"/>
    <x v="1"/>
    <n v="3000"/>
    <n v="0"/>
    <n v="3000"/>
    <n v="0"/>
    <n v="3150"/>
    <x v="10"/>
    <n v="3478.5300000000007"/>
    <n v="3478.5300000000007"/>
    <n v="0"/>
    <n v="3478.5300000000007"/>
    <n v="0"/>
    <n v="0"/>
  </r>
  <r>
    <d v="2025-08-07T00:00:00"/>
    <x v="62"/>
    <x v="13"/>
    <s v="โมโม่ 413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1"/>
    <n v="3000"/>
    <n v="0"/>
    <n v="3000"/>
    <n v="0"/>
    <n v="3150"/>
    <x v="10"/>
    <n v="3310.89"/>
    <n v="3310.89"/>
    <n v="0"/>
    <n v="3310.89"/>
    <n v="0"/>
    <n v="0"/>
  </r>
  <r>
    <d v="2025-08-07T00:00:00"/>
    <x v="63"/>
    <x v="13"/>
    <s v="โมโม่ 4132"/>
    <n v="21"/>
    <n v="40"/>
    <s v="ขาว"/>
    <s v="ใส"/>
    <n v="108"/>
    <s v="±"/>
    <n v="5"/>
    <s v="บิด"/>
    <n v="22"/>
    <n v="42"/>
    <n v="40"/>
    <n v="113.97964300799998"/>
    <n v="0"/>
    <n v="113.97964300799998"/>
    <s v="500กระสอบ"/>
    <x v="1"/>
    <n v="5000"/>
    <n v="0"/>
    <n v="5000"/>
    <n v="0"/>
    <n v="5250"/>
    <x v="10"/>
    <n v="5797.55"/>
    <n v="5797.55"/>
    <n v="0"/>
    <n v="5797.55"/>
    <n v="0"/>
    <n v="0"/>
  </r>
  <r>
    <s v="ประมาณการ"/>
    <x v="1"/>
    <x v="23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4"/>
    <n v="100000"/>
    <n v="0"/>
    <n v="100000"/>
    <n v="0"/>
    <n v="105000"/>
    <x v="10"/>
    <n v="107569.00000000001"/>
    <n v="107569.00000000001"/>
    <n v="0"/>
    <n v="107569.00000000001"/>
    <n v="0"/>
    <n v="0"/>
  </r>
  <r>
    <s v="ประมาณการ"/>
    <x v="1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"/>
    <n v="10000"/>
    <n v="0"/>
    <n v="10000"/>
    <n v="0"/>
    <n v="10500"/>
    <x v="10"/>
    <n v="10756.900000000001"/>
    <n v="10756.900000000001"/>
    <n v="0"/>
    <n v="10756.900000000001"/>
    <n v="0"/>
    <n v="0"/>
  </r>
  <r>
    <d v="2025-07-16T00:00:00"/>
    <x v="64"/>
    <x v="15"/>
    <s v="มาซู ฟีดซ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"/>
    <n v="3000"/>
    <n v="0"/>
    <n v="3000"/>
    <n v="0"/>
    <n v="3150"/>
    <x v="10"/>
    <n v="3310.89"/>
    <n v="0"/>
    <n v="3310.89"/>
    <n v="0"/>
    <n v="3310.89"/>
    <n v="0"/>
  </r>
  <r>
    <d v="2025-07-16T00:00:00"/>
    <x v="65"/>
    <x v="15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"/>
    <n v="3000"/>
    <n v="0"/>
    <n v="3000"/>
    <n v="0"/>
    <n v="3150"/>
    <x v="10"/>
    <n v="3310.89"/>
    <n v="0"/>
    <n v="3310.89"/>
    <n v="0"/>
    <n v="3310.89"/>
    <n v="0"/>
  </r>
  <r>
    <d v="2025-06-18T00:00:00"/>
    <x v="66"/>
    <x v="13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1"/>
    <n v="8000"/>
    <n v="470"/>
    <n v="7530"/>
    <n v="0"/>
    <n v="7906.5"/>
    <x v="10"/>
    <n v="8310.3338999999996"/>
    <n v="0"/>
    <n v="8310.3338999999996"/>
    <n v="0"/>
    <n v="8310.3338999999996"/>
    <n v="0"/>
  </r>
  <r>
    <d v="2024-12-02T00:00:00"/>
    <x v="67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"/>
    <n v="8000"/>
    <n v="0"/>
    <n v="8000"/>
    <n v="0"/>
    <n v="8400"/>
    <x v="10"/>
    <n v="8605.52"/>
    <n v="0"/>
    <n v="8605.52"/>
    <n v="0"/>
    <n v="8605.52"/>
    <n v="0"/>
  </r>
  <r>
    <d v="2024-12-05T00:00:00"/>
    <x v="68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"/>
    <n v="16000"/>
    <n v="0"/>
    <n v="16000"/>
    <n v="0"/>
    <n v="16800"/>
    <x v="10"/>
    <n v="17211.04"/>
    <n v="0"/>
    <n v="17211.04"/>
    <n v="0"/>
    <n v="17211.04"/>
    <n v="0"/>
  </r>
  <r>
    <d v="2024-12-05T00:00:00"/>
    <x v="69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"/>
    <n v="16000"/>
    <n v="0"/>
    <n v="16000"/>
    <n v="0"/>
    <n v="16800"/>
    <x v="10"/>
    <n v="17211.04"/>
    <n v="0"/>
    <n v="17211.04"/>
    <n v="0"/>
    <n v="17211.04"/>
    <n v="0"/>
  </r>
  <r>
    <d v="2023-05-20T00:00:00"/>
    <x v="70"/>
    <x v="15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1"/>
    <n v="5000"/>
    <n v="0"/>
    <n v="5000"/>
    <n v="0"/>
    <n v="5250"/>
    <x v="10"/>
    <n v="5518.15"/>
    <n v="0"/>
    <n v="5518.15"/>
    <n v="0"/>
    <n v="5518.15"/>
    <n v="0"/>
  </r>
  <r>
    <d v="1899-12-30T00:00:00"/>
    <x v="2"/>
    <x v="2"/>
    <n v="0"/>
    <n v="21"/>
    <n v="37"/>
    <n v="0"/>
    <n v="0"/>
    <n v="74"/>
    <s v="±"/>
    <n v="5"/>
    <n v="0"/>
    <n v="0"/>
    <n v="0"/>
    <n v="0"/>
    <n v="0"/>
    <s v="ว"/>
    <n v="0"/>
    <n v="0"/>
    <x v="2"/>
    <n v="0"/>
    <n v="0"/>
    <n v="0"/>
    <n v="0"/>
    <n v="0"/>
    <x v="10"/>
    <n v="199769.18390000003"/>
    <n v="136291.32"/>
    <n v="63477.863900000004"/>
    <n v="136291.32"/>
    <n v="63477.863900000004"/>
    <s v="ระบุในSD"/>
  </r>
  <r>
    <d v="2025-08-06T00:00:00"/>
    <x v="71"/>
    <x v="25"/>
    <s v="SILICA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7"/>
    <n v="5000"/>
    <n v="0"/>
    <n v="5000"/>
    <n v="5000"/>
    <n v="0"/>
    <x v="11"/>
    <n v="0"/>
    <n v="0"/>
    <n v="0"/>
    <n v="0"/>
    <n v="0"/>
    <n v="0"/>
  </r>
  <r>
    <d v="2025-08-06T00:00:00"/>
    <x v="71"/>
    <x v="25"/>
    <s v="FELDSPAR N325-G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7"/>
    <n v="5000"/>
    <n v="5000"/>
    <n v="0"/>
    <n v="5100"/>
    <n v="0"/>
    <x v="11"/>
    <n v="0"/>
    <n v="0"/>
    <n v="0"/>
    <n v="0"/>
    <n v="0"/>
    <n v="0"/>
  </r>
  <r>
    <d v="2025-08-21T00:00:00"/>
    <x v="72"/>
    <x v="26"/>
    <s v="ถุงม่วง(เกรดพรีเมี่ยม)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0"/>
    <n v="5250"/>
    <x v="11"/>
    <n v="4959.3500000000004"/>
    <n v="4959.3500000000004"/>
    <n v="0"/>
    <n v="0"/>
    <n v="0"/>
    <n v="0"/>
  </r>
  <r>
    <s v="ประมาณการ"/>
    <x v="1"/>
    <x v="27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9"/>
    <n v="30000"/>
    <n v="0"/>
    <n v="30000"/>
    <n v="0"/>
    <n v="31500"/>
    <x v="11"/>
    <n v="29756.100000000002"/>
    <n v="29756.100000000002"/>
    <n v="0"/>
    <n v="0"/>
    <n v="0"/>
    <n v="0"/>
  </r>
  <r>
    <s v="ประมาณการ"/>
    <x v="1"/>
    <x v="28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1"/>
    <n v="30000"/>
    <n v="0"/>
    <n v="30000"/>
    <n v="0"/>
    <n v="31500"/>
    <x v="11"/>
    <n v="29756.100000000002"/>
    <n v="4028"/>
    <n v="25728.100000000002"/>
    <n v="0"/>
    <n v="0"/>
    <n v="0"/>
  </r>
  <r>
    <d v="1899-12-30T00:00:00"/>
    <x v="2"/>
    <x v="2"/>
    <n v="0"/>
    <n v="23"/>
    <n v="34"/>
    <s v="ขาว"/>
    <n v="0"/>
    <n v="68"/>
    <s v="±"/>
    <n v="5"/>
    <n v="0"/>
    <n v="0"/>
    <n v="0"/>
    <n v="0"/>
    <n v="0"/>
    <n v="0"/>
    <n v="0"/>
    <n v="0"/>
    <x v="2"/>
    <n v="0"/>
    <n v="0"/>
    <n v="0"/>
    <n v="0"/>
    <n v="0"/>
    <x v="11"/>
    <n v="64471.55"/>
    <n v="38743.450000000004"/>
    <n v="25728.100000000002"/>
    <n v="0"/>
    <n v="0"/>
    <s v="ระบุในSD"/>
  </r>
  <r>
    <d v="2025-08-21T00:00:00"/>
    <x v="73"/>
    <x v="26"/>
    <s v="ถุงเขียว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0"/>
    <n v="5250"/>
    <x v="12"/>
    <n v="4959.3500000000004"/>
    <n v="0"/>
    <n v="4959.3500000000004"/>
    <n v="0"/>
    <n v="0"/>
    <n v="0"/>
  </r>
  <r>
    <d v="2025-08-21T00:00:00"/>
    <x v="73"/>
    <x v="26"/>
    <s v="ถุงม่วง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0"/>
    <n v="5250"/>
    <x v="12"/>
    <n v="4959.3500000000004"/>
    <n v="0"/>
    <n v="4959.3500000000004"/>
    <n v="0"/>
    <n v="0"/>
    <n v="0"/>
  </r>
  <r>
    <d v="2025-08-21T00:00:00"/>
    <x v="73"/>
    <x v="26"/>
    <s v="ถุงน้ำตาล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0"/>
    <n v="5250"/>
    <x v="12"/>
    <n v="4959.3500000000004"/>
    <n v="0"/>
    <n v="4959.3500000000004"/>
    <n v="0"/>
    <n v="0"/>
    <n v="0"/>
  </r>
  <r>
    <d v="1899-12-30T00:00:00"/>
    <x v="2"/>
    <x v="2"/>
    <n v="0"/>
    <n v="23"/>
    <n v="34"/>
    <s v="ขาวแถบใส2"/>
    <n v="0"/>
    <n v="68"/>
    <s v="±"/>
    <n v="5"/>
    <n v="0"/>
    <n v="0"/>
    <n v="0"/>
    <n v="0"/>
    <n v="0"/>
    <n v="0"/>
    <n v="0"/>
    <n v="0"/>
    <x v="2"/>
    <n v="0"/>
    <n v="0"/>
    <n v="0"/>
    <n v="0"/>
    <n v="0"/>
    <x v="12"/>
    <n v="14878.050000000001"/>
    <n v="0"/>
    <n v="14878.050000000001"/>
    <n v="0"/>
    <n v="0"/>
    <s v="ระบุในSD"/>
  </r>
  <r>
    <d v="2025-08-18T00:00:00"/>
    <x v="74"/>
    <x v="29"/>
    <s v="ดวงใจ(ชมพู-ม่วง)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8"/>
    <n v="10000"/>
    <n v="8500"/>
    <n v="1500"/>
    <n v="8514"/>
    <n v="1560.3"/>
    <x v="13"/>
    <n v="1678.3991070000002"/>
    <n v="0"/>
    <n v="1678.3991070000002"/>
    <n v="0"/>
    <n v="0"/>
    <n v="0"/>
  </r>
  <r>
    <d v="2025-03-11T00:00:00"/>
    <x v="75"/>
    <x v="23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1"/>
    <n v="1000"/>
    <n v="0"/>
    <n v="1000"/>
    <n v="0"/>
    <n v="0"/>
    <x v="13"/>
    <n v="1159.5100000000002"/>
    <n v="1159.5100000000002"/>
    <n v="0"/>
    <n v="1159.5100000000002"/>
    <n v="0"/>
    <s v="ห้ามขาด-เกินได้5%"/>
  </r>
  <r>
    <d v="1899-12-30T00:00:00"/>
    <x v="2"/>
    <x v="2"/>
    <n v="0"/>
    <n v="23"/>
    <n v="37"/>
    <n v="0"/>
    <n v="0"/>
    <n v="85"/>
    <s v="±"/>
    <n v="5"/>
    <n v="0"/>
    <n v="0"/>
    <n v="0"/>
    <n v="0"/>
    <n v="0"/>
    <n v="0"/>
    <n v="0"/>
    <n v="0"/>
    <x v="2"/>
    <n v="0"/>
    <n v="0"/>
    <n v="0"/>
    <n v="0"/>
    <n v="0"/>
    <x v="13"/>
    <n v="2837.9091070000004"/>
    <n v="1159.5100000000002"/>
    <n v="1678.3991070000002"/>
    <n v="1159.5100000000002"/>
    <n v="0"/>
    <s v="ระบุในSD"/>
  </r>
  <r>
    <d v="2025-08-13T00:00:00"/>
    <x v="76"/>
    <x v="30"/>
    <s v="ราชสีห์ข้าวหอมมะลิ"/>
    <n v="23"/>
    <n v="37"/>
    <s v="ขาว"/>
    <n v="0"/>
    <n v="120"/>
    <s v="+"/>
    <n v="5"/>
    <s v="ไม่"/>
    <s v="ไม่สวมถุงใน"/>
    <n v="0"/>
    <n v="0"/>
    <n v="0"/>
    <n v="0"/>
    <n v="0"/>
    <s v="500กระสอบ"/>
    <x v="7"/>
    <n v="10000"/>
    <n v="10000"/>
    <n v="0"/>
    <n v="10980"/>
    <n v="0"/>
    <x v="14"/>
    <n v="0"/>
    <n v="0"/>
    <n v="0"/>
    <n v="0"/>
    <n v="0"/>
    <n v="0"/>
  </r>
  <r>
    <d v="1899-12-30T00:00:00"/>
    <x v="2"/>
    <x v="2"/>
    <n v="0"/>
    <n v="23"/>
    <n v="37"/>
    <n v="0"/>
    <n v="0"/>
    <n v="120"/>
    <s v="+"/>
    <n v="5"/>
    <n v="0"/>
    <n v="0"/>
    <n v="0"/>
    <n v="0"/>
    <n v="0"/>
    <n v="0"/>
    <n v="0"/>
    <n v="0"/>
    <x v="2"/>
    <n v="0"/>
    <n v="0"/>
    <n v="0"/>
    <n v="0"/>
    <n v="0"/>
    <x v="14"/>
    <n v="0"/>
    <n v="0"/>
    <n v="0"/>
    <n v="0"/>
    <n v="0"/>
    <s v="ระบุในSD"/>
  </r>
  <r>
    <d v="2024-11-05T00:00:00"/>
    <x v="77"/>
    <x v="31"/>
    <s v="Green for white sugar"/>
    <n v="23"/>
    <n v="37"/>
    <s v="ขาว"/>
    <n v="0"/>
    <n v="130"/>
    <s v="±"/>
    <n v="5"/>
    <s v="บิด"/>
    <n v="24"/>
    <n v="40"/>
    <n v="55"/>
    <n v="3207.7128103679997"/>
    <n v="0"/>
    <n v="3207.7128103679997"/>
    <s v="300แบน"/>
    <x v="1"/>
    <n v="100000"/>
    <n v="1500"/>
    <n v="98500"/>
    <n v="0"/>
    <n v="103425"/>
    <x v="15"/>
    <n v="105955.465"/>
    <n v="7595"/>
    <n v="98360.464999999997"/>
    <n v="0"/>
    <n v="0"/>
    <n v="0"/>
  </r>
  <r>
    <d v="2024-11-05T00:00:00"/>
    <x v="77"/>
    <x v="31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1"/>
    <n v="337878"/>
    <n v="0"/>
    <n v="337878"/>
    <n v="0"/>
    <n v="354771.9"/>
    <x v="15"/>
    <n v="363451.98582000006"/>
    <n v="0"/>
    <n v="363451.98582000006"/>
    <n v="0"/>
    <n v="0"/>
    <n v="0"/>
  </r>
  <r>
    <d v="1899-12-30T00:00:00"/>
    <x v="2"/>
    <x v="2"/>
    <n v="0"/>
    <n v="23"/>
    <n v="37"/>
    <n v="0"/>
    <n v="0"/>
    <n v="128"/>
    <s v="±"/>
    <n v="5"/>
    <n v="0"/>
    <n v="0"/>
    <n v="0"/>
    <n v="0"/>
    <n v="0"/>
    <n v="0"/>
    <n v="0"/>
    <n v="0"/>
    <x v="2"/>
    <n v="0"/>
    <n v="0"/>
    <n v="0"/>
    <n v="0"/>
    <n v="0"/>
    <x v="15"/>
    <n v="469407.45082000003"/>
    <n v="7595"/>
    <n v="461812.45082000003"/>
    <n v="0"/>
    <n v="0"/>
    <s v="ระบุในSD"/>
  </r>
  <r>
    <s v="ประมาณการ"/>
    <x v="1"/>
    <x v="32"/>
    <s v="รอแบบ"/>
    <n v="26"/>
    <n v="41"/>
    <s v="ขาว"/>
    <n v="0"/>
    <n v="97"/>
    <s v="±"/>
    <n v="5"/>
    <s v="บิด"/>
    <n v="27"/>
    <n v="43"/>
    <n v="40"/>
    <n v="229.14349009919997"/>
    <n v="0"/>
    <n v="229.14349009919997"/>
    <s v="300กระสอบ"/>
    <x v="9"/>
    <n v="8000"/>
    <n v="0"/>
    <n v="8000"/>
    <n v="0"/>
    <n v="8400"/>
    <x v="16"/>
    <n v="9499.6"/>
    <n v="1765"/>
    <n v="7734.6"/>
    <n v="0"/>
    <n v="0"/>
    <n v="0"/>
  </r>
  <r>
    <d v="1899-12-30T00:00:00"/>
    <x v="2"/>
    <x v="2"/>
    <n v="0"/>
    <n v="26"/>
    <n v="43"/>
    <s v="ขาว"/>
    <n v="0"/>
    <n v="102"/>
    <s v="±"/>
    <n v="5"/>
    <n v="0"/>
    <n v="0"/>
    <n v="0"/>
    <n v="0"/>
    <n v="0"/>
    <n v="0"/>
    <n v="0"/>
    <n v="0"/>
    <x v="2"/>
    <n v="0"/>
    <n v="0"/>
    <n v="0"/>
    <n v="0"/>
    <n v="0"/>
    <x v="16"/>
    <n v="9499.6"/>
    <n v="1765"/>
    <n v="7734.6"/>
    <n v="0"/>
    <n v="0"/>
    <s v="ระบุในSD"/>
  </r>
  <r>
    <d v="2025-08-13T00:00:00"/>
    <x v="78"/>
    <x v="33"/>
    <s v="Soybean Meal"/>
    <n v="26"/>
    <n v="40"/>
    <s v="ขาว"/>
    <n v="0"/>
    <n v="108"/>
    <s v="±"/>
    <n v="5"/>
    <s v="ไม่"/>
    <n v="27"/>
    <n v="43"/>
    <n v="40"/>
    <n v="0"/>
    <n v="0"/>
    <n v="0"/>
    <s v="มัด100 ใช้สายรัด"/>
    <x v="3"/>
    <n v="10000"/>
    <n v="10000"/>
    <n v="0"/>
    <n v="10900"/>
    <n v="0"/>
    <x v="17"/>
    <n v="0"/>
    <n v="0"/>
    <n v="0"/>
    <n v="0"/>
    <n v="0"/>
    <s v="ห้ามขาด-ห้ามเกิน"/>
  </r>
  <r>
    <s v="ประมาณการ"/>
    <x v="1"/>
    <x v="24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0"/>
    <x v="17"/>
    <n v="12433.3"/>
    <n v="12433.3"/>
    <n v="0"/>
    <n v="0"/>
    <n v="0"/>
    <n v="0"/>
  </r>
  <r>
    <d v="1899-12-30T00:00:00"/>
    <x v="2"/>
    <x v="2"/>
    <n v="0"/>
    <n v="26"/>
    <n v="43"/>
    <n v="0"/>
    <n v="0"/>
    <n v="116"/>
    <s v="±"/>
    <n v="5"/>
    <n v="0"/>
    <n v="0"/>
    <n v="0"/>
    <n v="0"/>
    <n v="0"/>
    <n v="0"/>
    <n v="0"/>
    <n v="0"/>
    <x v="2"/>
    <n v="0"/>
    <n v="0"/>
    <n v="0"/>
    <n v="0"/>
    <n v="0"/>
    <x v="17"/>
    <n v="12433.3"/>
    <n v="12433.3"/>
    <n v="0"/>
    <n v="0"/>
    <n v="0"/>
    <s v="ระบุในSD"/>
  </r>
  <r>
    <s v="ประมาณการ"/>
    <x v="1"/>
    <x v="24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4"/>
    <n v="30000"/>
    <n v="0"/>
    <n v="30000"/>
    <n v="0"/>
    <n v="31500"/>
    <x v="18"/>
    <n v="37299.899999999994"/>
    <n v="37299.899999999994"/>
    <n v="0"/>
    <n v="0"/>
    <n v="37299.899999999994"/>
    <n v="0"/>
  </r>
  <r>
    <d v="1899-12-30T00:00:00"/>
    <x v="2"/>
    <x v="2"/>
    <n v="0"/>
    <n v="26"/>
    <n v="43"/>
    <n v="0"/>
    <n v="0"/>
    <n v="120"/>
    <s v="±"/>
    <n v="5"/>
    <n v="0"/>
    <n v="0"/>
    <n v="0"/>
    <n v="0"/>
    <n v="0"/>
    <n v="0"/>
    <n v="0"/>
    <n v="0"/>
    <x v="2"/>
    <n v="0"/>
    <n v="0"/>
    <n v="0"/>
    <n v="0"/>
    <n v="0"/>
    <x v="18"/>
    <n v="37299.899999999994"/>
    <n v="37299.899999999994"/>
    <n v="0"/>
    <n v="0"/>
    <n v="37299.899999999994"/>
    <s v="ระบุในSD"/>
  </r>
  <r>
    <d v="2025-07-19T00:00:00"/>
    <x v="79"/>
    <x v="34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8"/>
    <n v="3000"/>
    <n v="3000"/>
    <n v="0"/>
    <n v="34283"/>
    <n v="0"/>
    <x v="19"/>
    <n v="0"/>
    <n v="0"/>
    <n v="0"/>
    <n v="0"/>
    <n v="0"/>
    <n v="0"/>
  </r>
  <r>
    <d v="1899-12-30T00:00:00"/>
    <x v="45"/>
    <x v="34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8"/>
    <n v="50000"/>
    <n v="0"/>
    <n v="50000"/>
    <n v="0"/>
    <n v="52500"/>
    <x v="19"/>
    <n v="59372.5"/>
    <n v="59372.5"/>
    <n v="0"/>
    <n v="0"/>
    <n v="0"/>
    <n v="0"/>
  </r>
  <r>
    <s v="ประมาณการ"/>
    <x v="1"/>
    <x v="24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0"/>
    <x v="19"/>
    <n v="6775.4500000000007"/>
    <n v="3925"/>
    <n v="2850.4500000000007"/>
    <n v="0"/>
    <n v="6775.4500000000007"/>
    <n v="0"/>
  </r>
  <r>
    <d v="1899-12-30T00:00:00"/>
    <x v="2"/>
    <x v="2"/>
    <n v="0"/>
    <n v="28"/>
    <n v="43"/>
    <n v="0"/>
    <n v="0"/>
    <n v="130"/>
    <s v="±"/>
    <n v="3"/>
    <n v="0"/>
    <n v="0"/>
    <n v="0"/>
    <n v="0"/>
    <n v="0"/>
    <n v="0"/>
    <n v="0"/>
    <n v="0"/>
    <x v="2"/>
    <n v="0"/>
    <n v="0"/>
    <n v="0"/>
    <n v="0"/>
    <n v="0"/>
    <x v="19"/>
    <n v="66147.95"/>
    <n v="63297.5"/>
    <n v="2850.4500000000007"/>
    <n v="0"/>
    <n v="6775.4500000000007"/>
    <s v="ระบุในS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">
  <r>
    <d v="2025-07-04T00:00:00"/>
    <x v="0"/>
    <x v="0"/>
    <s v="พี-มินเนอร์ นิวพลัส"/>
    <n v="16"/>
    <n v="28"/>
    <s v="ขาว"/>
    <s v="ใส"/>
    <n v="56"/>
    <s v="±"/>
    <n v="5"/>
    <s v="ไม่"/>
    <n v="19"/>
    <n v="31"/>
    <n v="40"/>
    <n v="1.1334313331327999"/>
    <n v="0"/>
    <n v="1.1334313331327999"/>
    <s v="500กระสอบ"/>
    <x v="0"/>
    <n v="4000"/>
    <n v="3922"/>
    <n v="78"/>
    <n v="5295"/>
    <n v="0"/>
    <x v="0"/>
    <n v="0"/>
    <n v="0"/>
    <n v="0"/>
    <n v="0"/>
    <n v="0"/>
    <s v="รอส่ง รอลูกค้ามารับเอง"/>
  </r>
  <r>
    <s v="ประมาณการ"/>
    <x v="1"/>
    <x v="1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1"/>
    <n v="5000"/>
    <n v="0"/>
    <n v="5000"/>
    <n v="0"/>
    <n v="5250"/>
    <x v="0"/>
    <n v="3702.0499999999997"/>
    <n v="0"/>
    <n v="3702.0499999999997"/>
    <n v="0"/>
    <n v="3702.0499999999997"/>
    <n v="0"/>
  </r>
  <r>
    <d v="1899-12-30T00:00:00"/>
    <x v="2"/>
    <x v="2"/>
    <s v=" "/>
    <n v="16"/>
    <n v="25"/>
    <s v="ขาว"/>
    <n v="0"/>
    <n v="45"/>
    <s v="±"/>
    <n v="5"/>
    <n v="0"/>
    <n v="0"/>
    <n v="0"/>
    <n v="0"/>
    <n v="0"/>
    <n v="0"/>
    <n v="0"/>
    <n v="0"/>
    <x v="2"/>
    <n v="0"/>
    <n v="0"/>
    <n v="0"/>
    <n v="0"/>
    <n v="0"/>
    <x v="0"/>
    <n v="3702.0499999999997"/>
    <n v="0"/>
    <n v="3702.0499999999997"/>
    <n v="0"/>
    <n v="3702.0499999999997"/>
    <s v="ระบุในSD"/>
  </r>
  <r>
    <s v="ประมาณการ"/>
    <x v="1"/>
    <x v="3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3"/>
    <n v="15000"/>
    <n v="0"/>
    <n v="15000"/>
    <n v="0"/>
    <n v="15750"/>
    <x v="1"/>
    <n v="13201.65"/>
    <n v="2599"/>
    <n v="10602.65"/>
    <n v="0"/>
    <n v="0"/>
    <n v="0"/>
  </r>
  <r>
    <d v="1899-12-30T00:00:00"/>
    <x v="2"/>
    <x v="4"/>
    <s v=" "/>
    <n v="18"/>
    <n v="30"/>
    <s v="ขาว"/>
    <n v="0"/>
    <n v="54"/>
    <s v="±"/>
    <n v="5"/>
    <n v="0"/>
    <n v="0"/>
    <n v="0"/>
    <n v="0"/>
    <n v="0"/>
    <n v="0"/>
    <n v="0"/>
    <n v="0"/>
    <x v="2"/>
    <n v="0"/>
    <n v="0"/>
    <n v="0"/>
    <n v="0"/>
    <n v="0"/>
    <x v="1"/>
    <n v="13201.65"/>
    <n v="2599"/>
    <n v="10602.65"/>
    <n v="0"/>
    <n v="0"/>
    <s v="ระบุในSD"/>
  </r>
  <r>
    <s v="ประมาณการ"/>
    <x v="1"/>
    <x v="5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4"/>
    <n v="100000"/>
    <n v="0"/>
    <n v="100000"/>
    <n v="0"/>
    <n v="105000"/>
    <x v="2"/>
    <n v="88010.999999999985"/>
    <n v="28203"/>
    <n v="59807.999999999985"/>
    <n v="0"/>
    <n v="0"/>
    <n v="0"/>
  </r>
  <r>
    <m/>
    <x v="3"/>
    <x v="6"/>
    <s v="รวงข้าวส้ม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5000"/>
    <n v="0"/>
    <n v="5000"/>
    <n v="0"/>
    <n v="5150"/>
    <x v="2"/>
    <n v="4401"/>
    <n v="0"/>
    <n v="4401"/>
    <n v="0"/>
    <n v="0"/>
    <n v="0"/>
  </r>
  <r>
    <s v="ประมาณการ"/>
    <x v="1"/>
    <x v="7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4"/>
    <n v="20000"/>
    <n v="233"/>
    <n v="19767"/>
    <n v="0"/>
    <n v="20755.350000000002"/>
    <x v="2"/>
    <n v="18501.714330000003"/>
    <n v="0"/>
    <n v="18501.714330000003"/>
    <n v="0"/>
    <n v="0"/>
    <n v="0"/>
  </r>
  <r>
    <d v="1899-12-30T00:00:00"/>
    <x v="2"/>
    <x v="2"/>
    <n v="0"/>
    <n v="19"/>
    <n v="30"/>
    <s v="ขาว"/>
    <n v="0"/>
    <n v="60"/>
    <s v="±"/>
    <n v="5"/>
    <n v="0"/>
    <n v="0"/>
    <n v="0"/>
    <n v="0"/>
    <n v="0"/>
    <n v="0"/>
    <n v="0"/>
    <n v="0"/>
    <x v="2"/>
    <n v="0"/>
    <n v="0"/>
    <n v="0"/>
    <n v="0"/>
    <n v="0"/>
    <x v="2"/>
    <n v="110913.71432999999"/>
    <n v="28203"/>
    <n v="82710.714329999988"/>
    <n v="0"/>
    <n v="0"/>
    <s v="ระบุในSD"/>
  </r>
  <r>
    <d v="2025-07-31T00:00:00"/>
    <x v="4"/>
    <x v="8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4750"/>
    <n v="250"/>
    <n v="5250"/>
    <n v="0"/>
    <x v="3"/>
    <n v="0"/>
    <n v="0"/>
    <n v="0"/>
    <n v="0"/>
    <n v="0"/>
    <s v="PDR250253"/>
  </r>
  <r>
    <d v="2025-07-31T00:00:00"/>
    <x v="4"/>
    <x v="8"/>
    <s v="แต้ม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00"/>
    <n v="0"/>
    <n v="5400"/>
    <n v="0"/>
    <x v="3"/>
    <n v="0"/>
    <n v="0"/>
    <n v="0"/>
    <n v="0"/>
    <n v="0"/>
    <s v="PDR250253"/>
  </r>
  <r>
    <d v="2025-07-31T00:00:00"/>
    <x v="4"/>
    <x v="8"/>
    <s v="หีบเพลง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00"/>
    <n v="0"/>
    <n v="5400"/>
    <n v="0"/>
    <x v="3"/>
    <n v="0"/>
    <n v="0"/>
    <n v="0"/>
    <n v="0"/>
    <n v="0"/>
    <s v="PDR250253"/>
  </r>
  <r>
    <d v="2025-07-31T00:00:00"/>
    <x v="4"/>
    <x v="8"/>
    <s v="หีบเพลง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00"/>
    <n v="0"/>
    <n v="5398"/>
    <n v="0"/>
    <x v="3"/>
    <n v="0"/>
    <n v="0"/>
    <n v="0"/>
    <n v="0"/>
    <n v="0"/>
    <s v="PDR250253"/>
  </r>
  <r>
    <d v="2025-07-31T00:00:00"/>
    <x v="5"/>
    <x v="8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6"/>
    <n v="5000"/>
    <n v="5000"/>
    <n v="0"/>
    <n v="0"/>
    <n v="0"/>
    <x v="3"/>
    <n v="0"/>
    <n v="0"/>
    <n v="0"/>
    <n v="0"/>
    <n v="0"/>
    <s v="PDR250253"/>
  </r>
  <r>
    <d v="2025-08-15T00:00:00"/>
    <x v="6"/>
    <x v="8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10000"/>
    <n v="10000"/>
    <n v="0"/>
    <n v="10499"/>
    <n v="0"/>
    <x v="3"/>
    <n v="0"/>
    <n v="0"/>
    <n v="0"/>
    <n v="0"/>
    <n v="0"/>
    <s v="PDR250265"/>
  </r>
  <r>
    <d v="2025-08-15T00:00:00"/>
    <x v="6"/>
    <x v="8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10000"/>
    <n v="0"/>
    <n v="10000"/>
    <n v="10640"/>
    <n v="0"/>
    <x v="3"/>
    <n v="0"/>
    <n v="0"/>
    <n v="0"/>
    <n v="0"/>
    <n v="0"/>
    <s v="PDR250265"/>
  </r>
  <r>
    <d v="2025-08-15T00:00:00"/>
    <x v="6"/>
    <x v="8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00"/>
    <n v="0"/>
    <n v="5490"/>
    <n v="0"/>
    <x v="3"/>
    <n v="0"/>
    <n v="0"/>
    <n v="0"/>
    <n v="0"/>
    <n v="0"/>
    <s v="PDR250265"/>
  </r>
  <r>
    <d v="2025-08-01T00:00:00"/>
    <x v="7"/>
    <x v="8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7"/>
    <n v="20000"/>
    <n v="20000"/>
    <n v="0"/>
    <n v="0"/>
    <n v="0"/>
    <x v="3"/>
    <n v="0"/>
    <n v="0"/>
    <n v="0"/>
    <n v="0"/>
    <n v="0"/>
    <n v="0"/>
  </r>
  <r>
    <d v="2025-08-01T00:00:00"/>
    <x v="8"/>
    <x v="8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7"/>
    <n v="20000"/>
    <n v="20000"/>
    <n v="0"/>
    <n v="0"/>
    <n v="0"/>
    <x v="3"/>
    <n v="0"/>
    <n v="0"/>
    <n v="0"/>
    <n v="0"/>
    <n v="0"/>
    <n v="0"/>
  </r>
  <r>
    <d v="1899-12-30T00:00:00"/>
    <x v="2"/>
    <x v="2"/>
    <n v="0"/>
    <n v="19"/>
    <n v="30"/>
    <n v="0"/>
    <n v="0"/>
    <n v="63"/>
    <s v="+"/>
    <n v="5"/>
    <n v="0"/>
    <n v="0"/>
    <n v="0"/>
    <n v="0"/>
    <n v="0"/>
    <n v="0"/>
    <n v="0"/>
    <n v="0"/>
    <x v="2"/>
    <n v="0"/>
    <n v="0"/>
    <n v="0"/>
    <n v="0"/>
    <n v="0"/>
    <x v="3"/>
    <n v="0"/>
    <n v="0"/>
    <n v="0"/>
    <n v="0"/>
    <n v="0"/>
    <s v="ระบุในSD"/>
  </r>
  <r>
    <d v="2025-08-18T00:00:00"/>
    <x v="9"/>
    <x v="9"/>
    <s v="เพอเฟคค์ 102Sโกลด์"/>
    <n v="19"/>
    <n v="35"/>
    <s v="ขาว"/>
    <s v="ด้าน"/>
    <n v="102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0"/>
    <n v="5292"/>
    <x v="4"/>
    <n v="5139.8424000000005"/>
    <n v="5139.8424000000005"/>
    <n v="0"/>
    <n v="0"/>
    <n v="5139.8424000000005"/>
    <n v="0"/>
  </r>
  <r>
    <d v="2025-08-18T00:00:00"/>
    <x v="9"/>
    <x v="9"/>
    <s v="เพอเฟคค์ 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6435"/>
    <n v="0"/>
    <x v="4"/>
    <n v="0"/>
    <n v="4694"/>
    <n v="0"/>
    <n v="0"/>
    <n v="0"/>
    <n v="0"/>
  </r>
  <r>
    <d v="2025-05-19T00:00:00"/>
    <x v="10"/>
    <x v="9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503"/>
    <n v="0"/>
    <n v="503"/>
    <n v="5250"/>
    <n v="0"/>
    <x v="4"/>
    <n v="0"/>
    <n v="0"/>
    <n v="0"/>
    <n v="0"/>
    <n v="0"/>
    <n v="0"/>
  </r>
  <r>
    <d v="1899-12-30T00:00:00"/>
    <x v="2"/>
    <x v="2"/>
    <n v="0"/>
    <n v="19"/>
    <n v="34"/>
    <s v="ขาว"/>
    <n v="0"/>
    <n v="80"/>
    <s v="±"/>
    <n v="5"/>
    <n v="0"/>
    <n v="0"/>
    <n v="0"/>
    <n v="0"/>
    <n v="0"/>
    <n v="0"/>
    <n v="0"/>
    <n v="0"/>
    <x v="2"/>
    <n v="0"/>
    <n v="0"/>
    <n v="0"/>
    <n v="0"/>
    <n v="0"/>
    <x v="4"/>
    <n v="5139.8424000000005"/>
    <n v="9833.8424000000014"/>
    <n v="0"/>
    <n v="0"/>
    <n v="5139.8424000000005"/>
    <s v="ระบุในSD"/>
  </r>
  <r>
    <d v="2025-08-25T00:00:00"/>
    <x v="11"/>
    <x v="6"/>
    <s v="แป้งมันซุปเปอร์ไฮเกรด(ถุงในเจาะรู)"/>
    <n v="20"/>
    <n v="37"/>
    <s v="ขาว"/>
    <n v="0"/>
    <n v="70"/>
    <s v="±"/>
    <n v="5"/>
    <s v="บิด"/>
    <n v="21"/>
    <n v="40"/>
    <n v="40"/>
    <n v="103.61785728"/>
    <n v="0"/>
    <n v="103.61785728"/>
    <s v="500กระสอบ"/>
    <x v="5"/>
    <n v="5000"/>
    <n v="0"/>
    <n v="5000"/>
    <n v="0"/>
    <n v="5250"/>
    <x v="5"/>
    <n v="5378.4500000000007"/>
    <n v="5378"/>
    <n v="0"/>
    <n v="0"/>
    <n v="0"/>
    <n v="0"/>
  </r>
  <r>
    <d v="2025-08-25T00:00:00"/>
    <x v="11"/>
    <x v="6"/>
    <s v="แป้งมันหมัก(ม่วง)(ถุงในเจาะรู)"/>
    <n v="20"/>
    <n v="37"/>
    <s v="ขาว"/>
    <n v="0"/>
    <n v="70"/>
    <s v="±"/>
    <n v="5"/>
    <s v="บิด"/>
    <n v="21"/>
    <n v="40"/>
    <n v="40"/>
    <n v="103.61785728"/>
    <n v="0"/>
    <n v="103.61785728"/>
    <s v="500กระสอบ"/>
    <x v="5"/>
    <n v="5000"/>
    <n v="0"/>
    <n v="5000"/>
    <n v="0"/>
    <n v="5250"/>
    <x v="5"/>
    <n v="5378.4500000000007"/>
    <n v="0"/>
    <n v="5378.4500000000007"/>
    <n v="0"/>
    <n v="0"/>
    <n v="0"/>
  </r>
  <r>
    <d v="1899-12-30T00:00:00"/>
    <x v="2"/>
    <x v="2"/>
    <n v="0"/>
    <n v="20"/>
    <n v="37"/>
    <s v="ขาว"/>
    <n v="0"/>
    <n v="70"/>
    <s v="±"/>
    <n v="5"/>
    <n v="0"/>
    <n v="0"/>
    <n v="0"/>
    <n v="0"/>
    <n v="0"/>
    <n v="0"/>
    <n v="0"/>
    <n v="0"/>
    <x v="2"/>
    <n v="0"/>
    <n v="0"/>
    <n v="0"/>
    <n v="0"/>
    <n v="0"/>
    <x v="5"/>
    <n v="10756.900000000001"/>
    <n v="5378"/>
    <n v="5378.4500000000007"/>
    <n v="0"/>
    <n v="0"/>
    <s v="ระบุในSD"/>
  </r>
  <r>
    <d v="2025-07-30T00:00:00"/>
    <x v="12"/>
    <x v="10"/>
    <s v="VC 10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8"/>
    <n v="20000"/>
    <n v="19768"/>
    <n v="232"/>
    <n v="20900"/>
    <n v="0"/>
    <x v="6"/>
    <n v="0"/>
    <n v="0"/>
    <n v="0"/>
    <n v="0"/>
    <n v="0"/>
    <n v="0"/>
  </r>
  <r>
    <d v="2025-08-22T00:00:00"/>
    <x v="13"/>
    <x v="11"/>
    <s v="หมูแดง 002"/>
    <n v="20"/>
    <n v="37"/>
    <s v="ขาว"/>
    <s v="ใส"/>
    <n v="97"/>
    <s v="±"/>
    <n v="5"/>
    <s v="ไม่"/>
    <s v="ไม่สวมถุงใน"/>
    <n v="0"/>
    <n v="0"/>
    <n v="0"/>
    <n v="0"/>
    <n v="0"/>
    <s v="500กระสอบ"/>
    <x v="9"/>
    <n v="8000"/>
    <n v="2000"/>
    <n v="6000"/>
    <n v="8400"/>
    <n v="0"/>
    <x v="6"/>
    <n v="0"/>
    <n v="0"/>
    <n v="0"/>
    <n v="6000"/>
    <n v="-6000"/>
    <s v="ขาด-เกินได้5%"/>
  </r>
  <r>
    <d v="2025-07-12T00:00:00"/>
    <x v="14"/>
    <x v="12"/>
    <s v="SPM195 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4000"/>
    <n v="4000"/>
    <n v="0"/>
    <n v="4100"/>
    <n v="0"/>
    <x v="6"/>
    <n v="0"/>
    <n v="0"/>
    <n v="0"/>
    <n v="0"/>
    <n v="0"/>
    <n v="0"/>
  </r>
  <r>
    <d v="2025-08-07T00:00:00"/>
    <x v="15"/>
    <x v="12"/>
    <s v="นีโอ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3000"/>
    <n v="0"/>
    <n v="3100"/>
    <n v="0"/>
    <x v="6"/>
    <n v="0"/>
    <n v="0"/>
    <n v="0"/>
    <n v="0"/>
    <n v="0"/>
    <s v="ห้ามเกิน-ขาดได้5%"/>
  </r>
  <r>
    <d v="2025-08-07T00:00:00"/>
    <x v="16"/>
    <x v="12"/>
    <s v="วี-ฟีด วี18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3000"/>
    <n v="0"/>
    <n v="3200"/>
    <n v="0"/>
    <x v="6"/>
    <n v="0"/>
    <n v="0"/>
    <n v="0"/>
    <n v="0"/>
    <n v="0"/>
    <s v="ห้ามเกิน-ขาดได้5%"/>
  </r>
  <r>
    <d v="2025-07-12T00:00:00"/>
    <x v="17"/>
    <x v="12"/>
    <s v="ฟี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4000"/>
    <n v="4000"/>
    <n v="0"/>
    <n v="4100"/>
    <n v="0"/>
    <x v="6"/>
    <n v="0"/>
    <n v="0"/>
    <n v="0"/>
    <n v="0"/>
    <n v="0"/>
    <n v="0"/>
  </r>
  <r>
    <d v="2025-08-18T00:00:00"/>
    <x v="18"/>
    <x v="9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5"/>
    <n v="10000"/>
    <n v="10000"/>
    <n v="0"/>
    <n v="10536"/>
    <n v="0"/>
    <x v="6"/>
    <n v="0"/>
    <n v="0"/>
    <n v="0"/>
    <n v="0"/>
    <n v="0"/>
    <n v="0"/>
  </r>
  <r>
    <d v="2025-08-23T00:00:00"/>
    <x v="19"/>
    <x v="9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5040"/>
    <n v="5040"/>
    <n v="0"/>
    <n v="6000"/>
    <n v="0"/>
    <x v="6"/>
    <n v="0"/>
    <n v="0"/>
    <n v="0"/>
    <n v="0"/>
    <n v="0"/>
    <n v="0"/>
  </r>
  <r>
    <d v="2025-08-18T00:00:00"/>
    <x v="18"/>
    <x v="9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5"/>
    <n v="5040"/>
    <n v="0"/>
    <n v="5040"/>
    <n v="0"/>
    <n v="5292"/>
    <x v="6"/>
    <n v="5280.6600000000008"/>
    <n v="5280.6600000000008"/>
    <n v="0"/>
    <n v="5280.6600000000008"/>
    <n v="0"/>
    <n v="0"/>
  </r>
  <r>
    <d v="2025-08-18T00:00:00"/>
    <x v="20"/>
    <x v="9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5"/>
    <n v="10000"/>
    <n v="0"/>
    <n v="10000"/>
    <n v="0"/>
    <n v="10500"/>
    <x v="6"/>
    <n v="10477.5"/>
    <n v="10477.5"/>
    <n v="0"/>
    <n v="10477.5"/>
    <n v="0"/>
    <n v="0"/>
  </r>
  <r>
    <d v="2025-07-19T00:00:00"/>
    <x v="21"/>
    <x v="9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5"/>
    <n v="120"/>
    <n v="0"/>
    <n v="120"/>
    <n v="0"/>
    <n v="126"/>
    <x v="6"/>
    <n v="125.73"/>
    <n v="125.73"/>
    <n v="0"/>
    <n v="125.73"/>
    <n v="0"/>
    <n v="0"/>
  </r>
  <r>
    <d v="2025-08-18T00:00:00"/>
    <x v="20"/>
    <x v="9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5"/>
    <n v="5040"/>
    <n v="0"/>
    <n v="5040"/>
    <n v="0"/>
    <n v="5292"/>
    <x v="6"/>
    <n v="5280.6600000000008"/>
    <n v="5280.6600000000008"/>
    <n v="0"/>
    <n v="0"/>
    <n v="5280.6600000000008"/>
    <n v="0"/>
  </r>
  <r>
    <d v="2025-08-18T00:00:00"/>
    <x v="22"/>
    <x v="9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5"/>
    <n v="5040"/>
    <n v="0"/>
    <n v="5040"/>
    <n v="0"/>
    <n v="5292"/>
    <x v="6"/>
    <n v="5280.6600000000008"/>
    <n v="5280.6600000000008"/>
    <n v="0"/>
    <n v="0"/>
    <n v="5280.6600000000008"/>
    <n v="0"/>
  </r>
  <r>
    <d v="2025-08-18T00:00:00"/>
    <x v="22"/>
    <x v="9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5"/>
    <n v="10000"/>
    <n v="0"/>
    <n v="10000"/>
    <n v="1700"/>
    <n v="8715"/>
    <x v="6"/>
    <n v="9131.1412500000006"/>
    <n v="9131.1412500000006"/>
    <n v="0"/>
    <n v="0"/>
    <n v="9131.1412500000006"/>
    <n v="0"/>
  </r>
  <r>
    <d v="2025-05-19T00:00:00"/>
    <x v="23"/>
    <x v="9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5"/>
    <n v="1446"/>
    <n v="0"/>
    <n v="1446"/>
    <n v="0"/>
    <n v="1518.3"/>
    <x v="6"/>
    <n v="1515.0465000000002"/>
    <n v="1515.0465000000002"/>
    <n v="0"/>
    <n v="0"/>
    <n v="1515.0465000000002"/>
    <n v="0"/>
  </r>
  <r>
    <d v="2025-08-18T00:00:00"/>
    <x v="24"/>
    <x v="9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5"/>
    <n v="10000"/>
    <n v="0"/>
    <n v="10000"/>
    <n v="0"/>
    <n v="10500"/>
    <x v="6"/>
    <n v="10477.5"/>
    <n v="4165"/>
    <n v="6312.5"/>
    <n v="0"/>
    <n v="10477.5"/>
    <n v="0"/>
  </r>
  <r>
    <d v="2025-08-05T00:00:00"/>
    <x v="25"/>
    <x v="9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5"/>
    <n v="614"/>
    <n v="0"/>
    <n v="614"/>
    <n v="0"/>
    <n v="644.70000000000005"/>
    <x v="6"/>
    <n v="643.31850000000009"/>
    <n v="0"/>
    <n v="643.31850000000009"/>
    <n v="0"/>
    <n v="643.31850000000009"/>
    <n v="0"/>
  </r>
  <r>
    <d v="2025-08-18T00:00:00"/>
    <x v="24"/>
    <x v="9"/>
    <s v="สุบรรณ 22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5"/>
    <n v="5040"/>
    <n v="0"/>
    <n v="5040"/>
    <n v="0"/>
    <n v="5292"/>
    <x v="6"/>
    <n v="5280.6600000000008"/>
    <n v="0"/>
    <n v="5280.6600000000008"/>
    <n v="0"/>
    <n v="5280.6600000000008"/>
    <n v="0"/>
  </r>
  <r>
    <d v="2025-08-18T00:00:00"/>
    <x v="26"/>
    <x v="9"/>
    <s v="เฟิร์สคลาส 912"/>
    <n v="20"/>
    <n v="35"/>
    <s v="ขาว"/>
    <s v="ด้าน"/>
    <n v="97"/>
    <s v="±"/>
    <n v="5"/>
    <s v="จับจีบ"/>
    <s v="ไม่สวมถุงใน"/>
    <n v="0"/>
    <n v="0"/>
    <n v="0"/>
    <n v="0"/>
    <n v="0"/>
    <s v="มัด80 ใช้สายรัด"/>
    <x v="5"/>
    <n v="5040"/>
    <n v="0"/>
    <n v="5040"/>
    <n v="6100"/>
    <n v="0"/>
    <x v="6"/>
    <n v="0"/>
    <n v="0"/>
    <n v="0"/>
    <n v="0"/>
    <n v="0"/>
    <n v="0"/>
  </r>
  <r>
    <d v="2025-08-08T00:00:00"/>
    <x v="27"/>
    <x v="13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0"/>
    <n v="3000"/>
    <n v="0"/>
    <n v="3000"/>
    <n v="0"/>
    <n v="3150"/>
    <x v="6"/>
    <n v="3310.89"/>
    <n v="0"/>
    <n v="3310.89"/>
    <n v="0"/>
    <n v="3310.89"/>
    <n v="0"/>
  </r>
  <r>
    <d v="2025-05-05T00:00:00"/>
    <x v="28"/>
    <x v="13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0"/>
    <n v="5000"/>
    <n v="0"/>
    <n v="5000"/>
    <n v="0"/>
    <n v="5250"/>
    <x v="6"/>
    <n v="5518.15"/>
    <n v="0"/>
    <n v="5518.15"/>
    <n v="0"/>
    <n v="5518.15"/>
    <n v="0"/>
  </r>
  <r>
    <d v="2025-08-23T00:00:00"/>
    <x v="19"/>
    <x v="9"/>
    <s v="เฟิร์สช้อย 915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1"/>
    <n v="5040"/>
    <n v="0"/>
    <n v="5040"/>
    <n v="0"/>
    <n v="5292"/>
    <x v="6"/>
    <n v="5280.6600000000008"/>
    <n v="0"/>
    <n v="5280.6600000000008"/>
    <n v="0"/>
    <n v="5280.6600000000008"/>
    <n v="0"/>
  </r>
  <r>
    <d v="2025-08-23T00:00:00"/>
    <x v="29"/>
    <x v="14"/>
    <s v="Rocky quick lime"/>
    <n v="20"/>
    <n v="30"/>
    <s v="ขาว"/>
    <s v="ใส"/>
    <n v="80"/>
    <s v="±"/>
    <n v="5"/>
    <s v="จับจีบ5&quot;"/>
    <n v="21"/>
    <n v="33"/>
    <n v="40"/>
    <n v="170.969464512"/>
    <n v="0"/>
    <n v="170.969464512"/>
    <s v="500กระสอบ"/>
    <x v="11"/>
    <n v="10000"/>
    <n v="0"/>
    <n v="10000"/>
    <n v="0"/>
    <n v="10500"/>
    <x v="6"/>
    <n v="8801.1"/>
    <n v="0"/>
    <n v="8801.1"/>
    <n v="0"/>
    <n v="8801.1"/>
    <n v="0"/>
  </r>
  <r>
    <d v="2025-07-12T00:00:00"/>
    <x v="30"/>
    <x v="12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3000"/>
    <n v="0"/>
    <n v="3000"/>
    <n v="0"/>
    <n v="3150"/>
    <x v="6"/>
    <n v="3310.89"/>
    <n v="0"/>
    <n v="3310.89"/>
    <n v="0"/>
    <n v="3310.89"/>
    <n v="0"/>
  </r>
  <r>
    <d v="2025-08-23T00:00:00"/>
    <x v="31"/>
    <x v="9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10000"/>
    <n v="0"/>
    <n v="10000"/>
    <n v="0"/>
    <n v="10500"/>
    <x v="6"/>
    <n v="10477.5"/>
    <n v="0"/>
    <n v="10477.5"/>
    <n v="0"/>
    <n v="10477.5"/>
    <n v="0"/>
  </r>
  <r>
    <d v="2025-08-07T00:00:00"/>
    <x v="32"/>
    <x v="12"/>
    <s v="นีโอ พี2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0"/>
    <n v="3000"/>
    <n v="3399"/>
    <n v="0"/>
    <x v="6"/>
    <n v="0"/>
    <n v="0"/>
    <n v="0"/>
    <n v="0"/>
    <n v="0"/>
    <s v="ขอ 3000เกิน"/>
  </r>
  <r>
    <d v="2025-08-04T00:00:00"/>
    <x v="33"/>
    <x v="12"/>
    <s v="U-FEED U2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4000"/>
    <n v="0"/>
    <n v="4000"/>
    <n v="0"/>
    <n v="4200"/>
    <x v="6"/>
    <n v="4414.5199999999995"/>
    <n v="0"/>
    <n v="4414.5199999999995"/>
    <n v="0"/>
    <n v="4414.5199999999995"/>
    <s v="ห้ามเกิน-ขาดได้5%"/>
  </r>
  <r>
    <d v="2025-08-23T00:00:00"/>
    <x v="34"/>
    <x v="13"/>
    <s v="SPM 312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แบน"/>
    <x v="13"/>
    <n v="3000"/>
    <n v="0"/>
    <n v="3000"/>
    <n v="0"/>
    <n v="3150"/>
    <x v="6"/>
    <n v="3227.07"/>
    <n v="0"/>
    <n v="3227.07"/>
    <n v="0"/>
    <n v="3227.07"/>
    <n v="0"/>
  </r>
  <r>
    <s v="ประมาณการ"/>
    <x v="1"/>
    <x v="9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00000"/>
    <n v="0"/>
    <n v="100000"/>
    <n v="0"/>
    <n v="105000"/>
    <x v="6"/>
    <n v="104775.00000000001"/>
    <n v="0"/>
    <n v="104775.00000000001"/>
    <n v="0"/>
    <n v="104775.00000000001"/>
    <n v="0"/>
  </r>
  <r>
    <s v="ประมาณการ"/>
    <x v="1"/>
    <x v="13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20000"/>
    <n v="0"/>
    <n v="20000"/>
    <n v="0"/>
    <n v="21000"/>
    <x v="6"/>
    <n v="22072.6"/>
    <n v="0"/>
    <n v="22072.6"/>
    <n v="0"/>
    <n v="22072.6"/>
    <n v="0"/>
  </r>
  <r>
    <s v="ประมาณการ"/>
    <x v="1"/>
    <x v="15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4"/>
    <n v="20000"/>
    <n v="0"/>
    <n v="20000"/>
    <n v="0"/>
    <n v="21000"/>
    <x v="6"/>
    <n v="21513.800000000003"/>
    <n v="0"/>
    <n v="21513.800000000003"/>
    <n v="0"/>
    <n v="21513.800000000003"/>
    <n v="0"/>
  </r>
  <r>
    <d v="2025-08-23T00:00:00"/>
    <x v="35"/>
    <x v="13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3"/>
    <n v="6000"/>
    <n v="0"/>
    <n v="6000"/>
    <n v="0"/>
    <n v="6300"/>
    <x v="6"/>
    <n v="6621.78"/>
    <n v="0"/>
    <n v="6621.78"/>
    <n v="0"/>
    <n v="6621.78"/>
    <n v="0"/>
  </r>
  <r>
    <d v="2025-05-19T00:00:00"/>
    <x v="36"/>
    <x v="9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240"/>
    <n v="0"/>
    <n v="240"/>
    <n v="0"/>
    <n v="252"/>
    <x v="6"/>
    <n v="251.46"/>
    <n v="0"/>
    <n v="251.46"/>
    <n v="0"/>
    <n v="251.46"/>
    <n v="0"/>
  </r>
  <r>
    <d v="2025-08-07T00:00:00"/>
    <x v="37"/>
    <x v="12"/>
    <s v="ยูฟีด บี2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3"/>
    <n v="3000"/>
    <n v="3075"/>
    <n v="0"/>
    <n v="0"/>
    <n v="0"/>
    <x v="6"/>
    <n v="0"/>
    <n v="0"/>
    <n v="0"/>
    <n v="0"/>
    <n v="0"/>
    <n v="0"/>
  </r>
  <r>
    <d v="2025-08-08T00:00:00"/>
    <x v="27"/>
    <x v="13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7000"/>
    <n v="0"/>
    <n v="7000"/>
    <n v="0"/>
    <n v="7350"/>
    <x v="6"/>
    <n v="7725.41"/>
    <n v="0"/>
    <n v="7725.41"/>
    <n v="0"/>
    <n v="7725.41"/>
    <n v="0"/>
  </r>
  <r>
    <s v="ประมาณการ"/>
    <x v="1"/>
    <x v="16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6"/>
    <n v="110363"/>
    <n v="0"/>
    <n v="110363"/>
    <n v="0"/>
    <n v="110363"/>
    <n v="0"/>
  </r>
  <r>
    <d v="2025-06-17T00:00:00"/>
    <x v="38"/>
    <x v="9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3"/>
    <n v="894"/>
    <n v="525"/>
    <n v="369"/>
    <n v="6000"/>
    <n v="0"/>
    <x v="6"/>
    <n v="0"/>
    <n v="0"/>
    <n v="0"/>
    <n v="0"/>
    <n v="0"/>
    <n v="0"/>
  </r>
  <r>
    <d v="2025-05-19T00:00:00"/>
    <x v="39"/>
    <x v="9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66"/>
    <n v="0"/>
    <n v="366"/>
    <n v="5113"/>
    <n v="0"/>
    <x v="6"/>
    <n v="0"/>
    <n v="0"/>
    <n v="0"/>
    <n v="0"/>
    <n v="0"/>
    <n v="0"/>
  </r>
  <r>
    <d v="2025-05-19T00:00:00"/>
    <x v="40"/>
    <x v="9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02"/>
    <n v="0"/>
    <n v="302"/>
    <n v="5300"/>
    <n v="0"/>
    <x v="6"/>
    <n v="0"/>
    <n v="0"/>
    <n v="0"/>
    <n v="0"/>
    <n v="0"/>
    <n v="0"/>
  </r>
  <r>
    <d v="2025-05-05T00:00:00"/>
    <x v="28"/>
    <x v="13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6"/>
    <n v="5518.15"/>
    <n v="0"/>
    <n v="5518.15"/>
    <n v="0"/>
    <n v="5518.15"/>
    <n v="0"/>
  </r>
  <r>
    <d v="2025-05-21T00:00:00"/>
    <x v="41"/>
    <x v="12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6"/>
    <n v="5518.15"/>
    <n v="0"/>
    <n v="5518.15"/>
    <n v="0"/>
    <n v="5518.15"/>
    <n v="0"/>
  </r>
  <r>
    <d v="2025-01-17T00:00:00"/>
    <x v="42"/>
    <x v="9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152"/>
    <n v="0"/>
    <n v="152"/>
    <n v="6000"/>
    <n v="0"/>
    <x v="6"/>
    <n v="0"/>
    <n v="0"/>
    <n v="0"/>
    <n v="0"/>
    <n v="0"/>
    <n v="5987"/>
  </r>
  <r>
    <d v="2024-11-15T00:00:00"/>
    <x v="43"/>
    <x v="9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17"/>
    <n v="0"/>
    <n v="117"/>
    <n v="10065"/>
    <n v="0"/>
    <x v="6"/>
    <n v="0"/>
    <n v="0"/>
    <n v="0"/>
    <n v="0"/>
    <n v="0"/>
    <n v="0"/>
  </r>
  <r>
    <d v="2024-08-19T00:00:00"/>
    <x v="44"/>
    <x v="9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60"/>
    <n v="0"/>
    <n v="1260"/>
    <n v="11095"/>
    <n v="0"/>
    <x v="6"/>
    <n v="0"/>
    <n v="0"/>
    <n v="0"/>
    <n v="0"/>
    <n v="0"/>
    <n v="0"/>
  </r>
  <r>
    <d v="2024-08-19T00:00:00"/>
    <x v="44"/>
    <x v="9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89"/>
    <n v="0"/>
    <n v="89"/>
    <n v="11180"/>
    <n v="0"/>
    <x v="6"/>
    <n v="0"/>
    <n v="0"/>
    <n v="0"/>
    <n v="0"/>
    <n v="0"/>
    <n v="0"/>
  </r>
  <r>
    <d v="2025-05-22T00:00:00"/>
    <x v="45"/>
    <x v="17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0"/>
    <n v="4000"/>
    <n v="3840"/>
    <n v="160"/>
    <n v="8450"/>
    <n v="0"/>
    <x v="6"/>
    <n v="0"/>
    <n v="0"/>
    <n v="0"/>
    <n v="0"/>
    <n v="0"/>
    <s v="ห้ามขาด-ห้ามเกิน"/>
  </r>
  <r>
    <d v="2025-05-22T00:00:00"/>
    <x v="45"/>
    <x v="17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0"/>
    <n v="4000"/>
    <n v="4154"/>
    <n v="0"/>
    <n v="4000"/>
    <n v="0"/>
    <x v="6"/>
    <n v="0"/>
    <n v="0"/>
    <n v="0"/>
    <n v="0"/>
    <n v="0"/>
    <s v="ห้ามขาด-ห้ามเกิน"/>
  </r>
  <r>
    <d v="2025-03-25T00:00:00"/>
    <x v="46"/>
    <x v="12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4000"/>
    <n v="3867"/>
    <n v="133"/>
    <n v="4200"/>
    <n v="0"/>
    <x v="6"/>
    <n v="0"/>
    <n v="0"/>
    <n v="0"/>
    <n v="0"/>
    <n v="0"/>
    <n v="0"/>
  </r>
  <r>
    <d v="2025-03-04T00:00:00"/>
    <x v="11"/>
    <x v="12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0"/>
    <n v="4000"/>
    <n v="4010"/>
    <n v="0"/>
    <n v="4470"/>
    <n v="0"/>
    <x v="6"/>
    <n v="0"/>
    <n v="0"/>
    <n v="0"/>
    <n v="0"/>
    <n v="0"/>
    <n v="0"/>
  </r>
  <r>
    <d v="2025-03-04T00:00:00"/>
    <x v="11"/>
    <x v="12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3065"/>
    <n v="0"/>
    <n v="3300"/>
    <n v="0"/>
    <x v="6"/>
    <n v="0"/>
    <n v="0"/>
    <n v="0"/>
    <n v="0"/>
    <n v="0"/>
    <n v="0"/>
  </r>
  <r>
    <d v="2024-09-06T00:00:00"/>
    <x v="47"/>
    <x v="12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0"/>
    <n v="3000"/>
    <n v="3318"/>
    <n v="0"/>
    <n v="0"/>
    <n v="0"/>
    <x v="6"/>
    <n v="0"/>
    <n v="0"/>
    <n v="0"/>
    <n v="0"/>
    <n v="0"/>
    <s v="ลูกค้าสั่งผิดเอาไปส่งเดือน10"/>
  </r>
  <r>
    <d v="2024-10-16T00:00:00"/>
    <x v="48"/>
    <x v="12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3194"/>
    <n v="0"/>
    <n v="5632"/>
    <n v="0"/>
    <x v="6"/>
    <n v="0"/>
    <n v="0"/>
    <n v="0"/>
    <n v="0"/>
    <n v="0"/>
    <n v="0"/>
  </r>
  <r>
    <d v="1899-12-30T00:00:00"/>
    <x v="2"/>
    <x v="2"/>
    <n v="0"/>
    <n v="20"/>
    <n v="38"/>
    <n v="0"/>
    <n v="0"/>
    <n v="84"/>
    <s v="±"/>
    <n v="5"/>
    <n v="0"/>
    <n v="0"/>
    <n v="0"/>
    <n v="0"/>
    <n v="0"/>
    <n v="0"/>
    <n v="0"/>
    <n v="0"/>
    <x v="2"/>
    <n v="0"/>
    <n v="0"/>
    <n v="0"/>
    <n v="0"/>
    <n v="0"/>
    <x v="6"/>
    <n v="382193.00625000009"/>
    <n v="41256.397749999996"/>
    <n v="340936.60850000009"/>
    <n v="21883.89"/>
    <n v="360309.11625000008"/>
    <s v="ระบุในSD"/>
  </r>
  <r>
    <s v="ประมาณการ"/>
    <x v="1"/>
    <x v="16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7"/>
    <n v="113157.00000000001"/>
    <n v="0"/>
    <n v="113157.00000000001"/>
    <n v="0"/>
    <n v="0"/>
    <n v="0"/>
  </r>
  <r>
    <d v="1899-12-30T00:00:00"/>
    <x v="2"/>
    <x v="2"/>
    <n v="0"/>
    <n v="20"/>
    <n v="38"/>
    <n v="0"/>
    <n v="0"/>
    <n v="82"/>
    <s v="+"/>
    <n v="2"/>
    <n v="0"/>
    <n v="0"/>
    <n v="0"/>
    <n v="0"/>
    <n v="0"/>
    <n v="0"/>
    <n v="0"/>
    <n v="0"/>
    <x v="2"/>
    <n v="0"/>
    <n v="0"/>
    <n v="0"/>
    <n v="0"/>
    <n v="0"/>
    <x v="7"/>
    <n v="113157.00000000001"/>
    <n v="0"/>
    <n v="113157.00000000001"/>
    <n v="0"/>
    <n v="0"/>
    <s v="ระบุในSD"/>
  </r>
  <r>
    <d v="2025-07-24T00:00:00"/>
    <x v="49"/>
    <x v="18"/>
    <s v="WB บาลานส์ 924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8"/>
    <n v="7000"/>
    <n v="7000"/>
    <n v="0"/>
    <n v="7315"/>
    <n v="0"/>
    <x v="8"/>
    <n v="0"/>
    <n v="0"/>
    <n v="0"/>
    <n v="0"/>
    <n v="0"/>
    <s v="หนองบุญมาก"/>
  </r>
  <r>
    <d v="2025-07-24T00:00:00"/>
    <x v="50"/>
    <x v="18"/>
    <s v="WB เบทาโกร 124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8"/>
    <n v="64000"/>
    <n v="64000"/>
    <n v="0"/>
    <n v="67899"/>
    <n v="0"/>
    <x v="8"/>
    <n v="0"/>
    <n v="0"/>
    <n v="0"/>
    <n v="0"/>
    <n v="0"/>
    <s v="หนองบุญมาก"/>
  </r>
  <r>
    <d v="2025-07-24T00:00:00"/>
    <x v="51"/>
    <x v="18"/>
    <s v="WB เบทาโกร 323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8"/>
    <n v="7000"/>
    <n v="7000"/>
    <n v="0"/>
    <n v="9630"/>
    <n v="0"/>
    <x v="8"/>
    <n v="0"/>
    <n v="0"/>
    <n v="0"/>
    <n v="0"/>
    <n v="0"/>
    <s v="หนองบุญมาก"/>
  </r>
  <r>
    <d v="2025-08-05T00:00:00"/>
    <x v="52"/>
    <x v="9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5"/>
    <n v="393"/>
    <n v="393"/>
    <n v="0"/>
    <n v="450"/>
    <n v="0"/>
    <x v="8"/>
    <n v="0"/>
    <n v="0"/>
    <n v="0"/>
    <n v="0"/>
    <n v="0"/>
    <s v="ห้ามขาด-ห้ามเกิน"/>
  </r>
  <r>
    <d v="2025-08-18T00:00:00"/>
    <x v="53"/>
    <x v="9"/>
    <s v="เพอเฟคค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5"/>
    <n v="7120"/>
    <n v="7120"/>
    <n v="0"/>
    <n v="73500"/>
    <n v="0"/>
    <x v="8"/>
    <n v="0"/>
    <n v="0"/>
    <n v="0"/>
    <n v="0"/>
    <n v="0"/>
    <s v="ห้ามขาด-ห้ามเกิน"/>
  </r>
  <r>
    <d v="2025-08-18T00:00:00"/>
    <x v="54"/>
    <x v="9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5"/>
    <n v="30000"/>
    <n v="29847"/>
    <n v="153"/>
    <n v="31500"/>
    <n v="0"/>
    <x v="8"/>
    <n v="0"/>
    <n v="0"/>
    <n v="0"/>
    <n v="0"/>
    <n v="0"/>
    <s v="ห้ามขาด-ห้ามเกิน"/>
  </r>
  <r>
    <d v="2025-08-18T00:00:00"/>
    <x v="54"/>
    <x v="9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5"/>
    <n v="40000"/>
    <n v="0"/>
    <n v="40000"/>
    <n v="38478"/>
    <n v="1598.1000000000001"/>
    <x v="8"/>
    <n v="1674.4092750000002"/>
    <n v="1674.4092750000002"/>
    <n v="0"/>
    <n v="0"/>
    <n v="0"/>
    <s v="ห้ามขาด-ห้ามเกิน"/>
  </r>
  <r>
    <d v="2025-08-18T00:00:00"/>
    <x v="53"/>
    <x v="9"/>
    <s v="เพอเฟคค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"/>
    <n v="30000"/>
    <n v="6786"/>
    <n v="23214"/>
    <n v="4824"/>
    <n v="24374.7"/>
    <x v="8"/>
    <n v="24322.468500000003"/>
    <n v="24322.468500000003"/>
    <n v="0"/>
    <n v="0"/>
    <n v="0"/>
    <s v="ห้ามขาด-ห้ามเกิน"/>
  </r>
  <r>
    <d v="2025-08-18T00:00:00"/>
    <x v="53"/>
    <x v="9"/>
    <s v="เพอเฟคค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4"/>
    <n v="20000"/>
    <n v="0"/>
    <n v="20000"/>
    <n v="0"/>
    <n v="21000"/>
    <x v="8"/>
    <n v="20955"/>
    <n v="20955"/>
    <n v="0"/>
    <n v="0"/>
    <n v="0"/>
    <s v="ห้ามขาด-ห้ามเกิน"/>
  </r>
  <r>
    <d v="2025-08-18T00:00:00"/>
    <x v="54"/>
    <x v="9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5"/>
    <n v="40000"/>
    <n v="0"/>
    <n v="40000"/>
    <n v="0"/>
    <n v="42000"/>
    <x v="8"/>
    <n v="41910"/>
    <n v="41910"/>
    <n v="0"/>
    <n v="0"/>
    <n v="0"/>
    <s v="ห้ามขาด-ห้ามเกิน"/>
  </r>
  <r>
    <d v="2025-08-23T00:00:00"/>
    <x v="55"/>
    <x v="9"/>
    <s v="เพอเฟคค์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"/>
    <n v="10000"/>
    <n v="0"/>
    <n v="10000"/>
    <n v="0"/>
    <n v="10500"/>
    <x v="8"/>
    <n v="10477.5"/>
    <n v="10477.5"/>
    <n v="0"/>
    <n v="0"/>
    <n v="0"/>
    <s v="ห้ามขาด-ห้ามเกิน"/>
  </r>
  <r>
    <d v="2025-08-18T00:00:00"/>
    <x v="54"/>
    <x v="9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2"/>
    <n v="30000"/>
    <n v="0"/>
    <n v="30000"/>
    <n v="0"/>
    <n v="31500"/>
    <x v="8"/>
    <n v="31432.500000000004"/>
    <n v="31432.500000000004"/>
    <n v="0"/>
    <n v="0"/>
    <n v="0"/>
    <s v="ห้ามขาด-ห้ามเกิน"/>
  </r>
  <r>
    <d v="2025-08-18T00:00:00"/>
    <x v="54"/>
    <x v="9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6"/>
    <n v="20000"/>
    <n v="0"/>
    <n v="20000"/>
    <n v="0"/>
    <n v="21000"/>
    <x v="8"/>
    <n v="20955"/>
    <n v="20955"/>
    <n v="0"/>
    <n v="0"/>
    <n v="0"/>
    <s v="ห้ามขาด-ห้ามเกิน"/>
  </r>
  <r>
    <s v="ประมาณการ"/>
    <x v="1"/>
    <x v="9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3"/>
    <n v="290000"/>
    <n v="0"/>
    <n v="290000"/>
    <n v="0"/>
    <n v="304500"/>
    <x v="8"/>
    <n v="303847.5"/>
    <n v="51380"/>
    <n v="252467.5"/>
    <n v="0"/>
    <n v="0"/>
    <s v="ห้ามขาด-ห้ามเกิน"/>
  </r>
  <r>
    <d v="1899-12-30T00:00:00"/>
    <x v="2"/>
    <x v="2"/>
    <n v="0"/>
    <n v="20"/>
    <n v="37"/>
    <n v="0"/>
    <n v="0"/>
    <n v="80"/>
    <s v="±"/>
    <n v="3"/>
    <n v="0"/>
    <n v="0"/>
    <n v="0"/>
    <n v="0"/>
    <n v="0"/>
    <n v="0"/>
    <n v="0"/>
    <n v="0"/>
    <x v="2"/>
    <n v="0"/>
    <n v="0"/>
    <n v="0"/>
    <n v="0"/>
    <n v="0"/>
    <x v="8"/>
    <n v="455574.377775"/>
    <n v="203106.877775"/>
    <n v="252467.5"/>
    <n v="0"/>
    <n v="0"/>
    <s v="ระบุในSD"/>
  </r>
  <r>
    <d v="2025-08-07T00:00:00"/>
    <x v="56"/>
    <x v="19"/>
    <s v="กัสโซ่ฟีด101-102"/>
    <n v="21"/>
    <n v="37"/>
    <s v="ขาว"/>
    <s v="ใส"/>
    <n v="100"/>
    <s v="±"/>
    <n v="5"/>
    <s v="บิด"/>
    <n v="22"/>
    <n v="40"/>
    <n v="40"/>
    <n v="0"/>
    <n v="0"/>
    <n v="0"/>
    <s v="500กระสอบ"/>
    <x v="8"/>
    <n v="20000"/>
    <n v="20006"/>
    <n v="0"/>
    <n v="21000"/>
    <n v="0"/>
    <x v="9"/>
    <n v="0"/>
    <n v="0"/>
    <n v="0"/>
    <n v="0"/>
    <n v="0"/>
    <n v="0"/>
  </r>
  <r>
    <d v="2025-08-07T00:00:00"/>
    <x v="57"/>
    <x v="19"/>
    <s v="NB FISH 103L"/>
    <n v="21"/>
    <n v="37"/>
    <s v="ขาว"/>
    <s v="ใส"/>
    <n v="100"/>
    <s v="±"/>
    <n v="5"/>
    <s v="บิด"/>
    <n v="22"/>
    <n v="40"/>
    <n v="40"/>
    <n v="1.6065702062079996"/>
    <n v="0"/>
    <n v="1.6065702062079996"/>
    <s v="500กระสอบ"/>
    <x v="8"/>
    <n v="10000"/>
    <n v="9926"/>
    <n v="74"/>
    <n v="10500"/>
    <n v="0"/>
    <x v="9"/>
    <n v="0"/>
    <n v="0"/>
    <n v="0"/>
    <n v="0"/>
    <n v="0"/>
    <n v="0"/>
  </r>
  <r>
    <d v="2024-12-02T00:00:00"/>
    <x v="58"/>
    <x v="20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9"/>
    <n v="5391"/>
    <n v="0"/>
    <n v="5391"/>
    <n v="6000"/>
    <n v="0"/>
    <x v="9"/>
    <n v="0"/>
    <n v="0"/>
    <n v="0"/>
    <n v="0"/>
    <n v="0"/>
    <s v="สีลอก"/>
  </r>
  <r>
    <d v="2024-12-05T00:00:00"/>
    <x v="59"/>
    <x v="20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9"/>
    <n v="7000"/>
    <n v="0"/>
    <n v="7000"/>
    <n v="7600"/>
    <n v="0"/>
    <x v="9"/>
    <n v="0"/>
    <n v="0"/>
    <n v="0"/>
    <n v="0"/>
    <n v="0"/>
    <s v="สีลอก ทั้งหมด12000"/>
  </r>
  <r>
    <d v="2025-08-23T00:00:00"/>
    <x v="60"/>
    <x v="13"/>
    <s v="มาซู ฟีดซี 0434"/>
    <n v="21"/>
    <n v="40"/>
    <s v="ขาว"/>
    <s v="ด้าน"/>
    <n v="108"/>
    <s v="±"/>
    <n v="5"/>
    <s v="บิด"/>
    <n v="22"/>
    <n v="42"/>
    <n v="40"/>
    <n v="68.387785804799989"/>
    <n v="0"/>
    <n v="68.387785804799989"/>
    <s v="500กระสอบแบน"/>
    <x v="10"/>
    <n v="3000"/>
    <n v="0"/>
    <n v="3000"/>
    <n v="0"/>
    <n v="3150"/>
    <x v="9"/>
    <n v="3478.5300000000007"/>
    <n v="3478.5300000000007"/>
    <n v="0"/>
    <n v="0"/>
    <n v="3478.5300000000007"/>
    <n v="0"/>
  </r>
  <r>
    <d v="2025-08-07T00:00:00"/>
    <x v="61"/>
    <x v="12"/>
    <s v="โมโม่ 413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11"/>
    <n v="3000"/>
    <n v="0"/>
    <n v="3000"/>
    <n v="0"/>
    <n v="3150"/>
    <x v="9"/>
    <n v="3310.89"/>
    <n v="3310.89"/>
    <n v="0"/>
    <n v="0"/>
    <n v="3310.89"/>
    <n v="0"/>
  </r>
  <r>
    <s v="ประมาณการ"/>
    <x v="1"/>
    <x v="21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4"/>
    <n v="100000"/>
    <n v="0"/>
    <n v="100000"/>
    <n v="0"/>
    <n v="105000"/>
    <x v="9"/>
    <n v="107569.00000000001"/>
    <n v="107569.00000000001"/>
    <n v="0"/>
    <n v="107569.00000000001"/>
    <n v="0"/>
    <n v="0"/>
  </r>
  <r>
    <d v="2025-08-07T00:00:00"/>
    <x v="62"/>
    <x v="12"/>
    <s v="ฟีล กู๊ด 893"/>
    <n v="21"/>
    <n v="40"/>
    <s v="ขาว"/>
    <s v="ใส"/>
    <n v="108"/>
    <s v="±"/>
    <n v="5"/>
    <s v="บิด"/>
    <n v="22"/>
    <n v="42"/>
    <n v="40"/>
    <n v="68.387785804799989"/>
    <n v="0"/>
    <n v="68.387785804799989"/>
    <s v="500กระสอบ"/>
    <x v="3"/>
    <n v="3000"/>
    <n v="0"/>
    <n v="3000"/>
    <n v="0"/>
    <n v="3150"/>
    <x v="9"/>
    <n v="3478.5300000000007"/>
    <n v="3478.5300000000007"/>
    <n v="0"/>
    <n v="0"/>
    <n v="3478.5300000000007"/>
    <n v="0"/>
  </r>
  <r>
    <d v="2025-08-07T00:00:00"/>
    <x v="63"/>
    <x v="12"/>
    <s v="โมโม่ 4132"/>
    <n v="21"/>
    <n v="40"/>
    <s v="ขาว"/>
    <s v="ใส"/>
    <n v="108"/>
    <s v="±"/>
    <n v="5"/>
    <s v="บิด"/>
    <n v="22"/>
    <n v="42"/>
    <n v="40"/>
    <n v="113.97964300799998"/>
    <n v="0"/>
    <n v="113.97964300799998"/>
    <s v="500กระสอบ"/>
    <x v="3"/>
    <n v="5000"/>
    <n v="0"/>
    <n v="5000"/>
    <n v="0"/>
    <n v="5250"/>
    <x v="9"/>
    <n v="5797.55"/>
    <n v="5797.55"/>
    <n v="0"/>
    <n v="0"/>
    <n v="5797.55"/>
    <n v="0"/>
  </r>
  <r>
    <s v="ประมาณการ"/>
    <x v="1"/>
    <x v="20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10500"/>
    <x v="9"/>
    <n v="10756.900000000001"/>
    <n v="10756.900000000001"/>
    <n v="0"/>
    <n v="0"/>
    <n v="10756.900000000001"/>
    <n v="0"/>
  </r>
  <r>
    <d v="2025-07-16T00:00:00"/>
    <x v="64"/>
    <x v="13"/>
    <s v="มาซู ฟีดซ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9"/>
    <n v="3310.89"/>
    <n v="3310.89"/>
    <n v="0"/>
    <n v="0"/>
    <n v="3310.89"/>
    <n v="0"/>
  </r>
  <r>
    <d v="2025-07-16T00:00:00"/>
    <x v="65"/>
    <x v="13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9"/>
    <n v="3310.89"/>
    <n v="3310.89"/>
    <n v="0"/>
    <n v="0"/>
    <n v="3310.89"/>
    <n v="0"/>
  </r>
  <r>
    <d v="2025-06-18T00:00:00"/>
    <x v="66"/>
    <x v="12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3"/>
    <n v="8000"/>
    <n v="470"/>
    <n v="7530"/>
    <n v="0"/>
    <n v="7906.5"/>
    <x v="9"/>
    <n v="8310.3338999999996"/>
    <n v="8310.3338999999996"/>
    <n v="0"/>
    <n v="0"/>
    <n v="8310.3338999999996"/>
    <n v="0"/>
  </r>
  <r>
    <d v="2024-12-05T00:00:00"/>
    <x v="59"/>
    <x v="20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9000"/>
    <n v="0"/>
    <n v="9000"/>
    <n v="0"/>
    <n v="9450"/>
    <x v="9"/>
    <n v="9681.2100000000009"/>
    <n v="9681.2100000000009"/>
    <n v="0"/>
    <n v="0"/>
    <n v="9681.2100000000009"/>
    <n v="0"/>
  </r>
  <r>
    <d v="2024-12-05T00:00:00"/>
    <x v="67"/>
    <x v="20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9"/>
    <n v="17211.04"/>
    <n v="17211.04"/>
    <n v="0"/>
    <n v="0"/>
    <n v="17211.04"/>
    <n v="0"/>
  </r>
  <r>
    <d v="2023-05-20T00:00:00"/>
    <x v="68"/>
    <x v="13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9"/>
    <n v="5518.15"/>
    <n v="5518.15"/>
    <n v="0"/>
    <n v="0"/>
    <n v="5518.15"/>
    <n v="0"/>
  </r>
  <r>
    <d v="1899-12-30T00:00:00"/>
    <x v="2"/>
    <x v="2"/>
    <n v="0"/>
    <n v="21"/>
    <n v="37"/>
    <n v="0"/>
    <n v="0"/>
    <n v="74"/>
    <s v="±"/>
    <n v="5"/>
    <n v="0"/>
    <n v="0"/>
    <n v="0"/>
    <n v="0"/>
    <n v="0"/>
    <s v="ว"/>
    <n v="0"/>
    <n v="0"/>
    <x v="2"/>
    <n v="0"/>
    <n v="0"/>
    <n v="0"/>
    <n v="0"/>
    <n v="0"/>
    <x v="9"/>
    <n v="181733.91390000004"/>
    <n v="181733.91390000004"/>
    <n v="0"/>
    <n v="107569.00000000001"/>
    <n v="74164.913899999985"/>
    <s v="ระบุในSD"/>
  </r>
  <r>
    <d v="2025-08-06T00:00:00"/>
    <x v="69"/>
    <x v="22"/>
    <s v="SILICA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6"/>
    <n v="5000"/>
    <n v="5000"/>
    <n v="0"/>
    <n v="5000"/>
    <n v="0"/>
    <x v="10"/>
    <n v="0"/>
    <n v="0"/>
    <n v="0"/>
    <n v="0"/>
    <n v="0"/>
    <n v="0"/>
  </r>
  <r>
    <d v="2025-08-06T00:00:00"/>
    <x v="69"/>
    <x v="22"/>
    <s v="FELDSPAR N325-G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6"/>
    <n v="5000"/>
    <n v="4608"/>
    <n v="392"/>
    <n v="5100"/>
    <n v="0"/>
    <x v="10"/>
    <n v="0"/>
    <n v="0"/>
    <n v="0"/>
    <n v="0"/>
    <n v="0"/>
    <n v="0"/>
  </r>
  <r>
    <d v="2025-08-21T00:00:00"/>
    <x v="70"/>
    <x v="23"/>
    <s v="ถุงม่วง(เกรดพรีเมี่ยม)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5"/>
    <n v="5000"/>
    <n v="0"/>
    <n v="5000"/>
    <n v="5785"/>
    <n v="0"/>
    <x v="10"/>
    <n v="0"/>
    <n v="0"/>
    <n v="0"/>
    <n v="0"/>
    <n v="0"/>
    <n v="0"/>
  </r>
  <r>
    <s v="ประมาณการ"/>
    <x v="1"/>
    <x v="24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5"/>
    <n v="30000"/>
    <n v="0"/>
    <n v="30000"/>
    <n v="0"/>
    <n v="31500"/>
    <x v="10"/>
    <n v="29756.100000000002"/>
    <n v="29756.100000000002"/>
    <n v="0"/>
    <n v="0"/>
    <n v="0"/>
    <n v="0"/>
  </r>
  <r>
    <s v="ประมาณการ"/>
    <x v="1"/>
    <x v="25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3"/>
    <n v="30000"/>
    <n v="0"/>
    <n v="30000"/>
    <n v="0"/>
    <n v="31500"/>
    <x v="10"/>
    <n v="29756.100000000002"/>
    <n v="6512"/>
    <n v="23244.100000000002"/>
    <n v="0"/>
    <n v="0"/>
    <n v="0"/>
  </r>
  <r>
    <d v="1899-12-30T00:00:00"/>
    <x v="2"/>
    <x v="2"/>
    <n v="0"/>
    <n v="23"/>
    <n v="34"/>
    <s v="ขาว"/>
    <n v="0"/>
    <n v="68"/>
    <s v="±"/>
    <n v="5"/>
    <n v="0"/>
    <n v="0"/>
    <n v="0"/>
    <n v="0"/>
    <n v="0"/>
    <n v="0"/>
    <n v="0"/>
    <n v="0"/>
    <x v="2"/>
    <n v="0"/>
    <n v="0"/>
    <n v="0"/>
    <n v="0"/>
    <n v="0"/>
    <x v="10"/>
    <n v="59512.200000000004"/>
    <n v="36268.100000000006"/>
    <n v="23244.100000000002"/>
    <n v="0"/>
    <n v="0"/>
    <s v="ระบุในSD"/>
  </r>
  <r>
    <d v="2025-08-21T00:00:00"/>
    <x v="71"/>
    <x v="23"/>
    <s v="ถุงเขียว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5"/>
    <n v="5000"/>
    <n v="0"/>
    <n v="5000"/>
    <n v="0"/>
    <n v="5250"/>
    <x v="11"/>
    <n v="4959.3500000000004"/>
    <n v="2581"/>
    <n v="2378.3500000000004"/>
    <n v="0"/>
    <n v="0"/>
    <n v="0"/>
  </r>
  <r>
    <d v="2025-08-21T00:00:00"/>
    <x v="71"/>
    <x v="23"/>
    <s v="ถุงม่วง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5"/>
    <n v="5000"/>
    <n v="0"/>
    <n v="5000"/>
    <n v="2665"/>
    <n v="2451.75"/>
    <x v="11"/>
    <n v="2431.8172724999999"/>
    <n v="2431.8172724999999"/>
    <n v="0"/>
    <n v="0"/>
    <n v="0"/>
    <n v="0"/>
  </r>
  <r>
    <d v="2025-08-21T00:00:00"/>
    <x v="71"/>
    <x v="23"/>
    <s v="ถุงน้ำตาล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5"/>
    <n v="5000"/>
    <n v="0"/>
    <n v="5000"/>
    <n v="0"/>
    <n v="5250"/>
    <x v="11"/>
    <n v="4959.3500000000004"/>
    <n v="0"/>
    <n v="4959.3500000000004"/>
    <n v="0"/>
    <n v="0"/>
    <n v="0"/>
  </r>
  <r>
    <d v="1899-12-30T00:00:00"/>
    <x v="2"/>
    <x v="2"/>
    <n v="0"/>
    <n v="23"/>
    <n v="34"/>
    <s v="ขาวแถบใส2"/>
    <n v="0"/>
    <n v="68"/>
    <s v="±"/>
    <n v="5"/>
    <n v="0"/>
    <n v="0"/>
    <n v="0"/>
    <n v="0"/>
    <n v="0"/>
    <n v="0"/>
    <n v="0"/>
    <n v="0"/>
    <x v="2"/>
    <n v="0"/>
    <n v="0"/>
    <n v="0"/>
    <n v="0"/>
    <n v="0"/>
    <x v="11"/>
    <n v="12350.517272500001"/>
    <n v="5012.8172725000004"/>
    <n v="7337.7000000000007"/>
    <n v="0"/>
    <n v="0"/>
    <s v="ระบุในSD"/>
  </r>
  <r>
    <d v="2025-08-18T00:00:00"/>
    <x v="72"/>
    <x v="26"/>
    <s v="ดวงใจ(ชมพู-ม่วง)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7"/>
    <n v="10000"/>
    <n v="9758"/>
    <n v="242"/>
    <n v="10575"/>
    <n v="0"/>
    <x v="12"/>
    <n v="0"/>
    <n v="0"/>
    <n v="0"/>
    <n v="0"/>
    <n v="0"/>
    <n v="0"/>
  </r>
  <r>
    <d v="2025-03-11T00:00:00"/>
    <x v="73"/>
    <x v="21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3"/>
    <n v="1000"/>
    <n v="0"/>
    <n v="1000"/>
    <n v="0"/>
    <n v="0"/>
    <x v="12"/>
    <n v="1159.5100000000002"/>
    <n v="1159.5100000000002"/>
    <n v="0"/>
    <n v="1159.5100000000002"/>
    <n v="0"/>
    <s v="ห้ามขาด-เกินได้5%"/>
  </r>
  <r>
    <d v="1899-12-30T00:00:00"/>
    <x v="2"/>
    <x v="2"/>
    <n v="0"/>
    <n v="23"/>
    <n v="37"/>
    <n v="0"/>
    <n v="0"/>
    <n v="85"/>
    <s v="±"/>
    <n v="5"/>
    <n v="0"/>
    <n v="0"/>
    <n v="0"/>
    <n v="0"/>
    <n v="0"/>
    <n v="0"/>
    <n v="0"/>
    <n v="0"/>
    <x v="2"/>
    <n v="0"/>
    <n v="0"/>
    <n v="0"/>
    <n v="0"/>
    <n v="0"/>
    <x v="12"/>
    <n v="1159.5100000000002"/>
    <n v="1159.5100000000002"/>
    <n v="0"/>
    <n v="1159.5100000000002"/>
    <n v="0"/>
    <s v="ระบุในSD"/>
  </r>
  <r>
    <d v="2024-11-05T00:00:00"/>
    <x v="74"/>
    <x v="27"/>
    <s v="Green for white sugar"/>
    <n v="23"/>
    <n v="37"/>
    <s v="ขาว"/>
    <n v="0"/>
    <n v="130"/>
    <s v="±"/>
    <n v="5"/>
    <s v="บิด"/>
    <n v="24"/>
    <n v="40"/>
    <n v="55"/>
    <n v="3207.7128103679997"/>
    <n v="0"/>
    <n v="3207.7128103679997"/>
    <s v="300แบน"/>
    <x v="3"/>
    <n v="100000"/>
    <n v="1500"/>
    <n v="98500"/>
    <n v="0"/>
    <n v="103425"/>
    <x v="13"/>
    <n v="105955.465"/>
    <n v="7595"/>
    <n v="98360.464999999997"/>
    <n v="0"/>
    <n v="0"/>
    <n v="0"/>
  </r>
  <r>
    <d v="2024-11-05T00:00:00"/>
    <x v="74"/>
    <x v="27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3"/>
    <n v="337878"/>
    <n v="0"/>
    <n v="337878"/>
    <n v="0"/>
    <n v="354771.9"/>
    <x v="13"/>
    <n v="363451.98582000006"/>
    <n v="0"/>
    <n v="363451.98582000006"/>
    <n v="0"/>
    <n v="0"/>
    <n v="0"/>
  </r>
  <r>
    <d v="1899-12-30T00:00:00"/>
    <x v="2"/>
    <x v="2"/>
    <n v="0"/>
    <n v="23"/>
    <n v="37"/>
    <n v="0"/>
    <n v="0"/>
    <n v="128"/>
    <s v="±"/>
    <n v="5"/>
    <n v="0"/>
    <n v="0"/>
    <n v="0"/>
    <n v="0"/>
    <n v="0"/>
    <n v="0"/>
    <n v="0"/>
    <n v="0"/>
    <x v="2"/>
    <n v="0"/>
    <n v="0"/>
    <n v="0"/>
    <n v="0"/>
    <n v="0"/>
    <x v="13"/>
    <n v="469407.45082000003"/>
    <n v="7595"/>
    <n v="461812.45082000003"/>
    <n v="0"/>
    <n v="0"/>
    <s v="ระบุในSD"/>
  </r>
  <r>
    <d v="2025-08-25T00:00:00"/>
    <x v="11"/>
    <x v="28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10"/>
    <n v="10000"/>
    <n v="0"/>
    <n v="10000"/>
    <n v="0"/>
    <n v="0"/>
    <x v="14"/>
    <n v="11315.7"/>
    <n v="5800"/>
    <n v="5515.7000000000007"/>
    <n v="0"/>
    <n v="0"/>
    <n v="0"/>
  </r>
  <r>
    <s v="ประมาณการ"/>
    <x v="1"/>
    <x v="29"/>
    <s v="รอแบบ"/>
    <n v="26"/>
    <n v="41"/>
    <s v="ขาว"/>
    <n v="0"/>
    <n v="97"/>
    <s v="±"/>
    <n v="5"/>
    <s v="บิด"/>
    <n v="27"/>
    <n v="43"/>
    <n v="40"/>
    <n v="229.14349009919997"/>
    <n v="0"/>
    <n v="229.14349009919997"/>
    <s v="300กระสอบ"/>
    <x v="5"/>
    <n v="8000"/>
    <n v="0"/>
    <n v="8000"/>
    <n v="0"/>
    <n v="8400"/>
    <x v="14"/>
    <n v="9499.6"/>
    <n v="0"/>
    <n v="9499.6"/>
    <n v="0"/>
    <n v="0"/>
    <n v="0"/>
  </r>
  <r>
    <d v="1899-12-30T00:00:00"/>
    <x v="2"/>
    <x v="2"/>
    <n v="0"/>
    <n v="26"/>
    <n v="43"/>
    <s v="ขาว"/>
    <n v="0"/>
    <n v="102"/>
    <s v="±"/>
    <n v="5"/>
    <n v="0"/>
    <n v="0"/>
    <n v="0"/>
    <n v="0"/>
    <n v="0"/>
    <n v="0"/>
    <n v="0"/>
    <n v="0"/>
    <x v="2"/>
    <n v="0"/>
    <n v="0"/>
    <n v="0"/>
    <n v="0"/>
    <n v="0"/>
    <x v="14"/>
    <n v="20815.300000000003"/>
    <n v="5800"/>
    <n v="15015.300000000001"/>
    <n v="0"/>
    <n v="0"/>
    <s v="ระบุในSD"/>
  </r>
  <r>
    <s v="ประมาณการ"/>
    <x v="1"/>
    <x v="20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0"/>
    <x v="15"/>
    <n v="12433.3"/>
    <n v="12433.3"/>
    <n v="0"/>
    <n v="0"/>
    <n v="0"/>
    <n v="0"/>
  </r>
  <r>
    <d v="1899-12-30T00:00:00"/>
    <x v="2"/>
    <x v="2"/>
    <n v="0"/>
    <n v="26"/>
    <n v="43"/>
    <n v="0"/>
    <n v="0"/>
    <n v="116"/>
    <s v="±"/>
    <n v="5"/>
    <n v="0"/>
    <n v="0"/>
    <n v="0"/>
    <n v="0"/>
    <n v="0"/>
    <n v="0"/>
    <n v="0"/>
    <n v="0"/>
    <x v="2"/>
    <n v="0"/>
    <n v="0"/>
    <n v="0"/>
    <n v="0"/>
    <n v="0"/>
    <x v="15"/>
    <n v="12433.3"/>
    <n v="12433.3"/>
    <n v="0"/>
    <n v="0"/>
    <n v="0"/>
    <s v="ระบุในSD"/>
  </r>
  <r>
    <s v="ประมาณการ"/>
    <x v="1"/>
    <x v="20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4"/>
    <n v="30000"/>
    <n v="0"/>
    <n v="30000"/>
    <n v="0"/>
    <n v="31500"/>
    <x v="16"/>
    <n v="37299.899999999994"/>
    <n v="37299.899999999994"/>
    <n v="0"/>
    <n v="0"/>
    <n v="37299.899999999994"/>
    <n v="0"/>
  </r>
  <r>
    <d v="1899-12-30T00:00:00"/>
    <x v="2"/>
    <x v="2"/>
    <n v="0"/>
    <n v="26"/>
    <n v="43"/>
    <n v="0"/>
    <n v="0"/>
    <n v="120"/>
    <s v="±"/>
    <n v="5"/>
    <n v="0"/>
    <n v="0"/>
    <n v="0"/>
    <n v="0"/>
    <n v="0"/>
    <n v="0"/>
    <n v="0"/>
    <n v="0"/>
    <x v="2"/>
    <n v="0"/>
    <n v="0"/>
    <n v="0"/>
    <n v="0"/>
    <n v="0"/>
    <x v="16"/>
    <n v="37299.899999999994"/>
    <n v="37299.899999999994"/>
    <n v="0"/>
    <n v="0"/>
    <n v="37299.899999999994"/>
    <s v="ระบุในSD"/>
  </r>
  <r>
    <d v="2025-07-19T00:00:00"/>
    <x v="75"/>
    <x v="30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7"/>
    <n v="3000"/>
    <n v="2841"/>
    <n v="159"/>
    <n v="34283"/>
    <n v="0"/>
    <x v="17"/>
    <n v="0"/>
    <n v="0"/>
    <n v="0"/>
    <n v="0"/>
    <n v="0"/>
    <n v="0"/>
  </r>
  <r>
    <d v="2025-08-26T00:00:00"/>
    <x v="11"/>
    <x v="30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17"/>
    <n v="50000"/>
    <n v="0"/>
    <n v="50000"/>
    <n v="0"/>
    <n v="52500"/>
    <x v="17"/>
    <n v="59372.5"/>
    <n v="59372.5"/>
    <n v="0"/>
    <n v="0"/>
    <n v="0"/>
    <n v="0"/>
  </r>
  <r>
    <s v="ประมาณการ"/>
    <x v="1"/>
    <x v="20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0"/>
    <x v="17"/>
    <n v="6775.4500000000007"/>
    <n v="3925"/>
    <n v="2850.4500000000007"/>
    <n v="0"/>
    <n v="6775.4500000000007"/>
    <n v="0"/>
  </r>
  <r>
    <d v="1899-12-30T00:00:00"/>
    <x v="2"/>
    <x v="2"/>
    <n v="0"/>
    <n v="28"/>
    <n v="43"/>
    <n v="0"/>
    <n v="0"/>
    <n v="130"/>
    <s v="±"/>
    <n v="3"/>
    <n v="0"/>
    <n v="0"/>
    <n v="0"/>
    <n v="0"/>
    <n v="0"/>
    <n v="0"/>
    <n v="0"/>
    <n v="0"/>
    <x v="2"/>
    <n v="0"/>
    <n v="0"/>
    <n v="0"/>
    <n v="0"/>
    <n v="0"/>
    <x v="17"/>
    <n v="66147.95"/>
    <n v="63297.5"/>
    <n v="2850.4500000000007"/>
    <n v="0"/>
    <n v="6775.4500000000007"/>
    <s v="ระบุในS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">
  <r>
    <d v="2025-07-04T00:00:00"/>
    <x v="0"/>
    <x v="0"/>
    <s v="พี-มินเนอร์ นิวพลัส"/>
    <n v="16"/>
    <n v="28"/>
    <s v="ขาว"/>
    <s v="ใส"/>
    <n v="56"/>
    <s v="±"/>
    <n v="5"/>
    <s v="ไม่"/>
    <n v="19"/>
    <n v="31"/>
    <n v="40"/>
    <n v="1.1334313331327999"/>
    <n v="0"/>
    <n v="1.1334313331327999"/>
    <s v="500กระสอบ"/>
    <x v="0"/>
    <n v="4000"/>
    <n v="3922"/>
    <n v="78"/>
    <n v="5295"/>
    <n v="0"/>
    <x v="0"/>
    <n v="0"/>
    <n v="0"/>
    <n v="0"/>
    <n v="0"/>
    <n v="0"/>
    <s v="รอส่ง รอลูกค้ามารับเอง"/>
  </r>
  <r>
    <d v="2025-08-27T00:00:00"/>
    <x v="1"/>
    <x v="1"/>
    <s v="พระอาทิตย์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1"/>
    <n v="5000"/>
    <n v="0"/>
    <n v="5000"/>
    <n v="0"/>
    <n v="5250"/>
    <x v="0"/>
    <n v="3702.0499999999997"/>
    <n v="3702.0499999999997"/>
    <n v="0"/>
    <n v="0"/>
    <n v="3702.0499999999997"/>
    <n v="0"/>
  </r>
  <r>
    <d v="1899-12-30T00:00:00"/>
    <x v="2"/>
    <x v="2"/>
    <s v=" "/>
    <n v="16"/>
    <n v="25"/>
    <s v="ขาว"/>
    <n v="0"/>
    <n v="45"/>
    <s v="±"/>
    <n v="5"/>
    <n v="0"/>
    <n v="0"/>
    <n v="0"/>
    <n v="0"/>
    <n v="0"/>
    <n v="0"/>
    <n v="0"/>
    <n v="0"/>
    <x v="2"/>
    <n v="0"/>
    <n v="0"/>
    <n v="0"/>
    <n v="0"/>
    <n v="0"/>
    <x v="0"/>
    <n v="3702.0499999999997"/>
    <n v="3702.0499999999997"/>
    <n v="0"/>
    <n v="0"/>
    <n v="3702.0499999999997"/>
    <s v="ระบุในSD"/>
  </r>
  <r>
    <d v="2025-08-28T00:00:00"/>
    <x v="3"/>
    <x v="3"/>
    <s v="โบว์แดง 10กก.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3"/>
    <n v="5000"/>
    <n v="5000"/>
    <n v="0"/>
    <n v="5400"/>
    <n v="0"/>
    <x v="1"/>
    <n v="0"/>
    <n v="0"/>
    <n v="0"/>
    <n v="0"/>
    <n v="0"/>
    <n v="0"/>
  </r>
  <r>
    <d v="2025-08-28T00:00:00"/>
    <x v="3"/>
    <x v="3"/>
    <s v="โบว์น้ำเงิน 10กก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1"/>
    <n v="3702.0499999999997"/>
    <n v="0"/>
    <n v="3702.0499999999997"/>
    <n v="0"/>
    <n v="0"/>
    <n v="0"/>
  </r>
  <r>
    <d v="2025-08-28T00:00:00"/>
    <x v="3"/>
    <x v="3"/>
    <s v="โดนัทแฟนฉัน 10กก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4"/>
    <n v="5000"/>
    <n v="0"/>
    <n v="5000"/>
    <n v="735"/>
    <n v="4478.25"/>
    <x v="1"/>
    <n v="3315.7410825000002"/>
    <n v="0"/>
    <n v="3315.7410825000002"/>
    <n v="0"/>
    <n v="0"/>
    <n v="0"/>
  </r>
  <r>
    <d v="2025-08-28T00:00:00"/>
    <x v="3"/>
    <x v="3"/>
    <s v="น้องเอินโดนัท 10กก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5"/>
    <n v="5000"/>
    <n v="0"/>
    <n v="5000"/>
    <n v="0"/>
    <n v="5250"/>
    <x v="1"/>
    <n v="3702.0499999999997"/>
    <n v="0"/>
    <n v="3702.0499999999997"/>
    <n v="0"/>
    <n v="0"/>
    <n v="0"/>
  </r>
  <r>
    <d v="1899-12-30T00:00:00"/>
    <x v="2"/>
    <x v="2"/>
    <n v="0"/>
    <n v="16"/>
    <n v="25"/>
    <s v="ขาว"/>
    <n v="0"/>
    <n v="45"/>
    <s v="±"/>
    <n v="5"/>
    <n v="0"/>
    <n v="0"/>
    <n v="0"/>
    <n v="0"/>
    <n v="0"/>
    <n v="0"/>
    <n v="0"/>
    <n v="0"/>
    <x v="2"/>
    <n v="0"/>
    <n v="0"/>
    <n v="0"/>
    <n v="0"/>
    <n v="0"/>
    <x v="1"/>
    <n v="10719.841082499999"/>
    <n v="0"/>
    <n v="10719.841082499999"/>
    <n v="0"/>
    <n v="0"/>
    <s v="ระบุในSD"/>
  </r>
  <r>
    <s v="ประมาณการ"/>
    <x v="4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6"/>
    <n v="15000"/>
    <n v="0"/>
    <n v="15000"/>
    <n v="0"/>
    <n v="15750"/>
    <x v="2"/>
    <n v="13201.65"/>
    <n v="2599"/>
    <n v="10602.65"/>
    <n v="0"/>
    <n v="0"/>
    <n v="0"/>
  </r>
  <r>
    <d v="1899-12-30T00:00:00"/>
    <x v="2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2"/>
    <n v="0"/>
    <n v="0"/>
    <n v="0"/>
    <n v="0"/>
    <n v="0"/>
    <x v="2"/>
    <n v="13201.65"/>
    <n v="2599"/>
    <n v="10602.65"/>
    <n v="0"/>
    <n v="0"/>
    <s v="ระบุในSD"/>
  </r>
  <r>
    <d v="2025-09-01T00:00:00"/>
    <x v="5"/>
    <x v="6"/>
    <s v="YUNGYONG"/>
    <n v="18"/>
    <n v="26"/>
    <s v="ขาว"/>
    <s v="ใส"/>
    <n v="65"/>
    <s v="±"/>
    <n v="5"/>
    <s v="บิด"/>
    <n v="19"/>
    <n v="29"/>
    <n v="40"/>
    <n v="67.968380191999998"/>
    <n v="0"/>
    <n v="67.968380191999998"/>
    <s v="500กระสอบแบน"/>
    <x v="7"/>
    <n v="5000"/>
    <n v="0"/>
    <n v="5000"/>
    <n v="0"/>
    <n v="5250"/>
    <x v="3"/>
    <n v="3841.7500000000005"/>
    <n v="2000"/>
    <n v="1841.7500000000005"/>
    <n v="0"/>
    <n v="3841.7500000000005"/>
    <n v="0"/>
  </r>
  <r>
    <d v="1899-12-30T00:00:00"/>
    <x v="2"/>
    <x v="2"/>
    <s v=" "/>
    <n v="18"/>
    <n v="25"/>
    <s v="ขาว"/>
    <n v="0"/>
    <n v="50"/>
    <s v="±"/>
    <n v="5"/>
    <n v="0"/>
    <n v="0"/>
    <n v="0"/>
    <n v="0"/>
    <n v="0"/>
    <n v="0"/>
    <n v="0"/>
    <n v="0"/>
    <x v="2"/>
    <n v="0"/>
    <n v="0"/>
    <n v="0"/>
    <n v="0"/>
    <n v="0"/>
    <x v="3"/>
    <n v="3841.7500000000005"/>
    <n v="2000"/>
    <n v="1841.7500000000005"/>
    <n v="0"/>
    <n v="3841.7500000000005"/>
    <s v="ระบุในSD"/>
  </r>
  <r>
    <d v="2025-08-29T00:00:00"/>
    <x v="6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8"/>
    <n v="50000"/>
    <n v="0"/>
    <n v="50000"/>
    <n v="0"/>
    <n v="52500"/>
    <x v="4"/>
    <n v="44005.499999999993"/>
    <n v="24047"/>
    <n v="19958.499999999993"/>
    <n v="0"/>
    <n v="0"/>
    <n v="0"/>
  </r>
  <r>
    <d v="2025-08-29T00:00:00"/>
    <x v="7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8"/>
    <n v="40000"/>
    <n v="0"/>
    <n v="40000"/>
    <n v="0"/>
    <n v="42000"/>
    <x v="4"/>
    <n v="35204.400000000001"/>
    <n v="0"/>
    <n v="35204.400000000001"/>
    <n v="0"/>
    <n v="0"/>
    <n v="0"/>
  </r>
  <r>
    <s v="ประมาณการ"/>
    <x v="4"/>
    <x v="8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40000"/>
    <n v="0"/>
    <n v="40000"/>
    <n v="0"/>
    <n v="42000"/>
    <x v="4"/>
    <n v="35204.400000000001"/>
    <n v="0"/>
    <n v="35204.400000000001"/>
    <n v="0"/>
    <n v="0"/>
    <n v="0"/>
  </r>
  <r>
    <s v="ประมาณการ"/>
    <x v="4"/>
    <x v="9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5"/>
    <n v="20000"/>
    <n v="233"/>
    <n v="19767"/>
    <n v="0"/>
    <n v="20755.350000000002"/>
    <x v="4"/>
    <n v="18501.714330000003"/>
    <n v="0"/>
    <n v="18501.714330000003"/>
    <n v="0"/>
    <n v="0"/>
    <n v="0"/>
  </r>
  <r>
    <d v="1899-12-30T00:00:00"/>
    <x v="2"/>
    <x v="2"/>
    <n v="0"/>
    <n v="19"/>
    <n v="30"/>
    <s v="ขาว"/>
    <n v="0"/>
    <n v="60"/>
    <s v="±"/>
    <n v="5"/>
    <n v="0"/>
    <n v="0"/>
    <n v="0"/>
    <n v="0"/>
    <n v="0"/>
    <n v="0"/>
    <n v="0"/>
    <n v="0"/>
    <x v="2"/>
    <n v="0"/>
    <n v="0"/>
    <n v="0"/>
    <n v="0"/>
    <n v="0"/>
    <x v="4"/>
    <n v="132916.01432999998"/>
    <n v="24047"/>
    <n v="108869.01432999999"/>
    <n v="0"/>
    <n v="0"/>
    <s v="ระบุในSD"/>
  </r>
  <r>
    <d v="2025-08-27T00:00:00"/>
    <x v="8"/>
    <x v="3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5000"/>
    <n v="0"/>
    <n v="5400"/>
    <n v="0"/>
    <x v="5"/>
    <n v="0"/>
    <n v="0"/>
    <n v="0"/>
    <n v="0"/>
    <n v="0"/>
    <n v="0"/>
  </r>
  <r>
    <d v="2025-08-27T00:00:00"/>
    <x v="8"/>
    <x v="3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3"/>
    <n v="5000"/>
    <n v="5000"/>
    <n v="0"/>
    <n v="5400"/>
    <n v="0"/>
    <x v="5"/>
    <n v="0"/>
    <n v="0"/>
    <n v="0"/>
    <n v="0"/>
    <n v="0"/>
    <n v="0"/>
  </r>
  <r>
    <d v="2025-08-27T00:00:00"/>
    <x v="8"/>
    <x v="3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5000"/>
    <n v="0"/>
    <n v="5400"/>
    <n v="0"/>
    <x v="5"/>
    <n v="0"/>
    <n v="0"/>
    <n v="0"/>
    <n v="0"/>
    <n v="0"/>
    <n v="0"/>
  </r>
  <r>
    <d v="2025-08-27T00:00:00"/>
    <x v="8"/>
    <x v="3"/>
    <s v="บลูที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5000"/>
    <n v="0"/>
    <n v="5400"/>
    <n v="0"/>
    <x v="5"/>
    <n v="0"/>
    <n v="0"/>
    <n v="0"/>
    <n v="0"/>
    <n v="0"/>
    <n v="0"/>
  </r>
  <r>
    <d v="2025-08-27T00:00:00"/>
    <x v="8"/>
    <x v="3"/>
    <s v="WHOLE WHEAT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5000"/>
    <n v="0"/>
    <n v="5500"/>
    <n v="0"/>
    <x v="5"/>
    <n v="0"/>
    <n v="0"/>
    <n v="0"/>
    <n v="0"/>
    <n v="0"/>
    <n v="0"/>
  </r>
  <r>
    <d v="2025-08-27T00:00:00"/>
    <x v="9"/>
    <x v="3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10000"/>
    <n v="10000"/>
    <n v="0"/>
    <n v="10400"/>
    <n v="0"/>
    <x v="5"/>
    <n v="0"/>
    <n v="0"/>
    <n v="0"/>
    <n v="0"/>
    <n v="0"/>
    <n v="0"/>
  </r>
  <r>
    <d v="2025-08-27T00:00:00"/>
    <x v="9"/>
    <x v="3"/>
    <s v="แต้มท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5000"/>
    <n v="0"/>
    <n v="5400"/>
    <n v="0"/>
    <x v="5"/>
    <n v="0"/>
    <n v="0"/>
    <n v="0"/>
    <n v="0"/>
    <n v="0"/>
    <n v="0"/>
  </r>
  <r>
    <d v="2025-08-27T00:00:00"/>
    <x v="9"/>
    <x v="3"/>
    <s v="แปด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0"/>
    <n v="5000"/>
    <n v="0"/>
    <n v="5250"/>
    <x v="5"/>
    <n v="4679.9500000000007"/>
    <n v="4679.9500000000007"/>
    <n v="0"/>
    <n v="0"/>
    <n v="0"/>
    <n v="0"/>
  </r>
  <r>
    <d v="2025-08-27T00:00:00"/>
    <x v="8"/>
    <x v="3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10000"/>
    <n v="0"/>
    <n v="10000"/>
    <n v="10500"/>
    <n v="0"/>
    <x v="5"/>
    <n v="0"/>
    <n v="0"/>
    <n v="0"/>
    <n v="0"/>
    <n v="0"/>
    <n v="0"/>
  </r>
  <r>
    <d v="2025-08-27T00:00:00"/>
    <x v="8"/>
    <x v="3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n v="0"/>
  </r>
  <r>
    <d v="2025-08-27T00:00:00"/>
    <x v="8"/>
    <x v="3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5746"/>
    <n v="0"/>
    <n v="0"/>
    <n v="0"/>
    <x v="5"/>
    <n v="0"/>
    <n v="0"/>
    <n v="0"/>
    <n v="0"/>
    <n v="0"/>
    <n v="0"/>
  </r>
  <r>
    <d v="2025-08-27T00:00:00"/>
    <x v="8"/>
    <x v="3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5400"/>
    <n v="0"/>
    <x v="5"/>
    <n v="0"/>
    <n v="0"/>
    <n v="0"/>
    <n v="0"/>
    <n v="0"/>
    <n v="0"/>
  </r>
  <r>
    <d v="2025-08-27T00:00:00"/>
    <x v="8"/>
    <x v="3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n v="0"/>
  </r>
  <r>
    <d v="2025-08-27T00:00:00"/>
    <x v="9"/>
    <x v="3"/>
    <s v="เคเอ็ม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n v="0"/>
  </r>
  <r>
    <d v="2025-08-27T00:00:00"/>
    <x v="9"/>
    <x v="3"/>
    <s v="ดอกไม้ม่ว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n v="0"/>
  </r>
  <r>
    <d v="2025-08-27T00:00:00"/>
    <x v="9"/>
    <x v="3"/>
    <s v="แต้ม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4500"/>
    <n v="500"/>
    <n v="5250"/>
    <n v="0"/>
    <x v="5"/>
    <n v="0"/>
    <n v="0"/>
    <n v="0"/>
    <n v="0"/>
    <n v="0"/>
    <n v="0"/>
  </r>
  <r>
    <d v="2025-08-27T00:00:00"/>
    <x v="8"/>
    <x v="3"/>
    <s v="HARD FLOUR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5"/>
    <n v="4679.9500000000007"/>
    <n v="4679.9500000000007"/>
    <n v="0"/>
    <n v="0"/>
    <n v="0"/>
    <n v="0"/>
  </r>
  <r>
    <d v="2025-08-27T00:00:00"/>
    <x v="8"/>
    <x v="3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4"/>
    <n v="5000"/>
    <n v="5000"/>
    <n v="0"/>
    <n v="5250"/>
    <n v="0"/>
    <x v="5"/>
    <n v="0"/>
    <n v="0"/>
    <n v="0"/>
    <n v="0"/>
    <n v="0"/>
    <n v="0"/>
  </r>
  <r>
    <d v="2025-08-27T00:00:00"/>
    <x v="8"/>
    <x v="3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4"/>
    <n v="5000"/>
    <n v="5000"/>
    <n v="0"/>
    <n v="5250"/>
    <n v="0"/>
    <x v="5"/>
    <n v="0"/>
    <n v="0"/>
    <n v="0"/>
    <n v="0"/>
    <n v="0"/>
    <n v="0"/>
  </r>
  <r>
    <d v="2025-08-27T00:00:00"/>
    <x v="8"/>
    <x v="3"/>
    <s v="KFM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4"/>
    <n v="5000"/>
    <n v="0"/>
    <n v="5000"/>
    <n v="5400"/>
    <n v="0"/>
    <x v="5"/>
    <n v="0"/>
    <n v="0"/>
    <n v="0"/>
    <n v="0"/>
    <n v="0"/>
    <n v="0"/>
  </r>
  <r>
    <d v="2025-08-27T00:00:00"/>
    <x v="8"/>
    <x v="3"/>
    <s v="แต้ม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5250"/>
    <n v="0"/>
    <x v="5"/>
    <n v="0"/>
    <n v="0"/>
    <n v="0"/>
    <n v="0"/>
    <n v="0"/>
    <n v="0"/>
  </r>
  <r>
    <d v="2025-08-29T00:00:00"/>
    <x v="9"/>
    <x v="3"/>
    <s v="หีบเพลง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5"/>
    <n v="4679.9500000000007"/>
    <n v="4679.9500000000007"/>
    <n v="0"/>
    <n v="0"/>
    <n v="0"/>
    <n v="0"/>
  </r>
  <r>
    <d v="2025-08-29T00:00:00"/>
    <x v="9"/>
    <x v="3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5"/>
    <n v="4679.9500000000007"/>
    <n v="4679.9500000000007"/>
    <n v="0"/>
    <n v="0"/>
    <n v="0"/>
    <n v="0"/>
  </r>
  <r>
    <d v="2025-08-29T00:00:00"/>
    <x v="9"/>
    <x v="3"/>
    <s v="FW-Y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5400"/>
    <n v="0"/>
    <x v="5"/>
    <n v="0"/>
    <n v="0"/>
    <n v="0"/>
    <n v="0"/>
    <n v="0"/>
    <n v="0"/>
  </r>
  <r>
    <s v="ประมาณการ"/>
    <x v="4"/>
    <x v="3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270000"/>
    <n v="0"/>
    <n v="270000"/>
    <n v="0"/>
    <n v="283500"/>
    <x v="5"/>
    <n v="252717.30000000002"/>
    <n v="12401"/>
    <n v="240316.30000000002"/>
    <n v="0"/>
    <n v="0"/>
    <n v="0"/>
  </r>
  <r>
    <d v="1899-12-30T00:00:00"/>
    <x v="2"/>
    <x v="2"/>
    <n v="0"/>
    <n v="19"/>
    <n v="30"/>
    <n v="0"/>
    <n v="0"/>
    <n v="63"/>
    <s v="+"/>
    <n v="5"/>
    <n v="0"/>
    <n v="0"/>
    <n v="0"/>
    <n v="0"/>
    <n v="0"/>
    <n v="0"/>
    <n v="0"/>
    <n v="0"/>
    <x v="2"/>
    <n v="0"/>
    <n v="0"/>
    <n v="0"/>
    <n v="0"/>
    <n v="0"/>
    <x v="5"/>
    <n v="290156.90000000002"/>
    <n v="49840.600000000006"/>
    <n v="240316.30000000002"/>
    <n v="0"/>
    <n v="0"/>
    <s v="ระบุในSD"/>
  </r>
  <r>
    <d v="2025-05-19T00:00:00"/>
    <x v="10"/>
    <x v="10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6"/>
    <n v="503"/>
    <n v="0"/>
    <n v="503"/>
    <n v="5250"/>
    <n v="0"/>
    <x v="6"/>
    <n v="0"/>
    <n v="0"/>
    <n v="0"/>
    <n v="0"/>
    <n v="0"/>
    <n v="0"/>
  </r>
  <r>
    <d v="1899-12-30T00:00:00"/>
    <x v="2"/>
    <x v="2"/>
    <n v="0"/>
    <n v="19"/>
    <n v="34"/>
    <s v="ขาว"/>
    <n v="0"/>
    <n v="80"/>
    <s v="±"/>
    <n v="5"/>
    <n v="0"/>
    <n v="0"/>
    <n v="0"/>
    <n v="0"/>
    <n v="0"/>
    <n v="0"/>
    <n v="0"/>
    <n v="0"/>
    <x v="2"/>
    <n v="0"/>
    <n v="0"/>
    <n v="0"/>
    <n v="0"/>
    <n v="0"/>
    <x v="6"/>
    <n v="0"/>
    <n v="0"/>
    <n v="0"/>
    <n v="0"/>
    <n v="0"/>
    <s v="ระบุในSD"/>
  </r>
  <r>
    <d v="2025-08-18T00:00:00"/>
    <x v="11"/>
    <x v="10"/>
    <s v="เฟิร์สคลาส 912"/>
    <n v="20"/>
    <n v="35"/>
    <s v="ขาว"/>
    <s v="ด้าน"/>
    <n v="97"/>
    <s v="±"/>
    <n v="5"/>
    <s v="จับจีบ"/>
    <s v="ไม่สวมถุงใน"/>
    <n v="0"/>
    <n v="0"/>
    <n v="0"/>
    <n v="0"/>
    <n v="0"/>
    <s v="มัด80 ใช้สายรัด"/>
    <x v="3"/>
    <n v="5040"/>
    <n v="5040"/>
    <n v="0"/>
    <n v="10200"/>
    <n v="0"/>
    <x v="7"/>
    <n v="0"/>
    <n v="0"/>
    <n v="0"/>
    <n v="0"/>
    <n v="0"/>
    <s v="สีไม่เหมือน"/>
  </r>
  <r>
    <d v="2025-08-08T00:00:00"/>
    <x v="12"/>
    <x v="11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3000"/>
    <n v="0"/>
    <n v="3300"/>
    <n v="0"/>
    <x v="7"/>
    <n v="0"/>
    <n v="0"/>
    <n v="0"/>
    <n v="0"/>
    <n v="0"/>
    <n v="0"/>
  </r>
  <r>
    <d v="2025-08-23T00:00:00"/>
    <x v="13"/>
    <x v="12"/>
    <s v="Rocky quick lime"/>
    <n v="20"/>
    <n v="30"/>
    <s v="ขาว"/>
    <s v="ใส"/>
    <n v="80"/>
    <s v="±"/>
    <n v="5"/>
    <s v="จับจีบ5&quot;"/>
    <n v="21"/>
    <n v="33"/>
    <n v="40"/>
    <n v="0"/>
    <n v="0"/>
    <n v="0"/>
    <s v="500กระสอบ"/>
    <x v="11"/>
    <n v="10000"/>
    <n v="10000"/>
    <n v="0"/>
    <n v="10500"/>
    <n v="0"/>
    <x v="7"/>
    <n v="0"/>
    <n v="0"/>
    <n v="0"/>
    <n v="0"/>
    <n v="0"/>
    <n v="0"/>
  </r>
  <r>
    <d v="2025-07-12T00:00:00"/>
    <x v="14"/>
    <x v="13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3000"/>
    <n v="3000"/>
    <n v="0"/>
    <n v="3300"/>
    <n v="0"/>
    <x v="7"/>
    <n v="0"/>
    <n v="0"/>
    <n v="0"/>
    <n v="0"/>
    <n v="0"/>
    <n v="0"/>
  </r>
  <r>
    <d v="2025-08-23T00:00:00"/>
    <x v="15"/>
    <x v="10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6"/>
    <n v="640"/>
    <n v="0"/>
    <n v="640"/>
    <n v="6000"/>
    <n v="0"/>
    <x v="7"/>
    <n v="0"/>
    <n v="0"/>
    <n v="0"/>
    <n v="0"/>
    <n v="0"/>
    <n v="0"/>
  </r>
  <r>
    <d v="2025-08-23T00:00:00"/>
    <x v="16"/>
    <x v="10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1840"/>
    <n v="80"/>
    <n v="1760"/>
    <n v="10650"/>
    <n v="0"/>
    <x v="7"/>
    <n v="0"/>
    <n v="0"/>
    <n v="0"/>
    <n v="0"/>
    <n v="0"/>
    <n v="0"/>
  </r>
  <r>
    <d v="2025-05-05T00:00:00"/>
    <x v="17"/>
    <x v="11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5000"/>
    <n v="4473"/>
    <n v="527"/>
    <n v="5200"/>
    <n v="0"/>
    <x v="7"/>
    <n v="0"/>
    <n v="0"/>
    <n v="0"/>
    <n v="0"/>
    <n v="0"/>
    <n v="0"/>
  </r>
  <r>
    <d v="2025-09-02T00:00:00"/>
    <x v="18"/>
    <x v="14"/>
    <s v="VC10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9"/>
    <n v="10000"/>
    <n v="0"/>
    <n v="10000"/>
    <n v="0"/>
    <n v="10500"/>
    <x v="7"/>
    <n v="10756.900000000001"/>
    <n v="10756.900000000001"/>
    <n v="0"/>
    <n v="0"/>
    <n v="10756.900000000001"/>
    <n v="0"/>
  </r>
  <r>
    <d v="2025-09-02T00:00:00"/>
    <x v="18"/>
    <x v="14"/>
    <s v="VC12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9"/>
    <n v="10000"/>
    <n v="0"/>
    <n v="10000"/>
    <n v="0"/>
    <n v="10500"/>
    <x v="7"/>
    <n v="10756.900000000001"/>
    <n v="10756.900000000001"/>
    <n v="0"/>
    <n v="0"/>
    <n v="10756.900000000001"/>
    <n v="0"/>
  </r>
  <r>
    <d v="2025-09-02T00:00:00"/>
    <x v="18"/>
    <x v="14"/>
    <s v="VC10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0"/>
    <n v="20000"/>
    <n v="0"/>
    <n v="20000"/>
    <n v="0"/>
    <n v="21000"/>
    <x v="7"/>
    <n v="21513.800000000003"/>
    <n v="2078"/>
    <n v="19435.800000000003"/>
    <n v="0"/>
    <n v="21513.800000000003"/>
    <n v="0"/>
  </r>
  <r>
    <d v="2025-09-02T00:00:00"/>
    <x v="18"/>
    <x v="14"/>
    <s v="VC12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0"/>
    <n v="20000"/>
    <n v="0"/>
    <n v="20000"/>
    <n v="0"/>
    <n v="21000"/>
    <x v="7"/>
    <n v="21513.800000000003"/>
    <n v="6183"/>
    <n v="15330.800000000003"/>
    <n v="0"/>
    <n v="21513.800000000003"/>
    <n v="0"/>
  </r>
  <r>
    <d v="2025-09-02T00:00:00"/>
    <x v="18"/>
    <x v="14"/>
    <s v="VC181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0"/>
    <n v="20000"/>
    <n v="0"/>
    <n v="20000"/>
    <n v="0"/>
    <n v="21000"/>
    <x v="7"/>
    <n v="21513.800000000003"/>
    <n v="0"/>
    <n v="21513.800000000003"/>
    <n v="0"/>
    <n v="21513.800000000003"/>
    <n v="0"/>
  </r>
  <r>
    <d v="2025-09-02T00:00:00"/>
    <x v="18"/>
    <x v="14"/>
    <s v="VC108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0"/>
    <n v="10000"/>
    <n v="0"/>
    <n v="10000"/>
    <n v="0"/>
    <n v="10500"/>
    <x v="7"/>
    <n v="10756.900000000001"/>
    <n v="0"/>
    <n v="10756.900000000001"/>
    <n v="0"/>
    <n v="10756.900000000001"/>
    <n v="0"/>
  </r>
  <r>
    <d v="2025-09-02T00:00:00"/>
    <x v="18"/>
    <x v="14"/>
    <s v="VC193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0"/>
    <n v="10000"/>
    <n v="0"/>
    <n v="10000"/>
    <n v="0"/>
    <n v="10500"/>
    <x v="7"/>
    <n v="10756.900000000001"/>
    <n v="0"/>
    <n v="10756.900000000001"/>
    <n v="0"/>
    <n v="10756.900000000001"/>
    <n v="0"/>
  </r>
  <r>
    <d v="2025-09-02T00:00:00"/>
    <x v="18"/>
    <x v="14"/>
    <s v="JET555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0"/>
    <n v="10000"/>
    <n v="0"/>
    <n v="10000"/>
    <n v="0"/>
    <n v="10500"/>
    <x v="7"/>
    <n v="10756.900000000001"/>
    <n v="0"/>
    <n v="10756.900000000001"/>
    <n v="0"/>
    <n v="10756.900000000001"/>
    <n v="0"/>
  </r>
  <r>
    <d v="2025-09-02T00:00:00"/>
    <x v="18"/>
    <x v="14"/>
    <s v="ไลด์ฟีด 405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0"/>
    <n v="5000"/>
    <n v="0"/>
    <n v="5000"/>
    <n v="0"/>
    <n v="5250"/>
    <x v="7"/>
    <n v="5378.4500000000007"/>
    <n v="0"/>
    <n v="5378.4500000000007"/>
    <n v="0"/>
    <n v="5378.4500000000007"/>
    <n v="0"/>
  </r>
  <r>
    <d v="2025-09-02T00:00:00"/>
    <x v="18"/>
    <x v="14"/>
    <s v="SPEED PLUS 405ENG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0"/>
    <n v="5000"/>
    <n v="0"/>
    <n v="5000"/>
    <n v="0"/>
    <n v="5250"/>
    <x v="7"/>
    <n v="5378.4500000000007"/>
    <n v="0"/>
    <n v="5378.4500000000007"/>
    <n v="0"/>
    <n v="5378.4500000000007"/>
    <n v="0"/>
  </r>
  <r>
    <d v="2025-08-04T00:00:00"/>
    <x v="19"/>
    <x v="13"/>
    <s v="U-FEED U2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4000"/>
    <n v="0"/>
    <n v="4000"/>
    <n v="0"/>
    <n v="4200"/>
    <x v="7"/>
    <n v="4414.5199999999995"/>
    <n v="4414.5199999999995"/>
    <n v="0"/>
    <n v="0"/>
    <n v="4414.5199999999995"/>
    <s v="ห้ามเกิน-ขาดได้5%"/>
  </r>
  <r>
    <s v="ประมาณการ"/>
    <x v="4"/>
    <x v="10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5"/>
    <n v="100000"/>
    <n v="0"/>
    <n v="100000"/>
    <n v="0"/>
    <n v="105000"/>
    <x v="7"/>
    <n v="104775.00000000001"/>
    <n v="0"/>
    <n v="104775.00000000001"/>
    <n v="0"/>
    <n v="104775.00000000001"/>
    <n v="0"/>
  </r>
  <r>
    <s v="ประมาณการ"/>
    <x v="4"/>
    <x v="11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20000"/>
    <n v="0"/>
    <n v="20000"/>
    <n v="0"/>
    <n v="21000"/>
    <x v="7"/>
    <n v="22072.6"/>
    <n v="0"/>
    <n v="22072.6"/>
    <n v="0"/>
    <n v="22072.6"/>
    <n v="0"/>
  </r>
  <r>
    <s v="ประมาณการ"/>
    <x v="4"/>
    <x v="15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5"/>
    <n v="20000"/>
    <n v="0"/>
    <n v="20000"/>
    <n v="0"/>
    <n v="21000"/>
    <x v="7"/>
    <n v="21513.800000000003"/>
    <n v="0"/>
    <n v="21513.800000000003"/>
    <n v="0"/>
    <n v="21513.800000000003"/>
    <n v="0"/>
  </r>
  <r>
    <d v="2025-08-23T00:00:00"/>
    <x v="20"/>
    <x v="11"/>
    <s v="SPM 312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แบน"/>
    <x v="10"/>
    <n v="3000"/>
    <n v="0"/>
    <n v="3000"/>
    <n v="0"/>
    <n v="3150"/>
    <x v="7"/>
    <n v="3227.07"/>
    <n v="3227.07"/>
    <n v="0"/>
    <n v="0"/>
    <n v="3227.07"/>
    <n v="0"/>
  </r>
  <r>
    <d v="2025-08-22T00:00:00"/>
    <x v="21"/>
    <x v="11"/>
    <s v="นาโน 0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0"/>
    <n v="9000"/>
    <n v="0"/>
    <n v="9000"/>
    <n v="0"/>
    <n v="9450"/>
    <x v="7"/>
    <n v="9932.67"/>
    <n v="9932.67"/>
    <n v="0"/>
    <n v="0"/>
    <n v="9932.67"/>
    <n v="0"/>
  </r>
  <r>
    <d v="2025-08-22T00:00:00"/>
    <x v="22"/>
    <x v="11"/>
    <s v="นาโน 01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0"/>
    <n v="4000"/>
    <n v="0"/>
    <n v="4000"/>
    <n v="0"/>
    <n v="4200"/>
    <x v="7"/>
    <n v="4414.5199999999995"/>
    <n v="4414.5199999999995"/>
    <n v="0"/>
    <n v="0"/>
    <n v="4414.5199999999995"/>
    <n v="0"/>
  </r>
  <r>
    <d v="2025-08-22T00:00:00"/>
    <x v="23"/>
    <x v="11"/>
    <s v="นาโน 0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0"/>
    <n v="9000"/>
    <n v="0"/>
    <n v="9000"/>
    <n v="0"/>
    <n v="9450"/>
    <x v="7"/>
    <n v="9932.67"/>
    <n v="5333"/>
    <n v="4599.67"/>
    <n v="0"/>
    <n v="9932.67"/>
    <n v="0"/>
  </r>
  <r>
    <d v="2025-08-18T00:00:00"/>
    <x v="24"/>
    <x v="10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6"/>
    <n v="104"/>
    <n v="0"/>
    <n v="104"/>
    <n v="11230"/>
    <n v="0"/>
    <x v="7"/>
    <n v="0"/>
    <n v="0"/>
    <n v="0"/>
    <n v="0"/>
    <n v="0"/>
    <n v="0"/>
  </r>
  <r>
    <d v="2025-08-27T00:00:00"/>
    <x v="25"/>
    <x v="11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3000"/>
    <n v="0"/>
    <n v="3000"/>
    <n v="0"/>
    <n v="3150"/>
    <x v="7"/>
    <n v="3310.89"/>
    <n v="0"/>
    <n v="3310.89"/>
    <n v="0"/>
    <n v="3310.89"/>
    <n v="0"/>
  </r>
  <r>
    <d v="2025-08-27T00:00:00"/>
    <x v="26"/>
    <x v="11"/>
    <s v="ฟิล กู๊ด พี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8000"/>
    <n v="0"/>
    <n v="8000"/>
    <n v="0"/>
    <n v="8400"/>
    <x v="7"/>
    <n v="8829.0399999999991"/>
    <n v="0"/>
    <n v="8829.0399999999991"/>
    <n v="0"/>
    <n v="8829.0399999999991"/>
    <n v="0"/>
  </r>
  <r>
    <d v="2025-08-23T00:00:00"/>
    <x v="27"/>
    <x v="11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6"/>
    <n v="6000"/>
    <n v="0"/>
    <n v="6000"/>
    <n v="0"/>
    <n v="6300"/>
    <x v="7"/>
    <n v="6621.78"/>
    <n v="0"/>
    <n v="6621.78"/>
    <n v="0"/>
    <n v="6621.78"/>
    <n v="0"/>
  </r>
  <r>
    <d v="2025-05-19T00:00:00"/>
    <x v="28"/>
    <x v="10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6"/>
    <n v="240"/>
    <n v="0"/>
    <n v="240"/>
    <n v="0"/>
    <n v="252"/>
    <x v="7"/>
    <n v="251.46"/>
    <n v="0"/>
    <n v="251.46"/>
    <n v="0"/>
    <n v="251.46"/>
    <n v="0"/>
  </r>
  <r>
    <d v="2025-08-07T00:00:00"/>
    <x v="29"/>
    <x v="13"/>
    <s v="ยูฟีด บี2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6"/>
    <n v="3000"/>
    <n v="3075"/>
    <n v="0"/>
    <n v="0"/>
    <n v="0"/>
    <x v="7"/>
    <n v="0"/>
    <n v="0"/>
    <n v="0"/>
    <n v="0"/>
    <n v="0"/>
    <n v="0"/>
  </r>
  <r>
    <d v="2025-08-08T00:00:00"/>
    <x v="12"/>
    <x v="11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7000"/>
    <n v="0"/>
    <n v="7000"/>
    <n v="0"/>
    <n v="7350"/>
    <x v="7"/>
    <n v="7725.41"/>
    <n v="0"/>
    <n v="7725.41"/>
    <n v="0"/>
    <n v="7725.41"/>
    <n v="0"/>
  </r>
  <r>
    <s v="ประมาณการ"/>
    <x v="4"/>
    <x v="16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100000"/>
    <n v="0"/>
    <n v="100000"/>
    <n v="0"/>
    <n v="105000"/>
    <x v="7"/>
    <n v="110363"/>
    <n v="0"/>
    <n v="110363"/>
    <n v="0"/>
    <n v="110363"/>
    <n v="0"/>
  </r>
  <r>
    <d v="2025-06-17T00:00:00"/>
    <x v="30"/>
    <x v="10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6"/>
    <n v="894"/>
    <n v="525"/>
    <n v="369"/>
    <n v="6000"/>
    <n v="0"/>
    <x v="7"/>
    <n v="0"/>
    <n v="0"/>
    <n v="0"/>
    <n v="0"/>
    <n v="0"/>
    <n v="0"/>
  </r>
  <r>
    <d v="2025-05-19T00:00:00"/>
    <x v="31"/>
    <x v="10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6"/>
    <n v="366"/>
    <n v="0"/>
    <n v="366"/>
    <n v="5113"/>
    <n v="0"/>
    <x v="7"/>
    <n v="0"/>
    <n v="0"/>
    <n v="0"/>
    <n v="0"/>
    <n v="0"/>
    <n v="0"/>
  </r>
  <r>
    <d v="2025-05-19T00:00:00"/>
    <x v="32"/>
    <x v="10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6"/>
    <n v="302"/>
    <n v="0"/>
    <n v="302"/>
    <n v="5300"/>
    <n v="0"/>
    <x v="7"/>
    <n v="0"/>
    <n v="0"/>
    <n v="0"/>
    <n v="0"/>
    <n v="0"/>
    <n v="0"/>
  </r>
  <r>
    <d v="2025-05-05T00:00:00"/>
    <x v="17"/>
    <x v="11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5000"/>
    <n v="0"/>
    <n v="5000"/>
    <n v="0"/>
    <n v="5250"/>
    <x v="7"/>
    <n v="5518.15"/>
    <n v="0"/>
    <n v="5518.15"/>
    <n v="0"/>
    <n v="5518.15"/>
    <n v="0"/>
  </r>
  <r>
    <d v="2025-05-21T00:00:00"/>
    <x v="33"/>
    <x v="13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5000"/>
    <n v="0"/>
    <n v="5000"/>
    <n v="0"/>
    <n v="5250"/>
    <x v="7"/>
    <n v="5518.15"/>
    <n v="0"/>
    <n v="5518.15"/>
    <n v="0"/>
    <n v="5518.15"/>
    <n v="0"/>
  </r>
  <r>
    <d v="2025-01-17T00:00:00"/>
    <x v="34"/>
    <x v="10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6"/>
    <n v="152"/>
    <n v="0"/>
    <n v="152"/>
    <n v="6000"/>
    <n v="0"/>
    <x v="7"/>
    <n v="0"/>
    <n v="0"/>
    <n v="0"/>
    <n v="0"/>
    <n v="0"/>
    <n v="5987"/>
  </r>
  <r>
    <d v="2024-11-15T00:00:00"/>
    <x v="35"/>
    <x v="10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6"/>
    <n v="117"/>
    <n v="0"/>
    <n v="117"/>
    <n v="10065"/>
    <n v="0"/>
    <x v="7"/>
    <n v="0"/>
    <n v="0"/>
    <n v="0"/>
    <n v="0"/>
    <n v="0"/>
    <n v="0"/>
  </r>
  <r>
    <d v="2024-08-19T00:00:00"/>
    <x v="36"/>
    <x v="10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6"/>
    <n v="1260"/>
    <n v="0"/>
    <n v="1260"/>
    <n v="11095"/>
    <n v="0"/>
    <x v="7"/>
    <n v="0"/>
    <n v="0"/>
    <n v="0"/>
    <n v="0"/>
    <n v="0"/>
    <n v="0"/>
  </r>
  <r>
    <d v="2024-08-19T00:00:00"/>
    <x v="36"/>
    <x v="10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6"/>
    <n v="89"/>
    <n v="0"/>
    <n v="89"/>
    <n v="11180"/>
    <n v="0"/>
    <x v="7"/>
    <n v="0"/>
    <n v="0"/>
    <n v="0"/>
    <n v="0"/>
    <n v="0"/>
    <n v="0"/>
  </r>
  <r>
    <d v="2025-05-22T00:00:00"/>
    <x v="37"/>
    <x v="17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0"/>
    <n v="4000"/>
    <n v="2840"/>
    <n v="1160"/>
    <n v="8450"/>
    <n v="0"/>
    <x v="7"/>
    <n v="0"/>
    <n v="0"/>
    <n v="0"/>
    <n v="0"/>
    <n v="0"/>
    <s v="ห้ามขาด-ห้ามเกิน"/>
  </r>
  <r>
    <d v="2025-05-22T00:00:00"/>
    <x v="37"/>
    <x v="17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0"/>
    <n v="4000"/>
    <n v="2654"/>
    <n v="1346"/>
    <n v="4000"/>
    <n v="0"/>
    <x v="7"/>
    <n v="0"/>
    <n v="0"/>
    <n v="0"/>
    <n v="0"/>
    <n v="0"/>
    <s v="ห้ามขาด-ห้ามเกิน"/>
  </r>
  <r>
    <d v="2025-03-25T00:00:00"/>
    <x v="38"/>
    <x v="13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4000"/>
    <n v="3867"/>
    <n v="133"/>
    <n v="4200"/>
    <n v="0"/>
    <x v="7"/>
    <n v="0"/>
    <n v="0"/>
    <n v="0"/>
    <n v="0"/>
    <n v="0"/>
    <n v="0"/>
  </r>
  <r>
    <d v="2025-03-04T00:00:00"/>
    <x v="18"/>
    <x v="13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0"/>
    <n v="4000"/>
    <n v="4010"/>
    <n v="0"/>
    <n v="4470"/>
    <n v="0"/>
    <x v="7"/>
    <n v="0"/>
    <n v="0"/>
    <n v="0"/>
    <n v="0"/>
    <n v="0"/>
    <n v="0"/>
  </r>
  <r>
    <d v="2025-03-04T00:00:00"/>
    <x v="18"/>
    <x v="13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3065"/>
    <n v="0"/>
    <n v="3300"/>
    <n v="0"/>
    <x v="7"/>
    <n v="0"/>
    <n v="0"/>
    <n v="0"/>
    <n v="0"/>
    <n v="0"/>
    <n v="0"/>
  </r>
  <r>
    <d v="2024-09-06T00:00:00"/>
    <x v="39"/>
    <x v="13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0"/>
    <n v="3000"/>
    <n v="3318"/>
    <n v="0"/>
    <n v="0"/>
    <n v="0"/>
    <x v="7"/>
    <n v="0"/>
    <n v="0"/>
    <n v="0"/>
    <n v="0"/>
    <n v="0"/>
    <s v="ลูกค้าสั่งผิดเอาไปส่งเดือน10"/>
  </r>
  <r>
    <d v="2024-10-16T00:00:00"/>
    <x v="40"/>
    <x v="13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3194"/>
    <n v="0"/>
    <n v="5632"/>
    <n v="0"/>
    <x v="7"/>
    <n v="0"/>
    <n v="0"/>
    <n v="0"/>
    <n v="0"/>
    <n v="0"/>
    <n v="0"/>
  </r>
  <r>
    <d v="1899-12-30T00:00:00"/>
    <x v="2"/>
    <x v="2"/>
    <n v="0"/>
    <n v="20"/>
    <n v="38"/>
    <n v="0"/>
    <n v="0"/>
    <n v="84"/>
    <s v="±"/>
    <n v="5"/>
    <n v="0"/>
    <n v="0"/>
    <n v="0"/>
    <n v="0"/>
    <n v="0"/>
    <n v="0"/>
    <n v="0"/>
    <n v="0"/>
    <x v="2"/>
    <n v="0"/>
    <n v="0"/>
    <n v="0"/>
    <n v="0"/>
    <n v="0"/>
    <x v="7"/>
    <n v="457503.53000000009"/>
    <n v="57096.579999999994"/>
    <n v="400406.95000000013"/>
    <n v="0"/>
    <n v="457503.53000000009"/>
    <s v="ระบุในSD"/>
  </r>
  <r>
    <s v="ประมาณการ"/>
    <x v="4"/>
    <x v="16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100000"/>
    <n v="0"/>
    <n v="100000"/>
    <n v="0"/>
    <n v="105000"/>
    <x v="8"/>
    <n v="113157.00000000001"/>
    <n v="0"/>
    <n v="113157.00000000001"/>
    <n v="0"/>
    <n v="0"/>
    <n v="0"/>
  </r>
  <r>
    <d v="1899-12-30T00:00:00"/>
    <x v="2"/>
    <x v="2"/>
    <n v="0"/>
    <n v="20"/>
    <n v="38"/>
    <n v="0"/>
    <n v="0"/>
    <n v="82"/>
    <s v="+"/>
    <n v="2"/>
    <n v="0"/>
    <n v="0"/>
    <n v="0"/>
    <n v="0"/>
    <n v="0"/>
    <n v="0"/>
    <n v="0"/>
    <n v="0"/>
    <x v="2"/>
    <n v="0"/>
    <n v="0"/>
    <n v="0"/>
    <n v="0"/>
    <n v="0"/>
    <x v="8"/>
    <n v="113157.00000000001"/>
    <n v="0"/>
    <n v="113157.00000000001"/>
    <n v="0"/>
    <n v="0"/>
    <s v="ระบุในSD"/>
  </r>
  <r>
    <d v="2025-08-18T00:00:00"/>
    <x v="41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3"/>
    <n v="6080"/>
    <n v="6080"/>
    <n v="0"/>
    <n v="31160"/>
    <n v="0"/>
    <x v="9"/>
    <n v="0"/>
    <n v="0"/>
    <n v="0"/>
    <n v="0"/>
    <n v="0"/>
    <s v="ห้ามขาด-ห้ามเกิน"/>
  </r>
  <r>
    <d v="2025-08-27T00:00:00"/>
    <x v="42"/>
    <x v="3"/>
    <s v="แปดแต้มแดง 25กก."/>
    <n v="20"/>
    <n v="32"/>
    <s v="ขาว"/>
    <n v="0"/>
    <n v="72"/>
    <s v="±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9"/>
    <n v="4679.9500000000007"/>
    <n v="4679.9500000000007"/>
    <n v="0"/>
    <n v="0"/>
    <n v="0"/>
    <n v="0"/>
  </r>
  <r>
    <d v="2025-08-27T00:00:00"/>
    <x v="42"/>
    <x v="3"/>
    <s v="ชามแดง 25กก."/>
    <n v="20"/>
    <n v="32"/>
    <s v="ขาว"/>
    <n v="0"/>
    <n v="72"/>
    <s v="±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5400"/>
    <n v="0"/>
    <x v="9"/>
    <n v="0"/>
    <n v="0"/>
    <n v="0"/>
    <n v="0"/>
    <n v="0"/>
    <n v="0"/>
  </r>
  <r>
    <d v="2025-08-23T00:00:00"/>
    <x v="43"/>
    <x v="10"/>
    <s v="เพอเฟคค์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"/>
    <n v="10000"/>
    <n v="1196"/>
    <n v="8804"/>
    <n v="6751"/>
    <n v="3411.4500000000003"/>
    <x v="9"/>
    <n v="3574.3467375000009"/>
    <n v="3574.3467375000009"/>
    <n v="0"/>
    <n v="0"/>
    <n v="0"/>
    <s v="ห้ามขาด-ห้ามเกิน"/>
  </r>
  <r>
    <d v="2025-08-18T00:00:00"/>
    <x v="44"/>
    <x v="10"/>
    <s v="เพอเฟคค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16374"/>
    <n v="5040"/>
    <n v="11334"/>
    <n v="18825"/>
    <n v="0"/>
    <x v="9"/>
    <n v="0"/>
    <n v="0"/>
    <n v="0"/>
    <n v="0"/>
    <n v="0"/>
    <s v="ห้ามขาด-ห้ามเกิน"/>
  </r>
  <r>
    <d v="2025-08-18T00:00:00"/>
    <x v="41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4"/>
    <n v="40000"/>
    <n v="20000"/>
    <n v="20000"/>
    <n v="40982"/>
    <n v="0"/>
    <x v="9"/>
    <n v="0"/>
    <n v="0"/>
    <n v="0"/>
    <n v="0"/>
    <n v="0"/>
    <s v="ห้ามขาด-ห้ามเกิน"/>
  </r>
  <r>
    <d v="2025-08-18T00:00:00"/>
    <x v="41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2"/>
    <n v="30000"/>
    <n v="0"/>
    <n v="30000"/>
    <n v="0"/>
    <n v="31500"/>
    <x v="9"/>
    <n v="31432.500000000004"/>
    <n v="31432.500000000004"/>
    <n v="0"/>
    <n v="0"/>
    <n v="0"/>
    <s v="ห้ามขาด-ห้ามเกิน"/>
  </r>
  <r>
    <d v="2025-08-18T00:00:00"/>
    <x v="41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5"/>
    <n v="20000"/>
    <n v="0"/>
    <n v="20000"/>
    <n v="0"/>
    <n v="21000"/>
    <x v="9"/>
    <n v="20955"/>
    <n v="20955"/>
    <n v="0"/>
    <n v="0"/>
    <n v="0"/>
    <s v="ห้ามขาด-ห้ามเกิน"/>
  </r>
  <r>
    <s v="ประมาณการ"/>
    <x v="4"/>
    <x v="10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6"/>
    <n v="290000"/>
    <n v="0"/>
    <n v="290000"/>
    <n v="0"/>
    <n v="304500"/>
    <x v="9"/>
    <n v="303847.5"/>
    <n v="119419"/>
    <n v="184428.5"/>
    <n v="0"/>
    <n v="0"/>
    <s v="ห้ามขาด-ห้ามเกิน"/>
  </r>
  <r>
    <d v="1899-12-30T00:00:00"/>
    <x v="2"/>
    <x v="2"/>
    <n v="0"/>
    <n v="20"/>
    <n v="37"/>
    <n v="0"/>
    <n v="0"/>
    <n v="80"/>
    <s v="±"/>
    <n v="3"/>
    <n v="0"/>
    <n v="0"/>
    <n v="0"/>
    <n v="0"/>
    <n v="0"/>
    <n v="0"/>
    <n v="0"/>
    <n v="0"/>
    <x v="2"/>
    <n v="0"/>
    <n v="0"/>
    <n v="0"/>
    <n v="0"/>
    <n v="0"/>
    <x v="9"/>
    <n v="364489.2967375"/>
    <n v="180060.7967375"/>
    <n v="184428.5"/>
    <n v="0"/>
    <n v="0"/>
    <s v="ระบุในSD"/>
  </r>
  <r>
    <d v="2025-08-07T00:00:00"/>
    <x v="45"/>
    <x v="18"/>
    <s v="กัสโซ่ฟีด101-102"/>
    <n v="21"/>
    <n v="37"/>
    <s v="ขาว"/>
    <s v="ใส"/>
    <n v="100"/>
    <s v="±"/>
    <n v="5"/>
    <s v="บิด"/>
    <n v="22"/>
    <n v="40"/>
    <n v="40"/>
    <n v="0"/>
    <n v="0"/>
    <n v="0"/>
    <s v="500กระสอบ"/>
    <x v="3"/>
    <n v="20000"/>
    <n v="20006"/>
    <n v="0"/>
    <n v="21000"/>
    <n v="0"/>
    <x v="10"/>
    <n v="0"/>
    <n v="0"/>
    <n v="0"/>
    <n v="0"/>
    <n v="0"/>
    <n v="0"/>
  </r>
  <r>
    <d v="2025-08-07T00:00:00"/>
    <x v="46"/>
    <x v="18"/>
    <s v="NB FISH 103L"/>
    <n v="21"/>
    <n v="37"/>
    <s v="ขาว"/>
    <s v="ใส"/>
    <n v="100"/>
    <s v="±"/>
    <n v="5"/>
    <s v="บิด"/>
    <n v="22"/>
    <n v="40"/>
    <n v="40"/>
    <n v="1.6065702062079996"/>
    <n v="0"/>
    <n v="1.6065702062079996"/>
    <s v="500กระสอบ"/>
    <x v="3"/>
    <n v="10000"/>
    <n v="9926"/>
    <n v="74"/>
    <n v="10500"/>
    <n v="0"/>
    <x v="10"/>
    <n v="0"/>
    <n v="0"/>
    <n v="0"/>
    <n v="0"/>
    <n v="0"/>
    <n v="0"/>
  </r>
  <r>
    <d v="2025-08-23T00:00:00"/>
    <x v="47"/>
    <x v="11"/>
    <s v="มาซู ฟีดซี 0434"/>
    <n v="21"/>
    <n v="40"/>
    <s v="ขาว"/>
    <s v="ด้าน"/>
    <n v="108"/>
    <s v="±"/>
    <n v="5"/>
    <s v="บิด"/>
    <n v="22"/>
    <n v="42"/>
    <n v="40"/>
    <n v="0"/>
    <n v="0"/>
    <n v="0"/>
    <s v="500กระสอบแบน"/>
    <x v="3"/>
    <n v="3000"/>
    <n v="3000"/>
    <n v="0"/>
    <n v="3100"/>
    <n v="0"/>
    <x v="10"/>
    <n v="0"/>
    <n v="0"/>
    <n v="0"/>
    <n v="0"/>
    <n v="0"/>
    <n v="0"/>
  </r>
  <r>
    <d v="2025-08-07T00:00:00"/>
    <x v="48"/>
    <x v="13"/>
    <s v="โมโม่ 413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15"/>
    <n v="3000"/>
    <n v="0"/>
    <n v="3000"/>
    <n v="0"/>
    <n v="3150"/>
    <x v="10"/>
    <n v="3310.89"/>
    <n v="3310.89"/>
    <n v="0"/>
    <n v="3310.89"/>
    <n v="0"/>
    <n v="0"/>
  </r>
  <r>
    <d v="2024-12-05T00:00:00"/>
    <x v="49"/>
    <x v="19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"/>
    <n v="16000"/>
    <n v="0"/>
    <n v="16000"/>
    <n v="0"/>
    <n v="16800"/>
    <x v="10"/>
    <n v="17211.04"/>
    <n v="17211.04"/>
    <n v="0"/>
    <n v="0"/>
    <n v="17211.04"/>
    <n v="0"/>
  </r>
  <r>
    <d v="2024-12-05T00:00:00"/>
    <x v="50"/>
    <x v="19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6"/>
    <n v="9000"/>
    <n v="0"/>
    <n v="9000"/>
    <n v="0"/>
    <n v="9450"/>
    <x v="10"/>
    <n v="9681.2100000000009"/>
    <n v="9681.2100000000009"/>
    <n v="0"/>
    <n v="0"/>
    <n v="9681.2100000000009"/>
    <n v="0"/>
  </r>
  <r>
    <s v="ประมาณการ"/>
    <x v="4"/>
    <x v="20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5"/>
    <n v="100000"/>
    <n v="0"/>
    <n v="100000"/>
    <n v="0"/>
    <n v="105000"/>
    <x v="10"/>
    <n v="107569.00000000001"/>
    <n v="107569.00000000001"/>
    <n v="0"/>
    <n v="107569.00000000001"/>
    <n v="0"/>
    <n v="0"/>
  </r>
  <r>
    <d v="2025-08-27T00:00:00"/>
    <x v="51"/>
    <x v="13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6"/>
    <n v="3000"/>
    <n v="0"/>
    <n v="3000"/>
    <n v="0"/>
    <n v="3150"/>
    <x v="10"/>
    <n v="3310.89"/>
    <n v="3310.89"/>
    <n v="0"/>
    <n v="0"/>
    <n v="3310.89"/>
    <n v="0"/>
  </r>
  <r>
    <d v="2025-08-27T00:00:00"/>
    <x v="52"/>
    <x v="13"/>
    <s v="โมโม่ 49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6"/>
    <n v="5000"/>
    <n v="0"/>
    <n v="5000"/>
    <n v="0"/>
    <n v="5250"/>
    <x v="10"/>
    <n v="5518.15"/>
    <n v="5518.15"/>
    <n v="0"/>
    <n v="0"/>
    <n v="5518.15"/>
    <n v="0"/>
  </r>
  <r>
    <d v="2025-08-27T00:00:00"/>
    <x v="53"/>
    <x v="13"/>
    <s v="โมโม่ 40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6"/>
    <n v="3000"/>
    <n v="0"/>
    <n v="3000"/>
    <n v="0"/>
    <n v="3150"/>
    <x v="10"/>
    <n v="3310.89"/>
    <n v="3310.89"/>
    <n v="0"/>
    <n v="0"/>
    <n v="3310.89"/>
    <n v="0"/>
  </r>
  <r>
    <d v="2025-08-07T00:00:00"/>
    <x v="54"/>
    <x v="13"/>
    <s v="ฟีล กู๊ด 893"/>
    <n v="21"/>
    <n v="40"/>
    <s v="ขาว"/>
    <s v="ใส"/>
    <n v="108"/>
    <s v="±"/>
    <n v="5"/>
    <s v="บิด"/>
    <n v="22"/>
    <n v="42"/>
    <n v="40"/>
    <n v="68.387785804799989"/>
    <n v="0"/>
    <n v="68.387785804799989"/>
    <s v="500กระสอบ"/>
    <x v="6"/>
    <n v="3000"/>
    <n v="0"/>
    <n v="3000"/>
    <n v="0"/>
    <n v="3150"/>
    <x v="10"/>
    <n v="3478.5300000000007"/>
    <n v="3478.5300000000007"/>
    <n v="0"/>
    <n v="0"/>
    <n v="3478.5300000000007"/>
    <n v="0"/>
  </r>
  <r>
    <d v="2025-08-07T00:00:00"/>
    <x v="55"/>
    <x v="13"/>
    <s v="โมโม่ 4132"/>
    <n v="21"/>
    <n v="40"/>
    <s v="ขาว"/>
    <s v="ใส"/>
    <n v="108"/>
    <s v="±"/>
    <n v="5"/>
    <s v="บิด"/>
    <n v="22"/>
    <n v="42"/>
    <n v="40"/>
    <n v="113.97964300799998"/>
    <n v="0"/>
    <n v="113.97964300799998"/>
    <s v="500กระสอบ"/>
    <x v="6"/>
    <n v="5000"/>
    <n v="0"/>
    <n v="5000"/>
    <n v="0"/>
    <n v="5250"/>
    <x v="10"/>
    <n v="5797.55"/>
    <n v="5797.55"/>
    <n v="0"/>
    <n v="0"/>
    <n v="5797.55"/>
    <n v="0"/>
  </r>
  <r>
    <s v="ประมาณการ"/>
    <x v="4"/>
    <x v="19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6"/>
    <n v="10000"/>
    <n v="0"/>
    <n v="10000"/>
    <n v="0"/>
    <n v="10500"/>
    <x v="10"/>
    <n v="10756.900000000001"/>
    <n v="10756.900000000001"/>
    <n v="0"/>
    <n v="0"/>
    <n v="10756.900000000001"/>
    <n v="0"/>
  </r>
  <r>
    <d v="2025-07-16T00:00:00"/>
    <x v="56"/>
    <x v="11"/>
    <s v="มาซู ฟีดซ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6"/>
    <n v="3000"/>
    <n v="0"/>
    <n v="3000"/>
    <n v="0"/>
    <n v="3150"/>
    <x v="10"/>
    <n v="3310.89"/>
    <n v="3310.89"/>
    <n v="0"/>
    <n v="0"/>
    <n v="3310.89"/>
    <n v="0"/>
  </r>
  <r>
    <d v="2025-07-16T00:00:00"/>
    <x v="57"/>
    <x v="11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6"/>
    <n v="3000"/>
    <n v="0"/>
    <n v="3000"/>
    <n v="0"/>
    <n v="3150"/>
    <x v="10"/>
    <n v="3310.89"/>
    <n v="3310.89"/>
    <n v="0"/>
    <n v="0"/>
    <n v="3310.89"/>
    <n v="0"/>
  </r>
  <r>
    <d v="2025-06-18T00:00:00"/>
    <x v="58"/>
    <x v="13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6"/>
    <n v="8000"/>
    <n v="470"/>
    <n v="7530"/>
    <n v="0"/>
    <n v="7906.5"/>
    <x v="10"/>
    <n v="8310.3338999999996"/>
    <n v="8310.3338999999996"/>
    <n v="0"/>
    <n v="0"/>
    <n v="8310.3338999999996"/>
    <n v="0"/>
  </r>
  <r>
    <d v="2023-05-20T00:00:00"/>
    <x v="59"/>
    <x v="11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6"/>
    <n v="5000"/>
    <n v="0"/>
    <n v="5000"/>
    <n v="0"/>
    <n v="5250"/>
    <x v="10"/>
    <n v="5518.15"/>
    <n v="5518.15"/>
    <n v="0"/>
    <n v="0"/>
    <n v="5518.15"/>
    <n v="0"/>
  </r>
  <r>
    <d v="1899-12-30T00:00:00"/>
    <x v="2"/>
    <x v="2"/>
    <n v="0"/>
    <n v="21"/>
    <n v="37"/>
    <n v="0"/>
    <n v="0"/>
    <n v="74"/>
    <s v="±"/>
    <n v="5"/>
    <n v="0"/>
    <n v="0"/>
    <n v="0"/>
    <n v="0"/>
    <n v="0"/>
    <s v="ว"/>
    <n v="0"/>
    <n v="0"/>
    <x v="2"/>
    <n v="0"/>
    <n v="0"/>
    <n v="0"/>
    <n v="0"/>
    <n v="0"/>
    <x v="10"/>
    <n v="190395.31390000004"/>
    <n v="190395.31390000004"/>
    <n v="0"/>
    <n v="110879.89000000001"/>
    <n v="79515.423899999994"/>
    <s v="ระบุในSD"/>
  </r>
  <r>
    <s v="ประมาณการ"/>
    <x v="4"/>
    <x v="21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10"/>
    <n v="30000"/>
    <n v="0"/>
    <n v="30000"/>
    <n v="0"/>
    <n v="31500"/>
    <x v="11"/>
    <n v="29756.100000000002"/>
    <n v="27294"/>
    <n v="2462.1000000000022"/>
    <n v="0"/>
    <n v="0"/>
    <n v="0"/>
  </r>
  <r>
    <s v="ประมาณการ"/>
    <x v="4"/>
    <x v="22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10"/>
    <n v="30000"/>
    <n v="0"/>
    <n v="30000"/>
    <n v="0"/>
    <n v="31500"/>
    <x v="11"/>
    <n v="29756.100000000002"/>
    <n v="0"/>
    <n v="29756.100000000002"/>
    <n v="0"/>
    <n v="0"/>
    <n v="0"/>
  </r>
  <r>
    <d v="1899-12-30T00:00:00"/>
    <x v="2"/>
    <x v="2"/>
    <n v="0"/>
    <n v="23"/>
    <n v="34"/>
    <s v="ขาว"/>
    <n v="0"/>
    <n v="68"/>
    <s v="±"/>
    <n v="5"/>
    <n v="0"/>
    <n v="0"/>
    <n v="0"/>
    <n v="0"/>
    <n v="0"/>
    <n v="0"/>
    <n v="0"/>
    <n v="0"/>
    <x v="2"/>
    <n v="0"/>
    <n v="0"/>
    <n v="0"/>
    <n v="0"/>
    <n v="0"/>
    <x v="11"/>
    <n v="59512.200000000004"/>
    <n v="27294"/>
    <n v="32218.200000000004"/>
    <n v="0"/>
    <n v="0"/>
    <s v="ระบุในSD"/>
  </r>
  <r>
    <d v="2025-09-01T00:00:00"/>
    <x v="60"/>
    <x v="23"/>
    <s v="ไม่พิมพ์"/>
    <n v="23"/>
    <n v="37"/>
    <s v="ขาว"/>
    <n v="0"/>
    <n v="85"/>
    <s v="±"/>
    <n v="5"/>
    <s v="ไม่"/>
    <n v="24"/>
    <n v="40"/>
    <n v="40"/>
    <n v="0"/>
    <n v="0"/>
    <n v="0"/>
    <s v="500กระสอบ"/>
    <x v="4"/>
    <n v="5000"/>
    <n v="5000"/>
    <n v="0"/>
    <n v="0"/>
    <n v="0"/>
    <x v="12"/>
    <n v="0"/>
    <n v="0"/>
    <n v="0"/>
    <n v="0"/>
    <n v="0"/>
    <n v="0"/>
  </r>
  <r>
    <d v="1899-12-30T00:00:00"/>
    <x v="2"/>
    <x v="2"/>
    <n v="0"/>
    <n v="23"/>
    <n v="37"/>
    <s v="ขาว"/>
    <n v="0"/>
    <n v="85"/>
    <s v="±"/>
    <n v="5"/>
    <n v="0"/>
    <n v="0"/>
    <n v="0"/>
    <n v="0"/>
    <n v="0"/>
    <n v="0"/>
    <n v="0"/>
    <n v="0"/>
    <x v="2"/>
    <n v="0"/>
    <n v="0"/>
    <n v="0"/>
    <n v="0"/>
    <n v="0"/>
    <x v="12"/>
    <n v="0"/>
    <n v="0"/>
    <n v="0"/>
    <n v="0"/>
    <n v="0"/>
    <s v="ระบุในSD"/>
  </r>
  <r>
    <d v="2025-03-11T00:00:00"/>
    <x v="61"/>
    <x v="20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6"/>
    <n v="1000"/>
    <n v="0"/>
    <n v="1000"/>
    <n v="0"/>
    <n v="0"/>
    <x v="13"/>
    <n v="1159.5100000000002"/>
    <n v="1159.5100000000002"/>
    <n v="0"/>
    <n v="1159.5100000000002"/>
    <n v="0"/>
    <s v="ห้ามขาด-เกินได้5%"/>
  </r>
  <r>
    <d v="1899-12-30T00:00:00"/>
    <x v="2"/>
    <x v="2"/>
    <n v="0"/>
    <n v="23"/>
    <n v="37"/>
    <n v="0"/>
    <n v="0"/>
    <n v="85"/>
    <s v="±"/>
    <n v="5"/>
    <n v="0"/>
    <n v="0"/>
    <n v="0"/>
    <n v="0"/>
    <n v="0"/>
    <n v="0"/>
    <n v="0"/>
    <n v="0"/>
    <x v="2"/>
    <n v="0"/>
    <n v="0"/>
    <n v="0"/>
    <n v="0"/>
    <n v="0"/>
    <x v="13"/>
    <n v="1159.5100000000002"/>
    <n v="1159.5100000000002"/>
    <n v="0"/>
    <n v="1159.5100000000002"/>
    <n v="0"/>
    <s v="ระบุในSD"/>
  </r>
  <r>
    <d v="2024-11-05T00:00:00"/>
    <x v="62"/>
    <x v="24"/>
    <s v="Green for white sugar"/>
    <n v="23"/>
    <n v="37"/>
    <s v="ขาว"/>
    <n v="0"/>
    <n v="130"/>
    <s v="±"/>
    <n v="5"/>
    <s v="บิด"/>
    <n v="24"/>
    <n v="40"/>
    <n v="55"/>
    <n v="3207.7128103679997"/>
    <n v="0"/>
    <n v="3207.7128103679997"/>
    <s v="300แบน"/>
    <x v="6"/>
    <n v="100000"/>
    <n v="1500"/>
    <n v="98500"/>
    <n v="0"/>
    <n v="103425"/>
    <x v="14"/>
    <n v="105955.465"/>
    <n v="7595"/>
    <n v="98360.464999999997"/>
    <n v="0"/>
    <n v="0"/>
    <n v="0"/>
  </r>
  <r>
    <d v="2024-11-05T00:00:00"/>
    <x v="62"/>
    <x v="24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6"/>
    <n v="337878"/>
    <n v="0"/>
    <n v="337878"/>
    <n v="0"/>
    <n v="354771.9"/>
    <x v="14"/>
    <n v="363451.98582000006"/>
    <n v="0"/>
    <n v="363451.98582000006"/>
    <n v="0"/>
    <n v="0"/>
    <n v="0"/>
  </r>
  <r>
    <d v="1899-12-30T00:00:00"/>
    <x v="2"/>
    <x v="2"/>
    <n v="0"/>
    <n v="23"/>
    <n v="37"/>
    <n v="0"/>
    <n v="0"/>
    <n v="128"/>
    <s v="±"/>
    <n v="5"/>
    <n v="0"/>
    <n v="0"/>
    <n v="0"/>
    <n v="0"/>
    <n v="0"/>
    <n v="0"/>
    <n v="0"/>
    <n v="0"/>
    <x v="2"/>
    <n v="0"/>
    <n v="0"/>
    <n v="0"/>
    <n v="0"/>
    <n v="0"/>
    <x v="14"/>
    <n v="469407.45082000003"/>
    <n v="7595"/>
    <n v="461812.45082000003"/>
    <n v="0"/>
    <n v="0"/>
    <s v="ระบุในSD"/>
  </r>
  <r>
    <d v="2025-08-25T00:00:00"/>
    <x v="63"/>
    <x v="25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3"/>
    <n v="5000"/>
    <n v="1800"/>
    <n v="3200"/>
    <n v="0"/>
    <n v="0"/>
    <x v="15"/>
    <n v="3621.0239999999999"/>
    <n v="3621.0239999999999"/>
    <n v="0"/>
    <n v="0"/>
    <n v="0"/>
    <n v="0"/>
  </r>
  <r>
    <s v="ประมาณการ"/>
    <x v="4"/>
    <x v="26"/>
    <s v="รอแบบ"/>
    <n v="26"/>
    <n v="41"/>
    <s v="ขาว"/>
    <n v="0"/>
    <n v="97"/>
    <s v="±"/>
    <n v="5"/>
    <s v="บิด"/>
    <n v="27"/>
    <n v="43"/>
    <n v="40"/>
    <n v="229.14349009919997"/>
    <n v="0"/>
    <n v="229.14349009919997"/>
    <s v="300กระสอบ"/>
    <x v="10"/>
    <n v="8000"/>
    <n v="0"/>
    <n v="8000"/>
    <n v="0"/>
    <n v="8400"/>
    <x v="15"/>
    <n v="9499.6"/>
    <n v="0"/>
    <n v="9499.6"/>
    <n v="0"/>
    <n v="0"/>
    <n v="0"/>
  </r>
  <r>
    <d v="1899-12-30T00:00:00"/>
    <x v="2"/>
    <x v="2"/>
    <n v="0"/>
    <n v="26"/>
    <n v="43"/>
    <s v="ขาว"/>
    <n v="0"/>
    <n v="102"/>
    <s v="±"/>
    <n v="5"/>
    <n v="0"/>
    <n v="0"/>
    <n v="0"/>
    <n v="0"/>
    <n v="0"/>
    <n v="0"/>
    <n v="0"/>
    <n v="0"/>
    <x v="2"/>
    <n v="0"/>
    <n v="0"/>
    <n v="0"/>
    <n v="0"/>
    <n v="0"/>
    <x v="15"/>
    <n v="13120.624"/>
    <n v="3621.0239999999999"/>
    <n v="9499.6"/>
    <n v="0"/>
    <n v="0"/>
    <s v="ระบุในSD"/>
  </r>
  <r>
    <s v="ประมาณการ"/>
    <x v="4"/>
    <x v="19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5"/>
    <n v="10000"/>
    <n v="0"/>
    <n v="10000"/>
    <n v="0"/>
    <n v="0"/>
    <x v="16"/>
    <n v="12433.3"/>
    <n v="12433.3"/>
    <n v="0"/>
    <n v="0"/>
    <n v="0"/>
    <n v="0"/>
  </r>
  <r>
    <d v="1899-12-30T00:00:00"/>
    <x v="2"/>
    <x v="2"/>
    <n v="0"/>
    <n v="26"/>
    <n v="43"/>
    <n v="0"/>
    <n v="0"/>
    <n v="116"/>
    <s v="±"/>
    <n v="5"/>
    <n v="0"/>
    <n v="0"/>
    <n v="0"/>
    <n v="0"/>
    <n v="0"/>
    <n v="0"/>
    <n v="0"/>
    <n v="0"/>
    <x v="2"/>
    <n v="0"/>
    <n v="0"/>
    <n v="0"/>
    <n v="0"/>
    <n v="0"/>
    <x v="16"/>
    <n v="12433.3"/>
    <n v="12433.3"/>
    <n v="0"/>
    <n v="0"/>
    <n v="0"/>
    <s v="ระบุในSD"/>
  </r>
  <r>
    <d v="2025-09-01T00:00:00"/>
    <x v="64"/>
    <x v="19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"/>
    <n v="30000"/>
    <n v="0"/>
    <n v="30000"/>
    <n v="3250"/>
    <n v="28087.5"/>
    <x v="17"/>
    <n v="34922.031374999999"/>
    <n v="34922.031374999999"/>
    <n v="0"/>
    <n v="0"/>
    <n v="34922.031374999999"/>
    <n v="0"/>
  </r>
  <r>
    <d v="2025-08-29T00:00:00"/>
    <x v="65"/>
    <x v="19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4"/>
    <n v="15000"/>
    <n v="0"/>
    <n v="15000"/>
    <n v="0"/>
    <n v="0"/>
    <x v="17"/>
    <n v="18649.949999999997"/>
    <n v="18649.949999999997"/>
    <n v="0"/>
    <n v="0"/>
    <n v="18649.949999999997"/>
    <n v="0"/>
  </r>
  <r>
    <d v="2025-08-29T00:00:00"/>
    <x v="66"/>
    <x v="19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6"/>
    <n v="15000"/>
    <n v="0"/>
    <n v="15000"/>
    <n v="0"/>
    <n v="0"/>
    <x v="17"/>
    <n v="18649.949999999997"/>
    <n v="18649.949999999997"/>
    <n v="0"/>
    <n v="0"/>
    <n v="18649.949999999997"/>
    <n v="0"/>
  </r>
  <r>
    <d v="2025-09-01T00:00:00"/>
    <x v="67"/>
    <x v="19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0"/>
    <n v="30000"/>
    <n v="0"/>
    <n v="30000"/>
    <n v="0"/>
    <n v="31500"/>
    <x v="17"/>
    <n v="37299.899999999994"/>
    <n v="0"/>
    <n v="37299.899999999994"/>
    <n v="0"/>
    <n v="37299.899999999994"/>
    <n v="0"/>
  </r>
  <r>
    <d v="2025-09-01T00:00:00"/>
    <x v="68"/>
    <x v="19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7"/>
    <n v="10000"/>
    <n v="0"/>
    <n v="10000"/>
    <n v="0"/>
    <n v="10500"/>
    <x v="17"/>
    <n v="12433.3"/>
    <n v="0"/>
    <n v="12433.3"/>
    <n v="0"/>
    <n v="12433.3"/>
    <n v="0"/>
  </r>
  <r>
    <d v="1899-12-30T00:00:00"/>
    <x v="2"/>
    <x v="2"/>
    <n v="0"/>
    <n v="26"/>
    <n v="43"/>
    <n v="0"/>
    <n v="0"/>
    <n v="120"/>
    <s v="±"/>
    <n v="5"/>
    <n v="0"/>
    <n v="0"/>
    <n v="0"/>
    <n v="0"/>
    <n v="0"/>
    <n v="0"/>
    <n v="0"/>
    <n v="0"/>
    <x v="2"/>
    <n v="0"/>
    <n v="0"/>
    <n v="0"/>
    <n v="0"/>
    <n v="0"/>
    <x v="17"/>
    <n v="121955.13137499998"/>
    <n v="72221.931374999986"/>
    <n v="49733.2"/>
    <n v="0"/>
    <n v="121955.13137499998"/>
    <s v="ระบุในSD"/>
  </r>
  <r>
    <d v="2025-07-19T00:00:00"/>
    <x v="69"/>
    <x v="23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4"/>
    <n v="3000"/>
    <n v="2841"/>
    <n v="159"/>
    <n v="34283"/>
    <n v="0"/>
    <x v="18"/>
    <n v="0"/>
    <n v="0"/>
    <n v="0"/>
    <n v="0"/>
    <n v="0"/>
    <n v="0"/>
  </r>
  <r>
    <d v="2025-08-26T00:00:00"/>
    <x v="70"/>
    <x v="23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4"/>
    <n v="50000"/>
    <n v="30000"/>
    <n v="20000"/>
    <n v="53544"/>
    <n v="0"/>
    <x v="18"/>
    <n v="0"/>
    <n v="0"/>
    <n v="0"/>
    <n v="0"/>
    <n v="0"/>
    <n v="0"/>
  </r>
  <r>
    <s v="ประมาณการ"/>
    <x v="4"/>
    <x v="23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18"/>
    <n v="50000"/>
    <n v="0"/>
    <n v="50000"/>
    <n v="0"/>
    <n v="52500"/>
    <x v="18"/>
    <n v="59372.5"/>
    <n v="1490"/>
    <n v="57882.5"/>
    <n v="0"/>
    <n v="0"/>
    <n v="0"/>
  </r>
  <r>
    <s v="ประมาณการ"/>
    <x v="4"/>
    <x v="19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0"/>
    <x v="18"/>
    <n v="6775.4500000000007"/>
    <n v="6775.4500000000007"/>
    <n v="0"/>
    <n v="0"/>
    <n v="6775.4500000000007"/>
    <n v="0"/>
  </r>
  <r>
    <d v="1899-12-30T00:00:00"/>
    <x v="2"/>
    <x v="2"/>
    <n v="0"/>
    <n v="28"/>
    <n v="43"/>
    <n v="0"/>
    <n v="0"/>
    <n v="130"/>
    <s v="±"/>
    <n v="3"/>
    <n v="0"/>
    <n v="0"/>
    <n v="0"/>
    <n v="0"/>
    <n v="0"/>
    <n v="0"/>
    <n v="0"/>
    <n v="0"/>
    <x v="2"/>
    <n v="0"/>
    <n v="0"/>
    <n v="0"/>
    <n v="0"/>
    <n v="0"/>
    <x v="18"/>
    <n v="66147.95"/>
    <n v="8265.4500000000007"/>
    <n v="57882.5"/>
    <n v="0"/>
    <n v="6775.4500000000007"/>
    <s v="ระบุใน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4135FA-BC95-49D6-AB02-6024AFA04596}" name="PivotTable2" cacheId="129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8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72">
        <item h="1" x="2"/>
        <item x="59"/>
        <item x="4"/>
        <item x="36"/>
        <item x="39"/>
        <item x="40"/>
        <item x="18"/>
        <item x="62"/>
        <item x="35"/>
        <item x="50"/>
        <item x="49"/>
        <item x="34"/>
        <item x="38"/>
        <item x="61"/>
        <item x="10"/>
        <item x="30"/>
        <item x="31"/>
        <item x="17"/>
        <item x="37"/>
        <item x="28"/>
        <item x="32"/>
        <item x="33"/>
        <item x="58"/>
        <item x="0"/>
        <item x="29"/>
        <item x="12"/>
        <item x="19"/>
        <item x="14"/>
        <item x="45"/>
        <item x="46"/>
        <item x="54"/>
        <item x="48"/>
        <item x="55"/>
        <item x="56"/>
        <item x="57"/>
        <item x="69"/>
        <item x="24"/>
        <item x="11"/>
        <item x="44"/>
        <item x="41"/>
        <item x="1"/>
        <item x="3"/>
        <item x="6"/>
        <item x="7"/>
        <item x="8"/>
        <item x="9"/>
        <item x="15"/>
        <item x="13"/>
        <item x="16"/>
        <item x="20"/>
        <item x="21"/>
        <item x="22"/>
        <item x="23"/>
        <item x="25"/>
        <item x="26"/>
        <item x="27"/>
        <item x="42"/>
        <item x="43"/>
        <item x="47"/>
        <item x="51"/>
        <item x="52"/>
        <item x="53"/>
        <item x="63"/>
        <item x="70"/>
        <item x="65"/>
        <item x="66"/>
        <item x="5"/>
        <item x="60"/>
        <item x="64"/>
        <item x="67"/>
        <item x="68"/>
        <item t="default"/>
      </items>
    </pivotField>
    <pivotField axis="axisPage" compact="0" outline="0" subtotalTop="0" showAll="0">
      <items count="28">
        <item x="2"/>
        <item x="3"/>
        <item x="19"/>
        <item x="15"/>
        <item x="24"/>
        <item x="7"/>
        <item x="10"/>
        <item x="13"/>
        <item x="11"/>
        <item x="20"/>
        <item x="26"/>
        <item x="23"/>
        <item x="21"/>
        <item x="1"/>
        <item x="22"/>
        <item x="4"/>
        <item x="5"/>
        <item x="9"/>
        <item x="8"/>
        <item x="0"/>
        <item x="16"/>
        <item x="17"/>
        <item x="18"/>
        <item x="12"/>
        <item x="25"/>
        <item x="6"/>
        <item x="14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0">
        <item h="1" x="6"/>
        <item h="1" x="0"/>
        <item x="3"/>
        <item x="11"/>
        <item x="9"/>
        <item x="1"/>
        <item x="4"/>
        <item x="8"/>
        <item x="7"/>
        <item x="13"/>
        <item x="16"/>
        <item x="14"/>
        <item x="18"/>
        <item x="12"/>
        <item x="5"/>
        <item x="15"/>
        <item x="10"/>
        <item h="1" x="17"/>
        <item h="1" x="2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0">
        <item h="1" x="1"/>
        <item x="0"/>
        <item x="2"/>
        <item h="1" x="3"/>
        <item x="5"/>
        <item x="6"/>
        <item x="4"/>
        <item x="9"/>
        <item x="7"/>
        <item h="1" x="8"/>
        <item x="10"/>
        <item x="14"/>
        <item x="13"/>
        <item x="11"/>
        <item h="1" x="12"/>
        <item x="15"/>
        <item x="16"/>
        <item x="17"/>
        <item x="18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2">
    <i>
      <x v="1"/>
    </i>
    <i>
      <x v="4"/>
    </i>
    <i>
      <x v="6"/>
    </i>
    <i>
      <x v="7"/>
    </i>
    <i>
      <x v="8"/>
    </i>
    <i>
      <x v="10"/>
    </i>
    <i>
      <x v="13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1">
    <format dxfId="72">
      <pivotArea outline="0" collapsedLevelsAreSubtotals="1" fieldPosition="0"/>
    </format>
    <format dxfId="71">
      <pivotArea dataOnly="0" labelOnly="1" outline="0" axis="axisValues" fieldPosition="0"/>
    </format>
    <format dxfId="70">
      <pivotArea dataOnly="0" outline="0" fieldPosition="0">
        <references count="1">
          <reference field="25" count="0" defaultSubtotal="1"/>
        </references>
      </pivotArea>
    </format>
    <format dxfId="69">
      <pivotArea dataOnly="0" outline="0" fieldPosition="0">
        <references count="1">
          <reference field="25" count="0" defaultSubtotal="1"/>
        </references>
      </pivotArea>
    </format>
    <format dxfId="68">
      <pivotArea dataOnly="0" outline="0" fieldPosition="0">
        <references count="1">
          <reference field="25" count="0" defaultSubtotal="1"/>
        </references>
      </pivotArea>
    </format>
    <format dxfId="67">
      <pivotArea outline="0" fieldPosition="0">
        <references count="1">
          <reference field="4294967294" count="1" selected="0">
            <x v="3"/>
          </reference>
        </references>
      </pivotArea>
    </format>
    <format dxfId="66">
      <pivotArea outline="0" fieldPosition="0">
        <references count="2">
          <reference field="4294967294" count="1" selected="0">
            <x v="3"/>
          </reference>
          <reference field="25" count="7" selected="0">
            <x v="4"/>
            <x v="6"/>
            <x v="7"/>
            <x v="8"/>
            <x v="10"/>
            <x v="13"/>
            <x v="15"/>
          </reference>
        </references>
      </pivotArea>
    </format>
    <format dxfId="65">
      <pivotArea outline="0" fieldPosition="0">
        <references count="2">
          <reference field="4294967294" count="1" selected="0">
            <x v="3"/>
          </reference>
          <reference field="25" count="7" selected="0">
            <x v="4"/>
            <x v="6"/>
            <x v="7"/>
            <x v="8"/>
            <x v="10"/>
            <x v="13"/>
            <x v="15"/>
          </reference>
        </references>
      </pivotArea>
    </format>
    <format dxfId="64">
      <pivotArea outline="0" fieldPosition="0">
        <references count="2">
          <reference field="4294967294" count="1" selected="0">
            <x v="5"/>
          </reference>
          <reference field="25" count="8" selected="0">
            <x v="4"/>
            <x v="6"/>
            <x v="7"/>
            <x v="8"/>
            <x v="10"/>
            <x v="13"/>
            <x v="15"/>
            <x v="17"/>
          </reference>
        </references>
      </pivotArea>
    </format>
    <format dxfId="63">
      <pivotArea outline="0" fieldPosition="0">
        <references count="2">
          <reference field="4294967294" count="1" selected="0">
            <x v="5"/>
          </reference>
          <reference field="25" count="1" selected="0">
            <x v="6"/>
          </reference>
        </references>
      </pivotArea>
    </format>
    <format dxfId="62">
      <pivotArea outline="0" fieldPosition="0">
        <references count="2">
          <reference field="4294967294" count="1" selected="0">
            <x v="5"/>
          </reference>
          <reference field="25" count="4" selected="0">
            <x v="7"/>
            <x v="8"/>
            <x v="10"/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9BE12-6248-4CA1-A82B-7F4682BEF42A}" name="PivotTable2" cacheId="129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9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72">
        <item h="1" x="2"/>
        <item x="59"/>
        <item h="1" x="4"/>
        <item x="36"/>
        <item x="39"/>
        <item x="40"/>
        <item x="18"/>
        <item x="62"/>
        <item x="35"/>
        <item x="50"/>
        <item x="49"/>
        <item x="34"/>
        <item x="38"/>
        <item x="61"/>
        <item x="10"/>
        <item x="31"/>
        <item x="28"/>
        <item x="37"/>
        <item x="30"/>
        <item x="17"/>
        <item x="32"/>
        <item x="33"/>
        <item x="58"/>
        <item x="0"/>
        <item x="14"/>
        <item x="56"/>
        <item x="57"/>
        <item x="69"/>
        <item x="19"/>
        <item x="12"/>
        <item x="29"/>
        <item x="45"/>
        <item x="46"/>
        <item x="54"/>
        <item x="48"/>
        <item x="55"/>
        <item x="24"/>
        <item x="11"/>
        <item x="44"/>
        <item x="41"/>
        <item x="15"/>
        <item x="13"/>
        <item x="16"/>
        <item x="20"/>
        <item x="27"/>
        <item x="43"/>
        <item x="47"/>
        <item x="63"/>
        <item x="70"/>
        <item x="1"/>
        <item x="3"/>
        <item x="6"/>
        <item x="7"/>
        <item x="8"/>
        <item x="9"/>
        <item x="21"/>
        <item x="22"/>
        <item x="23"/>
        <item x="25"/>
        <item x="26"/>
        <item x="42"/>
        <item x="51"/>
        <item x="52"/>
        <item x="53"/>
        <item x="65"/>
        <item x="66"/>
        <item x="5"/>
        <item x="60"/>
        <item x="64"/>
        <item x="67"/>
        <item x="68"/>
        <item t="default"/>
      </items>
    </pivotField>
    <pivotField axis="axisPage" compact="0" outline="0" subtotalTop="0" showAll="0">
      <items count="28">
        <item x="2"/>
        <item x="3"/>
        <item x="19"/>
        <item x="15"/>
        <item x="24"/>
        <item x="7"/>
        <item x="10"/>
        <item x="13"/>
        <item x="11"/>
        <item x="20"/>
        <item x="26"/>
        <item x="23"/>
        <item x="21"/>
        <item x="1"/>
        <item x="22"/>
        <item x="4"/>
        <item x="5"/>
        <item x="9"/>
        <item x="8"/>
        <item x="17"/>
        <item x="0"/>
        <item x="16"/>
        <item x="18"/>
        <item x="12"/>
        <item x="25"/>
        <item x="6"/>
        <item x="14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0">
        <item h="1" x="6"/>
        <item h="1" x="0"/>
        <item x="3"/>
        <item x="11"/>
        <item x="9"/>
        <item x="1"/>
        <item x="4"/>
        <item x="8"/>
        <item x="7"/>
        <item x="13"/>
        <item x="16"/>
        <item x="14"/>
        <item x="18"/>
        <item x="12"/>
        <item x="5"/>
        <item x="15"/>
        <item x="10"/>
        <item h="1" x="17"/>
        <item h="1" x="2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0">
        <item x="1"/>
        <item x="0"/>
        <item x="2"/>
        <item x="3"/>
        <item x="5"/>
        <item x="6"/>
        <item x="4"/>
        <item x="9"/>
        <item x="7"/>
        <item x="8"/>
        <item x="10"/>
        <item x="14"/>
        <item x="13"/>
        <item x="11"/>
        <item x="12"/>
        <item x="15"/>
        <item x="16"/>
        <item x="17"/>
        <item x="18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3">
    <i>
      <x/>
    </i>
    <i>
      <x v="1"/>
    </i>
    <i>
      <x v="3"/>
    </i>
    <i>
      <x v="4"/>
    </i>
    <i>
      <x v="6"/>
    </i>
    <i>
      <x v="7"/>
    </i>
    <i>
      <x v="8"/>
    </i>
    <i>
      <x v="10"/>
    </i>
    <i>
      <x v="14"/>
    </i>
    <i>
      <x v="15"/>
    </i>
    <i>
      <x v="17"/>
    </i>
    <i>
      <x v="1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9">
    <format dxfId="61">
      <pivotArea outline="0" collapsedLevelsAreSubtotals="1" fieldPosition="0"/>
    </format>
    <format dxfId="60">
      <pivotArea dataOnly="0" labelOnly="1" outline="0" axis="axisValues" fieldPosition="0"/>
    </format>
    <format dxfId="59">
      <pivotArea dataOnly="0" outline="0" fieldPosition="0">
        <references count="1">
          <reference field="25" count="0" defaultSubtotal="1"/>
        </references>
      </pivotArea>
    </format>
    <format dxfId="58">
      <pivotArea dataOnly="0" outline="0" fieldPosition="0">
        <references count="1">
          <reference field="25" count="0" defaultSubtotal="1"/>
        </references>
      </pivotArea>
    </format>
    <format dxfId="57">
      <pivotArea dataOnly="0" outline="0" fieldPosition="0">
        <references count="1">
          <reference field="25" count="0" defaultSubtotal="1"/>
        </references>
      </pivotArea>
    </format>
    <format dxfId="56">
      <pivotArea outline="0" fieldPosition="0">
        <references count="2">
          <reference field="4294967294" count="1" selected="0">
            <x v="3"/>
          </reference>
          <reference field="25" count="1" selected="0">
            <x v="15"/>
          </reference>
        </references>
      </pivotArea>
    </format>
    <format dxfId="55">
      <pivotArea outline="0" fieldPosition="0">
        <references count="2">
          <reference field="4294967294" count="1" selected="0">
            <x v="2"/>
          </reference>
          <reference field="25" count="1" selected="0">
            <x v="17"/>
          </reference>
        </references>
      </pivotArea>
    </format>
    <format dxfId="54">
      <pivotArea outline="0" fieldPosition="0">
        <references count="2">
          <reference field="4294967294" count="1" selected="0">
            <x v="2"/>
          </reference>
          <reference field="25" count="1" selected="0">
            <x v="12"/>
          </reference>
        </references>
      </pivotArea>
    </format>
    <format dxfId="53">
      <pivotArea outline="0" fieldPosition="0">
        <references count="2">
          <reference field="4294967294" count="1" selected="0">
            <x v="2"/>
          </reference>
          <reference field="25" count="6" selected="0">
            <x v="6"/>
            <x v="7"/>
            <x v="8"/>
            <x v="10"/>
            <x v="11"/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9A9D92-1949-4F4E-81D8-A6401AAED74E}" name="PivotTable2" cacheId="129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13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72">
        <item h="1" x="2"/>
        <item x="59"/>
        <item h="1" x="4"/>
        <item x="36"/>
        <item x="39"/>
        <item x="40"/>
        <item x="18"/>
        <item x="62"/>
        <item x="35"/>
        <item x="50"/>
        <item x="49"/>
        <item x="34"/>
        <item x="38"/>
        <item x="61"/>
        <item x="10"/>
        <item x="31"/>
        <item x="28"/>
        <item x="37"/>
        <item x="30"/>
        <item x="17"/>
        <item x="32"/>
        <item x="33"/>
        <item x="58"/>
        <item x="0"/>
        <item x="14"/>
        <item x="56"/>
        <item x="57"/>
        <item x="69"/>
        <item x="29"/>
        <item x="12"/>
        <item x="19"/>
        <item x="45"/>
        <item x="46"/>
        <item x="54"/>
        <item x="48"/>
        <item x="55"/>
        <item h="1" x="24"/>
        <item h="1" x="11"/>
        <item h="1" x="44"/>
        <item h="1" x="41"/>
        <item h="1" x="1"/>
        <item h="1" x="3"/>
        <item h="1" x="6"/>
        <item h="1" x="7"/>
        <item h="1" x="8"/>
        <item h="1" x="9"/>
        <item h="1" x="15"/>
        <item h="1" x="13"/>
        <item h="1" x="16"/>
        <item h="1" x="20"/>
        <item h="1" x="21"/>
        <item h="1" x="22"/>
        <item h="1" x="23"/>
        <item h="1" x="25"/>
        <item h="1" x="26"/>
        <item h="1" x="27"/>
        <item h="1" x="42"/>
        <item h="1" x="43"/>
        <item h="1" x="47"/>
        <item h="1" x="51"/>
        <item h="1" x="52"/>
        <item h="1" x="53"/>
        <item h="1" x="63"/>
        <item h="1" x="65"/>
        <item h="1" x="66"/>
        <item h="1" x="70"/>
        <item h="1" x="5"/>
        <item h="1" x="60"/>
        <item h="1" x="64"/>
        <item h="1" x="67"/>
        <item h="1" x="68"/>
        <item t="default"/>
      </items>
    </pivotField>
    <pivotField axis="axisRow" compact="0" outline="0" subtotalTop="0" showAll="0">
      <items count="28">
        <item x="2"/>
        <item x="3"/>
        <item x="19"/>
        <item x="15"/>
        <item x="24"/>
        <item x="7"/>
        <item x="10"/>
        <item x="13"/>
        <item x="11"/>
        <item x="20"/>
        <item x="26"/>
        <item x="23"/>
        <item x="21"/>
        <item x="1"/>
        <item x="22"/>
        <item x="4"/>
        <item x="5"/>
        <item x="9"/>
        <item x="8"/>
        <item x="17"/>
        <item x="0"/>
        <item x="16"/>
        <item x="18"/>
        <item x="12"/>
        <item x="25"/>
        <item x="6"/>
        <item x="14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0">
        <item h="1" x="6"/>
        <item h="1" x="0"/>
        <item h="1" x="3"/>
        <item h="1" x="11"/>
        <item h="1" x="9"/>
        <item x="1"/>
        <item x="4"/>
        <item h="1" x="8"/>
        <item h="1" x="7"/>
        <item x="13"/>
        <item h="1" x="16"/>
        <item x="14"/>
        <item h="1" x="18"/>
        <item x="12"/>
        <item x="5"/>
        <item x="15"/>
        <item h="1" x="10"/>
        <item h="1" x="17"/>
        <item h="1" x="2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0">
        <item x="1"/>
        <item x="0"/>
        <item x="2"/>
        <item x="3"/>
        <item x="5"/>
        <item x="6"/>
        <item x="4"/>
        <item x="9"/>
        <item x="7"/>
        <item x="8"/>
        <item x="10"/>
        <item x="14"/>
        <item x="13"/>
        <item x="11"/>
        <item x="12"/>
        <item x="15"/>
        <item x="16"/>
        <item x="17"/>
        <item x="18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9">
    <i>
      <x v="8"/>
      <x v="7"/>
    </i>
    <i r="1">
      <x v="8"/>
    </i>
    <i t="default">
      <x v="8"/>
    </i>
    <i>
      <x v="10"/>
      <x v="2"/>
    </i>
    <i r="1">
      <x v="7"/>
    </i>
    <i t="default">
      <x v="10"/>
    </i>
    <i>
      <x v="18"/>
      <x v="11"/>
    </i>
    <i t="default">
      <x v="1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52">
      <pivotArea outline="0" collapsedLevelsAreSubtotals="1" fieldPosition="0"/>
    </format>
    <format dxfId="51">
      <pivotArea dataOnly="0" labelOnly="1" outline="0" axis="axisValues" fieldPosition="0"/>
    </format>
    <format dxfId="50">
      <pivotArea dataOnly="0" outline="0" fieldPosition="0">
        <references count="1">
          <reference field="25" count="0" defaultSubtotal="1"/>
        </references>
      </pivotArea>
    </format>
    <format dxfId="49">
      <pivotArea dataOnly="0" outline="0" fieldPosition="0">
        <references count="1">
          <reference field="25" count="0" defaultSubtotal="1"/>
        </references>
      </pivotArea>
    </format>
    <format dxfId="48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AA8531-4D6A-40A8-BA3C-28596A173288}" name="PivotTable2" cacheId="129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25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72">
        <item h="1" x="2"/>
        <item h="1" x="59"/>
        <item x="4"/>
        <item h="1" x="36"/>
        <item h="1" x="39"/>
        <item h="1" x="40"/>
        <item h="1" x="18"/>
        <item h="1" x="62"/>
        <item h="1" x="35"/>
        <item h="1" x="50"/>
        <item h="1" x="49"/>
        <item h="1" x="34"/>
        <item h="1" x="38"/>
        <item h="1" x="61"/>
        <item h="1" x="10"/>
        <item h="1" x="31"/>
        <item h="1" x="28"/>
        <item h="1" x="37"/>
        <item h="1" x="30"/>
        <item h="1" x="17"/>
        <item h="1" x="32"/>
        <item h="1" x="33"/>
        <item h="1" x="58"/>
        <item h="1" x="0"/>
        <item h="1" x="29"/>
        <item h="1" x="12"/>
        <item h="1" x="19"/>
        <item h="1" x="14"/>
        <item h="1" x="45"/>
        <item h="1" x="46"/>
        <item h="1" x="54"/>
        <item h="1" x="48"/>
        <item h="1" x="55"/>
        <item h="1" x="56"/>
        <item h="1" x="57"/>
        <item h="1" x="69"/>
        <item h="1" x="24"/>
        <item h="1" x="11"/>
        <item h="1" x="44"/>
        <item h="1" x="41"/>
        <item h="1" x="1"/>
        <item h="1" x="3"/>
        <item h="1" x="6"/>
        <item h="1" x="7"/>
        <item h="1" x="8"/>
        <item h="1" x="9"/>
        <item h="1" x="15"/>
        <item h="1" x="13"/>
        <item h="1" x="16"/>
        <item h="1" x="20"/>
        <item h="1" x="21"/>
        <item h="1" x="22"/>
        <item h="1" x="23"/>
        <item h="1" x="25"/>
        <item h="1" x="26"/>
        <item h="1" x="27"/>
        <item h="1" x="42"/>
        <item h="1" x="43"/>
        <item h="1" x="47"/>
        <item h="1" x="51"/>
        <item h="1" x="52"/>
        <item h="1" x="53"/>
        <item h="1" x="63"/>
        <item h="1" x="70"/>
        <item h="1" x="65"/>
        <item h="1" x="66"/>
        <item h="1" x="5"/>
        <item h="1" x="60"/>
        <item h="1" x="64"/>
        <item h="1" x="67"/>
        <item h="1" x="68"/>
        <item t="default"/>
      </items>
    </pivotField>
    <pivotField axis="axisRow" compact="0" outline="0" subtotalTop="0" showAll="0">
      <items count="28">
        <item x="2"/>
        <item x="3"/>
        <item x="19"/>
        <item x="15"/>
        <item x="24"/>
        <item x="7"/>
        <item x="10"/>
        <item x="13"/>
        <item x="11"/>
        <item x="20"/>
        <item x="26"/>
        <item x="23"/>
        <item x="21"/>
        <item x="1"/>
        <item x="22"/>
        <item x="4"/>
        <item x="5"/>
        <item x="9"/>
        <item x="8"/>
        <item x="17"/>
        <item x="0"/>
        <item x="16"/>
        <item x="18"/>
        <item x="12"/>
        <item x="25"/>
        <item x="6"/>
        <item x="14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0">
        <item h="1" x="6"/>
        <item h="1" x="0"/>
        <item x="3"/>
        <item x="11"/>
        <item x="9"/>
        <item x="1"/>
        <item x="4"/>
        <item x="8"/>
        <item h="1" x="7"/>
        <item x="13"/>
        <item x="16"/>
        <item x="14"/>
        <item h="1" x="18"/>
        <item x="12"/>
        <item x="5"/>
        <item x="15"/>
        <item x="10"/>
        <item h="1" x="17"/>
        <item h="1" x="2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0">
        <item x="1"/>
        <item x="0"/>
        <item x="2"/>
        <item x="3"/>
        <item x="5"/>
        <item x="6"/>
        <item x="4"/>
        <item x="9"/>
        <item x="7"/>
        <item x="8"/>
        <item x="10"/>
        <item x="14"/>
        <item x="13"/>
        <item x="11"/>
        <item x="12"/>
        <item x="15"/>
        <item x="16"/>
        <item x="17"/>
        <item x="18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21">
    <i>
      <x v="4"/>
      <x v="1"/>
    </i>
    <i t="default">
      <x v="4"/>
    </i>
    <i>
      <x v="6"/>
      <x v="17"/>
    </i>
    <i r="1">
      <x v="18"/>
    </i>
    <i t="default">
      <x v="6"/>
    </i>
    <i>
      <x v="8"/>
      <x v="3"/>
    </i>
    <i r="1">
      <x v="6"/>
    </i>
    <i r="1">
      <x v="8"/>
    </i>
    <i t="default">
      <x v="8"/>
    </i>
    <i>
      <x v="10"/>
      <x v="9"/>
    </i>
    <i t="default">
      <x v="10"/>
    </i>
    <i>
      <x v="13"/>
      <x v="12"/>
    </i>
    <i r="1">
      <x v="14"/>
    </i>
    <i t="default">
      <x v="13"/>
    </i>
    <i>
      <x v="15"/>
      <x v="10"/>
    </i>
    <i t="default">
      <x v="15"/>
    </i>
    <i>
      <x v="16"/>
      <x v="2"/>
    </i>
    <i t="default">
      <x v="16"/>
    </i>
    <i>
      <x v="18"/>
      <x v="2"/>
    </i>
    <i t="default">
      <x v="1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9">
    <format dxfId="47">
      <pivotArea outline="0" collapsedLevelsAreSubtotals="1" fieldPosition="0"/>
    </format>
    <format dxfId="46">
      <pivotArea dataOnly="0" labelOnly="1" outline="0" axis="axisValues" fieldPosition="0"/>
    </format>
    <format dxfId="45">
      <pivotArea dataOnly="0" outline="0" fieldPosition="0">
        <references count="1">
          <reference field="25" count="0" defaultSubtotal="1"/>
        </references>
      </pivotArea>
    </format>
    <format dxfId="44">
      <pivotArea dataOnly="0" outline="0" fieldPosition="0">
        <references count="1">
          <reference field="25" count="0" defaultSubtotal="1"/>
        </references>
      </pivotArea>
    </format>
    <format dxfId="43">
      <pivotArea dataOnly="0" outline="0" fieldPosition="0">
        <references count="1">
          <reference field="25" count="0" defaultSubtotal="1"/>
        </references>
      </pivotArea>
    </format>
    <format dxfId="42">
      <pivotArea dataOnly="0" outline="0" fieldPosition="0">
        <references count="1">
          <reference field="2" count="1">
            <x v="12"/>
          </reference>
        </references>
      </pivotArea>
    </format>
    <format dxfId="41">
      <pivotArea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25" count="1" selected="0">
            <x v="17"/>
          </reference>
        </references>
      </pivotArea>
    </format>
    <format dxfId="40">
      <pivotArea dataOnly="0" labelOnly="1" outline="0" fieldPosition="0">
        <references count="1">
          <reference field="25" count="1">
            <x v="17"/>
          </reference>
        </references>
      </pivotArea>
    </format>
    <format dxfId="39">
      <pivotArea dataOnly="0" labelOnly="1" outline="0" fieldPosition="0">
        <references count="2">
          <reference field="2" count="1">
            <x v="2"/>
          </reference>
          <reference field="25" count="1" selected="0">
            <x v="17"/>
          </reference>
        </references>
      </pivotArea>
    </format>
    <format dxfId="38">
      <pivotArea dataOnly="0" labelOnly="1" outline="0" fieldPosition="0">
        <references count="1">
          <reference field="25" count="1">
            <x v="15"/>
          </reference>
        </references>
      </pivotArea>
    </format>
    <format dxfId="37">
      <pivotArea outline="0" fieldPosition="0">
        <references count="2">
          <reference field="2" count="1" selected="0">
            <x v="12"/>
          </reference>
          <reference field="25" count="1" selected="0">
            <x v="13"/>
          </reference>
        </references>
      </pivotArea>
    </format>
    <format dxfId="36">
      <pivotArea dataOnly="0" labelOnly="1" outline="0" fieldPosition="0">
        <references count="1">
          <reference field="25" count="1">
            <x v="13"/>
          </reference>
        </references>
      </pivotArea>
    </format>
    <format dxfId="35">
      <pivotArea dataOnly="0" labelOnly="1" outline="0" fieldPosition="0">
        <references count="2">
          <reference field="2" count="1">
            <x v="12"/>
          </reference>
          <reference field="25" count="1" selected="0">
            <x v="13"/>
          </reference>
        </references>
      </pivotArea>
    </format>
    <format dxfId="34">
      <pivotArea dataOnly="0" labelOnly="1" outline="0" fieldPosition="0">
        <references count="1">
          <reference field="25" count="1">
            <x v="10"/>
          </reference>
        </references>
      </pivotArea>
    </format>
    <format dxfId="33">
      <pivotArea dataOnly="0" labelOnly="1" outline="0" fieldPosition="0">
        <references count="1">
          <reference field="25" count="1">
            <x v="8"/>
          </reference>
        </references>
      </pivotArea>
    </format>
    <format dxfId="32">
      <pivotArea dataOnly="0" labelOnly="1" outline="0" fieldPosition="0">
        <references count="2">
          <reference field="2" count="2">
            <x v="3"/>
            <x v="6"/>
          </reference>
          <reference field="25" count="1" selected="0">
            <x v="8"/>
          </reference>
        </references>
      </pivotArea>
    </format>
    <format dxfId="31">
      <pivotArea dataOnly="0" labelOnly="1" outline="0" fieldPosition="0">
        <references count="1">
          <reference field="25" count="1">
            <x v="6"/>
          </reference>
        </references>
      </pivotArea>
    </format>
    <format dxfId="30">
      <pivotArea dataOnly="0" labelOnly="1" outline="0" fieldPosition="0">
        <references count="1">
          <reference field="25" count="1">
            <x v="4"/>
          </reference>
        </references>
      </pivotArea>
    </format>
    <format dxfId="29">
      <pivotArea dataOnly="0" labelOnly="1" outline="0" fieldPosition="0">
        <references count="2">
          <reference field="2" count="1">
            <x v="1"/>
          </reference>
          <reference field="25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CD38DC-CB6C-4B31-B617-4F8324F30F5E}" name="PivotTable2" cacheId="12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43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1">
        <item h="1" x="2"/>
        <item x="70"/>
        <item x="1"/>
        <item x="42"/>
        <item x="46"/>
        <item x="47"/>
        <item x="45"/>
        <item x="77"/>
        <item x="41"/>
        <item x="67"/>
        <item x="68"/>
        <item x="69"/>
        <item x="40"/>
        <item x="44"/>
        <item x="75"/>
        <item x="11"/>
        <item x="35"/>
        <item x="36"/>
        <item x="29"/>
        <item x="18"/>
        <item x="43"/>
        <item x="38"/>
        <item x="39"/>
        <item x="34"/>
        <item x="24"/>
        <item x="66"/>
        <item x="0"/>
        <item x="3"/>
        <item x="8"/>
        <item x="9"/>
        <item x="4"/>
        <item x="7"/>
        <item x="13"/>
        <item x="14"/>
        <item x="22"/>
        <item x="27"/>
        <item x="33"/>
        <item x="37"/>
        <item x="48"/>
        <item x="50"/>
        <item x="49"/>
        <item x="51"/>
        <item x="52"/>
        <item x="57"/>
        <item x="64"/>
        <item x="65"/>
        <item x="71"/>
        <item x="79"/>
        <item x="32"/>
        <item x="78"/>
        <item x="58"/>
        <item x="59"/>
        <item x="76"/>
        <item x="5"/>
        <item x="6"/>
        <item x="15"/>
        <item x="16"/>
        <item x="20"/>
        <item x="21"/>
        <item x="61"/>
        <item x="62"/>
        <item x="63"/>
        <item x="74"/>
        <item x="10"/>
        <item x="17"/>
        <item x="23"/>
        <item x="25"/>
        <item x="26"/>
        <item x="28"/>
        <item x="30"/>
        <item x="31"/>
        <item x="53"/>
        <item x="54"/>
        <item x="55"/>
        <item x="60"/>
        <item x="12"/>
        <item x="19"/>
        <item x="56"/>
        <item x="72"/>
        <item x="73"/>
        <item t="default"/>
      </items>
    </pivotField>
    <pivotField axis="axisRow" compact="0" outline="0" subtotalTop="0" showAll="0">
      <items count="36">
        <item x="2"/>
        <item x="9"/>
        <item x="24"/>
        <item x="16"/>
        <item x="31"/>
        <item x="19"/>
        <item x="6"/>
        <item x="10"/>
        <item x="13"/>
        <item x="15"/>
        <item x="23"/>
        <item x="32"/>
        <item x="34"/>
        <item x="27"/>
        <item x="1"/>
        <item x="28"/>
        <item x="3"/>
        <item x="4"/>
        <item x="8"/>
        <item x="18"/>
        <item x="0"/>
        <item x="5"/>
        <item x="7"/>
        <item x="12"/>
        <item x="17"/>
        <item x="25"/>
        <item x="21"/>
        <item x="22"/>
        <item x="30"/>
        <item x="33"/>
        <item x="29"/>
        <item x="11"/>
        <item x="20"/>
        <item x="14"/>
        <item x="26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1">
        <item h="1" x="1"/>
        <item h="1" x="0"/>
        <item x="5"/>
        <item x="3"/>
        <item x="6"/>
        <item x="10"/>
        <item x="7"/>
        <item x="8"/>
        <item x="9"/>
        <item h="1" x="14"/>
        <item h="1" x="12"/>
        <item h="1" x="15"/>
        <item h="1" x="11"/>
        <item h="1" x="13"/>
        <item h="1" x="16"/>
        <item h="1" x="17"/>
        <item h="1" x="18"/>
        <item h="1" x="4"/>
        <item h="1" x="19"/>
        <item h="1" x="2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x="0"/>
        <item x="1"/>
        <item x="3"/>
        <item x="4"/>
        <item x="2"/>
        <item x="5"/>
        <item x="8"/>
        <item x="6"/>
        <item x="7"/>
        <item x="10"/>
        <item x="9"/>
        <item x="14"/>
        <item x="15"/>
        <item x="13"/>
        <item x="11"/>
        <item x="16"/>
        <item x="17"/>
        <item x="18"/>
        <item x="19"/>
        <item x="12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39">
    <i>
      <x v="2"/>
      <x v="1"/>
    </i>
    <i t="default">
      <x v="2"/>
    </i>
    <i>
      <x v="3"/>
      <x v="7"/>
    </i>
    <i t="default">
      <x v="3"/>
    </i>
    <i>
      <x v="4"/>
      <x v="21"/>
    </i>
    <i t="default">
      <x v="4"/>
    </i>
    <i>
      <x v="5"/>
      <x v="31"/>
    </i>
    <i t="default">
      <x v="5"/>
    </i>
    <i>
      <x v="6"/>
      <x v="5"/>
    </i>
    <i r="1">
      <x v="7"/>
    </i>
    <i t="default">
      <x v="6"/>
    </i>
    <i>
      <x v="7"/>
      <x v="7"/>
    </i>
    <i r="1">
      <x v="8"/>
    </i>
    <i r="1">
      <x v="23"/>
    </i>
    <i r="1">
      <x v="33"/>
    </i>
    <i t="default">
      <x v="7"/>
    </i>
    <i>
      <x v="9"/>
      <x v="26"/>
    </i>
    <i r="1">
      <x v="27"/>
    </i>
    <i r="1">
      <x v="32"/>
    </i>
    <i t="default">
      <x v="9"/>
    </i>
    <i>
      <x v="10"/>
      <x v="32"/>
    </i>
    <i t="default">
      <x v="10"/>
    </i>
    <i>
      <x v="11"/>
      <x v="28"/>
    </i>
    <i t="default">
      <x v="11"/>
    </i>
    <i>
      <x v="13"/>
      <x v="30"/>
    </i>
    <i t="default">
      <x v="13"/>
    </i>
    <i>
      <x v="14"/>
      <x v="13"/>
    </i>
    <i r="1">
      <x v="25"/>
    </i>
    <i r="1">
      <x v="34"/>
    </i>
    <i t="default">
      <x v="14"/>
    </i>
    <i>
      <x v="15"/>
      <x v="11"/>
    </i>
    <i t="default">
      <x v="15"/>
    </i>
    <i>
      <x v="16"/>
      <x v="29"/>
    </i>
    <i t="default">
      <x v="16"/>
    </i>
    <i>
      <x v="18"/>
      <x v="12"/>
    </i>
    <i t="default">
      <x v="18"/>
    </i>
    <i>
      <x v="19"/>
      <x v="34"/>
    </i>
    <i t="default">
      <x v="1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28">
      <pivotArea outline="0" collapsedLevelsAreSubtotals="1" fieldPosition="0"/>
    </format>
    <format dxfId="27">
      <pivotArea dataOnly="0" labelOnly="1" outline="0" axis="axisValues" fieldPosition="0"/>
    </format>
    <format dxfId="26">
      <pivotArea dataOnly="0" outline="0" fieldPosition="0">
        <references count="1">
          <reference field="25" count="0" defaultSubtotal="1"/>
        </references>
      </pivotArea>
    </format>
    <format dxfId="25">
      <pivotArea dataOnly="0" outline="0" fieldPosition="0">
        <references count="1">
          <reference field="25" count="0" defaultSubtotal="1"/>
        </references>
      </pivotArea>
    </format>
    <format dxfId="24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86F1A3-AD26-49FB-867F-2784D7F05686}" name="PivotTable2" cacheId="128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8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77">
        <item h="1" x="2"/>
        <item x="68"/>
        <item h="1" x="1"/>
        <item x="44"/>
        <item x="47"/>
        <item x="48"/>
        <item x="11"/>
        <item x="74"/>
        <item x="43"/>
        <item x="58"/>
        <item x="59"/>
        <item x="67"/>
        <item x="42"/>
        <item x="46"/>
        <item x="73"/>
        <item x="10"/>
        <item x="39"/>
        <item x="40"/>
        <item x="23"/>
        <item x="36"/>
        <item x="45"/>
        <item x="28"/>
        <item x="41"/>
        <item x="38"/>
        <item x="66"/>
        <item x="0"/>
        <item x="21"/>
        <item x="14"/>
        <item x="30"/>
        <item x="17"/>
        <item x="64"/>
        <item x="65"/>
        <item x="75"/>
        <item x="50"/>
        <item x="49"/>
        <item x="51"/>
        <item x="7"/>
        <item x="8"/>
        <item x="4"/>
        <item x="5"/>
        <item x="12"/>
        <item x="33"/>
        <item x="52"/>
        <item x="69"/>
        <item x="27"/>
        <item x="56"/>
        <item x="57"/>
        <item x="6"/>
        <item x="15"/>
        <item x="16"/>
        <item x="32"/>
        <item x="37"/>
        <item x="62"/>
        <item x="61"/>
        <item x="63"/>
        <item x="72"/>
        <item x="9"/>
        <item x="25"/>
        <item x="18"/>
        <item x="20"/>
        <item x="22"/>
        <item x="24"/>
        <item x="26"/>
        <item x="53"/>
        <item x="54"/>
        <item x="13"/>
        <item x="70"/>
        <item x="71"/>
        <item x="3"/>
        <item x="19"/>
        <item x="29"/>
        <item x="31"/>
        <item x="34"/>
        <item x="35"/>
        <item x="55"/>
        <item x="60"/>
        <item t="default"/>
      </items>
    </pivotField>
    <pivotField axis="axisPage" compact="0" outline="0" subtotalTop="0" showAll="0">
      <items count="32">
        <item x="2"/>
        <item x="8"/>
        <item x="20"/>
        <item x="15"/>
        <item x="27"/>
        <item x="18"/>
        <item x="5"/>
        <item x="9"/>
        <item x="12"/>
        <item x="13"/>
        <item x="21"/>
        <item x="29"/>
        <item x="30"/>
        <item x="24"/>
        <item x="1"/>
        <item x="25"/>
        <item x="3"/>
        <item x="4"/>
        <item x="7"/>
        <item x="17"/>
        <item x="6"/>
        <item x="10"/>
        <item x="0"/>
        <item x="16"/>
        <item x="22"/>
        <item x="19"/>
        <item x="26"/>
        <item x="11"/>
        <item x="23"/>
        <item x="14"/>
        <item x="28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19">
        <item h="1" x="3"/>
        <item h="1" x="0"/>
        <item x="8"/>
        <item x="9"/>
        <item x="6"/>
        <item x="7"/>
        <item x="5"/>
        <item h="1" x="10"/>
        <item h="1" x="11"/>
        <item h="1" x="1"/>
        <item h="1" x="14"/>
        <item h="1" x="17"/>
        <item h="1" x="15"/>
        <item h="1" x="12"/>
        <item h="1" x="4"/>
        <item h="1" x="16"/>
        <item h="1" x="13"/>
        <item h="1" x="2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19">
        <item x="0"/>
        <item x="1"/>
        <item x="3"/>
        <item x="4"/>
        <item x="2"/>
        <item x="5"/>
        <item x="8"/>
        <item x="6"/>
        <item x="7"/>
        <item x="9"/>
        <item x="13"/>
        <item x="12"/>
        <item x="10"/>
        <item x="14"/>
        <item x="15"/>
        <item x="16"/>
        <item x="17"/>
        <item x="11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2">
    <i>
      <x v="2"/>
    </i>
    <i>
      <x v="3"/>
    </i>
    <i>
      <x v="4"/>
    </i>
    <i>
      <x v="5"/>
    </i>
    <i>
      <x v="6"/>
    </i>
    <i>
      <x v="7"/>
    </i>
    <i>
      <x v="9"/>
    </i>
    <i>
      <x v="11"/>
    </i>
    <i>
      <x v="12"/>
    </i>
    <i>
      <x v="16"/>
    </i>
    <i>
      <x v="1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6">
    <format dxfId="22">
      <pivotArea outline="0" collapsedLevelsAreSubtotals="1" fieldPosition="0"/>
    </format>
    <format dxfId="21">
      <pivotArea dataOnly="0" labelOnly="1" outline="0" axis="axisValues" fieldPosition="0"/>
    </format>
    <format dxfId="20">
      <pivotArea dataOnly="0" outline="0" fieldPosition="0">
        <references count="1">
          <reference field="25" count="0" defaultSubtotal="1"/>
        </references>
      </pivotArea>
    </format>
    <format dxfId="19">
      <pivotArea dataOnly="0" outline="0" fieldPosition="0">
        <references count="1">
          <reference field="25" count="0" defaultSubtotal="1"/>
        </references>
      </pivotArea>
    </format>
    <format dxfId="18">
      <pivotArea dataOnly="0" outline="0" fieldPosition="0">
        <references count="1">
          <reference field="25" count="0" defaultSubtotal="1"/>
        </references>
      </pivotArea>
    </format>
    <format dxfId="17">
      <pivotArea outline="0" fieldPosition="0">
        <references count="2">
          <reference field="4294967294" count="1" selected="0">
            <x v="3"/>
          </reference>
          <reference field="25" count="1" selected="0"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6E246A-2352-4BE2-9CF2-F44D523B89F8}" name="PivotTable2" cacheId="12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27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1">
        <item h="1" x="2"/>
        <item x="70"/>
        <item h="1" x="1"/>
        <item x="42"/>
        <item x="46"/>
        <item x="47"/>
        <item x="45"/>
        <item x="77"/>
        <item x="41"/>
        <item x="67"/>
        <item x="68"/>
        <item x="69"/>
        <item x="40"/>
        <item x="44"/>
        <item x="75"/>
        <item x="11"/>
        <item x="35"/>
        <item x="36"/>
        <item x="29"/>
        <item x="18"/>
        <item x="43"/>
        <item x="38"/>
        <item x="39"/>
        <item x="24"/>
        <item x="34"/>
        <item x="66"/>
        <item x="0"/>
        <item x="3"/>
        <item x="4"/>
        <item x="7"/>
        <item x="8"/>
        <item x="9"/>
        <item x="5"/>
        <item x="6"/>
        <item x="13"/>
        <item x="14"/>
        <item x="15"/>
        <item x="16"/>
        <item x="20"/>
        <item x="21"/>
        <item x="22"/>
        <item x="32"/>
        <item x="27"/>
        <item x="33"/>
        <item x="37"/>
        <item x="48"/>
        <item x="50"/>
        <item x="49"/>
        <item x="51"/>
        <item x="52"/>
        <item x="57"/>
        <item x="58"/>
        <item x="59"/>
        <item x="61"/>
        <item x="62"/>
        <item x="63"/>
        <item x="64"/>
        <item x="65"/>
        <item x="71"/>
        <item x="76"/>
        <item x="78"/>
        <item x="79"/>
        <item h="1" x="74"/>
        <item h="1" x="10"/>
        <item h="1" x="17"/>
        <item h="1" x="23"/>
        <item h="1" x="25"/>
        <item h="1" x="26"/>
        <item h="1" x="28"/>
        <item h="1" x="30"/>
        <item h="1" x="31"/>
        <item h="1" x="53"/>
        <item h="1" x="54"/>
        <item h="1" x="55"/>
        <item h="1" x="60"/>
        <item h="1" x="12"/>
        <item h="1" x="19"/>
        <item h="1" x="56"/>
        <item h="1" x="72"/>
        <item h="1" x="73"/>
        <item t="default"/>
      </items>
    </pivotField>
    <pivotField axis="axisRow" compact="0" outline="0" subtotalTop="0" showAll="0">
      <items count="36">
        <item x="2"/>
        <item x="9"/>
        <item x="24"/>
        <item x="16"/>
        <item x="31"/>
        <item x="19"/>
        <item x="6"/>
        <item x="10"/>
        <item x="13"/>
        <item x="15"/>
        <item x="23"/>
        <item x="32"/>
        <item x="34"/>
        <item x="27"/>
        <item x="1"/>
        <item x="28"/>
        <item x="3"/>
        <item x="4"/>
        <item x="8"/>
        <item x="18"/>
        <item x="7"/>
        <item x="12"/>
        <item x="0"/>
        <item x="5"/>
        <item x="17"/>
        <item x="21"/>
        <item x="22"/>
        <item x="25"/>
        <item x="30"/>
        <item x="33"/>
        <item x="29"/>
        <item x="11"/>
        <item x="20"/>
        <item x="14"/>
        <item x="26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1">
        <item h="1" x="1"/>
        <item h="1" x="0"/>
        <item x="5"/>
        <item x="3"/>
        <item x="6"/>
        <item h="1" x="10"/>
        <item x="7"/>
        <item x="8"/>
        <item x="9"/>
        <item h="1" x="14"/>
        <item h="1" x="12"/>
        <item h="1" x="15"/>
        <item h="1" x="11"/>
        <item h="1" x="13"/>
        <item h="1" x="16"/>
        <item h="1" x="17"/>
        <item h="1" x="18"/>
        <item h="1" x="4"/>
        <item h="1" x="19"/>
        <item h="1" x="2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x="0"/>
        <item x="1"/>
        <item x="3"/>
        <item x="4"/>
        <item x="2"/>
        <item x="5"/>
        <item x="8"/>
        <item x="6"/>
        <item x="7"/>
        <item x="10"/>
        <item x="9"/>
        <item x="14"/>
        <item x="15"/>
        <item x="13"/>
        <item x="11"/>
        <item x="16"/>
        <item x="17"/>
        <item x="18"/>
        <item x="19"/>
        <item x="12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23">
    <i>
      <x v="2"/>
      <x v="1"/>
    </i>
    <i t="default">
      <x v="2"/>
    </i>
    <i>
      <x v="4"/>
      <x v="23"/>
    </i>
    <i t="default">
      <x v="4"/>
    </i>
    <i>
      <x v="6"/>
      <x v="5"/>
    </i>
    <i r="1">
      <x v="7"/>
    </i>
    <i t="default">
      <x v="6"/>
    </i>
    <i>
      <x v="7"/>
      <x v="7"/>
    </i>
    <i r="1">
      <x v="8"/>
    </i>
    <i r="1">
      <x v="21"/>
    </i>
    <i t="default">
      <x v="7"/>
    </i>
    <i>
      <x v="9"/>
      <x v="25"/>
    </i>
    <i r="1">
      <x v="26"/>
    </i>
    <i t="default">
      <x v="9"/>
    </i>
    <i>
      <x v="11"/>
      <x v="28"/>
    </i>
    <i t="default">
      <x v="11"/>
    </i>
    <i>
      <x v="14"/>
      <x v="27"/>
    </i>
    <i t="default">
      <x v="14"/>
    </i>
    <i>
      <x v="16"/>
      <x v="29"/>
    </i>
    <i t="default">
      <x v="16"/>
    </i>
    <i>
      <x v="18"/>
      <x v="12"/>
    </i>
    <i t="default">
      <x v="1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16">
      <pivotArea outline="0" collapsedLevelsAreSubtotals="1" fieldPosition="0"/>
    </format>
    <format dxfId="15">
      <pivotArea dataOnly="0" labelOnly="1" outline="0" axis="axisValues" fieldPosition="0"/>
    </format>
    <format dxfId="14">
      <pivotArea dataOnly="0" outline="0" fieldPosition="0">
        <references count="1">
          <reference field="25" count="0" defaultSubtotal="1"/>
        </references>
      </pivotArea>
    </format>
    <format dxfId="13">
      <pivotArea dataOnly="0" outline="0" fieldPosition="0">
        <references count="1">
          <reference field="25" count="0" defaultSubtotal="1"/>
        </references>
      </pivotArea>
    </format>
    <format dxfId="12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474745-7FD2-49D7-8C1D-DF9084A35546}" name="PivotTable2" cacheId="12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9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1">
        <item h="1" x="2"/>
        <item h="1" x="70"/>
        <item x="1"/>
        <item h="1" x="42"/>
        <item h="1" x="46"/>
        <item h="1" x="47"/>
        <item h="1" x="45"/>
        <item h="1" x="77"/>
        <item h="1" x="41"/>
        <item h="1" x="67"/>
        <item h="1" x="68"/>
        <item h="1" x="69"/>
        <item h="1" x="40"/>
        <item h="1" x="44"/>
        <item h="1" x="75"/>
        <item h="1" x="11"/>
        <item h="1" x="35"/>
        <item h="1" x="36"/>
        <item h="1" x="29"/>
        <item h="1" x="18"/>
        <item h="1" x="43"/>
        <item h="1" x="38"/>
        <item h="1" x="39"/>
        <item h="1" x="24"/>
        <item h="1" x="34"/>
        <item h="1" x="66"/>
        <item h="1" x="0"/>
        <item h="1" x="27"/>
        <item h="1" x="14"/>
        <item h="1" x="37"/>
        <item h="1" x="22"/>
        <item h="1" x="50"/>
        <item h="1" x="49"/>
        <item h="1" x="51"/>
        <item h="1" x="57"/>
        <item h="1" x="64"/>
        <item h="1" x="65"/>
        <item h="1" x="79"/>
        <item h="1" x="3"/>
        <item h="1" x="4"/>
        <item h="1" x="7"/>
        <item h="1" x="8"/>
        <item h="1" x="9"/>
        <item h="1" x="13"/>
        <item h="1" x="32"/>
        <item h="1" x="33"/>
        <item h="1" x="48"/>
        <item h="1" x="52"/>
        <item h="1" x="58"/>
        <item h="1" x="59"/>
        <item h="1" x="71"/>
        <item h="1" x="76"/>
        <item h="1" x="78"/>
        <item h="1" x="5"/>
        <item h="1" x="6"/>
        <item h="1" x="15"/>
        <item h="1" x="16"/>
        <item h="1" x="20"/>
        <item h="1" x="21"/>
        <item h="1" x="61"/>
        <item h="1" x="62"/>
        <item h="1" x="63"/>
        <item h="1" x="74"/>
        <item h="1" x="10"/>
        <item h="1" x="17"/>
        <item h="1" x="23"/>
        <item h="1" x="25"/>
        <item h="1" x="26"/>
        <item h="1" x="28"/>
        <item h="1" x="30"/>
        <item h="1" x="31"/>
        <item h="1" x="53"/>
        <item h="1" x="54"/>
        <item h="1" x="55"/>
        <item h="1" x="60"/>
        <item h="1" x="12"/>
        <item h="1" x="19"/>
        <item h="1" x="56"/>
        <item h="1" x="72"/>
        <item h="1" x="73"/>
        <item t="default"/>
      </items>
    </pivotField>
    <pivotField axis="axisRow" compact="0" outline="0" subtotalTop="0" showAll="0">
      <items count="36">
        <item x="2"/>
        <item x="9"/>
        <item x="24"/>
        <item x="16"/>
        <item x="31"/>
        <item x="19"/>
        <item x="6"/>
        <item x="10"/>
        <item x="13"/>
        <item x="15"/>
        <item x="23"/>
        <item x="32"/>
        <item x="34"/>
        <item x="27"/>
        <item x="1"/>
        <item x="28"/>
        <item x="3"/>
        <item x="4"/>
        <item x="8"/>
        <item x="18"/>
        <item x="7"/>
        <item x="12"/>
        <item x="0"/>
        <item x="17"/>
        <item x="25"/>
        <item x="22"/>
        <item x="21"/>
        <item x="5"/>
        <item x="30"/>
        <item x="33"/>
        <item x="29"/>
        <item x="11"/>
        <item x="20"/>
        <item x="14"/>
        <item x="26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1">
        <item h="1" x="1"/>
        <item h="1" x="0"/>
        <item x="5"/>
        <item x="3"/>
        <item x="6"/>
        <item h="1" x="10"/>
        <item x="7"/>
        <item x="8"/>
        <item x="9"/>
        <item h="1" x="14"/>
        <item h="1" x="12"/>
        <item h="1" x="15"/>
        <item h="1" x="11"/>
        <item h="1" x="13"/>
        <item h="1" x="16"/>
        <item h="1" x="17"/>
        <item h="1" x="18"/>
        <item h="1" x="4"/>
        <item h="1" x="19"/>
        <item h="1" x="2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x="0"/>
        <item x="1"/>
        <item x="3"/>
        <item x="4"/>
        <item x="2"/>
        <item x="5"/>
        <item x="8"/>
        <item x="6"/>
        <item x="7"/>
        <item x="10"/>
        <item x="9"/>
        <item x="14"/>
        <item x="15"/>
        <item x="13"/>
        <item x="11"/>
        <item x="16"/>
        <item x="17"/>
        <item x="18"/>
        <item x="19"/>
        <item x="12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5">
    <i>
      <x v="14"/>
      <x v="13"/>
    </i>
    <i t="default">
      <x v="14"/>
    </i>
    <i>
      <x v="15"/>
      <x v="11"/>
    </i>
    <i t="default">
      <x v="1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11">
      <pivotArea outline="0" collapsedLevelsAreSubtotals="1" fieldPosition="0"/>
    </format>
    <format dxfId="10">
      <pivotArea dataOnly="0" labelOnly="1" outline="0" axis="axisValues" fieldPosition="0"/>
    </format>
    <format dxfId="9">
      <pivotArea dataOnly="0" outline="0" fieldPosition="0">
        <references count="1">
          <reference field="25" count="0" defaultSubtotal="1"/>
        </references>
      </pivotArea>
    </format>
    <format dxfId="8">
      <pivotArea dataOnly="0" outline="0" fieldPosition="0">
        <references count="1">
          <reference field="25" count="0" defaultSubtotal="1"/>
        </references>
      </pivotArea>
    </format>
    <format dxfId="7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6671A8-4FFF-4C71-977D-20B1699D53C8}" name="Table1" displayName="Table1" ref="A3:AF4" totalsRowShown="0">
  <autoFilter ref="A3:AF4" xr:uid="{306671A8-4FFF-4C71-977D-20B1699D53C8}"/>
  <tableColumns count="32">
    <tableColumn id="1" xr3:uid="{91181B53-F76C-4159-8022-69A6B67C20F0}" name="วันรับออร์เดอร์/แบบ"/>
    <tableColumn id="2" xr3:uid="{10802C2C-607D-4C23-B047-C8464B875D1F}" name="เลขที่ SO"/>
    <tableColumn id="3" xr3:uid="{B15A61CD-FF5F-491D-9A2B-3529B470873B}" name="ชื่อลูกค้า"/>
    <tableColumn id="4" xr3:uid="{44FD0DC6-FCE3-42F5-9722-DADD23D0D72F}" name="ตรา"/>
    <tableColumn id="5" xr3:uid="{68760441-BBC5-4B0C-9C4C-086BEC1480B9}" name="กว้าง"/>
    <tableColumn id="6" xr3:uid="{DCADF2C2-E098-40FE-8483-14C0F270DC4E}" name="ยาว"/>
    <tableColumn id="7" xr3:uid="{FE48FBF8-240A-4623-8BCD-5275E23E1A00}" name="สี"/>
    <tableColumn id="8" xr3:uid="{F8BA33C1-44A0-42FF-8CEE-1049C69559E2}" name="เคลือบ"/>
    <tableColumn id="9" xr3:uid="{BEBE4F52-F352-4B0A-812F-E9D10BF90723}" name="กรัม/ใบ"/>
    <tableColumn id="10" xr3:uid="{CFB45D9F-F5FA-4873-9E2E-EA9E479EBFDA}" name="*"/>
    <tableColumn id="11" xr3:uid="{D15A1F4D-C35B-41DA-8CA9-AEB27E5AA54D}" name="aw"/>
    <tableColumn id="12" xr3:uid="{99FF9260-AF41-4BF2-AFBE-CE1AFE910D58}" name="บิด/จับจีบ"/>
    <tableColumn id="13" xr3:uid="{1D76AA3F-5C13-444F-8508-F6C6ADF36CC2}" name="กว้าง2"/>
    <tableColumn id="14" xr3:uid="{4CCC2742-EF42-42F3-8D9C-FCE1D40543F5}" name="ยาว2"/>
    <tableColumn id="15" xr3:uid="{CFF24CDF-ED35-4043-A674-82BF86A16C70}" name="หนา"/>
    <tableColumn id="16" xr3:uid="{932CF548-0BE6-4EF0-9D30-29148E72AA3B}" name="ใช้(กก.)"/>
    <tableColumn id="17" xr3:uid="{AE20F48E-E0F8-45B0-A7B6-740C1494D293}" name="Stock(กก.)"/>
    <tableColumn id="18" xr3:uid="{5BFEBA08-4064-479E-AA9E-891AE1F503B9}" name="ผลิต(กก.)"/>
    <tableColumn id="19" xr3:uid="{A15D84E0-3513-471B-9670-99AC6F94A3EB}" name="วิธีบรรจุ"/>
    <tableColumn id="20" xr3:uid="{47D98530-5FAE-4472-9C70-B643484FD0D4}" name="วันส่ง" dataDxfId="23"/>
    <tableColumn id="21" xr3:uid="{F048EE44-9FD9-4943-8B61-AB659010FE00}" name="จำนวนส่ง"/>
    <tableColumn id="22" xr3:uid="{DA8284EB-A3A2-40E6-B328-93E3776B84A9}" name="StockFG"/>
    <tableColumn id="23" xr3:uid="{EE640CAB-8F8A-461E-AE2F-6A26546DF4EE}" name="ค้างตัด"/>
    <tableColumn id="24" xr3:uid="{2FA54056-5A21-463E-948F-4638B838DB78}" name="พิมพ์แล้ว"/>
    <tableColumn id="25" xr3:uid="{4BAB9A50-692F-428E-9CEF-0D30699AF02C}" name="ค้างพิมพ์"/>
    <tableColumn id="26" xr3:uid="{0A0D61B2-3E9C-49EF-AA6F-AD039A1F71A7}" name="ประเภท"/>
    <tableColumn id="27" xr3:uid="{1AD5E7E6-5C5C-426C-A218-4E4844374881}" name="ใช้"/>
    <tableColumn id="28" xr3:uid="{E1871325-C99B-4028-9D68-39B7043A15B5}" name="Stock"/>
    <tableColumn id="29" xr3:uid="{F8375448-C243-44B2-9417-A09AEE783016}" name="ค้างทอ"/>
    <tableColumn id="30" xr3:uid="{18C6582A-FED7-4825-8EB5-2D107CFAE0B9}" name="Stock2"/>
    <tableColumn id="31" xr3:uid="{1E337F68-94E6-4BCD-9E62-B79D5AF910AB}" name="ค้างเคลือบ"/>
    <tableColumn id="32" xr3:uid="{7616A9B2-6F4F-4B76-BE23-C70677564E8C}" name="หมายเหตุ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75E71-3B04-4F02-B615-17E11EC39357}">
  <sheetPr>
    <tabColor rgb="FFFF0000"/>
  </sheetPr>
  <dimension ref="A1:BD575"/>
  <sheetViews>
    <sheetView topLeftCell="A556" zoomScale="80" zoomScaleNormal="80" workbookViewId="0">
      <selection activeCell="A6" sqref="A6:XFD57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45905</v>
      </c>
      <c r="E3" s="82" t="s">
        <v>52</v>
      </c>
      <c r="F3" s="82"/>
      <c r="G3" s="83">
        <v>10.33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f>[1]หน้าผ้า!$AC$13</f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f>[1]หน้าผ้า!$AJ$13</f>
        <v>44873</v>
      </c>
      <c r="X4" s="37" t="s">
        <v>47</v>
      </c>
      <c r="Y4" s="38">
        <f>[1]หน้าผ้า!$AM$13</f>
        <v>44876</v>
      </c>
      <c r="Z4" s="80" t="s">
        <v>46</v>
      </c>
      <c r="AA4" s="81"/>
      <c r="AB4" s="39">
        <f>[1]หน้าผ้า!$AR$12</f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f>[2]หน้าผ้า!C15</f>
        <v>0</v>
      </c>
      <c r="B6" s="14">
        <f>[2]หน้าผ้า!B15</f>
        <v>0</v>
      </c>
      <c r="C6" s="9">
        <f>[2]หน้าผ้า!E15</f>
        <v>0</v>
      </c>
      <c r="D6" s="13">
        <f>[2]หน้าผ้า!F15</f>
        <v>0</v>
      </c>
      <c r="E6" s="9">
        <f>[2]หน้าผ้า!G15</f>
        <v>12</v>
      </c>
      <c r="F6" s="9">
        <f>[2]หน้าผ้า!H15</f>
        <v>16</v>
      </c>
      <c r="G6" s="9" t="str">
        <f>[2]หน้าผ้า!I15</f>
        <v>ขาว</v>
      </c>
      <c r="H6" s="9">
        <f>[2]หน้าผ้า!J15</f>
        <v>0</v>
      </c>
      <c r="I6" s="9">
        <f>[2]หน้าผ้า!L15</f>
        <v>25</v>
      </c>
      <c r="J6" s="9" t="str">
        <f>[2]หน้าผ้า!M15</f>
        <v>±</v>
      </c>
      <c r="K6" s="9">
        <f>[2]หน้าผ้า!N15</f>
        <v>5</v>
      </c>
      <c r="L6" s="9">
        <f>[2]หน้าผ้า!R15</f>
        <v>0</v>
      </c>
      <c r="M6" s="10">
        <f>[2]หน้าผ้า!T15</f>
        <v>0</v>
      </c>
      <c r="N6" s="9">
        <f>[2]หน้าผ้า!U15</f>
        <v>0</v>
      </c>
      <c r="O6" s="9">
        <f>[2]หน้าผ้า!V15</f>
        <v>0</v>
      </c>
      <c r="P6" s="10">
        <f>[2]หน้าผ้า!AB15</f>
        <v>0</v>
      </c>
      <c r="Q6" s="10">
        <f>[2]หน้าผ้า!AC15</f>
        <v>0</v>
      </c>
      <c r="R6" s="10">
        <f>[2]หน้าผ้า!AD15</f>
        <v>0</v>
      </c>
      <c r="S6" s="9">
        <f>[2]หน้าผ้า!Z15</f>
        <v>0</v>
      </c>
      <c r="T6" s="12">
        <f>[2]หน้าผ้า!X15</f>
        <v>0</v>
      </c>
      <c r="U6" s="11">
        <f>[2]หน้าผ้า!AA15</f>
        <v>0</v>
      </c>
      <c r="V6" s="10">
        <f>[2]หน้าผ้า!AJ15</f>
        <v>0</v>
      </c>
      <c r="W6" s="10">
        <f>[2]หน้าผ้า!AL15</f>
        <v>0</v>
      </c>
      <c r="X6" s="10">
        <f>[2]หน้าผ้า!AM15</f>
        <v>0</v>
      </c>
      <c r="Y6" s="10">
        <f>[2]หน้าผ้า!AN15</f>
        <v>0</v>
      </c>
      <c r="Z6" s="9" t="str">
        <f>[2]หน้าผ้า!AO15</f>
        <v>WSWT1221750</v>
      </c>
      <c r="AA6" s="8" t="e">
        <f>[2]หน้าผ้า!AQ15</f>
        <v>#REF!</v>
      </c>
      <c r="AB6" s="8" t="e">
        <f>[2]หน้าผ้า!AR15</f>
        <v>#REF!</v>
      </c>
      <c r="AC6" s="8" t="e">
        <f>[2]หน้าผ้า!AS15</f>
        <v>#REF!</v>
      </c>
      <c r="AD6" s="8" t="e">
        <f>[2]หน้าผ้า!AT15</f>
        <v>#REF!</v>
      </c>
      <c r="AE6" s="8" t="e">
        <f>[2]หน้าผ้า!AU15</f>
        <v>#REF!</v>
      </c>
      <c r="AF6" s="8" t="str">
        <f>[2]หน้าผ้า!AI15</f>
        <v>ระบุในSD</v>
      </c>
      <c r="AG6" s="1" t="str">
        <f>[3]หน้าผ้า!DC18</f>
        <v>&lt; Ord 20,000</v>
      </c>
      <c r="AH6" s="1">
        <f>[2]หน้าผ้า!DL15</f>
        <v>0</v>
      </c>
      <c r="AI6" s="1">
        <f>[2]หน้าผ้า!DM15</f>
        <v>0</v>
      </c>
      <c r="AJ6" s="3">
        <f>[2]หน้าผ้า!DN15</f>
        <v>0</v>
      </c>
      <c r="AK6" s="3">
        <f>[2]หน้าผ้า!DQ15</f>
        <v>0</v>
      </c>
      <c r="AL6" s="3">
        <f>[2]หน้าผ้า!DR15</f>
        <v>0</v>
      </c>
      <c r="AM6" s="3">
        <f>[2]หน้าผ้า!DS15</f>
        <v>0</v>
      </c>
      <c r="AN6" s="3">
        <f>[2]หน้าผ้า!DT15</f>
        <v>0</v>
      </c>
      <c r="AO6" s="3">
        <f>[2]หน้าผ้า!DU15</f>
        <v>0</v>
      </c>
      <c r="AP6" s="3">
        <f>[2]หน้าผ้า!DP15</f>
        <v>0</v>
      </c>
      <c r="AQ6" s="3">
        <f>[2]หน้าผ้า!DW15</f>
        <v>0</v>
      </c>
      <c r="AR6" s="3">
        <f>[2]หน้าผ้า!DX15</f>
        <v>0</v>
      </c>
      <c r="AS6" s="3">
        <f>[2]หน้าผ้า!DY15</f>
        <v>0</v>
      </c>
      <c r="AT6" s="3">
        <f>[2]หน้าผ้า!DZ15</f>
        <v>0</v>
      </c>
      <c r="AU6" s="3">
        <f>[2]หน้าผ้า!EA15</f>
        <v>0</v>
      </c>
      <c r="AV6" s="1">
        <f>[2]หน้าผ้า!EB15</f>
        <v>0</v>
      </c>
      <c r="AW6" s="2">
        <f>[2]หน้าผ้า!EC15</f>
        <v>0</v>
      </c>
      <c r="AX6" s="2">
        <f>[2]หน้าผ้า!ED15</f>
        <v>0</v>
      </c>
      <c r="AY6" s="2">
        <f>[2]หน้าผ้า!AG15</f>
        <v>0</v>
      </c>
      <c r="AZ6" s="2">
        <f>[2]หน้าผ้า!EG15</f>
        <v>0</v>
      </c>
      <c r="BA6" s="2">
        <f>[2]หน้าผ้า!EH15</f>
        <v>0</v>
      </c>
      <c r="BB6" s="2">
        <f>[2]หน้าผ้า!EI15</f>
        <v>0</v>
      </c>
      <c r="BC6" s="1" t="str">
        <f>[2]หน้าผ้า!BZ15</f>
        <v>WRWT120750/WRWT21750</v>
      </c>
      <c r="BD6" s="56">
        <f>[2]หน้าผ้า!CA15</f>
        <v>0</v>
      </c>
    </row>
    <row r="7" spans="1:56" ht="27.75" customHeight="1" x14ac:dyDescent="0.45">
      <c r="A7" s="3">
        <f>[2]หน้าผ้า!C16</f>
        <v>0</v>
      </c>
      <c r="B7" s="14">
        <f>[2]หน้าผ้า!B16</f>
        <v>0</v>
      </c>
      <c r="C7" s="9">
        <f>[2]หน้าผ้า!E16</f>
        <v>0</v>
      </c>
      <c r="D7" s="13">
        <f>[2]หน้าผ้า!F16</f>
        <v>0</v>
      </c>
      <c r="E7" s="9">
        <f>[2]หน้าผ้า!G16</f>
        <v>14</v>
      </c>
      <c r="F7" s="9">
        <f>[2]หน้าผ้า!H16</f>
        <v>22</v>
      </c>
      <c r="G7" s="9" t="str">
        <f>[2]หน้าผ้า!I16</f>
        <v>ขาว</v>
      </c>
      <c r="H7" s="9">
        <f>[2]หน้าผ้า!J16</f>
        <v>0</v>
      </c>
      <c r="I7" s="9">
        <f>[2]หน้าผ้า!L16</f>
        <v>36</v>
      </c>
      <c r="J7" s="9" t="str">
        <f>[2]หน้าผ้า!M16</f>
        <v>±</v>
      </c>
      <c r="K7" s="9">
        <f>[2]หน้าผ้า!N16</f>
        <v>5</v>
      </c>
      <c r="L7" s="9">
        <f>[2]หน้าผ้า!R16</f>
        <v>0</v>
      </c>
      <c r="M7" s="10">
        <f>[2]หน้าผ้า!T16</f>
        <v>0</v>
      </c>
      <c r="N7" s="9">
        <f>[2]หน้าผ้า!U16</f>
        <v>0</v>
      </c>
      <c r="O7" s="9">
        <f>[2]หน้าผ้า!V16</f>
        <v>0</v>
      </c>
      <c r="P7" s="10">
        <f>[2]หน้าผ้า!AB16</f>
        <v>0</v>
      </c>
      <c r="Q7" s="10">
        <f>[2]หน้าผ้า!AC16</f>
        <v>0</v>
      </c>
      <c r="R7" s="10">
        <f>[2]หน้าผ้า!AD16</f>
        <v>0</v>
      </c>
      <c r="S7" s="9">
        <f>[2]หน้าผ้า!Z16</f>
        <v>0</v>
      </c>
      <c r="T7" s="12">
        <f>[2]หน้าผ้า!X16</f>
        <v>0</v>
      </c>
      <c r="U7" s="11">
        <f>[2]หน้าผ้า!AA16</f>
        <v>0</v>
      </c>
      <c r="V7" s="10">
        <f>[2]หน้าผ้า!AJ16</f>
        <v>0</v>
      </c>
      <c r="W7" s="10">
        <f>[2]หน้าผ้า!AL16</f>
        <v>0</v>
      </c>
      <c r="X7" s="10">
        <f>[2]หน้าผ้า!AM16</f>
        <v>0</v>
      </c>
      <c r="Y7" s="10">
        <f>[2]หน้าผ้า!AN16</f>
        <v>0</v>
      </c>
      <c r="Z7" s="9" t="str">
        <f>[2]หน้าผ้า!AO16</f>
        <v>WSWT1425800</v>
      </c>
      <c r="AA7" s="8" t="e">
        <f>[2]หน้าผ้า!AQ16</f>
        <v>#REF!</v>
      </c>
      <c r="AB7" s="8" t="e">
        <f>[2]หน้าผ้า!AR16</f>
        <v>#REF!</v>
      </c>
      <c r="AC7" s="8" t="e">
        <f>[2]หน้าผ้า!AS16</f>
        <v>#REF!</v>
      </c>
      <c r="AD7" s="8" t="e">
        <f>[2]หน้าผ้า!AT16</f>
        <v>#REF!</v>
      </c>
      <c r="AE7" s="8" t="e">
        <f>[2]หน้าผ้า!AU16</f>
        <v>#REF!</v>
      </c>
      <c r="AF7" s="8" t="str">
        <f>[2]หน้าผ้า!AI16</f>
        <v>ระบุในSD</v>
      </c>
      <c r="AG7" s="1" t="str">
        <f>[3]หน้าผ้า!DC19</f>
        <v>รอตัด</v>
      </c>
      <c r="AH7" s="1">
        <f>[2]หน้าผ้า!DL16</f>
        <v>0</v>
      </c>
      <c r="AI7" s="1" t="str">
        <f>[2]หน้าผ้า!DM16</f>
        <v>Lead time</v>
      </c>
      <c r="AJ7" s="3">
        <f>[2]หน้าผ้า!DN16</f>
        <v>0</v>
      </c>
      <c r="AK7" s="3">
        <f>[2]หน้าผ้า!DQ16</f>
        <v>0</v>
      </c>
      <c r="AL7" s="3">
        <f>[2]หน้าผ้า!DR16</f>
        <v>0</v>
      </c>
      <c r="AM7" s="3">
        <f>[2]หน้าผ้า!DS16</f>
        <v>0</v>
      </c>
      <c r="AN7" s="3">
        <f>[2]หน้าผ้า!DT16</f>
        <v>0</v>
      </c>
      <c r="AO7" s="3">
        <f>[2]หน้าผ้า!DU16</f>
        <v>0</v>
      </c>
      <c r="AP7" s="3">
        <f>[2]หน้าผ้า!DP16</f>
        <v>0</v>
      </c>
      <c r="AQ7" s="3">
        <f>[2]หน้าผ้า!DW16</f>
        <v>0</v>
      </c>
      <c r="AR7" s="3">
        <f>[2]หน้าผ้า!DX16</f>
        <v>0</v>
      </c>
      <c r="AS7" s="3">
        <f>[2]หน้าผ้า!DY16</f>
        <v>0</v>
      </c>
      <c r="AT7" s="3">
        <f>[2]หน้าผ้า!DZ16</f>
        <v>0</v>
      </c>
      <c r="AU7" s="3">
        <f>[2]หน้าผ้า!EA16</f>
        <v>0</v>
      </c>
      <c r="AV7" s="1">
        <f>[2]หน้าผ้า!EB16</f>
        <v>0</v>
      </c>
      <c r="AW7" s="2">
        <f>[2]หน้าผ้า!EC16</f>
        <v>0</v>
      </c>
      <c r="AX7" s="2">
        <f>[2]หน้าผ้า!ED16</f>
        <v>0</v>
      </c>
      <c r="AY7" s="2">
        <f>[2]หน้าผ้า!AG16</f>
        <v>0</v>
      </c>
      <c r="AZ7" s="2">
        <f>[2]หน้าผ้า!EG16</f>
        <v>0</v>
      </c>
      <c r="BA7" s="2">
        <f>[2]หน้าผ้า!EH16</f>
        <v>0</v>
      </c>
      <c r="BB7" s="2">
        <f>[2]หน้าผ้า!EI16</f>
        <v>0</v>
      </c>
      <c r="BC7" s="1" t="str">
        <f>[2]หน้าผ้า!BZ16</f>
        <v>WRWT140800/WRWT25800</v>
      </c>
      <c r="BD7" s="56">
        <f>[2]หน้าผ้า!CA16</f>
        <v>0</v>
      </c>
    </row>
    <row r="8" spans="1:56" ht="27.75" customHeight="1" x14ac:dyDescent="0.45">
      <c r="A8" s="3">
        <f>[2]หน้าผ้า!C17</f>
        <v>45896</v>
      </c>
      <c r="B8" s="14" t="str">
        <f>[2]หน้าผ้า!B17</f>
        <v>MK68-001041</v>
      </c>
      <c r="C8" s="9" t="str">
        <f>[2]หน้าผ้า!E17</f>
        <v>บจก.ซัน ซีเมนต์ โพรเซส</v>
      </c>
      <c r="D8" s="13" t="str">
        <f>[2]หน้าผ้า!F17</f>
        <v>พระอาทิตย์</v>
      </c>
      <c r="E8" s="9">
        <f>[2]หน้าผ้า!G17</f>
        <v>16</v>
      </c>
      <c r="F8" s="9">
        <f>[2]หน้าผ้า!H17</f>
        <v>25</v>
      </c>
      <c r="G8" s="9" t="str">
        <f>[2]หน้าผ้า!I17</f>
        <v>ขาว</v>
      </c>
      <c r="H8" s="9" t="str">
        <f>[2]หน้าผ้า!J17</f>
        <v>ใส</v>
      </c>
      <c r="I8" s="9">
        <f>[2]หน้าผ้า!L17</f>
        <v>50</v>
      </c>
      <c r="J8" s="9" t="str">
        <f>[2]หน้าผ้า!M17</f>
        <v>±</v>
      </c>
      <c r="K8" s="9">
        <f>[2]หน้าผ้า!N17</f>
        <v>5</v>
      </c>
      <c r="L8" s="9" t="str">
        <f>[2]หน้าผ้า!R17</f>
        <v>บิด</v>
      </c>
      <c r="M8" s="10">
        <f>[2]หน้าผ้า!T17</f>
        <v>19</v>
      </c>
      <c r="N8" s="9">
        <f>[2]หน้าผ้า!U17</f>
        <v>28</v>
      </c>
      <c r="O8" s="9">
        <f>[2]หน้าผ้า!V17</f>
        <v>40</v>
      </c>
      <c r="P8" s="10">
        <f>[2]หน้าผ้า!AB17</f>
        <v>65.624642943999987</v>
      </c>
      <c r="Q8" s="10">
        <f>[2]หน้าผ้า!AC17</f>
        <v>0</v>
      </c>
      <c r="R8" s="10">
        <f>[2]หน้าผ้า!AD17</f>
        <v>65.624642943999987</v>
      </c>
      <c r="S8" s="9" t="str">
        <f>[2]หน้าผ้า!Z17</f>
        <v>500กระสอบ</v>
      </c>
      <c r="T8" s="12">
        <f>[2]หน้าผ้า!X17</f>
        <v>45908</v>
      </c>
      <c r="U8" s="11">
        <f>[2]หน้าผ้า!AA17</f>
        <v>5000</v>
      </c>
      <c r="V8" s="10">
        <f>[2]หน้าผ้า!AJ17</f>
        <v>0</v>
      </c>
      <c r="W8" s="10">
        <f>[2]หน้าผ้า!AL17</f>
        <v>5000</v>
      </c>
      <c r="X8" s="10">
        <f>[2]หน้าผ้า!AM17</f>
        <v>0</v>
      </c>
      <c r="Y8" s="10">
        <f>[2]หน้าผ้า!AN17</f>
        <v>5250</v>
      </c>
      <c r="Z8" s="9" t="str">
        <f>[2]หน้าผ้า!AO17</f>
        <v>WSWT1625800SM</v>
      </c>
      <c r="AA8" s="8">
        <f>[2]หน้าผ้า!AQ17</f>
        <v>3702.0499999999997</v>
      </c>
      <c r="AB8" s="8">
        <f>[2]หน้าผ้า!AR17</f>
        <v>3702.0499999999997</v>
      </c>
      <c r="AC8" s="8">
        <f>[2]หน้าผ้า!AS17</f>
        <v>0</v>
      </c>
      <c r="AD8" s="8">
        <f>[2]หน้าผ้า!AT17</f>
        <v>0</v>
      </c>
      <c r="AE8" s="8">
        <f>[2]หน้าผ้า!AU17</f>
        <v>3702.0499999999997</v>
      </c>
      <c r="AF8" s="8">
        <f>[2]หน้าผ้า!AI17</f>
        <v>0</v>
      </c>
      <c r="AG8" s="1" t="str">
        <f>[3]หน้าผ้า!DC20</f>
        <v>รอตัด</v>
      </c>
      <c r="AH8" s="1" t="str">
        <f>[2]หน้าผ้า!DL17</f>
        <v>P8</v>
      </c>
      <c r="AI8" s="1">
        <f>[2]หน้าผ้า!DM17</f>
        <v>4</v>
      </c>
      <c r="AJ8" s="3">
        <f>[2]หน้าผ้า!DN17</f>
        <v>45908</v>
      </c>
      <c r="AK8" s="3">
        <f>[2]หน้าผ้า!DQ17</f>
        <v>45904</v>
      </c>
      <c r="AL8" s="3">
        <f>[2]หน้าผ้า!DR17</f>
        <v>45898</v>
      </c>
      <c r="AM8" s="3">
        <f>[2]หน้าผ้า!DS17</f>
        <v>45905</v>
      </c>
      <c r="AN8" s="3">
        <f>[2]หน้าผ้า!DT17</f>
        <v>45906</v>
      </c>
      <c r="AO8" s="3">
        <f>[2]หน้าผ้า!DU17</f>
        <v>45906</v>
      </c>
      <c r="AP8" s="3">
        <f>[2]หน้าผ้า!DP17</f>
        <v>45903</v>
      </c>
      <c r="AQ8" s="3">
        <f>[2]หน้าผ้า!DW17</f>
        <v>45907</v>
      </c>
      <c r="AR8" s="3">
        <f>[2]หน้าผ้า!DX17</f>
        <v>0</v>
      </c>
      <c r="AS8" s="3">
        <f>[2]หน้าผ้า!DY17</f>
        <v>0</v>
      </c>
      <c r="AT8" s="3">
        <f>[2]หน้าผ้า!DZ17</f>
        <v>0</v>
      </c>
      <c r="AU8" s="3">
        <f>[2]หน้าผ้า!EA17</f>
        <v>0</v>
      </c>
      <c r="AV8" s="1">
        <f>[2]หน้าผ้า!EB17</f>
        <v>0</v>
      </c>
      <c r="AW8" s="2" t="str">
        <f>[2]หน้าผ้า!EC17</f>
        <v>งานเคลือบ+พิมพ์</v>
      </c>
      <c r="AX8" s="2" t="str">
        <f>[2]หน้าผ้า!ED17</f>
        <v xml:space="preserve"> /</v>
      </c>
      <c r="AY8" s="2" t="str">
        <f>[2]หน้าผ้า!AG17</f>
        <v>รอลูกค้า</v>
      </c>
      <c r="AZ8" s="2">
        <f>[2]หน้าผ้า!EG17</f>
        <v>0</v>
      </c>
      <c r="BA8" s="2">
        <f>[2]หน้าผ้า!EH17</f>
        <v>0</v>
      </c>
      <c r="BB8" s="2">
        <f>[2]หน้าผ้า!EI17</f>
        <v>0</v>
      </c>
      <c r="BC8" s="1" t="str">
        <f>[2]หน้าผ้า!BZ17</f>
        <v>WRWT25800/WRWT25800</v>
      </c>
      <c r="BD8" s="56">
        <f>[2]หน้าผ้า!CA17</f>
        <v>0</v>
      </c>
    </row>
    <row r="9" spans="1:56" ht="27.75" customHeight="1" x14ac:dyDescent="0.45">
      <c r="A9" s="3">
        <f>[2]หน้าผ้า!C18</f>
        <v>0</v>
      </c>
      <c r="B9" s="14">
        <f>[2]หน้าผ้า!B18</f>
        <v>0</v>
      </c>
      <c r="C9" s="9">
        <f>[2]หน้าผ้า!E18</f>
        <v>0</v>
      </c>
      <c r="D9" s="13" t="str">
        <f>[2]หน้าผ้า!F18</f>
        <v xml:space="preserve"> </v>
      </c>
      <c r="E9" s="9">
        <f>[2]หน้าผ้า!G18</f>
        <v>16</v>
      </c>
      <c r="F9" s="9">
        <f>[2]หน้าผ้า!H18</f>
        <v>25</v>
      </c>
      <c r="G9" s="9" t="str">
        <f>[2]หน้าผ้า!I18</f>
        <v>ขาว</v>
      </c>
      <c r="H9" s="9">
        <f>[2]หน้าผ้า!J18</f>
        <v>0</v>
      </c>
      <c r="I9" s="9">
        <f>[2]หน้าผ้า!L18</f>
        <v>45</v>
      </c>
      <c r="J9" s="9" t="str">
        <f>[2]หน้าผ้า!M18</f>
        <v>±</v>
      </c>
      <c r="K9" s="9">
        <f>[2]หน้าผ้า!N18</f>
        <v>5</v>
      </c>
      <c r="L9" s="9">
        <f>[2]หน้าผ้า!R18</f>
        <v>0</v>
      </c>
      <c r="M9" s="10">
        <f>[2]หน้าผ้า!T18</f>
        <v>0</v>
      </c>
      <c r="N9" s="9">
        <f>[2]หน้าผ้า!U18</f>
        <v>0</v>
      </c>
      <c r="O9" s="9">
        <f>[2]หน้าผ้า!V18</f>
        <v>0</v>
      </c>
      <c r="P9" s="10">
        <f>[2]หน้าผ้า!AB18</f>
        <v>0</v>
      </c>
      <c r="Q9" s="10">
        <f>[2]หน้าผ้า!AC18</f>
        <v>0</v>
      </c>
      <c r="R9" s="10">
        <f>[2]หน้าผ้า!AD18</f>
        <v>0</v>
      </c>
      <c r="S9" s="9">
        <f>[2]หน้าผ้า!Z18</f>
        <v>0</v>
      </c>
      <c r="T9" s="12">
        <f>[2]หน้าผ้า!X18</f>
        <v>0</v>
      </c>
      <c r="U9" s="11">
        <f>[2]หน้าผ้า!AA18</f>
        <v>0</v>
      </c>
      <c r="V9" s="10">
        <f>[2]หน้าผ้า!AJ18</f>
        <v>0</v>
      </c>
      <c r="W9" s="10">
        <f>[2]หน้าผ้า!AL18</f>
        <v>0</v>
      </c>
      <c r="X9" s="10">
        <f>[2]หน้าผ้า!AM18</f>
        <v>0</v>
      </c>
      <c r="Y9" s="10">
        <f>[2]หน้าผ้า!AN18</f>
        <v>0</v>
      </c>
      <c r="Z9" s="9" t="str">
        <f>[2]หน้าผ้า!AO18</f>
        <v>WSWT1625800SM</v>
      </c>
      <c r="AA9" s="8">
        <f>[2]หน้าผ้า!AQ18</f>
        <v>3702.0499999999997</v>
      </c>
      <c r="AB9" s="8">
        <f>[2]หน้าผ้า!AR18</f>
        <v>3702.0499999999997</v>
      </c>
      <c r="AC9" s="8">
        <f>[2]หน้าผ้า!AS18</f>
        <v>0</v>
      </c>
      <c r="AD9" s="8">
        <f>[2]หน้าผ้า!AT18</f>
        <v>0</v>
      </c>
      <c r="AE9" s="8">
        <f>[2]หน้าผ้า!AU18</f>
        <v>3702.0499999999997</v>
      </c>
      <c r="AF9" s="8" t="str">
        <f>[2]หน้าผ้า!AI18</f>
        <v>ระบุในSD</v>
      </c>
      <c r="AG9" s="1" t="str">
        <f>[3]หน้าผ้า!DC21</f>
        <v>ยังไม่ได้พิมพ์</v>
      </c>
      <c r="AH9" s="1">
        <f>[2]หน้าผ้า!DL18</f>
        <v>0</v>
      </c>
      <c r="AI9" s="1" t="str">
        <f>[2]หน้าผ้า!DM18</f>
        <v>Lead time</v>
      </c>
      <c r="AJ9" s="3">
        <f>[2]หน้าผ้า!DN18</f>
        <v>0</v>
      </c>
      <c r="AK9" s="3">
        <f>[2]หน้าผ้า!DQ18</f>
        <v>0</v>
      </c>
      <c r="AL9" s="3">
        <f>[2]หน้าผ้า!DR18</f>
        <v>0</v>
      </c>
      <c r="AM9" s="3">
        <f>[2]หน้าผ้า!DS18</f>
        <v>0</v>
      </c>
      <c r="AN9" s="3">
        <f>[2]หน้าผ้า!DT18</f>
        <v>0</v>
      </c>
      <c r="AO9" s="3">
        <f>[2]หน้าผ้า!DU18</f>
        <v>0</v>
      </c>
      <c r="AP9" s="3">
        <f>[2]หน้าผ้า!DP18</f>
        <v>0</v>
      </c>
      <c r="AQ9" s="3">
        <f>[2]หน้าผ้า!DW18</f>
        <v>0</v>
      </c>
      <c r="AR9" s="3">
        <f>[2]หน้าผ้า!DX18</f>
        <v>0</v>
      </c>
      <c r="AS9" s="3">
        <f>[2]หน้าผ้า!DY18</f>
        <v>0</v>
      </c>
      <c r="AT9" s="3">
        <f>[2]หน้าผ้า!DZ18</f>
        <v>0</v>
      </c>
      <c r="AU9" s="3">
        <f>[2]หน้าผ้า!EA18</f>
        <v>0</v>
      </c>
      <c r="AV9" s="1">
        <f>[2]หน้าผ้า!EB18</f>
        <v>0</v>
      </c>
      <c r="AW9" s="2">
        <f>[2]หน้าผ้า!EC18</f>
        <v>0</v>
      </c>
      <c r="AX9" s="2">
        <f>[2]หน้าผ้า!ED18</f>
        <v>0</v>
      </c>
      <c r="AY9" s="2">
        <f>[2]หน้าผ้า!AG18</f>
        <v>0</v>
      </c>
      <c r="AZ9" s="2">
        <f>[2]หน้าผ้า!EG18</f>
        <v>0</v>
      </c>
      <c r="BA9" s="2">
        <f>[2]หน้าผ้า!EH18</f>
        <v>0</v>
      </c>
      <c r="BB9" s="2">
        <f>[2]หน้าผ้า!EI18</f>
        <v>0</v>
      </c>
      <c r="BC9" s="1" t="str">
        <f>[2]หน้าผ้า!BZ18</f>
        <v>WRWT160800/WRWT25800</v>
      </c>
      <c r="BD9" s="56">
        <f>[2]หน้าผ้า!CA18</f>
        <v>0</v>
      </c>
    </row>
    <row r="10" spans="1:56" ht="27.75" customHeight="1" x14ac:dyDescent="0.45">
      <c r="A10" s="3">
        <f>[2]หน้าผ้า!C19</f>
        <v>45897</v>
      </c>
      <c r="B10" s="14" t="str">
        <f>[2]หน้าผ้า!B19</f>
        <v>MK68-001045</v>
      </c>
      <c r="C10" s="9" t="str">
        <f>[2]หน้าผ้า!E19</f>
        <v>บจก.เคอรี่ฟลาวมิลล์</v>
      </c>
      <c r="D10" s="13" t="str">
        <f>[2]หน้าผ้า!F19</f>
        <v>โบว์น้ำเงิน 10กก</v>
      </c>
      <c r="E10" s="9">
        <f>[2]หน้าผ้า!G19</f>
        <v>16</v>
      </c>
      <c r="F10" s="9">
        <f>[2]หน้าผ้า!H19</f>
        <v>25</v>
      </c>
      <c r="G10" s="9" t="str">
        <f>[2]หน้าผ้า!I19</f>
        <v>ขาว</v>
      </c>
      <c r="H10" s="9">
        <f>[2]หน้าผ้า!J19</f>
        <v>0</v>
      </c>
      <c r="I10" s="9">
        <f>[2]หน้าผ้า!L19</f>
        <v>45</v>
      </c>
      <c r="J10" s="9" t="str">
        <f>[2]หน้าผ้า!M19</f>
        <v>±</v>
      </c>
      <c r="K10" s="9">
        <f>[2]หน้าผ้า!N19</f>
        <v>5</v>
      </c>
      <c r="L10" s="9" t="str">
        <f>[2]หน้าผ้า!R19</f>
        <v>ไม่</v>
      </c>
      <c r="M10" s="10" t="str">
        <f>[2]หน้าผ้า!T19</f>
        <v>ไม่สวมถุงใน</v>
      </c>
      <c r="N10" s="9">
        <f>[2]หน้าผ้า!U19</f>
        <v>0</v>
      </c>
      <c r="O10" s="9">
        <f>[2]หน้าผ้า!V19</f>
        <v>0</v>
      </c>
      <c r="P10" s="10">
        <f>[2]หน้าผ้า!AB19</f>
        <v>0</v>
      </c>
      <c r="Q10" s="10">
        <f>[2]หน้าผ้า!AC19</f>
        <v>0</v>
      </c>
      <c r="R10" s="10">
        <f>[2]หน้าผ้า!AD19</f>
        <v>0</v>
      </c>
      <c r="S10" s="9" t="str">
        <f>[2]หน้าผ้า!Z19</f>
        <v>ห่ออัดเบลแบน500</v>
      </c>
      <c r="T10" s="12">
        <f>[2]หน้าผ้า!X19</f>
        <v>45909</v>
      </c>
      <c r="U10" s="11">
        <f>[2]หน้าผ้า!AA19</f>
        <v>5000</v>
      </c>
      <c r="V10" s="10">
        <f>[2]หน้าผ้า!AJ19</f>
        <v>0</v>
      </c>
      <c r="W10" s="10">
        <f>[2]หน้าผ้า!AL19</f>
        <v>5000</v>
      </c>
      <c r="X10" s="10">
        <f>[2]หน้าผ้า!AM19</f>
        <v>5400</v>
      </c>
      <c r="Y10" s="10">
        <f>[2]หน้าผ้า!AN19</f>
        <v>0</v>
      </c>
      <c r="Z10" s="9" t="str">
        <f>[2]หน้าผ้า!AO19</f>
        <v>WSWT1625800</v>
      </c>
      <c r="AA10" s="8">
        <f>[2]หน้าผ้า!AQ19</f>
        <v>0</v>
      </c>
      <c r="AB10" s="8">
        <f>[2]หน้าผ้า!AR19</f>
        <v>0</v>
      </c>
      <c r="AC10" s="8">
        <f>[2]หน้าผ้า!AS19</f>
        <v>0</v>
      </c>
      <c r="AD10" s="8">
        <f>[2]หน้าผ้า!AT19</f>
        <v>0</v>
      </c>
      <c r="AE10" s="8">
        <f>[2]หน้าผ้า!AU19</f>
        <v>0</v>
      </c>
      <c r="AF10" s="8">
        <f>[2]หน้าผ้า!AI19</f>
        <v>0</v>
      </c>
      <c r="AG10" s="1" t="str">
        <f>[3]หน้าผ้า!DC22</f>
        <v>พร้อมส่ง</v>
      </c>
      <c r="AH10" s="1" t="str">
        <f>[2]หน้าผ้า!DL19</f>
        <v>P7</v>
      </c>
      <c r="AI10" s="1">
        <f>[2]หน้าผ้า!DM19</f>
        <v>2</v>
      </c>
      <c r="AJ10" s="3">
        <f>[2]หน้าผ้า!DN19</f>
        <v>45909</v>
      </c>
      <c r="AK10" s="3">
        <f>[2]หน้าผ้า!DQ19</f>
        <v>0</v>
      </c>
      <c r="AL10" s="3">
        <f>[2]หน้าผ้า!DR19</f>
        <v>45900</v>
      </c>
      <c r="AM10" s="3">
        <f>[2]หน้าผ้า!DS19</f>
        <v>45907</v>
      </c>
      <c r="AN10" s="3">
        <f>[2]หน้าผ้า!DT19</f>
        <v>45908</v>
      </c>
      <c r="AO10" s="3">
        <f>[2]หน้าผ้า!DU19</f>
        <v>45908</v>
      </c>
      <c r="AP10" s="3">
        <f>[2]หน้าผ้า!DP19</f>
        <v>45904</v>
      </c>
      <c r="AQ10" s="3">
        <f>[2]หน้าผ้า!DW19</f>
        <v>0</v>
      </c>
      <c r="AR10" s="3">
        <f>[2]หน้าผ้า!DX19</f>
        <v>0</v>
      </c>
      <c r="AS10" s="3">
        <f>[2]หน้าผ้า!DY19</f>
        <v>0</v>
      </c>
      <c r="AT10" s="3">
        <f>[2]หน้าผ้า!DZ19</f>
        <v>0</v>
      </c>
      <c r="AU10" s="3">
        <f>[2]หน้าผ้า!EA19</f>
        <v>0</v>
      </c>
      <c r="AV10" s="1">
        <f>[2]หน้าผ้า!EB19</f>
        <v>0</v>
      </c>
      <c r="AW10" s="2" t="str">
        <f>[2]หน้าผ้า!EC19</f>
        <v>งานพิมพ์</v>
      </c>
      <c r="AX10" s="2" t="str">
        <f>[2]หน้าผ้า!ED19</f>
        <v xml:space="preserve"> /</v>
      </c>
      <c r="AY10" s="2">
        <f>[2]หน้าผ้า!AG19</f>
        <v>0</v>
      </c>
      <c r="AZ10" s="2">
        <f>[2]หน้าผ้า!EG19</f>
        <v>0</v>
      </c>
      <c r="BA10" s="2">
        <f>[2]หน้าผ้า!EH19</f>
        <v>0</v>
      </c>
      <c r="BB10" s="2">
        <f>[2]หน้าผ้า!EI19</f>
        <v>0</v>
      </c>
      <c r="BC10" s="1" t="str">
        <f>[2]หน้าผ้า!BZ19</f>
        <v>WRWT25800/WRWT25800</v>
      </c>
      <c r="BD10" s="56">
        <f>[2]หน้าผ้า!CA19</f>
        <v>0</v>
      </c>
    </row>
    <row r="11" spans="1:56" ht="27.75" customHeight="1" x14ac:dyDescent="0.45">
      <c r="A11" s="3">
        <f>[2]หน้าผ้า!C20</f>
        <v>45897</v>
      </c>
      <c r="B11" s="14" t="str">
        <f>[2]หน้าผ้า!B20</f>
        <v>MK68-001045</v>
      </c>
      <c r="C11" s="9" t="str">
        <f>[2]หน้าผ้า!E20</f>
        <v>บจก.เคอรี่ฟลาวมิลล์</v>
      </c>
      <c r="D11" s="13" t="str">
        <f>[2]หน้าผ้า!F20</f>
        <v>โดนัทแฟนฉัน 10กก</v>
      </c>
      <c r="E11" s="9">
        <f>[2]หน้าผ้า!G20</f>
        <v>16</v>
      </c>
      <c r="F11" s="9">
        <f>[2]หน้าผ้า!H20</f>
        <v>25</v>
      </c>
      <c r="G11" s="9" t="str">
        <f>[2]หน้าผ้า!I20</f>
        <v>ขาว</v>
      </c>
      <c r="H11" s="9">
        <f>[2]หน้าผ้า!J20</f>
        <v>0</v>
      </c>
      <c r="I11" s="9">
        <f>[2]หน้าผ้า!L20</f>
        <v>45</v>
      </c>
      <c r="J11" s="9" t="str">
        <f>[2]หน้าผ้า!M20</f>
        <v>±</v>
      </c>
      <c r="K11" s="9">
        <f>[2]หน้าผ้า!N20</f>
        <v>5</v>
      </c>
      <c r="L11" s="9" t="str">
        <f>[2]หน้าผ้า!R20</f>
        <v>ไม่</v>
      </c>
      <c r="M11" s="10" t="str">
        <f>[2]หน้าผ้า!T20</f>
        <v>ไม่สวมถุงใน</v>
      </c>
      <c r="N11" s="9">
        <f>[2]หน้าผ้า!U20</f>
        <v>0</v>
      </c>
      <c r="O11" s="9">
        <f>[2]หน้าผ้า!V20</f>
        <v>0</v>
      </c>
      <c r="P11" s="10">
        <f>[2]หน้าผ้า!AB20</f>
        <v>0</v>
      </c>
      <c r="Q11" s="10">
        <f>[2]หน้าผ้า!AC20</f>
        <v>0</v>
      </c>
      <c r="R11" s="10">
        <f>[2]หน้าผ้า!AD20</f>
        <v>0</v>
      </c>
      <c r="S11" s="9" t="str">
        <f>[2]หน้าผ้า!Z20</f>
        <v>ห่ออัดเบลแบน500</v>
      </c>
      <c r="T11" s="12">
        <f>[2]หน้าผ้า!X20</f>
        <v>45909</v>
      </c>
      <c r="U11" s="11">
        <f>[2]หน้าผ้า!AA20</f>
        <v>5000</v>
      </c>
      <c r="V11" s="10">
        <f>[2]หน้าผ้า!AJ20</f>
        <v>0</v>
      </c>
      <c r="W11" s="10">
        <f>[2]หน้าผ้า!AL20</f>
        <v>5000</v>
      </c>
      <c r="X11" s="10">
        <f>[2]หน้าผ้า!AM20</f>
        <v>5400</v>
      </c>
      <c r="Y11" s="10">
        <f>[2]หน้าผ้า!AN20</f>
        <v>0</v>
      </c>
      <c r="Z11" s="9" t="str">
        <f>[2]หน้าผ้า!AO20</f>
        <v>WSWT1625800</v>
      </c>
      <c r="AA11" s="8">
        <f>[2]หน้าผ้า!AQ20</f>
        <v>0</v>
      </c>
      <c r="AB11" s="8">
        <f>[2]หน้าผ้า!AR20</f>
        <v>0</v>
      </c>
      <c r="AC11" s="8">
        <f>[2]หน้าผ้า!AS20</f>
        <v>0</v>
      </c>
      <c r="AD11" s="8">
        <f>[2]หน้าผ้า!AT20</f>
        <v>0</v>
      </c>
      <c r="AE11" s="8">
        <f>[2]หน้าผ้า!AU20</f>
        <v>0</v>
      </c>
      <c r="AF11" s="8">
        <f>[2]หน้าผ้า!AI20</f>
        <v>0</v>
      </c>
      <c r="AG11" s="1" t="str">
        <f>[3]หน้าผ้า!DC23</f>
        <v>พร้อมส่ง</v>
      </c>
      <c r="AH11" s="1" t="str">
        <f>[2]หน้าผ้า!DL20</f>
        <v>P7</v>
      </c>
      <c r="AI11" s="1">
        <f>[2]หน้าผ้า!DM20</f>
        <v>2</v>
      </c>
      <c r="AJ11" s="3">
        <f>[2]หน้าผ้า!DN20</f>
        <v>45909</v>
      </c>
      <c r="AK11" s="3">
        <f>[2]หน้าผ้า!DQ20</f>
        <v>0</v>
      </c>
      <c r="AL11" s="3">
        <f>[2]หน้าผ้า!DR20</f>
        <v>45900</v>
      </c>
      <c r="AM11" s="3">
        <f>[2]หน้าผ้า!DS20</f>
        <v>45907</v>
      </c>
      <c r="AN11" s="3">
        <f>[2]หน้าผ้า!DT20</f>
        <v>45908</v>
      </c>
      <c r="AO11" s="3">
        <f>[2]หน้าผ้า!DU20</f>
        <v>45908</v>
      </c>
      <c r="AP11" s="3">
        <f>[2]หน้าผ้า!DP20</f>
        <v>45904</v>
      </c>
      <c r="AQ11" s="3">
        <f>[2]หน้าผ้า!DW20</f>
        <v>0</v>
      </c>
      <c r="AR11" s="3">
        <f>[2]หน้าผ้า!DX20</f>
        <v>0</v>
      </c>
      <c r="AS11" s="3">
        <f>[2]หน้าผ้า!DY20</f>
        <v>0</v>
      </c>
      <c r="AT11" s="3">
        <f>[2]หน้าผ้า!DZ20</f>
        <v>0</v>
      </c>
      <c r="AU11" s="3">
        <f>[2]หน้าผ้า!EA20</f>
        <v>0</v>
      </c>
      <c r="AV11" s="1">
        <f>[2]หน้าผ้า!EB20</f>
        <v>0</v>
      </c>
      <c r="AW11" s="2" t="str">
        <f>[2]หน้าผ้า!EC20</f>
        <v>งานพิมพ์</v>
      </c>
      <c r="AX11" s="2" t="str">
        <f>[2]หน้าผ้า!ED20</f>
        <v xml:space="preserve"> /</v>
      </c>
      <c r="AY11" s="2">
        <f>[2]หน้าผ้า!AG20</f>
        <v>0</v>
      </c>
      <c r="AZ11" s="2">
        <f>[2]หน้าผ้า!EG20</f>
        <v>0</v>
      </c>
      <c r="BA11" s="2">
        <f>[2]หน้าผ้า!EH20</f>
        <v>0</v>
      </c>
      <c r="BB11" s="2">
        <f>[2]หน้าผ้า!EI20</f>
        <v>0</v>
      </c>
      <c r="BC11" s="1" t="str">
        <f>[2]หน้าผ้า!BZ20</f>
        <v>WRWT25800/WRWT25800</v>
      </c>
      <c r="BD11" s="56">
        <f>[2]หน้าผ้า!CA20</f>
        <v>0</v>
      </c>
    </row>
    <row r="12" spans="1:56" ht="27.75" customHeight="1" x14ac:dyDescent="0.45">
      <c r="A12" s="3">
        <f>[2]หน้าผ้า!C21</f>
        <v>45897</v>
      </c>
      <c r="B12" s="14" t="str">
        <f>[2]หน้าผ้า!B21</f>
        <v>MK68-001045</v>
      </c>
      <c r="C12" s="9" t="str">
        <f>[2]หน้าผ้า!E21</f>
        <v>บจก.เคอรี่ฟลาวมิลล์</v>
      </c>
      <c r="D12" s="13" t="str">
        <f>[2]หน้าผ้า!F21</f>
        <v>น้องเอินโดนัท 10กก</v>
      </c>
      <c r="E12" s="9">
        <f>[2]หน้าผ้า!G21</f>
        <v>16</v>
      </c>
      <c r="F12" s="9">
        <f>[2]หน้าผ้า!H21</f>
        <v>25</v>
      </c>
      <c r="G12" s="9" t="str">
        <f>[2]หน้าผ้า!I21</f>
        <v>ขาว</v>
      </c>
      <c r="H12" s="9">
        <f>[2]หน้าผ้า!J21</f>
        <v>0</v>
      </c>
      <c r="I12" s="9">
        <f>[2]หน้าผ้า!L21</f>
        <v>45</v>
      </c>
      <c r="J12" s="9" t="str">
        <f>[2]หน้าผ้า!M21</f>
        <v>±</v>
      </c>
      <c r="K12" s="9">
        <f>[2]หน้าผ้า!N21</f>
        <v>5</v>
      </c>
      <c r="L12" s="9" t="str">
        <f>[2]หน้าผ้า!R21</f>
        <v>ไม่</v>
      </c>
      <c r="M12" s="10" t="str">
        <f>[2]หน้าผ้า!T21</f>
        <v>ไม่สวมถุงใน</v>
      </c>
      <c r="N12" s="9">
        <f>[2]หน้าผ้า!U21</f>
        <v>0</v>
      </c>
      <c r="O12" s="9">
        <f>[2]หน้าผ้า!V21</f>
        <v>0</v>
      </c>
      <c r="P12" s="10">
        <f>[2]หน้าผ้า!AB21</f>
        <v>0</v>
      </c>
      <c r="Q12" s="10">
        <f>[2]หน้าผ้า!AC21</f>
        <v>0</v>
      </c>
      <c r="R12" s="10">
        <f>[2]หน้าผ้า!AD21</f>
        <v>0</v>
      </c>
      <c r="S12" s="9" t="str">
        <f>[2]หน้าผ้า!Z21</f>
        <v>ห่ออัดเบลแบน500</v>
      </c>
      <c r="T12" s="12">
        <f>[2]หน้าผ้า!X21</f>
        <v>45925</v>
      </c>
      <c r="U12" s="11">
        <f>[2]หน้าผ้า!AA21</f>
        <v>5000</v>
      </c>
      <c r="V12" s="10">
        <f>[2]หน้าผ้า!AJ21</f>
        <v>0</v>
      </c>
      <c r="W12" s="10">
        <f>[2]หน้าผ้า!AL21</f>
        <v>5000</v>
      </c>
      <c r="X12" s="10">
        <f>[2]หน้าผ้า!AM21</f>
        <v>0</v>
      </c>
      <c r="Y12" s="10">
        <f>[2]หน้าผ้า!AN21</f>
        <v>5250</v>
      </c>
      <c r="Z12" s="9" t="str">
        <f>[2]หน้าผ้า!AO21</f>
        <v>WSWT1625800</v>
      </c>
      <c r="AA12" s="8">
        <f>[2]หน้าผ้า!AQ21</f>
        <v>3702.0499999999997</v>
      </c>
      <c r="AB12" s="8">
        <f>[2]หน้าผ้า!AR21</f>
        <v>682</v>
      </c>
      <c r="AC12" s="8">
        <f>[2]หน้าผ้า!AS21</f>
        <v>3020.0499999999997</v>
      </c>
      <c r="AD12" s="8">
        <f>[2]หน้าผ้า!AT21</f>
        <v>0</v>
      </c>
      <c r="AE12" s="8">
        <f>[2]หน้าผ้า!AU21</f>
        <v>0</v>
      </c>
      <c r="AF12" s="8">
        <f>[2]หน้าผ้า!AI21</f>
        <v>0</v>
      </c>
      <c r="AG12" s="1" t="str">
        <f>[3]หน้าผ้า!DC24</f>
        <v>พร้อมส่ง</v>
      </c>
      <c r="AH12" s="1" t="str">
        <f>[2]หน้าผ้า!DL21</f>
        <v>P7</v>
      </c>
      <c r="AI12" s="1">
        <f>[2]หน้าผ้า!DM21</f>
        <v>2</v>
      </c>
      <c r="AJ12" s="3">
        <f>[2]หน้าผ้า!DN21</f>
        <v>45925</v>
      </c>
      <c r="AK12" s="3">
        <f>[2]หน้าผ้า!DQ21</f>
        <v>0</v>
      </c>
      <c r="AL12" s="3">
        <f>[2]หน้าผ้า!DR21</f>
        <v>45916</v>
      </c>
      <c r="AM12" s="3">
        <f>[2]หน้าผ้า!DS21</f>
        <v>45923</v>
      </c>
      <c r="AN12" s="3">
        <f>[2]หน้าผ้า!DT21</f>
        <v>45924</v>
      </c>
      <c r="AO12" s="3">
        <f>[2]หน้าผ้า!DU21</f>
        <v>45924</v>
      </c>
      <c r="AP12" s="3">
        <f>[2]หน้าผ้า!DP21</f>
        <v>45920</v>
      </c>
      <c r="AQ12" s="3">
        <f>[2]หน้าผ้า!DW21</f>
        <v>0</v>
      </c>
      <c r="AR12" s="3">
        <f>[2]หน้าผ้า!DX21</f>
        <v>0</v>
      </c>
      <c r="AS12" s="3">
        <f>[2]หน้าผ้า!DY21</f>
        <v>0</v>
      </c>
      <c r="AT12" s="3">
        <f>[2]หน้าผ้า!DZ21</f>
        <v>0</v>
      </c>
      <c r="AU12" s="3">
        <f>[2]หน้าผ้า!EA21</f>
        <v>0</v>
      </c>
      <c r="AV12" s="1">
        <f>[2]หน้าผ้า!EB21</f>
        <v>0</v>
      </c>
      <c r="AW12" s="2" t="str">
        <f>[2]หน้าผ้า!EC21</f>
        <v>งานพิมพ์</v>
      </c>
      <c r="AX12" s="2" t="str">
        <f>[2]หน้าผ้า!ED21</f>
        <v>รอART</v>
      </c>
      <c r="AY12" s="2">
        <f>[2]หน้าผ้า!AG21</f>
        <v>0</v>
      </c>
      <c r="AZ12" s="2">
        <f>[2]หน้าผ้า!EG21</f>
        <v>0</v>
      </c>
      <c r="BA12" s="2">
        <f>[2]หน้าผ้า!EH21</f>
        <v>0</v>
      </c>
      <c r="BB12" s="2">
        <f>[2]หน้าผ้า!EI21</f>
        <v>0</v>
      </c>
      <c r="BC12" s="1" t="str">
        <f>[2]หน้าผ้า!BZ21</f>
        <v>WRWT25800/WRWT25800</v>
      </c>
      <c r="BD12" s="56">
        <f>[2]หน้าผ้า!CA21</f>
        <v>184.69283555555555</v>
      </c>
    </row>
    <row r="13" spans="1:56" ht="27.75" customHeight="1" x14ac:dyDescent="0.45">
      <c r="A13" s="3">
        <f>[2]หน้าผ้า!C22</f>
        <v>0</v>
      </c>
      <c r="B13" s="14">
        <f>[2]หน้าผ้า!B22</f>
        <v>0</v>
      </c>
      <c r="C13" s="9">
        <f>[2]หน้าผ้า!E22</f>
        <v>0</v>
      </c>
      <c r="D13" s="13">
        <f>[2]หน้าผ้า!F22</f>
        <v>0</v>
      </c>
      <c r="E13" s="9">
        <f>[2]หน้าผ้า!G22</f>
        <v>16</v>
      </c>
      <c r="F13" s="9">
        <f>[2]หน้าผ้า!H22</f>
        <v>25</v>
      </c>
      <c r="G13" s="9" t="str">
        <f>[2]หน้าผ้า!I22</f>
        <v>ขาว</v>
      </c>
      <c r="H13" s="9">
        <f>[2]หน้าผ้า!J22</f>
        <v>0</v>
      </c>
      <c r="I13" s="9">
        <f>[2]หน้าผ้า!L22</f>
        <v>45</v>
      </c>
      <c r="J13" s="9" t="str">
        <f>[2]หน้าผ้า!M22</f>
        <v>±</v>
      </c>
      <c r="K13" s="9">
        <f>[2]หน้าผ้า!N22</f>
        <v>5</v>
      </c>
      <c r="L13" s="9">
        <f>[2]หน้าผ้า!R22</f>
        <v>0</v>
      </c>
      <c r="M13" s="10">
        <f>[2]หน้าผ้า!T22</f>
        <v>0</v>
      </c>
      <c r="N13" s="9">
        <f>[2]หน้าผ้า!U22</f>
        <v>0</v>
      </c>
      <c r="O13" s="9">
        <f>[2]หน้าผ้า!V22</f>
        <v>0</v>
      </c>
      <c r="P13" s="10">
        <f>[2]หน้าผ้า!AB22</f>
        <v>0</v>
      </c>
      <c r="Q13" s="10">
        <f>[2]หน้าผ้า!AC22</f>
        <v>0</v>
      </c>
      <c r="R13" s="10">
        <f>[2]หน้าผ้า!AD22</f>
        <v>0</v>
      </c>
      <c r="S13" s="9">
        <f>[2]หน้าผ้า!Z22</f>
        <v>0</v>
      </c>
      <c r="T13" s="12">
        <f>[2]หน้าผ้า!X22</f>
        <v>0</v>
      </c>
      <c r="U13" s="11">
        <f>[2]หน้าผ้า!AA22</f>
        <v>0</v>
      </c>
      <c r="V13" s="10">
        <f>[2]หน้าผ้า!AJ22</f>
        <v>0</v>
      </c>
      <c r="W13" s="10">
        <f>[2]หน้าผ้า!AL22</f>
        <v>0</v>
      </c>
      <c r="X13" s="10">
        <f>[2]หน้าผ้า!AM22</f>
        <v>0</v>
      </c>
      <c r="Y13" s="10">
        <f>[2]หน้าผ้า!AN22</f>
        <v>0</v>
      </c>
      <c r="Z13" s="9" t="str">
        <f>[2]หน้าผ้า!AO22</f>
        <v>WSWT1625800</v>
      </c>
      <c r="AA13" s="8">
        <f>[2]หน้าผ้า!AQ22</f>
        <v>3702.0499999999997</v>
      </c>
      <c r="AB13" s="8">
        <f>[2]หน้าผ้า!AR22</f>
        <v>682</v>
      </c>
      <c r="AC13" s="8">
        <f>[2]หน้าผ้า!AS22</f>
        <v>3020.0499999999997</v>
      </c>
      <c r="AD13" s="8">
        <f>[2]หน้าผ้า!AT22</f>
        <v>0</v>
      </c>
      <c r="AE13" s="8">
        <f>[2]หน้าผ้า!AU22</f>
        <v>0</v>
      </c>
      <c r="AF13" s="8" t="str">
        <f>[2]หน้าผ้า!AI22</f>
        <v>ระบุในSD</v>
      </c>
      <c r="AG13" s="1" t="str">
        <f>[3]หน้าผ้า!DC25</f>
        <v>ยังไม่ได้พิมพ์</v>
      </c>
      <c r="AH13" s="1">
        <f>[2]หน้าผ้า!DL22</f>
        <v>0</v>
      </c>
      <c r="AI13" s="1" t="str">
        <f>[2]หน้าผ้า!DM22</f>
        <v>Lead time</v>
      </c>
      <c r="AJ13" s="3">
        <f>[2]หน้าผ้า!DN22</f>
        <v>0</v>
      </c>
      <c r="AK13" s="3">
        <f>[2]หน้าผ้า!DQ22</f>
        <v>0</v>
      </c>
      <c r="AL13" s="3">
        <f>[2]หน้าผ้า!DR22</f>
        <v>0</v>
      </c>
      <c r="AM13" s="3">
        <f>[2]หน้าผ้า!DS22</f>
        <v>0</v>
      </c>
      <c r="AN13" s="3">
        <f>[2]หน้าผ้า!DT22</f>
        <v>0</v>
      </c>
      <c r="AO13" s="3">
        <f>[2]หน้าผ้า!DU22</f>
        <v>0</v>
      </c>
      <c r="AP13" s="3">
        <f>[2]หน้าผ้า!DP22</f>
        <v>0</v>
      </c>
      <c r="AQ13" s="3">
        <f>[2]หน้าผ้า!DW22</f>
        <v>0</v>
      </c>
      <c r="AR13" s="3">
        <f>[2]หน้าผ้า!DX22</f>
        <v>0</v>
      </c>
      <c r="AS13" s="3">
        <f>[2]หน้าผ้า!DY22</f>
        <v>0</v>
      </c>
      <c r="AT13" s="3">
        <f>[2]หน้าผ้า!DZ22</f>
        <v>0</v>
      </c>
      <c r="AU13" s="3">
        <f>[2]หน้าผ้า!EA22</f>
        <v>0</v>
      </c>
      <c r="AV13" s="1">
        <f>[2]หน้าผ้า!EB22</f>
        <v>0</v>
      </c>
      <c r="AW13" s="2">
        <f>[2]หน้าผ้า!EC22</f>
        <v>0</v>
      </c>
      <c r="AX13" s="2">
        <f>[2]หน้าผ้า!ED22</f>
        <v>0</v>
      </c>
      <c r="AY13" s="2">
        <f>[2]หน้าผ้า!AG22</f>
        <v>0</v>
      </c>
      <c r="AZ13" s="2">
        <f>[2]หน้าผ้า!EG22</f>
        <v>0</v>
      </c>
      <c r="BA13" s="2">
        <f>[2]หน้าผ้า!EH22</f>
        <v>0</v>
      </c>
      <c r="BB13" s="2">
        <f>[2]หน้าผ้า!EI22</f>
        <v>0</v>
      </c>
      <c r="BC13" s="1" t="str">
        <f>[2]หน้าผ้า!BZ22</f>
        <v>WRWT160800/WRWT25800</v>
      </c>
      <c r="BD13" s="56">
        <f>[2]หน้าผ้า!CA22</f>
        <v>0</v>
      </c>
    </row>
    <row r="14" spans="1:56" ht="27.75" customHeight="1" x14ac:dyDescent="0.45">
      <c r="A14" s="3">
        <f>[2]หน้าผ้า!C23</f>
        <v>0</v>
      </c>
      <c r="B14" s="14">
        <f>[2]หน้าผ้า!B23</f>
        <v>0</v>
      </c>
      <c r="C14" s="9">
        <f>[2]หน้าผ้า!E23</f>
        <v>0</v>
      </c>
      <c r="D14" s="13">
        <f>[2]หน้าผ้า!F23</f>
        <v>0</v>
      </c>
      <c r="E14" s="9">
        <f>[2]หน้าผ้า!G23</f>
        <v>16</v>
      </c>
      <c r="F14" s="9">
        <f>[2]หน้าผ้า!H23</f>
        <v>25</v>
      </c>
      <c r="G14" s="9">
        <f>[2]หน้าผ้า!I23</f>
        <v>0</v>
      </c>
      <c r="H14" s="9">
        <f>[2]หน้าผ้า!J23</f>
        <v>0</v>
      </c>
      <c r="I14" s="9">
        <f>[2]หน้าผ้า!L23</f>
        <v>47</v>
      </c>
      <c r="J14" s="9" t="str">
        <f>[2]หน้าผ้า!M23</f>
        <v>±</v>
      </c>
      <c r="K14" s="9">
        <f>[2]หน้าผ้า!N23</f>
        <v>5</v>
      </c>
      <c r="L14" s="9">
        <f>[2]หน้าผ้า!R23</f>
        <v>0</v>
      </c>
      <c r="M14" s="10">
        <f>[2]หน้าผ้า!T23</f>
        <v>0</v>
      </c>
      <c r="N14" s="9">
        <f>[2]หน้าผ้า!U23</f>
        <v>0</v>
      </c>
      <c r="O14" s="9">
        <f>[2]หน้าผ้า!V23</f>
        <v>0</v>
      </c>
      <c r="P14" s="10">
        <f>[2]หน้าผ้า!AB23</f>
        <v>0</v>
      </c>
      <c r="Q14" s="10">
        <f>[2]หน้าผ้า!AC23</f>
        <v>0</v>
      </c>
      <c r="R14" s="10">
        <f>[2]หน้าผ้า!AD23</f>
        <v>0</v>
      </c>
      <c r="S14" s="9">
        <f>[2]หน้าผ้า!Z23</f>
        <v>0</v>
      </c>
      <c r="T14" s="12">
        <f>[2]หน้าผ้า!X23</f>
        <v>0</v>
      </c>
      <c r="U14" s="11">
        <f>[2]หน้าผ้า!AA23</f>
        <v>0</v>
      </c>
      <c r="V14" s="10">
        <f>[2]หน้าผ้า!AJ23</f>
        <v>0</v>
      </c>
      <c r="W14" s="10">
        <f>[2]หน้าผ้า!AL23</f>
        <v>0</v>
      </c>
      <c r="X14" s="10">
        <f>[2]หน้าผ้า!AM23</f>
        <v>0</v>
      </c>
      <c r="Y14" s="10">
        <f>[2]หน้าผ้า!AN23</f>
        <v>0</v>
      </c>
      <c r="Z14" s="9" t="str">
        <f>[2]หน้าผ้า!AO23</f>
        <v>WSWT1621720SMFX</v>
      </c>
      <c r="AA14" s="8" t="e">
        <f>[2]หน้าผ้า!AQ23</f>
        <v>#REF!</v>
      </c>
      <c r="AB14" s="8" t="e">
        <f>[2]หน้าผ้า!AR23</f>
        <v>#REF!</v>
      </c>
      <c r="AC14" s="8" t="e">
        <f>[2]หน้าผ้า!AS23</f>
        <v>#REF!</v>
      </c>
      <c r="AD14" s="8" t="e">
        <f>[2]หน้าผ้า!AT23</f>
        <v>#REF!</v>
      </c>
      <c r="AE14" s="8" t="e">
        <f>[2]หน้าผ้า!AU23</f>
        <v>#REF!</v>
      </c>
      <c r="AF14" s="8" t="str">
        <f>[2]หน้าผ้า!AI23</f>
        <v>ระบุในSD</v>
      </c>
      <c r="AG14" s="1" t="str">
        <f>[3]หน้าผ้า!DC26</f>
        <v>พร้อมส่ง</v>
      </c>
      <c r="AH14" s="1">
        <f>[2]หน้าผ้า!DL23</f>
        <v>0</v>
      </c>
      <c r="AI14" s="1">
        <f>[2]หน้าผ้า!DM23</f>
        <v>0</v>
      </c>
      <c r="AJ14" s="3">
        <f>[2]หน้าผ้า!DN23</f>
        <v>0</v>
      </c>
      <c r="AK14" s="3">
        <f>[2]หน้าผ้า!DQ23</f>
        <v>0</v>
      </c>
      <c r="AL14" s="3">
        <f>[2]หน้าผ้า!DR23</f>
        <v>0</v>
      </c>
      <c r="AM14" s="3">
        <f>[2]หน้าผ้า!DS23</f>
        <v>0</v>
      </c>
      <c r="AN14" s="3">
        <f>[2]หน้าผ้า!DT23</f>
        <v>0</v>
      </c>
      <c r="AO14" s="3">
        <f>[2]หน้าผ้า!DU23</f>
        <v>0</v>
      </c>
      <c r="AP14" s="3">
        <f>[2]หน้าผ้า!DP23</f>
        <v>0</v>
      </c>
      <c r="AQ14" s="3">
        <f>[2]หน้าผ้า!DW23</f>
        <v>0</v>
      </c>
      <c r="AR14" s="3">
        <f>[2]หน้าผ้า!DX23</f>
        <v>0</v>
      </c>
      <c r="AS14" s="3">
        <f>[2]หน้าผ้า!DY23</f>
        <v>0</v>
      </c>
      <c r="AT14" s="3">
        <f>[2]หน้าผ้า!DZ23</f>
        <v>0</v>
      </c>
      <c r="AU14" s="3">
        <f>[2]หน้าผ้า!EA23</f>
        <v>0</v>
      </c>
      <c r="AV14" s="1">
        <f>[2]หน้าผ้า!EB23</f>
        <v>0</v>
      </c>
      <c r="AW14" s="2">
        <f>[2]หน้าผ้า!EC23</f>
        <v>0</v>
      </c>
      <c r="AX14" s="2">
        <f>[2]หน้าผ้า!ED23</f>
        <v>0</v>
      </c>
      <c r="AY14" s="2">
        <f>[2]หน้าผ้า!AG23</f>
        <v>0</v>
      </c>
      <c r="AZ14" s="2">
        <f>[2]หน้าผ้า!EG23</f>
        <v>0</v>
      </c>
      <c r="BA14" s="2">
        <f>[2]หน้าผ้า!EH23</f>
        <v>0</v>
      </c>
      <c r="BB14" s="2">
        <f>[2]หน้าผ้า!EI23</f>
        <v>0</v>
      </c>
      <c r="BC14" s="1" t="str">
        <f>[2]หน้าผ้า!BZ23</f>
        <v>WRWT160720/WRWT21720</v>
      </c>
      <c r="BD14" s="56">
        <f>[2]หน้าผ้า!CA23</f>
        <v>0</v>
      </c>
    </row>
    <row r="15" spans="1:56" ht="27.75" customHeight="1" x14ac:dyDescent="0.45">
      <c r="A15" s="3">
        <f>[2]หน้าผ้า!C24</f>
        <v>0</v>
      </c>
      <c r="B15" s="14">
        <f>[2]หน้าผ้า!B24</f>
        <v>0</v>
      </c>
      <c r="C15" s="9">
        <f>[2]หน้าผ้า!E24</f>
        <v>0</v>
      </c>
      <c r="D15" s="13">
        <f>[2]หน้าผ้า!F24</f>
        <v>0</v>
      </c>
      <c r="E15" s="9">
        <f>[2]หน้าผ้า!G24</f>
        <v>17</v>
      </c>
      <c r="F15" s="9">
        <f>[2]หน้าผ้า!H24</f>
        <v>26</v>
      </c>
      <c r="G15" s="9">
        <f>[2]หน้าผ้า!I24</f>
        <v>0</v>
      </c>
      <c r="H15" s="9">
        <f>[2]หน้าผ้า!J24</f>
        <v>0</v>
      </c>
      <c r="I15" s="9">
        <f>[2]หน้าผ้า!L24</f>
        <v>48</v>
      </c>
      <c r="J15" s="9" t="str">
        <f>[2]หน้าผ้า!M24</f>
        <v>±</v>
      </c>
      <c r="K15" s="9">
        <f>[2]หน้าผ้า!N24</f>
        <v>5</v>
      </c>
      <c r="L15" s="9">
        <f>[2]หน้าผ้า!R24</f>
        <v>0</v>
      </c>
      <c r="M15" s="10">
        <f>[2]หน้าผ้า!T24</f>
        <v>0</v>
      </c>
      <c r="N15" s="9">
        <f>[2]หน้าผ้า!U24</f>
        <v>0</v>
      </c>
      <c r="O15" s="9">
        <f>[2]หน้าผ้า!V24</f>
        <v>0</v>
      </c>
      <c r="P15" s="10">
        <f>[2]หน้าผ้า!AB24</f>
        <v>0</v>
      </c>
      <c r="Q15" s="10">
        <f>[2]หน้าผ้า!AC24</f>
        <v>0</v>
      </c>
      <c r="R15" s="10">
        <f>[2]หน้าผ้า!AD24</f>
        <v>0</v>
      </c>
      <c r="S15" s="9">
        <f>[2]หน้าผ้า!Z24</f>
        <v>0</v>
      </c>
      <c r="T15" s="12">
        <f>[2]หน้าผ้า!X24</f>
        <v>0</v>
      </c>
      <c r="U15" s="11">
        <f>[2]หน้าผ้า!AA24</f>
        <v>0</v>
      </c>
      <c r="V15" s="10">
        <f>[2]หน้าผ้า!AJ24</f>
        <v>0</v>
      </c>
      <c r="W15" s="10">
        <f>[2]หน้าผ้า!AL24</f>
        <v>0</v>
      </c>
      <c r="X15" s="10">
        <f>[2]หน้าผ้า!AM24</f>
        <v>0</v>
      </c>
      <c r="Y15" s="10">
        <f>[2]หน้าผ้า!AN24</f>
        <v>0</v>
      </c>
      <c r="Z15" s="9" t="str">
        <f>[2]หน้าผ้า!AO24</f>
        <v>WSWT1725800</v>
      </c>
      <c r="AA15" s="8" t="e">
        <f>[2]หน้าผ้า!AQ24</f>
        <v>#REF!</v>
      </c>
      <c r="AB15" s="8" t="e">
        <f>[2]หน้าผ้า!AR24</f>
        <v>#REF!</v>
      </c>
      <c r="AC15" s="8" t="e">
        <f>[2]หน้าผ้า!AS24</f>
        <v>#REF!</v>
      </c>
      <c r="AD15" s="8" t="e">
        <f>[2]หน้าผ้า!AT24</f>
        <v>#REF!</v>
      </c>
      <c r="AE15" s="8" t="e">
        <f>[2]หน้าผ้า!AU24</f>
        <v>#REF!</v>
      </c>
      <c r="AF15" s="8" t="str">
        <f>[2]หน้าผ้า!AI24</f>
        <v>ระบุในSD</v>
      </c>
      <c r="AG15" s="1" t="str">
        <f>[3]หน้าผ้า!DC27</f>
        <v>ยังไม่ได้พิมพ์</v>
      </c>
      <c r="AH15" s="1">
        <f>[2]หน้าผ้า!DL24</f>
        <v>0</v>
      </c>
      <c r="AI15" s="1">
        <f>[2]หน้าผ้า!DM24</f>
        <v>0</v>
      </c>
      <c r="AJ15" s="3">
        <f>[2]หน้าผ้า!DN24</f>
        <v>0</v>
      </c>
      <c r="AK15" s="3">
        <f>[2]หน้าผ้า!DQ24</f>
        <v>0</v>
      </c>
      <c r="AL15" s="3">
        <f>[2]หน้าผ้า!DR24</f>
        <v>0</v>
      </c>
      <c r="AM15" s="3">
        <f>[2]หน้าผ้า!DS24</f>
        <v>0</v>
      </c>
      <c r="AN15" s="3">
        <f>[2]หน้าผ้า!DT24</f>
        <v>0</v>
      </c>
      <c r="AO15" s="3">
        <f>[2]หน้าผ้า!DU24</f>
        <v>0</v>
      </c>
      <c r="AP15" s="3">
        <f>[2]หน้าผ้า!DP24</f>
        <v>0</v>
      </c>
      <c r="AQ15" s="3">
        <f>[2]หน้าผ้า!DW24</f>
        <v>0</v>
      </c>
      <c r="AR15" s="3">
        <f>[2]หน้าผ้า!DX24</f>
        <v>0</v>
      </c>
      <c r="AS15" s="3">
        <f>[2]หน้าผ้า!DY24</f>
        <v>0</v>
      </c>
      <c r="AT15" s="3">
        <f>[2]หน้าผ้า!DZ24</f>
        <v>0</v>
      </c>
      <c r="AU15" s="3">
        <f>[2]หน้าผ้า!EA24</f>
        <v>0</v>
      </c>
      <c r="AV15" s="1">
        <f>[2]หน้าผ้า!EB24</f>
        <v>0</v>
      </c>
      <c r="AW15" s="2">
        <f>[2]หน้าผ้า!EC24</f>
        <v>0</v>
      </c>
      <c r="AX15" s="2">
        <f>[2]หน้าผ้า!ED24</f>
        <v>0</v>
      </c>
      <c r="AY15" s="2">
        <f>[2]หน้าผ้า!AG24</f>
        <v>0</v>
      </c>
      <c r="AZ15" s="2">
        <f>[2]หน้าผ้า!EG24</f>
        <v>0</v>
      </c>
      <c r="BA15" s="2">
        <f>[2]หน้าผ้า!EH24</f>
        <v>0</v>
      </c>
      <c r="BB15" s="2">
        <f>[2]หน้าผ้า!EI24</f>
        <v>0</v>
      </c>
      <c r="BC15" s="1" t="str">
        <f>[2]หน้าผ้า!BZ24</f>
        <v>WRWT170800/WRWT25800</v>
      </c>
      <c r="BD15" s="56">
        <f>[2]หน้าผ้า!CA24</f>
        <v>0</v>
      </c>
    </row>
    <row r="16" spans="1:56" ht="27.75" customHeight="1" x14ac:dyDescent="0.45">
      <c r="A16" s="3" t="str">
        <f>[2]หน้าผ้า!C25</f>
        <v>ประมาณการ</v>
      </c>
      <c r="B16" s="14" t="str">
        <f>[2]หน้าผ้า!B25</f>
        <v>ประมาณการ</v>
      </c>
      <c r="C16" s="9" t="str">
        <f>[2]หน้าผ้า!E25</f>
        <v>บจก.ฟาร์เธอร์ส วิง ซัพพลาย</v>
      </c>
      <c r="D16" s="13" t="str">
        <f>[2]หน้าผ้า!F25</f>
        <v>รถไฟ</v>
      </c>
      <c r="E16" s="9">
        <f>[2]หน้าผ้า!G25</f>
        <v>18</v>
      </c>
      <c r="F16" s="9">
        <f>[2]หน้าผ้า!H25</f>
        <v>30</v>
      </c>
      <c r="G16" s="9" t="str">
        <f>[2]หน้าผ้า!I25</f>
        <v>ขาว</v>
      </c>
      <c r="H16" s="9">
        <f>[2]หน้าผ้า!J25</f>
        <v>0</v>
      </c>
      <c r="I16" s="9">
        <f>[2]หน้าผ้า!L25</f>
        <v>54</v>
      </c>
      <c r="J16" s="9" t="str">
        <f>[2]หน้าผ้า!M25</f>
        <v>±</v>
      </c>
      <c r="K16" s="9">
        <f>[2]หน้าผ้า!N25</f>
        <v>5</v>
      </c>
      <c r="L16" s="9" t="str">
        <f>[2]หน้าผ้า!R25</f>
        <v>บิด</v>
      </c>
      <c r="M16" s="10">
        <f>[2]หน้าผ้า!T25</f>
        <v>19</v>
      </c>
      <c r="N16" s="9">
        <f>[2]หน้าผ้า!U25</f>
        <v>33</v>
      </c>
      <c r="O16" s="9">
        <f>[2]หน้าผ้า!V25</f>
        <v>40</v>
      </c>
      <c r="P16" s="10">
        <f>[2]หน้าผ้า!AB25</f>
        <v>232.02998755199997</v>
      </c>
      <c r="Q16" s="10">
        <f>[2]หน้าผ้า!AC25</f>
        <v>0</v>
      </c>
      <c r="R16" s="10">
        <f>[2]หน้าผ้า!AD25</f>
        <v>232.02998755199997</v>
      </c>
      <c r="S16" s="9" t="str">
        <f>[2]หน้าผ้า!Z25</f>
        <v>500กระสอบ</v>
      </c>
      <c r="T16" s="12" t="str">
        <f>[2]หน้าผ้า!X25</f>
        <v>รอแจ้ง</v>
      </c>
      <c r="U16" s="11">
        <f>[2]หน้าผ้า!AA25</f>
        <v>15000</v>
      </c>
      <c r="V16" s="10">
        <f>[2]หน้าผ้า!AJ25</f>
        <v>0</v>
      </c>
      <c r="W16" s="10">
        <f>[2]หน้าผ้า!AL25</f>
        <v>15000</v>
      </c>
      <c r="X16" s="10">
        <f>[2]หน้าผ้า!AM25</f>
        <v>0</v>
      </c>
      <c r="Y16" s="10">
        <f>[2]หน้าผ้า!AN25</f>
        <v>15750</v>
      </c>
      <c r="Z16" s="9" t="str">
        <f>[2]หน้าผ้า!AO25</f>
        <v>WSWT1825800</v>
      </c>
      <c r="AA16" s="8">
        <f>[2]หน้าผ้า!AQ25</f>
        <v>13201.65</v>
      </c>
      <c r="AB16" s="8">
        <f>[2]หน้าผ้า!AR25</f>
        <v>2599</v>
      </c>
      <c r="AC16" s="8">
        <f>[2]หน้าผ้า!AS25</f>
        <v>10602.65</v>
      </c>
      <c r="AD16" s="8">
        <f>[2]หน้าผ้า!AT25</f>
        <v>0</v>
      </c>
      <c r="AE16" s="8">
        <f>[2]หน้าผ้า!AU25</f>
        <v>0</v>
      </c>
      <c r="AF16" s="8">
        <f>[2]หน้าผ้า!AI25</f>
        <v>0</v>
      </c>
      <c r="AG16" s="1" t="str">
        <f>[3]หน้าผ้า!DC28</f>
        <v>พร้อมส่ง</v>
      </c>
      <c r="AH16" s="1" t="str">
        <f>[2]หน้าผ้า!DL25</f>
        <v>P9</v>
      </c>
      <c r="AI16" s="1">
        <f>[2]หน้าผ้า!DM25</f>
        <v>3</v>
      </c>
      <c r="AJ16" s="3" t="str">
        <f>[2]หน้าผ้า!DN25</f>
        <v>รอแจ้ง</v>
      </c>
      <c r="AK16" s="3">
        <f>[2]หน้าผ้า!DQ25</f>
        <v>0</v>
      </c>
      <c r="AL16" s="3" t="e">
        <f>[2]หน้าผ้า!DR25</f>
        <v>#VALUE!</v>
      </c>
      <c r="AM16" s="3" t="e">
        <f>[2]หน้าผ้า!DS25</f>
        <v>#VALUE!</v>
      </c>
      <c r="AN16" s="3" t="e">
        <f>[2]หน้าผ้า!DT25</f>
        <v>#VALUE!</v>
      </c>
      <c r="AO16" s="3" t="e">
        <f>[2]หน้าผ้า!DU25</f>
        <v>#VALUE!</v>
      </c>
      <c r="AP16" s="3" t="e">
        <f>[2]หน้าผ้า!DP25</f>
        <v>#VALUE!</v>
      </c>
      <c r="AQ16" s="3" t="e">
        <f>[2]หน้าผ้า!DW25</f>
        <v>#VALUE!</v>
      </c>
      <c r="AR16" s="3">
        <f>[2]หน้าผ้า!DX25</f>
        <v>0</v>
      </c>
      <c r="AS16" s="3">
        <f>[2]หน้าผ้า!DY25</f>
        <v>0</v>
      </c>
      <c r="AT16" s="3">
        <f>[2]หน้าผ้า!DZ25</f>
        <v>0</v>
      </c>
      <c r="AU16" s="3">
        <f>[2]หน้าผ้า!EA25</f>
        <v>0</v>
      </c>
      <c r="AV16" s="1">
        <f>[2]หน้าผ้า!EB25</f>
        <v>0</v>
      </c>
      <c r="AW16" s="2" t="str">
        <f>[2]หน้าผ้า!EC25</f>
        <v>งานพิมพ์</v>
      </c>
      <c r="AX16" s="2" t="str">
        <f>[2]หน้าผ้า!ED25</f>
        <v>รอART</v>
      </c>
      <c r="AY16" s="2">
        <f>[2]หน้าผ้า!AG25</f>
        <v>0</v>
      </c>
      <c r="AZ16" s="2">
        <f>[2]หน้าผ้า!EG25</f>
        <v>0</v>
      </c>
      <c r="BA16" s="2">
        <f>[2]หน้าผ้า!EH25</f>
        <v>0</v>
      </c>
      <c r="BB16" s="2">
        <f>[2]หน้าผ้า!EI25</f>
        <v>0</v>
      </c>
      <c r="BC16" s="1" t="str">
        <f>[2]หน้าผ้า!BZ25</f>
        <v>WRWT25800/WRWT25800</v>
      </c>
      <c r="BD16" s="56">
        <f>[2]หน้าผ้า!CA25</f>
        <v>729.46232000000009</v>
      </c>
    </row>
    <row r="17" spans="1:56" ht="27.75" customHeight="1" x14ac:dyDescent="0.45">
      <c r="A17" s="3">
        <f>[2]หน้าผ้า!C26</f>
        <v>0</v>
      </c>
      <c r="B17" s="14">
        <f>[2]หน้าผ้า!B26</f>
        <v>0</v>
      </c>
      <c r="C17" s="9" t="str">
        <f>[2]หน้าผ้า!E26</f>
        <v xml:space="preserve">  </v>
      </c>
      <c r="D17" s="13" t="str">
        <f>[2]หน้าผ้า!F26</f>
        <v xml:space="preserve"> </v>
      </c>
      <c r="E17" s="9">
        <f>[2]หน้าผ้า!G26</f>
        <v>18</v>
      </c>
      <c r="F17" s="9">
        <f>[2]หน้าผ้า!H26</f>
        <v>30</v>
      </c>
      <c r="G17" s="9" t="str">
        <f>[2]หน้าผ้า!I26</f>
        <v>ขาว</v>
      </c>
      <c r="H17" s="9">
        <f>[2]หน้าผ้า!J26</f>
        <v>0</v>
      </c>
      <c r="I17" s="9">
        <f>[2]หน้าผ้า!L26</f>
        <v>54</v>
      </c>
      <c r="J17" s="9" t="str">
        <f>[2]หน้าผ้า!M26</f>
        <v>±</v>
      </c>
      <c r="K17" s="9">
        <f>[2]หน้าผ้า!N26</f>
        <v>5</v>
      </c>
      <c r="L17" s="9">
        <f>[2]หน้าผ้า!R26</f>
        <v>0</v>
      </c>
      <c r="M17" s="10">
        <f>[2]หน้าผ้า!T26</f>
        <v>0</v>
      </c>
      <c r="N17" s="9">
        <f>[2]หน้าผ้า!U26</f>
        <v>0</v>
      </c>
      <c r="O17" s="9">
        <f>[2]หน้าผ้า!V26</f>
        <v>0</v>
      </c>
      <c r="P17" s="10">
        <f>[2]หน้าผ้า!AB26</f>
        <v>0</v>
      </c>
      <c r="Q17" s="10">
        <f>[2]หน้าผ้า!AC26</f>
        <v>0</v>
      </c>
      <c r="R17" s="10">
        <f>[2]หน้าผ้า!AD26</f>
        <v>0</v>
      </c>
      <c r="S17" s="9">
        <f>[2]หน้าผ้า!Z26</f>
        <v>0</v>
      </c>
      <c r="T17" s="12">
        <f>[2]หน้าผ้า!X26</f>
        <v>0</v>
      </c>
      <c r="U17" s="11">
        <f>[2]หน้าผ้า!AA26</f>
        <v>0</v>
      </c>
      <c r="V17" s="10">
        <f>[2]หน้าผ้า!AJ26</f>
        <v>0</v>
      </c>
      <c r="W17" s="10">
        <f>[2]หน้าผ้า!AL26</f>
        <v>0</v>
      </c>
      <c r="X17" s="10">
        <f>[2]หน้าผ้า!AM26</f>
        <v>0</v>
      </c>
      <c r="Y17" s="10">
        <f>[2]หน้าผ้า!AN26</f>
        <v>0</v>
      </c>
      <c r="Z17" s="9" t="str">
        <f>[2]หน้าผ้า!AO26</f>
        <v>WSWT1825800</v>
      </c>
      <c r="AA17" s="8">
        <f>[2]หน้าผ้า!AQ26</f>
        <v>13201.65</v>
      </c>
      <c r="AB17" s="8">
        <f>[2]หน้าผ้า!AR26</f>
        <v>2599</v>
      </c>
      <c r="AC17" s="8">
        <f>[2]หน้าผ้า!AS26</f>
        <v>10602.65</v>
      </c>
      <c r="AD17" s="8">
        <f>[2]หน้าผ้า!AT26</f>
        <v>0</v>
      </c>
      <c r="AE17" s="8">
        <f>[2]หน้าผ้า!AU26</f>
        <v>0</v>
      </c>
      <c r="AF17" s="8" t="str">
        <f>[2]หน้าผ้า!AI26</f>
        <v>ระบุในSD</v>
      </c>
      <c r="AG17" s="1" t="str">
        <f>[3]หน้าผ้า!DC29</f>
        <v>ยังไม่ได้พิมพ์</v>
      </c>
      <c r="AH17" s="1">
        <f>[2]หน้าผ้า!DL26</f>
        <v>0</v>
      </c>
      <c r="AI17" s="1" t="str">
        <f>[2]หน้าผ้า!DM26</f>
        <v>Lead time</v>
      </c>
      <c r="AJ17" s="3">
        <f>[2]หน้าผ้า!DN26</f>
        <v>0</v>
      </c>
      <c r="AK17" s="3">
        <f>[2]หน้าผ้า!DQ26</f>
        <v>0</v>
      </c>
      <c r="AL17" s="3">
        <f>[2]หน้าผ้า!DR26</f>
        <v>0</v>
      </c>
      <c r="AM17" s="3">
        <f>[2]หน้าผ้า!DS26</f>
        <v>0</v>
      </c>
      <c r="AN17" s="3">
        <f>[2]หน้าผ้า!DT26</f>
        <v>0</v>
      </c>
      <c r="AO17" s="3">
        <f>[2]หน้าผ้า!DU26</f>
        <v>0</v>
      </c>
      <c r="AP17" s="3">
        <f>[2]หน้าผ้า!DP26</f>
        <v>0</v>
      </c>
      <c r="AQ17" s="3">
        <f>[2]หน้าผ้า!DW26</f>
        <v>0</v>
      </c>
      <c r="AR17" s="3">
        <f>[2]หน้าผ้า!DX26</f>
        <v>0</v>
      </c>
      <c r="AS17" s="3">
        <f>[2]หน้าผ้า!DY26</f>
        <v>0</v>
      </c>
      <c r="AT17" s="3">
        <f>[2]หน้าผ้า!DZ26</f>
        <v>0</v>
      </c>
      <c r="AU17" s="3">
        <f>[2]หน้าผ้า!EA26</f>
        <v>0</v>
      </c>
      <c r="AV17" s="1">
        <f>[2]หน้าผ้า!EB26</f>
        <v>0</v>
      </c>
      <c r="AW17" s="2">
        <f>[2]หน้าผ้า!EC26</f>
        <v>0</v>
      </c>
      <c r="AX17" s="2">
        <f>[2]หน้าผ้า!ED26</f>
        <v>0</v>
      </c>
      <c r="AY17" s="2">
        <f>[2]หน้าผ้า!AG26</f>
        <v>0</v>
      </c>
      <c r="AZ17" s="2">
        <f>[2]หน้าผ้า!EG26</f>
        <v>0</v>
      </c>
      <c r="BA17" s="2">
        <f>[2]หน้าผ้า!EH26</f>
        <v>0</v>
      </c>
      <c r="BB17" s="2">
        <f>[2]หน้าผ้า!EI26</f>
        <v>0</v>
      </c>
      <c r="BC17" s="1" t="str">
        <f>[2]หน้าผ้า!BZ26</f>
        <v>WRWT25800/WRWT25800</v>
      </c>
      <c r="BD17" s="56">
        <f>[2]หน้าผ้า!CA26</f>
        <v>0</v>
      </c>
    </row>
    <row r="18" spans="1:56" ht="27.75" customHeight="1" x14ac:dyDescent="0.45">
      <c r="A18" s="3">
        <f>[2]หน้าผ้า!C27</f>
        <v>45901</v>
      </c>
      <c r="B18" s="14" t="str">
        <f>[2]หน้าผ้า!B27</f>
        <v>MK68-001068</v>
      </c>
      <c r="C18" s="9" t="str">
        <f>[2]หน้าผ้า!E27</f>
        <v>บจก.ยืนยงยิปซั่มปลาสเตอร์</v>
      </c>
      <c r="D18" s="13" t="str">
        <f>[2]หน้าผ้า!F27</f>
        <v>YUENYONG</v>
      </c>
      <c r="E18" s="9">
        <f>[2]หน้าผ้า!G27</f>
        <v>18</v>
      </c>
      <c r="F18" s="9">
        <f>[2]หน้าผ้า!H27</f>
        <v>26</v>
      </c>
      <c r="G18" s="9" t="str">
        <f>[2]หน้าผ้า!I27</f>
        <v>ขาว</v>
      </c>
      <c r="H18" s="9" t="str">
        <f>[2]หน้าผ้า!J27</f>
        <v>ใส</v>
      </c>
      <c r="I18" s="9">
        <f>[2]หน้าผ้า!L27</f>
        <v>65</v>
      </c>
      <c r="J18" s="9" t="str">
        <f>[2]หน้าผ้า!M27</f>
        <v>±</v>
      </c>
      <c r="K18" s="9">
        <f>[2]หน้าผ้า!N27</f>
        <v>5</v>
      </c>
      <c r="L18" s="9" t="str">
        <f>[2]หน้าผ้า!R27</f>
        <v>บิด</v>
      </c>
      <c r="M18" s="10">
        <f>[2]หน้าผ้า!T27</f>
        <v>19</v>
      </c>
      <c r="N18" s="9">
        <f>[2]หน้าผ้า!U27</f>
        <v>29</v>
      </c>
      <c r="O18" s="9">
        <f>[2]หน้าผ้า!V27</f>
        <v>40</v>
      </c>
      <c r="P18" s="10">
        <f>[2]หน้าผ้า!AB27</f>
        <v>67.968380191999998</v>
      </c>
      <c r="Q18" s="10">
        <f>[2]หน้าผ้า!AC27</f>
        <v>0</v>
      </c>
      <c r="R18" s="10">
        <f>[2]หน้าผ้า!AD27</f>
        <v>67.968380191999998</v>
      </c>
      <c r="S18" s="9" t="str">
        <f>[2]หน้าผ้า!Z27</f>
        <v>500กระสอบแบน</v>
      </c>
      <c r="T18" s="12">
        <f>[2]หน้าผ้า!X27</f>
        <v>45912</v>
      </c>
      <c r="U18" s="11">
        <f>[2]หน้าผ้า!AA27</f>
        <v>5000</v>
      </c>
      <c r="V18" s="10">
        <f>[2]หน้าผ้า!AJ27</f>
        <v>0</v>
      </c>
      <c r="W18" s="10">
        <f>[2]หน้าผ้า!AL27</f>
        <v>5000</v>
      </c>
      <c r="X18" s="10">
        <f>[2]หน้าผ้า!AM27</f>
        <v>0</v>
      </c>
      <c r="Y18" s="10">
        <f>[2]หน้าผ้า!AN27</f>
        <v>5250</v>
      </c>
      <c r="Z18" s="9" t="str">
        <f>[2]หน้าผ้า!AO27</f>
        <v>WSWT1825800SM</v>
      </c>
      <c r="AA18" s="8">
        <f>[2]หน้าผ้า!AQ27</f>
        <v>3841.7500000000005</v>
      </c>
      <c r="AB18" s="8">
        <f>[2]หน้าผ้า!AR27</f>
        <v>3841.7500000000005</v>
      </c>
      <c r="AC18" s="8">
        <f>[2]หน้าผ้า!AS27</f>
        <v>0</v>
      </c>
      <c r="AD18" s="8">
        <f>[2]หน้าผ้า!AT27</f>
        <v>0</v>
      </c>
      <c r="AE18" s="8">
        <f>[2]หน้าผ้า!AU27</f>
        <v>3841.7500000000005</v>
      </c>
      <c r="AF18" s="8">
        <f>[2]หน้าผ้า!AI27</f>
        <v>0</v>
      </c>
      <c r="AG18" s="1" t="str">
        <f>[3]หน้าผ้า!DC30</f>
        <v>พิมพ์ไม่ครบ</v>
      </c>
      <c r="AH18" s="1" t="str">
        <f>[2]หน้าผ้า!DL27</f>
        <v>P8</v>
      </c>
      <c r="AI18" s="1">
        <f>[2]หน้าผ้า!DM27</f>
        <v>4</v>
      </c>
      <c r="AJ18" s="3">
        <f>[2]หน้าผ้า!DN27</f>
        <v>45912</v>
      </c>
      <c r="AK18" s="3">
        <f>[2]หน้าผ้า!DQ27</f>
        <v>45908</v>
      </c>
      <c r="AL18" s="3">
        <f>[2]หน้าผ้า!DR27</f>
        <v>45902</v>
      </c>
      <c r="AM18" s="3">
        <f>[2]หน้าผ้า!DS27</f>
        <v>45909</v>
      </c>
      <c r="AN18" s="3">
        <f>[2]หน้าผ้า!DT27</f>
        <v>45910</v>
      </c>
      <c r="AO18" s="3">
        <f>[2]หน้าผ้า!DU27</f>
        <v>45910</v>
      </c>
      <c r="AP18" s="3">
        <f>[2]หน้าผ้า!DP27</f>
        <v>45907</v>
      </c>
      <c r="AQ18" s="3">
        <f>[2]หน้าผ้า!DW27</f>
        <v>45911</v>
      </c>
      <c r="AR18" s="3">
        <f>[2]หน้าผ้า!DX27</f>
        <v>0</v>
      </c>
      <c r="AS18" s="3">
        <f>[2]หน้าผ้า!DY27</f>
        <v>0</v>
      </c>
      <c r="AT18" s="3">
        <f>[2]หน้าผ้า!DZ27</f>
        <v>0</v>
      </c>
      <c r="AU18" s="3">
        <f>[2]หน้าผ้า!EA27</f>
        <v>0</v>
      </c>
      <c r="AV18" s="1">
        <f>[2]หน้าผ้า!EB27</f>
        <v>0</v>
      </c>
      <c r="AW18" s="2" t="str">
        <f>[2]หน้าผ้า!EC27</f>
        <v>งานเคลือบ+พิมพ์</v>
      </c>
      <c r="AX18" s="2" t="str">
        <f>[2]หน้าผ้า!ED27</f>
        <v xml:space="preserve"> /</v>
      </c>
      <c r="AY18" s="2">
        <f>[2]หน้าผ้า!AG27</f>
        <v>0</v>
      </c>
      <c r="AZ18" s="2">
        <f>[2]หน้าผ้า!EG27</f>
        <v>0</v>
      </c>
      <c r="BA18" s="2">
        <f>[2]หน้าผ้า!EH27</f>
        <v>0</v>
      </c>
      <c r="BB18" s="2">
        <f>[2]หน้าผ้า!EI27</f>
        <v>0</v>
      </c>
      <c r="BC18" s="1" t="str">
        <f>[2]หน้าผ้า!BZ27</f>
        <v>WRWT25800/WRWT25800</v>
      </c>
      <c r="BD18" s="56">
        <f>[2]หน้าผ้า!CA27</f>
        <v>0</v>
      </c>
    </row>
    <row r="19" spans="1:56" ht="27.75" customHeight="1" x14ac:dyDescent="0.45">
      <c r="A19" s="3">
        <f>[2]หน้าผ้า!C28</f>
        <v>0</v>
      </c>
      <c r="B19" s="14">
        <f>[2]หน้าผ้า!B28</f>
        <v>0</v>
      </c>
      <c r="C19" s="9">
        <f>[2]หน้าผ้า!E28</f>
        <v>0</v>
      </c>
      <c r="D19" s="13" t="str">
        <f>[2]หน้าผ้า!F28</f>
        <v xml:space="preserve"> </v>
      </c>
      <c r="E19" s="9">
        <f>[2]หน้าผ้า!G28</f>
        <v>18</v>
      </c>
      <c r="F19" s="9">
        <f>[2]หน้าผ้า!H28</f>
        <v>25</v>
      </c>
      <c r="G19" s="9" t="str">
        <f>[2]หน้าผ้า!I28</f>
        <v>ขาว</v>
      </c>
      <c r="H19" s="9">
        <f>[2]หน้าผ้า!J28</f>
        <v>0</v>
      </c>
      <c r="I19" s="9">
        <f>[2]หน้าผ้า!L28</f>
        <v>50</v>
      </c>
      <c r="J19" s="9" t="str">
        <f>[2]หน้าผ้า!M28</f>
        <v>±</v>
      </c>
      <c r="K19" s="9">
        <f>[2]หน้าผ้า!N28</f>
        <v>5</v>
      </c>
      <c r="L19" s="9">
        <f>[2]หน้าผ้า!R28</f>
        <v>0</v>
      </c>
      <c r="M19" s="10">
        <f>[2]หน้าผ้า!T28</f>
        <v>0</v>
      </c>
      <c r="N19" s="9">
        <f>[2]หน้าผ้า!U28</f>
        <v>0</v>
      </c>
      <c r="O19" s="9">
        <f>[2]หน้าผ้า!V28</f>
        <v>0</v>
      </c>
      <c r="P19" s="10">
        <f>[2]หน้าผ้า!AB28</f>
        <v>0</v>
      </c>
      <c r="Q19" s="10">
        <f>[2]หน้าผ้า!AC28</f>
        <v>0</v>
      </c>
      <c r="R19" s="10">
        <f>[2]หน้าผ้า!AD28</f>
        <v>0</v>
      </c>
      <c r="S19" s="9">
        <f>[2]หน้าผ้า!Z28</f>
        <v>0</v>
      </c>
      <c r="T19" s="12">
        <f>[2]หน้าผ้า!X28</f>
        <v>0</v>
      </c>
      <c r="U19" s="11">
        <f>[2]หน้าผ้า!AA28</f>
        <v>0</v>
      </c>
      <c r="V19" s="10">
        <f>[2]หน้าผ้า!AJ28</f>
        <v>0</v>
      </c>
      <c r="W19" s="10">
        <f>[2]หน้าผ้า!AL28</f>
        <v>0</v>
      </c>
      <c r="X19" s="10">
        <f>[2]หน้าผ้า!AM28</f>
        <v>0</v>
      </c>
      <c r="Y19" s="10">
        <f>[2]หน้าผ้า!AN28</f>
        <v>0</v>
      </c>
      <c r="Z19" s="9" t="str">
        <f>[2]หน้าผ้า!AO28</f>
        <v>WSWT1825800SM</v>
      </c>
      <c r="AA19" s="8">
        <f>[2]หน้าผ้า!AQ28</f>
        <v>3841.7500000000005</v>
      </c>
      <c r="AB19" s="8">
        <f>[2]หน้าผ้า!AR28</f>
        <v>3841.7500000000005</v>
      </c>
      <c r="AC19" s="8">
        <f>[2]หน้าผ้า!AS28</f>
        <v>0</v>
      </c>
      <c r="AD19" s="8">
        <f>[2]หน้าผ้า!AT28</f>
        <v>0</v>
      </c>
      <c r="AE19" s="8">
        <f>[2]หน้าผ้า!AU28</f>
        <v>3841.7500000000005</v>
      </c>
      <c r="AF19" s="8" t="str">
        <f>[2]หน้าผ้า!AI28</f>
        <v>ระบุในSD</v>
      </c>
      <c r="AG19" s="1" t="str">
        <f>[3]หน้าผ้า!DC31</f>
        <v>รอแบบ</v>
      </c>
      <c r="AH19" s="1">
        <f>[2]หน้าผ้า!DL28</f>
        <v>0</v>
      </c>
      <c r="AI19" s="1" t="str">
        <f>[2]หน้าผ้า!DM28</f>
        <v>Lead time</v>
      </c>
      <c r="AJ19" s="3">
        <f>[2]หน้าผ้า!DN28</f>
        <v>0</v>
      </c>
      <c r="AK19" s="3">
        <f>[2]หน้าผ้า!DQ28</f>
        <v>0</v>
      </c>
      <c r="AL19" s="3">
        <f>[2]หน้าผ้า!DR28</f>
        <v>0</v>
      </c>
      <c r="AM19" s="3">
        <f>[2]หน้าผ้า!DS28</f>
        <v>0</v>
      </c>
      <c r="AN19" s="3">
        <f>[2]หน้าผ้า!DT28</f>
        <v>0</v>
      </c>
      <c r="AO19" s="3">
        <f>[2]หน้าผ้า!DU28</f>
        <v>0</v>
      </c>
      <c r="AP19" s="3">
        <f>[2]หน้าผ้า!DP28</f>
        <v>0</v>
      </c>
      <c r="AQ19" s="3">
        <f>[2]หน้าผ้า!DW28</f>
        <v>0</v>
      </c>
      <c r="AR19" s="3">
        <f>[2]หน้าผ้า!DX28</f>
        <v>0</v>
      </c>
      <c r="AS19" s="3">
        <f>[2]หน้าผ้า!DY28</f>
        <v>0</v>
      </c>
      <c r="AT19" s="3">
        <f>[2]หน้าผ้า!DZ28</f>
        <v>0</v>
      </c>
      <c r="AU19" s="3">
        <f>[2]หน้าผ้า!EA28</f>
        <v>0</v>
      </c>
      <c r="AV19" s="1">
        <f>[2]หน้าผ้า!EB28</f>
        <v>0</v>
      </c>
      <c r="AW19" s="2">
        <f>[2]หน้าผ้า!EC28</f>
        <v>0</v>
      </c>
      <c r="AX19" s="2">
        <f>[2]หน้าผ้า!ED28</f>
        <v>0</v>
      </c>
      <c r="AY19" s="2">
        <f>[2]หน้าผ้า!AG28</f>
        <v>0</v>
      </c>
      <c r="AZ19" s="2">
        <f>[2]หน้าผ้า!EG28</f>
        <v>0</v>
      </c>
      <c r="BA19" s="2">
        <f>[2]หน้าผ้า!EH28</f>
        <v>0</v>
      </c>
      <c r="BB19" s="2">
        <f>[2]หน้าผ้า!EI28</f>
        <v>0</v>
      </c>
      <c r="BC19" s="1" t="str">
        <f>[2]หน้าผ้า!BZ28</f>
        <v>WRWT180800/WRWT25800</v>
      </c>
      <c r="BD19" s="56">
        <f>[2]หน้าผ้า!CA28</f>
        <v>0</v>
      </c>
    </row>
    <row r="20" spans="1:56" ht="27.75" customHeight="1" x14ac:dyDescent="0.45">
      <c r="A20" s="3">
        <f>[2]หน้าผ้า!C29</f>
        <v>45898</v>
      </c>
      <c r="B20" s="14" t="str">
        <f>[2]หน้าผ้า!B29</f>
        <v>MK68-001049</v>
      </c>
      <c r="C20" s="9" t="str">
        <f>[2]หน้าผ้า!E29</f>
        <v>บจก.เพรซิเดนท์ฟลาวมิลล์</v>
      </c>
      <c r="D20" s="13" t="str">
        <f>[2]หน้าผ้า!F29</f>
        <v>ผึ้งเหลือง</v>
      </c>
      <c r="E20" s="9">
        <f>[2]หน้าผ้า!G29</f>
        <v>19</v>
      </c>
      <c r="F20" s="9">
        <f>[2]หน้าผ้า!H29</f>
        <v>30</v>
      </c>
      <c r="G20" s="9" t="str">
        <f>[2]หน้าผ้า!I29</f>
        <v>ขาว</v>
      </c>
      <c r="H20" s="9">
        <f>[2]หน้าผ้า!J29</f>
        <v>0</v>
      </c>
      <c r="I20" s="9">
        <f>[2]หน้าผ้า!L29</f>
        <v>60</v>
      </c>
      <c r="J20" s="9" t="str">
        <f>[2]หน้าผ้า!M29</f>
        <v>±</v>
      </c>
      <c r="K20" s="9">
        <f>[2]หน้าผ้า!N29</f>
        <v>5</v>
      </c>
      <c r="L20" s="9" t="str">
        <f>[2]หน้าผ้า!R29</f>
        <v>บิด</v>
      </c>
      <c r="M20" s="10" t="str">
        <f>[2]หน้าผ้า!T29</f>
        <v>ไม่สวมถุงใน</v>
      </c>
      <c r="N20" s="9">
        <f>[2]หน้าผ้า!U29</f>
        <v>0</v>
      </c>
      <c r="O20" s="9">
        <f>[2]หน้าผ้า!V29</f>
        <v>0</v>
      </c>
      <c r="P20" s="10">
        <f>[2]หน้าผ้า!AB29</f>
        <v>0</v>
      </c>
      <c r="Q20" s="10">
        <f>[2]หน้าผ้า!AC29</f>
        <v>0</v>
      </c>
      <c r="R20" s="10">
        <f>[2]หน้าผ้า!AD29</f>
        <v>0</v>
      </c>
      <c r="S20" s="9" t="str">
        <f>[2]หน้าผ้า!Z29</f>
        <v>500กระสอบ</v>
      </c>
      <c r="T20" s="12">
        <f>[2]หน้าผ้า!X29</f>
        <v>45910</v>
      </c>
      <c r="U20" s="11">
        <f>[2]หน้าผ้า!AA29</f>
        <v>50000</v>
      </c>
      <c r="V20" s="10">
        <f>[2]หน้าผ้า!AJ29</f>
        <v>0</v>
      </c>
      <c r="W20" s="10">
        <f>[2]หน้าผ้า!AL29</f>
        <v>50000</v>
      </c>
      <c r="X20" s="10">
        <f>[2]หน้าผ้า!AM29</f>
        <v>0</v>
      </c>
      <c r="Y20" s="10">
        <f>[2]หน้าผ้า!AN29</f>
        <v>52500</v>
      </c>
      <c r="Z20" s="9" t="str">
        <f>[2]หน้าผ้า!AO29</f>
        <v>WSWT1925800</v>
      </c>
      <c r="AA20" s="8">
        <f>[2]หน้าผ้า!AQ29</f>
        <v>44005.499999999993</v>
      </c>
      <c r="AB20" s="8">
        <f>[2]หน้าผ้า!AR29</f>
        <v>0</v>
      </c>
      <c r="AC20" s="8">
        <f>[2]หน้าผ้า!AS29</f>
        <v>44005.499999999993</v>
      </c>
      <c r="AD20" s="8">
        <f>[2]หน้าผ้า!AT29</f>
        <v>0</v>
      </c>
      <c r="AE20" s="8">
        <f>[2]หน้าผ้า!AU29</f>
        <v>0</v>
      </c>
      <c r="AF20" s="8">
        <f>[2]หน้าผ้า!AI29</f>
        <v>0</v>
      </c>
      <c r="AG20" s="1" t="str">
        <f>[3]หน้าผ้า!DC32</f>
        <v>ยังไม่ได้พิมพ์</v>
      </c>
      <c r="AH20" s="1" t="str">
        <f>[2]หน้าผ้า!DL29</f>
        <v>P7</v>
      </c>
      <c r="AI20" s="1">
        <f>[2]หน้าผ้า!DM29</f>
        <v>2</v>
      </c>
      <c r="AJ20" s="3">
        <f>[2]หน้าผ้า!DN29</f>
        <v>45910</v>
      </c>
      <c r="AK20" s="3">
        <f>[2]หน้าผ้า!DQ29</f>
        <v>0</v>
      </c>
      <c r="AL20" s="3">
        <f>[2]หน้าผ้า!DR29</f>
        <v>45901</v>
      </c>
      <c r="AM20" s="3">
        <f>[2]หน้าผ้า!DS29</f>
        <v>45908</v>
      </c>
      <c r="AN20" s="3">
        <f>[2]หน้าผ้า!DT29</f>
        <v>45909</v>
      </c>
      <c r="AO20" s="3">
        <f>[2]หน้าผ้า!DU29</f>
        <v>45909</v>
      </c>
      <c r="AP20" s="3">
        <f>[2]หน้าผ้า!DP29</f>
        <v>45905</v>
      </c>
      <c r="AQ20" s="3">
        <f>[2]หน้าผ้า!DW29</f>
        <v>0</v>
      </c>
      <c r="AR20" s="3">
        <f>[2]หน้าผ้า!DX29</f>
        <v>0</v>
      </c>
      <c r="AS20" s="3">
        <f>[2]หน้าผ้า!DY29</f>
        <v>0</v>
      </c>
      <c r="AT20" s="3">
        <f>[2]หน้าผ้า!DZ29</f>
        <v>0</v>
      </c>
      <c r="AU20" s="3">
        <f>[2]หน้าผ้า!EA29</f>
        <v>0</v>
      </c>
      <c r="AV20" s="1">
        <f>[2]หน้าผ้า!EB29</f>
        <v>0</v>
      </c>
      <c r="AW20" s="2" t="str">
        <f>[2]หน้าผ้า!EC29</f>
        <v>งานพิมพ์</v>
      </c>
      <c r="AX20" s="2" t="str">
        <f>[2]หน้าผ้า!ED29</f>
        <v xml:space="preserve"> /</v>
      </c>
      <c r="AY20" s="2">
        <f>[2]หน้าผ้า!AG29</f>
        <v>0</v>
      </c>
      <c r="AZ20" s="2">
        <f>[2]หน้าผ้า!EG29</f>
        <v>0</v>
      </c>
      <c r="BA20" s="2">
        <f>[2]หน้าผ้า!EH29</f>
        <v>0</v>
      </c>
      <c r="BB20" s="2">
        <f>[2]หน้าผ้า!EI29</f>
        <v>0</v>
      </c>
      <c r="BC20" s="1" t="str">
        <f>[2]หน้าผ้า!BZ29</f>
        <v>WRWT25800/WRWT25800</v>
      </c>
      <c r="BD20" s="56">
        <f>[2]หน้าผ้า!CA29</f>
        <v>3195.7771999999995</v>
      </c>
    </row>
    <row r="21" spans="1:56" ht="27.75" customHeight="1" x14ac:dyDescent="0.45">
      <c r="A21" s="3">
        <f>[2]หน้าผ้า!C30</f>
        <v>45898</v>
      </c>
      <c r="B21" s="14" t="str">
        <f>[2]หน้าผ้า!B30</f>
        <v>MK68-001048</v>
      </c>
      <c r="C21" s="9" t="str">
        <f>[2]หน้าผ้า!E30</f>
        <v>บจก.เพรซิเดนท์ฟลาวมิลล์</v>
      </c>
      <c r="D21" s="13" t="str">
        <f>[2]หน้าผ้า!F30</f>
        <v>ผึ้งชมพู</v>
      </c>
      <c r="E21" s="9">
        <f>[2]หน้าผ้า!G30</f>
        <v>19</v>
      </c>
      <c r="F21" s="9">
        <f>[2]หน้าผ้า!H30</f>
        <v>30</v>
      </c>
      <c r="G21" s="9" t="str">
        <f>[2]หน้าผ้า!I30</f>
        <v>ขาว</v>
      </c>
      <c r="H21" s="9">
        <f>[2]หน้าผ้า!J30</f>
        <v>0</v>
      </c>
      <c r="I21" s="9">
        <f>[2]หน้าผ้า!L30</f>
        <v>60</v>
      </c>
      <c r="J21" s="9" t="str">
        <f>[2]หน้าผ้า!M30</f>
        <v>±</v>
      </c>
      <c r="K21" s="9">
        <f>[2]หน้าผ้า!N30</f>
        <v>5</v>
      </c>
      <c r="L21" s="9" t="str">
        <f>[2]หน้าผ้า!R30</f>
        <v>บิด</v>
      </c>
      <c r="M21" s="10" t="str">
        <f>[2]หน้าผ้า!T30</f>
        <v>ไม่สวมถุงใน</v>
      </c>
      <c r="N21" s="9">
        <f>[2]หน้าผ้า!U30</f>
        <v>0</v>
      </c>
      <c r="O21" s="9">
        <f>[2]หน้าผ้า!V30</f>
        <v>0</v>
      </c>
      <c r="P21" s="10">
        <f>[2]หน้าผ้า!AB30</f>
        <v>0</v>
      </c>
      <c r="Q21" s="10">
        <f>[2]หน้าผ้า!AC30</f>
        <v>0</v>
      </c>
      <c r="R21" s="10">
        <f>[2]หน้าผ้า!AD30</f>
        <v>0</v>
      </c>
      <c r="S21" s="9" t="str">
        <f>[2]หน้าผ้า!Z30</f>
        <v>500กระสอบ</v>
      </c>
      <c r="T21" s="12">
        <f>[2]หน้าผ้า!X30</f>
        <v>45910</v>
      </c>
      <c r="U21" s="11">
        <f>[2]หน้าผ้า!AA30</f>
        <v>40000</v>
      </c>
      <c r="V21" s="10">
        <f>[2]หน้าผ้า!AJ30</f>
        <v>0</v>
      </c>
      <c r="W21" s="10">
        <f>[2]หน้าผ้า!AL30</f>
        <v>40000</v>
      </c>
      <c r="X21" s="10">
        <f>[2]หน้าผ้า!AM30</f>
        <v>9335</v>
      </c>
      <c r="Y21" s="10">
        <f>[2]หน้าผ้า!AN30</f>
        <v>32198.25</v>
      </c>
      <c r="Z21" s="9" t="str">
        <f>[2]หน้าผ้า!AO30</f>
        <v>WSWT1925800</v>
      </c>
      <c r="AA21" s="8">
        <f>[2]หน้าผ้า!AQ30</f>
        <v>28338.001807500001</v>
      </c>
      <c r="AB21" s="8">
        <f>[2]หน้าผ้า!AR30</f>
        <v>24908</v>
      </c>
      <c r="AC21" s="8">
        <f>[2]หน้าผ้า!AS30</f>
        <v>3430.0018075000007</v>
      </c>
      <c r="AD21" s="8">
        <f>[2]หน้าผ้า!AT30</f>
        <v>0</v>
      </c>
      <c r="AE21" s="8">
        <f>[2]หน้าผ้า!AU30</f>
        <v>0</v>
      </c>
      <c r="AF21" s="8">
        <f>[2]หน้าผ้า!AI30</f>
        <v>0</v>
      </c>
      <c r="AG21" s="1" t="str">
        <f>[3]หน้าผ้า!DC33</f>
        <v>พร้อมส่ง</v>
      </c>
      <c r="AH21" s="1" t="str">
        <f>[2]หน้าผ้า!DL30</f>
        <v>P7</v>
      </c>
      <c r="AI21" s="1">
        <f>[2]หน้าผ้า!DM30</f>
        <v>2</v>
      </c>
      <c r="AJ21" s="3">
        <f>[2]หน้าผ้า!DN30</f>
        <v>45910</v>
      </c>
      <c r="AK21" s="3">
        <f>[2]หน้าผ้า!DQ30</f>
        <v>0</v>
      </c>
      <c r="AL21" s="3">
        <f>[2]หน้าผ้า!DR30</f>
        <v>45901</v>
      </c>
      <c r="AM21" s="3">
        <f>[2]หน้าผ้า!DS30</f>
        <v>45908</v>
      </c>
      <c r="AN21" s="3">
        <f>[2]หน้าผ้า!DT30</f>
        <v>45909</v>
      </c>
      <c r="AO21" s="3">
        <f>[2]หน้าผ้า!DU30</f>
        <v>45909</v>
      </c>
      <c r="AP21" s="3">
        <f>[2]หน้าผ้า!DP30</f>
        <v>45905</v>
      </c>
      <c r="AQ21" s="3">
        <f>[2]หน้าผ้า!DW30</f>
        <v>0</v>
      </c>
      <c r="AR21" s="3">
        <f>[2]หน้าผ้า!DX30</f>
        <v>0</v>
      </c>
      <c r="AS21" s="3">
        <f>[2]หน้าผ้า!DY30</f>
        <v>0</v>
      </c>
      <c r="AT21" s="3">
        <f>[2]หน้าผ้า!DZ30</f>
        <v>0</v>
      </c>
      <c r="AU21" s="3">
        <f>[2]หน้าผ้า!EA30</f>
        <v>0</v>
      </c>
      <c r="AV21" s="1">
        <f>[2]หน้าผ้า!EB30</f>
        <v>0</v>
      </c>
      <c r="AW21" s="2" t="str">
        <f>[2]หน้าผ้า!EC30</f>
        <v>งานพิมพ์</v>
      </c>
      <c r="AX21" s="2" t="str">
        <f>[2]หน้าผ้า!ED30</f>
        <v xml:space="preserve"> /</v>
      </c>
      <c r="AY21" s="2">
        <f>[2]หน้าผ้า!AG30</f>
        <v>0</v>
      </c>
      <c r="AZ21" s="2">
        <f>[2]หน้าผ้า!EG30</f>
        <v>0</v>
      </c>
      <c r="BA21" s="2">
        <f>[2]หน้าผ้า!EH30</f>
        <v>0</v>
      </c>
      <c r="BB21" s="2">
        <f>[2]หน้าผ้า!EI30</f>
        <v>0</v>
      </c>
      <c r="BC21" s="1" t="str">
        <f>[2]หน้าผ้า!BZ30</f>
        <v>WRWT25800/WRWT25800</v>
      </c>
      <c r="BD21" s="56">
        <f>[2]หน้าผ้า!CA30</f>
        <v>249.09435348688899</v>
      </c>
    </row>
    <row r="22" spans="1:56" ht="27.75" customHeight="1" x14ac:dyDescent="0.45">
      <c r="A22" s="3" t="str">
        <f>[2]หน้าผ้า!C31</f>
        <v>ประมาณการ</v>
      </c>
      <c r="B22" s="14" t="str">
        <f>[2]หน้าผ้า!B31</f>
        <v>ประมาณการ</v>
      </c>
      <c r="C22" s="9" t="str">
        <f>[2]หน้าผ้า!E31</f>
        <v>บจก.เอ็กเซลเล้นท์</v>
      </c>
      <c r="D22" s="13" t="str">
        <f>[2]หน้าผ้า!F31</f>
        <v>รอแบบ</v>
      </c>
      <c r="E22" s="9">
        <f>[2]หน้าผ้า!G31</f>
        <v>19</v>
      </c>
      <c r="F22" s="9">
        <f>[2]หน้าผ้า!H31</f>
        <v>30</v>
      </c>
      <c r="G22" s="9" t="str">
        <f>[2]หน้าผ้า!I31</f>
        <v>ขาว</v>
      </c>
      <c r="H22" s="9">
        <f>[2]หน้าผ้า!J31</f>
        <v>0</v>
      </c>
      <c r="I22" s="9">
        <f>[2]หน้าผ้า!L31</f>
        <v>60</v>
      </c>
      <c r="J22" s="9" t="str">
        <f>[2]หน้าผ้า!M31</f>
        <v>±</v>
      </c>
      <c r="K22" s="9">
        <f>[2]หน้าผ้า!N31</f>
        <v>5</v>
      </c>
      <c r="L22" s="9" t="str">
        <f>[2]หน้าผ้า!R31</f>
        <v>บิด</v>
      </c>
      <c r="M22" s="10" t="str">
        <f>[2]หน้าผ้า!T31</f>
        <v>ไม่สวมถุงใน</v>
      </c>
      <c r="N22" s="9">
        <f>[2]หน้าผ้า!U31</f>
        <v>0</v>
      </c>
      <c r="O22" s="9">
        <f>[2]หน้าผ้า!V31</f>
        <v>0</v>
      </c>
      <c r="P22" s="10">
        <f>[2]หน้าผ้า!AB31</f>
        <v>0</v>
      </c>
      <c r="Q22" s="10">
        <f>[2]หน้าผ้า!AC31</f>
        <v>0</v>
      </c>
      <c r="R22" s="10">
        <f>[2]หน้าผ้า!AD31</f>
        <v>0</v>
      </c>
      <c r="S22" s="9" t="str">
        <f>[2]หน้าผ้า!Z31</f>
        <v>500กระสอบ</v>
      </c>
      <c r="T22" s="12">
        <f>[2]หน้าผ้า!X31</f>
        <v>45925</v>
      </c>
      <c r="U22" s="11">
        <f>[2]หน้าผ้า!AA31</f>
        <v>40000</v>
      </c>
      <c r="V22" s="10">
        <f>[2]หน้าผ้า!AJ31</f>
        <v>0</v>
      </c>
      <c r="W22" s="10">
        <f>[2]หน้าผ้า!AL31</f>
        <v>40000</v>
      </c>
      <c r="X22" s="10">
        <f>[2]หน้าผ้า!AM31</f>
        <v>0</v>
      </c>
      <c r="Y22" s="10">
        <f>[2]หน้าผ้า!AN31</f>
        <v>42000</v>
      </c>
      <c r="Z22" s="9" t="str">
        <f>[2]หน้าผ้า!AO31</f>
        <v>WSWT1925800</v>
      </c>
      <c r="AA22" s="8">
        <f>[2]หน้าผ้า!AQ31</f>
        <v>35204.400000000001</v>
      </c>
      <c r="AB22" s="8">
        <f>[2]หน้าผ้า!AR31</f>
        <v>0</v>
      </c>
      <c r="AC22" s="8">
        <f>[2]หน้าผ้า!AS31</f>
        <v>35204.400000000001</v>
      </c>
      <c r="AD22" s="8">
        <f>[2]หน้าผ้า!AT31</f>
        <v>0</v>
      </c>
      <c r="AE22" s="8">
        <f>[2]หน้าผ้า!AU31</f>
        <v>0</v>
      </c>
      <c r="AF22" s="8">
        <f>[2]หน้าผ้า!AI31</f>
        <v>0</v>
      </c>
      <c r="AG22" s="1" t="str">
        <f>[3]หน้าผ้า!DC34</f>
        <v>พร้อมส่ง</v>
      </c>
      <c r="AH22" s="1" t="str">
        <f>[2]หน้าผ้า!DL31</f>
        <v>P7</v>
      </c>
      <c r="AI22" s="1">
        <f>[2]หน้าผ้า!DM31</f>
        <v>2</v>
      </c>
      <c r="AJ22" s="3">
        <f>[2]หน้าผ้า!DN31</f>
        <v>45925</v>
      </c>
      <c r="AK22" s="3">
        <f>[2]หน้าผ้า!DQ31</f>
        <v>0</v>
      </c>
      <c r="AL22" s="3">
        <f>[2]หน้าผ้า!DR31</f>
        <v>45916</v>
      </c>
      <c r="AM22" s="3">
        <f>[2]หน้าผ้า!DS31</f>
        <v>45923</v>
      </c>
      <c r="AN22" s="3">
        <f>[2]หน้าผ้า!DT31</f>
        <v>45924</v>
      </c>
      <c r="AO22" s="3">
        <f>[2]หน้าผ้า!DU31</f>
        <v>45924</v>
      </c>
      <c r="AP22" s="3">
        <f>[2]หน้าผ้า!DP31</f>
        <v>45920</v>
      </c>
      <c r="AQ22" s="3">
        <f>[2]หน้าผ้า!DW31</f>
        <v>0</v>
      </c>
      <c r="AR22" s="3">
        <f>[2]หน้าผ้า!DX31</f>
        <v>0</v>
      </c>
      <c r="AS22" s="3">
        <f>[2]หน้าผ้า!DY31</f>
        <v>0</v>
      </c>
      <c r="AT22" s="3">
        <f>[2]หน้าผ้า!DZ31</f>
        <v>0</v>
      </c>
      <c r="AU22" s="3">
        <f>[2]หน้าผ้า!EA31</f>
        <v>0</v>
      </c>
      <c r="AV22" s="1">
        <f>[2]หน้าผ้า!EB31</f>
        <v>0</v>
      </c>
      <c r="AW22" s="2" t="str">
        <f>[2]หน้าผ้า!EC31</f>
        <v>งานพิมพ์</v>
      </c>
      <c r="AX22" s="2" t="str">
        <f>[2]หน้าผ้า!ED31</f>
        <v>รอART</v>
      </c>
      <c r="AY22" s="2">
        <f>[2]หน้าผ้า!AG31</f>
        <v>0</v>
      </c>
      <c r="AZ22" s="2">
        <f>[2]หน้าผ้า!EG31</f>
        <v>0</v>
      </c>
      <c r="BA22" s="2">
        <f>[2]หน้าผ้า!EH31</f>
        <v>0</v>
      </c>
      <c r="BB22" s="2">
        <f>[2]หน้าผ้า!EI31</f>
        <v>0</v>
      </c>
      <c r="BC22" s="1" t="str">
        <f>[2]หน้าผ้า!BZ31</f>
        <v>WRWT25800/WRWT25800</v>
      </c>
      <c r="BD22" s="56">
        <f>[2]หน้าผ้า!CA31</f>
        <v>2556.6217600000009</v>
      </c>
    </row>
    <row r="23" spans="1:56" ht="27.75" customHeight="1" x14ac:dyDescent="0.45">
      <c r="A23" s="3" t="str">
        <f>[2]หน้าผ้า!C32</f>
        <v>ประมาณการ</v>
      </c>
      <c r="B23" s="14" t="str">
        <f>[2]หน้าผ้า!B32</f>
        <v>ประมาณการ</v>
      </c>
      <c r="C23" s="9" t="str">
        <f>[2]หน้าผ้า!E32</f>
        <v>บจก.ไลม์มาสเตอร์</v>
      </c>
      <c r="D23" s="13" t="str">
        <f>[2]หน้าผ้า!F32</f>
        <v>LMC 25 kg</v>
      </c>
      <c r="E23" s="9">
        <f>[2]หน้าผ้า!G32</f>
        <v>19</v>
      </c>
      <c r="F23" s="9">
        <f>[2]หน้าผ้า!H32</f>
        <v>32</v>
      </c>
      <c r="G23" s="9" t="str">
        <f>[2]หน้าผ้า!I32</f>
        <v>ขาว</v>
      </c>
      <c r="H23" s="9">
        <f>[2]หน้าผ้า!J32</f>
        <v>0</v>
      </c>
      <c r="I23" s="9">
        <f>[2]หน้าผ้า!L32</f>
        <v>64</v>
      </c>
      <c r="J23" s="9" t="str">
        <f>[2]หน้าผ้า!M32</f>
        <v>±</v>
      </c>
      <c r="K23" s="9">
        <f>[2]หน้าผ้า!N32</f>
        <v>5</v>
      </c>
      <c r="L23" s="9" t="str">
        <f>[2]หน้าผ้า!R32</f>
        <v>ไม่</v>
      </c>
      <c r="M23" s="10">
        <f>[2]หน้าผ้า!T32</f>
        <v>20</v>
      </c>
      <c r="N23" s="9">
        <f>[2]หน้าผ้า!U32</f>
        <v>35</v>
      </c>
      <c r="O23" s="9">
        <f>[2]หน้าผ้า!V32</f>
        <v>40</v>
      </c>
      <c r="P23" s="10">
        <f>[2]หน้าผ้า!AB32</f>
        <v>341.36903080895991</v>
      </c>
      <c r="Q23" s="10">
        <f>[2]หน้าผ้า!AC32</f>
        <v>0</v>
      </c>
      <c r="R23" s="10">
        <f>[2]หน้าผ้า!AD32</f>
        <v>341.36903080895991</v>
      </c>
      <c r="S23" s="9" t="str">
        <f>[2]หน้าผ้า!Z32</f>
        <v>500กระสอบแบน</v>
      </c>
      <c r="T23" s="12">
        <f>[2]หน้าผ้า!X32</f>
        <v>45925</v>
      </c>
      <c r="U23" s="11">
        <f>[2]หน้าผ้า!AA32</f>
        <v>20000</v>
      </c>
      <c r="V23" s="10">
        <f>[2]หน้าผ้า!AJ32</f>
        <v>233</v>
      </c>
      <c r="W23" s="10">
        <f>[2]หน้าผ้า!AL32</f>
        <v>19767</v>
      </c>
      <c r="X23" s="10">
        <f>[2]หน้าผ้า!AM32</f>
        <v>0</v>
      </c>
      <c r="Y23" s="10">
        <f>[2]หน้าผ้า!AN32</f>
        <v>20755.350000000002</v>
      </c>
      <c r="Z23" s="9" t="str">
        <f>[2]หน้าผ้า!AO32</f>
        <v>WSWT1925800</v>
      </c>
      <c r="AA23" s="8">
        <f>[2]หน้าผ้า!AQ32</f>
        <v>18501.714330000003</v>
      </c>
      <c r="AB23" s="8">
        <f>[2]หน้าผ้า!AR32</f>
        <v>0</v>
      </c>
      <c r="AC23" s="8">
        <f>[2]หน้าผ้า!AS32</f>
        <v>18501.714330000003</v>
      </c>
      <c r="AD23" s="8">
        <f>[2]หน้าผ้า!AT32</f>
        <v>0</v>
      </c>
      <c r="AE23" s="8">
        <f>[2]หน้าผ้า!AU32</f>
        <v>0</v>
      </c>
      <c r="AF23" s="8">
        <f>[2]หน้าผ้า!AI32</f>
        <v>0</v>
      </c>
      <c r="AG23" s="1" t="str">
        <f>[3]หน้าผ้า!DC35</f>
        <v>พร้อมส่ง</v>
      </c>
      <c r="AH23" s="1" t="str">
        <f>[2]หน้าผ้า!DL32</f>
        <v>P9</v>
      </c>
      <c r="AI23" s="1">
        <f>[2]หน้าผ้า!DM32</f>
        <v>3</v>
      </c>
      <c r="AJ23" s="3">
        <f>[2]หน้าผ้า!DN32</f>
        <v>45925</v>
      </c>
      <c r="AK23" s="3">
        <f>[2]หน้าผ้า!DQ32</f>
        <v>0</v>
      </c>
      <c r="AL23" s="3">
        <f>[2]หน้าผ้า!DR32</f>
        <v>45915</v>
      </c>
      <c r="AM23" s="3">
        <f>[2]หน้าผ้า!DS32</f>
        <v>45922</v>
      </c>
      <c r="AN23" s="3">
        <f>[2]หน้าผ้า!DT32</f>
        <v>45923</v>
      </c>
      <c r="AO23" s="3">
        <f>[2]หน้าผ้า!DU32</f>
        <v>45923</v>
      </c>
      <c r="AP23" s="3">
        <f>[2]หน้าผ้า!DP32</f>
        <v>45920</v>
      </c>
      <c r="AQ23" s="3">
        <f>[2]หน้าผ้า!DW32</f>
        <v>45924</v>
      </c>
      <c r="AR23" s="3">
        <f>[2]หน้าผ้า!DX32</f>
        <v>0</v>
      </c>
      <c r="AS23" s="3">
        <f>[2]หน้าผ้า!DY32</f>
        <v>0</v>
      </c>
      <c r="AT23" s="3">
        <f>[2]หน้าผ้า!DZ32</f>
        <v>0</v>
      </c>
      <c r="AU23" s="3">
        <f>[2]หน้าผ้า!EA32</f>
        <v>0</v>
      </c>
      <c r="AV23" s="1">
        <f>[2]หน้าผ้า!EB32</f>
        <v>0</v>
      </c>
      <c r="AW23" s="2" t="str">
        <f>[2]หน้าผ้า!EC32</f>
        <v>งานพิมพ์</v>
      </c>
      <c r="AX23" s="2" t="str">
        <f>[2]หน้าผ้า!ED32</f>
        <v>รอART</v>
      </c>
      <c r="AY23" s="2">
        <f>[2]หน้าผ้า!AG32</f>
        <v>0</v>
      </c>
      <c r="AZ23" s="2">
        <f>[2]หน้าผ้า!EG32</f>
        <v>0</v>
      </c>
      <c r="BA23" s="2">
        <f>[2]หน้าผ้า!EH32</f>
        <v>0</v>
      </c>
      <c r="BB23" s="2">
        <f>[2]หน้าผ้า!EI32</f>
        <v>0</v>
      </c>
      <c r="BC23" s="1" t="str">
        <f>[2]หน้าผ้า!BZ32</f>
        <v>WRWT25800/WRWT25800</v>
      </c>
      <c r="BD23" s="56">
        <f>[2]หน้าผ้า!CA32</f>
        <v>1343.6356095653334</v>
      </c>
    </row>
    <row r="24" spans="1:56" ht="27.75" customHeight="1" x14ac:dyDescent="0.45">
      <c r="A24" s="3">
        <f>[2]หน้าผ้า!C33</f>
        <v>0</v>
      </c>
      <c r="B24" s="14">
        <f>[2]หน้าผ้า!B33</f>
        <v>0</v>
      </c>
      <c r="C24" s="9">
        <f>[2]หน้าผ้า!E33</f>
        <v>0</v>
      </c>
      <c r="D24" s="13">
        <f>[2]หน้าผ้า!F33</f>
        <v>0</v>
      </c>
      <c r="E24" s="9">
        <f>[2]หน้าผ้า!G33</f>
        <v>19</v>
      </c>
      <c r="F24" s="9">
        <f>[2]หน้าผ้า!H33</f>
        <v>30</v>
      </c>
      <c r="G24" s="9" t="str">
        <f>[2]หน้าผ้า!I33</f>
        <v>ขาว</v>
      </c>
      <c r="H24" s="9">
        <f>[2]หน้าผ้า!J33</f>
        <v>0</v>
      </c>
      <c r="I24" s="9">
        <f>[2]หน้าผ้า!L33</f>
        <v>60</v>
      </c>
      <c r="J24" s="9" t="str">
        <f>[2]หน้าผ้า!M33</f>
        <v>±</v>
      </c>
      <c r="K24" s="9">
        <f>[2]หน้าผ้า!N33</f>
        <v>5</v>
      </c>
      <c r="L24" s="9">
        <f>[2]หน้าผ้า!R33</f>
        <v>0</v>
      </c>
      <c r="M24" s="10">
        <f>[2]หน้าผ้า!T33</f>
        <v>0</v>
      </c>
      <c r="N24" s="9">
        <f>[2]หน้าผ้า!U33</f>
        <v>0</v>
      </c>
      <c r="O24" s="9">
        <f>[2]หน้าผ้า!V33</f>
        <v>0</v>
      </c>
      <c r="P24" s="10">
        <f>[2]หน้าผ้า!AB33</f>
        <v>0</v>
      </c>
      <c r="Q24" s="10">
        <f>[2]หน้าผ้า!AC33</f>
        <v>0</v>
      </c>
      <c r="R24" s="10">
        <f>[2]หน้าผ้า!AD33</f>
        <v>0</v>
      </c>
      <c r="S24" s="9">
        <f>[2]หน้าผ้า!Z33</f>
        <v>0</v>
      </c>
      <c r="T24" s="12">
        <f>[2]หน้าผ้า!X33</f>
        <v>0</v>
      </c>
      <c r="U24" s="11">
        <f>[2]หน้าผ้า!AA33</f>
        <v>0</v>
      </c>
      <c r="V24" s="10">
        <f>[2]หน้าผ้า!AJ33</f>
        <v>0</v>
      </c>
      <c r="W24" s="10">
        <f>[2]หน้าผ้า!AL33</f>
        <v>0</v>
      </c>
      <c r="X24" s="10">
        <f>[2]หน้าผ้า!AM33</f>
        <v>0</v>
      </c>
      <c r="Y24" s="10">
        <f>[2]หน้าผ้า!AN33</f>
        <v>0</v>
      </c>
      <c r="Z24" s="9" t="str">
        <f>[2]หน้าผ้า!AO33</f>
        <v>WSWT1925800</v>
      </c>
      <c r="AA24" s="8">
        <f>[2]หน้าผ้า!AQ33</f>
        <v>126049.61613749999</v>
      </c>
      <c r="AB24" s="8">
        <f>[2]หน้าผ้า!AR33</f>
        <v>24908</v>
      </c>
      <c r="AC24" s="8">
        <f>[2]หน้าผ้า!AS33</f>
        <v>101141.61613749999</v>
      </c>
      <c r="AD24" s="8">
        <f>[2]หน้าผ้า!AT33</f>
        <v>0</v>
      </c>
      <c r="AE24" s="8">
        <f>[2]หน้าผ้า!AU33</f>
        <v>0</v>
      </c>
      <c r="AF24" s="8" t="str">
        <f>[2]หน้าผ้า!AI33</f>
        <v>ระบุในSD</v>
      </c>
      <c r="AG24" s="1" t="str">
        <f>[3]หน้าผ้า!DC36</f>
        <v>พร้อมส่ง</v>
      </c>
      <c r="AH24" s="1">
        <f>[2]หน้าผ้า!DL33</f>
        <v>0</v>
      </c>
      <c r="AI24" s="1" t="str">
        <f>[2]หน้าผ้า!DM33</f>
        <v>Lead time</v>
      </c>
      <c r="AJ24" s="3">
        <f>[2]หน้าผ้า!DN33</f>
        <v>0</v>
      </c>
      <c r="AK24" s="3">
        <f>[2]หน้าผ้า!DQ33</f>
        <v>0</v>
      </c>
      <c r="AL24" s="3">
        <f>[2]หน้าผ้า!DR33</f>
        <v>0</v>
      </c>
      <c r="AM24" s="3">
        <f>[2]หน้าผ้า!DS33</f>
        <v>0</v>
      </c>
      <c r="AN24" s="3">
        <f>[2]หน้าผ้า!DT33</f>
        <v>0</v>
      </c>
      <c r="AO24" s="3">
        <f>[2]หน้าผ้า!DU33</f>
        <v>0</v>
      </c>
      <c r="AP24" s="3">
        <f>[2]หน้าผ้า!DP33</f>
        <v>0</v>
      </c>
      <c r="AQ24" s="3">
        <f>[2]หน้าผ้า!DW33</f>
        <v>0</v>
      </c>
      <c r="AR24" s="3">
        <f>[2]หน้าผ้า!DX33</f>
        <v>0</v>
      </c>
      <c r="AS24" s="3">
        <f>[2]หน้าผ้า!DY33</f>
        <v>0</v>
      </c>
      <c r="AT24" s="3">
        <f>[2]หน้าผ้า!DZ33</f>
        <v>0</v>
      </c>
      <c r="AU24" s="3">
        <f>[2]หน้าผ้า!EA33</f>
        <v>0</v>
      </c>
      <c r="AV24" s="1">
        <f>[2]หน้าผ้า!EB33</f>
        <v>0</v>
      </c>
      <c r="AW24" s="2">
        <f>[2]หน้าผ้า!EC33</f>
        <v>0</v>
      </c>
      <c r="AX24" s="2">
        <f>[2]หน้าผ้า!ED33</f>
        <v>0</v>
      </c>
      <c r="AY24" s="2">
        <f>[2]หน้าผ้า!AG33</f>
        <v>0</v>
      </c>
      <c r="AZ24" s="2">
        <f>[2]หน้าผ้า!EG33</f>
        <v>0</v>
      </c>
      <c r="BA24" s="2">
        <f>[2]หน้าผ้า!EH33</f>
        <v>0</v>
      </c>
      <c r="BB24" s="2">
        <f>[2]หน้าผ้า!EI33</f>
        <v>0</v>
      </c>
      <c r="BC24" s="1" t="str">
        <f>[2]หน้าผ้า!BZ33</f>
        <v>WRWT25800/WRWT25800</v>
      </c>
      <c r="BD24" s="56">
        <f>[2]หน้าผ้า!CA33</f>
        <v>0</v>
      </c>
    </row>
    <row r="25" spans="1:56" ht="27.75" customHeight="1" x14ac:dyDescent="0.45">
      <c r="A25" s="3">
        <f>[2]หน้าผ้า!C34</f>
        <v>45896</v>
      </c>
      <c r="B25" s="14" t="str">
        <f>[2]หน้าผ้า!B34</f>
        <v>MK68-001043</v>
      </c>
      <c r="C25" s="9" t="str">
        <f>[2]หน้าผ้า!E34</f>
        <v>บจก.เคอรี่ฟลาวมิลล์</v>
      </c>
      <c r="D25" s="13" t="str">
        <f>[2]หน้าผ้า!F34</f>
        <v>ถุงเขียว</v>
      </c>
      <c r="E25" s="9">
        <f>[2]หน้าผ้า!G34</f>
        <v>19</v>
      </c>
      <c r="F25" s="9">
        <f>[2]หน้าผ้า!H34</f>
        <v>32</v>
      </c>
      <c r="G25" s="9" t="str">
        <f>[2]หน้าผ้า!I34</f>
        <v>ขาว</v>
      </c>
      <c r="H25" s="9">
        <f>[2]หน้าผ้า!J34</f>
        <v>0</v>
      </c>
      <c r="I25" s="9">
        <f>[2]หน้าผ้า!L34</f>
        <v>67</v>
      </c>
      <c r="J25" s="9" t="str">
        <f>[2]หน้าผ้า!M34</f>
        <v>+</v>
      </c>
      <c r="K25" s="9">
        <f>[2]หน้าผ้า!N34</f>
        <v>5</v>
      </c>
      <c r="L25" s="9" t="str">
        <f>[2]หน้าผ้า!R34</f>
        <v>บิด</v>
      </c>
      <c r="M25" s="10" t="str">
        <f>[2]หน้าผ้า!T34</f>
        <v>ไม่สวมถุงใน</v>
      </c>
      <c r="N25" s="9">
        <f>[2]หน้าผ้า!U34</f>
        <v>0</v>
      </c>
      <c r="O25" s="9">
        <f>[2]หน้าผ้า!V34</f>
        <v>0</v>
      </c>
      <c r="P25" s="10">
        <f>[2]หน้าผ้า!AB34</f>
        <v>0</v>
      </c>
      <c r="Q25" s="10">
        <f>[2]หน้าผ้า!AC34</f>
        <v>0</v>
      </c>
      <c r="R25" s="10">
        <f>[2]หน้าผ้า!AD34</f>
        <v>0</v>
      </c>
      <c r="S25" s="9" t="str">
        <f>[2]หน้าผ้า!Z34</f>
        <v>ห่ออัดเบลแบน500</v>
      </c>
      <c r="T25" s="12">
        <f>[2]หน้าผ้า!X34</f>
        <v>45906</v>
      </c>
      <c r="U25" s="11">
        <f>[2]หน้าผ้า!AA34</f>
        <v>10000</v>
      </c>
      <c r="V25" s="10">
        <f>[2]หน้าผ้า!AJ34</f>
        <v>10000</v>
      </c>
      <c r="W25" s="10">
        <f>[2]หน้าผ้า!AL34</f>
        <v>0</v>
      </c>
      <c r="X25" s="10">
        <f>[2]หน้าผ้า!AM34</f>
        <v>10500</v>
      </c>
      <c r="Y25" s="10">
        <f>[2]หน้าผ้า!AN34</f>
        <v>0</v>
      </c>
      <c r="Z25" s="9" t="str">
        <f>[2]หน้าผ้า!AO34</f>
        <v>WSWT1921720</v>
      </c>
      <c r="AA25" s="8">
        <f>[2]หน้าผ้า!AQ34</f>
        <v>0</v>
      </c>
      <c r="AB25" s="8">
        <f>[2]หน้าผ้า!AR34</f>
        <v>0</v>
      </c>
      <c r="AC25" s="8">
        <f>[2]หน้าผ้า!AS34</f>
        <v>0</v>
      </c>
      <c r="AD25" s="8">
        <f>[2]หน้าผ้า!AT34</f>
        <v>0</v>
      </c>
      <c r="AE25" s="8">
        <f>[2]หน้าผ้า!AU34</f>
        <v>0</v>
      </c>
      <c r="AF25" s="8">
        <f>[2]หน้าผ้า!AI34</f>
        <v>0</v>
      </c>
      <c r="AG25" s="1" t="str">
        <f>[3]หน้าผ้า!DC37</f>
        <v>พร้อมส่ง</v>
      </c>
      <c r="AH25" s="1" t="str">
        <f>[2]หน้าผ้า!DL34</f>
        <v>P7</v>
      </c>
      <c r="AI25" s="1">
        <f>[2]หน้าผ้า!DM34</f>
        <v>2</v>
      </c>
      <c r="AJ25" s="3">
        <f>[2]หน้าผ้า!DN34</f>
        <v>45906</v>
      </c>
      <c r="AK25" s="3">
        <f>[2]หน้าผ้า!DQ34</f>
        <v>0</v>
      </c>
      <c r="AL25" s="3">
        <f>[2]หน้าผ้า!DR34</f>
        <v>45897</v>
      </c>
      <c r="AM25" s="3">
        <f>[2]หน้าผ้า!DS34</f>
        <v>45904</v>
      </c>
      <c r="AN25" s="3">
        <f>[2]หน้าผ้า!DT34</f>
        <v>45905</v>
      </c>
      <c r="AO25" s="3">
        <f>[2]หน้าผ้า!DU34</f>
        <v>45905</v>
      </c>
      <c r="AP25" s="3">
        <f>[2]หน้าผ้า!DP34</f>
        <v>45901</v>
      </c>
      <c r="AQ25" s="3">
        <f>[2]หน้าผ้า!DW34</f>
        <v>0</v>
      </c>
      <c r="AR25" s="3">
        <f>[2]หน้าผ้า!DX34</f>
        <v>0</v>
      </c>
      <c r="AS25" s="3">
        <f>[2]หน้าผ้า!DY34</f>
        <v>0</v>
      </c>
      <c r="AT25" s="3">
        <f>[2]หน้าผ้า!DZ34</f>
        <v>0</v>
      </c>
      <c r="AU25" s="3">
        <f>[2]หน้าผ้า!EA34</f>
        <v>0</v>
      </c>
      <c r="AV25" s="1">
        <f>[2]หน้าผ้า!EB34</f>
        <v>0</v>
      </c>
      <c r="AW25" s="2" t="str">
        <f>[2]หน้าผ้า!EC34</f>
        <v>งานพิมพ์</v>
      </c>
      <c r="AX25" s="2" t="str">
        <f>[2]หน้าผ้า!ED34</f>
        <v xml:space="preserve"> /</v>
      </c>
      <c r="AY25" s="2">
        <f>[2]หน้าผ้า!AG34</f>
        <v>0</v>
      </c>
      <c r="AZ25" s="2">
        <f>[2]หน้าผ้า!EG34</f>
        <v>0</v>
      </c>
      <c r="BA25" s="2">
        <f>[2]หน้าผ้า!EH34</f>
        <v>0</v>
      </c>
      <c r="BB25" s="2">
        <f>[2]หน้าผ้า!EI34</f>
        <v>0</v>
      </c>
      <c r="BC25" s="1" t="str">
        <f>[2]หน้าผ้า!BZ34</f>
        <v>WRWT21720/WRWT25800</v>
      </c>
      <c r="BD25" s="56">
        <f>[2]หน้าผ้า!CA34</f>
        <v>0</v>
      </c>
    </row>
    <row r="26" spans="1:56" ht="27.75" customHeight="1" x14ac:dyDescent="0.45">
      <c r="A26" s="3">
        <f>[2]หน้าผ้า!C35</f>
        <v>45896</v>
      </c>
      <c r="B26" s="14" t="str">
        <f>[2]หน้าผ้า!B35</f>
        <v>MK68-001043</v>
      </c>
      <c r="C26" s="9" t="str">
        <f>[2]หน้าผ้า!E35</f>
        <v>บจก.เคอรี่ฟลาวมิลล์</v>
      </c>
      <c r="D26" s="13" t="str">
        <f>[2]หน้าผ้า!F35</f>
        <v>ดอกไม้เขียว</v>
      </c>
      <c r="E26" s="9">
        <f>[2]หน้าผ้า!G35</f>
        <v>19</v>
      </c>
      <c r="F26" s="9">
        <f>[2]หน้าผ้า!H35</f>
        <v>32</v>
      </c>
      <c r="G26" s="9" t="str">
        <f>[2]หน้าผ้า!I35</f>
        <v>ขาว</v>
      </c>
      <c r="H26" s="9">
        <f>[2]หน้าผ้า!J35</f>
        <v>0</v>
      </c>
      <c r="I26" s="9">
        <f>[2]หน้าผ้า!L35</f>
        <v>67</v>
      </c>
      <c r="J26" s="9" t="str">
        <f>[2]หน้าผ้า!M35</f>
        <v>+</v>
      </c>
      <c r="K26" s="9">
        <f>[2]หน้าผ้า!N35</f>
        <v>5</v>
      </c>
      <c r="L26" s="9" t="str">
        <f>[2]หน้าผ้า!R35</f>
        <v>บิด</v>
      </c>
      <c r="M26" s="10" t="str">
        <f>[2]หน้าผ้า!T35</f>
        <v>ไม่สวมถุงใน</v>
      </c>
      <c r="N26" s="9">
        <f>[2]หน้าผ้า!U35</f>
        <v>0</v>
      </c>
      <c r="O26" s="9">
        <f>[2]หน้าผ้า!V35</f>
        <v>0</v>
      </c>
      <c r="P26" s="10">
        <f>[2]หน้าผ้า!AB35</f>
        <v>0</v>
      </c>
      <c r="Q26" s="10">
        <f>[2]หน้าผ้า!AC35</f>
        <v>0</v>
      </c>
      <c r="R26" s="10">
        <f>[2]หน้าผ้า!AD35</f>
        <v>0</v>
      </c>
      <c r="S26" s="9" t="str">
        <f>[2]หน้าผ้า!Z35</f>
        <v>ห่ออัดเบลแบน500</v>
      </c>
      <c r="T26" s="12">
        <f>[2]หน้าผ้า!X35</f>
        <v>45906</v>
      </c>
      <c r="U26" s="11">
        <f>[2]หน้าผ้า!AA35</f>
        <v>5000</v>
      </c>
      <c r="V26" s="10">
        <f>[2]หน้าผ้า!AJ35</f>
        <v>5000</v>
      </c>
      <c r="W26" s="10">
        <f>[2]หน้าผ้า!AL35</f>
        <v>0</v>
      </c>
      <c r="X26" s="10">
        <f>[2]หน้าผ้า!AM35</f>
        <v>5400</v>
      </c>
      <c r="Y26" s="10">
        <f>[2]หน้าผ้า!AN35</f>
        <v>0</v>
      </c>
      <c r="Z26" s="9" t="str">
        <f>[2]หน้าผ้า!AO35</f>
        <v>WSWT1921720</v>
      </c>
      <c r="AA26" s="8">
        <f>[2]หน้าผ้า!AQ35</f>
        <v>0</v>
      </c>
      <c r="AB26" s="8">
        <f>[2]หน้าผ้า!AR35</f>
        <v>0</v>
      </c>
      <c r="AC26" s="8">
        <f>[2]หน้าผ้า!AS35</f>
        <v>0</v>
      </c>
      <c r="AD26" s="8">
        <f>[2]หน้าผ้า!AT35</f>
        <v>0</v>
      </c>
      <c r="AE26" s="8">
        <f>[2]หน้าผ้า!AU35</f>
        <v>0</v>
      </c>
      <c r="AF26" s="8">
        <f>[2]หน้าผ้า!AI35</f>
        <v>0</v>
      </c>
      <c r="AG26" s="1" t="str">
        <f>[3]หน้าผ้า!DC38</f>
        <v>พร้อมส่ง</v>
      </c>
      <c r="AH26" s="1" t="str">
        <f>[2]หน้าผ้า!DL35</f>
        <v>P7</v>
      </c>
      <c r="AI26" s="1">
        <f>[2]หน้าผ้า!DM35</f>
        <v>2</v>
      </c>
      <c r="AJ26" s="3">
        <f>[2]หน้าผ้า!DN35</f>
        <v>45906</v>
      </c>
      <c r="AK26" s="3">
        <f>[2]หน้าผ้า!DQ35</f>
        <v>0</v>
      </c>
      <c r="AL26" s="3">
        <f>[2]หน้าผ้า!DR35</f>
        <v>45897</v>
      </c>
      <c r="AM26" s="3">
        <f>[2]หน้าผ้า!DS35</f>
        <v>45904</v>
      </c>
      <c r="AN26" s="3">
        <f>[2]หน้าผ้า!DT35</f>
        <v>45905</v>
      </c>
      <c r="AO26" s="3">
        <f>[2]หน้าผ้า!DU35</f>
        <v>45905</v>
      </c>
      <c r="AP26" s="3">
        <f>[2]หน้าผ้า!DP35</f>
        <v>45901</v>
      </c>
      <c r="AQ26" s="3">
        <f>[2]หน้าผ้า!DW35</f>
        <v>0</v>
      </c>
      <c r="AR26" s="3">
        <f>[2]หน้าผ้า!DX35</f>
        <v>0</v>
      </c>
      <c r="AS26" s="3">
        <f>[2]หน้าผ้า!DY35</f>
        <v>0</v>
      </c>
      <c r="AT26" s="3">
        <f>[2]หน้าผ้า!DZ35</f>
        <v>0</v>
      </c>
      <c r="AU26" s="3">
        <f>[2]หน้าผ้า!EA35</f>
        <v>0</v>
      </c>
      <c r="AV26" s="1">
        <f>[2]หน้าผ้า!EB35</f>
        <v>0</v>
      </c>
      <c r="AW26" s="2" t="str">
        <f>[2]หน้าผ้า!EC35</f>
        <v>งานพิมพ์</v>
      </c>
      <c r="AX26" s="2" t="str">
        <f>[2]หน้าผ้า!ED35</f>
        <v xml:space="preserve"> /</v>
      </c>
      <c r="AY26" s="2">
        <f>[2]หน้าผ้า!AG35</f>
        <v>0</v>
      </c>
      <c r="AZ26" s="2">
        <f>[2]หน้าผ้า!EG35</f>
        <v>0</v>
      </c>
      <c r="BA26" s="2">
        <f>[2]หน้าผ้า!EH35</f>
        <v>0</v>
      </c>
      <c r="BB26" s="2">
        <f>[2]หน้าผ้า!EI35</f>
        <v>0</v>
      </c>
      <c r="BC26" s="1" t="str">
        <f>[2]หน้าผ้า!BZ35</f>
        <v>WRWT21720/WRWT25800</v>
      </c>
      <c r="BD26" s="56">
        <f>[2]หน้าผ้า!CA35</f>
        <v>0</v>
      </c>
    </row>
    <row r="27" spans="1:56" ht="27.75" customHeight="1" x14ac:dyDescent="0.45">
      <c r="A27" s="3">
        <f>[2]หน้าผ้า!C36</f>
        <v>45896</v>
      </c>
      <c r="B27" s="14" t="str">
        <f>[2]หน้าผ้า!B36</f>
        <v>MK68-001043</v>
      </c>
      <c r="C27" s="9" t="str">
        <f>[2]หน้าผ้า!E36</f>
        <v>บจก.เคอรี่ฟลาวมิลล์</v>
      </c>
      <c r="D27" s="13" t="str">
        <f>[2]หน้าผ้า!F36</f>
        <v>ดอกไม้แดง</v>
      </c>
      <c r="E27" s="9">
        <f>[2]หน้าผ้า!G36</f>
        <v>19</v>
      </c>
      <c r="F27" s="9">
        <f>[2]หน้าผ้า!H36</f>
        <v>32</v>
      </c>
      <c r="G27" s="9" t="str">
        <f>[2]หน้าผ้า!I36</f>
        <v>ขาว</v>
      </c>
      <c r="H27" s="9">
        <f>[2]หน้าผ้า!J36</f>
        <v>0</v>
      </c>
      <c r="I27" s="9">
        <f>[2]หน้าผ้า!L36</f>
        <v>67</v>
      </c>
      <c r="J27" s="9" t="str">
        <f>[2]หน้าผ้า!M36</f>
        <v>+</v>
      </c>
      <c r="K27" s="9">
        <f>[2]หน้าผ้า!N36</f>
        <v>5</v>
      </c>
      <c r="L27" s="9" t="str">
        <f>[2]หน้าผ้า!R36</f>
        <v>บิด</v>
      </c>
      <c r="M27" s="10" t="str">
        <f>[2]หน้าผ้า!T36</f>
        <v>ไม่สวมถุงใน</v>
      </c>
      <c r="N27" s="9">
        <f>[2]หน้าผ้า!U36</f>
        <v>0</v>
      </c>
      <c r="O27" s="9">
        <f>[2]หน้าผ้า!V36</f>
        <v>0</v>
      </c>
      <c r="P27" s="10">
        <f>[2]หน้าผ้า!AB36</f>
        <v>0</v>
      </c>
      <c r="Q27" s="10">
        <f>[2]หน้าผ้า!AC36</f>
        <v>0</v>
      </c>
      <c r="R27" s="10">
        <f>[2]หน้าผ้า!AD36</f>
        <v>0</v>
      </c>
      <c r="S27" s="9" t="str">
        <f>[2]หน้าผ้า!Z36</f>
        <v>ห่ออัดเบลแบน500</v>
      </c>
      <c r="T27" s="12">
        <f>[2]หน้าผ้า!X36</f>
        <v>45906</v>
      </c>
      <c r="U27" s="11">
        <f>[2]หน้าผ้า!AA36</f>
        <v>5000</v>
      </c>
      <c r="V27" s="10">
        <f>[2]หน้าผ้า!AJ36</f>
        <v>5746</v>
      </c>
      <c r="W27" s="10">
        <f>[2]หน้าผ้า!AL36</f>
        <v>0</v>
      </c>
      <c r="X27" s="10">
        <f>[2]หน้าผ้า!AM36</f>
        <v>0</v>
      </c>
      <c r="Y27" s="10">
        <f>[2]หน้าผ้า!AN36</f>
        <v>0</v>
      </c>
      <c r="Z27" s="9" t="str">
        <f>[2]หน้าผ้า!AO36</f>
        <v>WSWT1921720</v>
      </c>
      <c r="AA27" s="8">
        <f>[2]หน้าผ้า!AQ36</f>
        <v>0</v>
      </c>
      <c r="AB27" s="8">
        <f>[2]หน้าผ้า!AR36</f>
        <v>0</v>
      </c>
      <c r="AC27" s="8">
        <f>[2]หน้าผ้า!AS36</f>
        <v>0</v>
      </c>
      <c r="AD27" s="8">
        <f>[2]หน้าผ้า!AT36</f>
        <v>0</v>
      </c>
      <c r="AE27" s="8">
        <f>[2]หน้าผ้า!AU36</f>
        <v>0</v>
      </c>
      <c r="AF27" s="8">
        <f>[2]หน้าผ้า!AI36</f>
        <v>0</v>
      </c>
      <c r="AG27" s="1" t="str">
        <f>[3]หน้าผ้า!DC39</f>
        <v>พร้อมส่ง</v>
      </c>
      <c r="AH27" s="1" t="str">
        <f>[2]หน้าผ้า!DL36</f>
        <v>P7</v>
      </c>
      <c r="AI27" s="1">
        <f>[2]หน้าผ้า!DM36</f>
        <v>2</v>
      </c>
      <c r="AJ27" s="3">
        <f>[2]หน้าผ้า!DN36</f>
        <v>45906</v>
      </c>
      <c r="AK27" s="3">
        <f>[2]หน้าผ้า!DQ36</f>
        <v>0</v>
      </c>
      <c r="AL27" s="3">
        <f>[2]หน้าผ้า!DR36</f>
        <v>45897</v>
      </c>
      <c r="AM27" s="3">
        <f>[2]หน้าผ้า!DS36</f>
        <v>45904</v>
      </c>
      <c r="AN27" s="3">
        <f>[2]หน้าผ้า!DT36</f>
        <v>45905</v>
      </c>
      <c r="AO27" s="3">
        <f>[2]หน้าผ้า!DU36</f>
        <v>45905</v>
      </c>
      <c r="AP27" s="3">
        <f>[2]หน้าผ้า!DP36</f>
        <v>45901</v>
      </c>
      <c r="AQ27" s="3">
        <f>[2]หน้าผ้า!DW36</f>
        <v>0</v>
      </c>
      <c r="AR27" s="3">
        <f>[2]หน้าผ้า!DX36</f>
        <v>0</v>
      </c>
      <c r="AS27" s="3">
        <f>[2]หน้าผ้า!DY36</f>
        <v>0</v>
      </c>
      <c r="AT27" s="3">
        <f>[2]หน้าผ้า!DZ36</f>
        <v>0</v>
      </c>
      <c r="AU27" s="3">
        <f>[2]หน้าผ้า!EA36</f>
        <v>0</v>
      </c>
      <c r="AV27" s="1">
        <f>[2]หน้าผ้า!EB36</f>
        <v>0</v>
      </c>
      <c r="AW27" s="2" t="str">
        <f>[2]หน้าผ้า!EC36</f>
        <v>งานพิมพ์</v>
      </c>
      <c r="AX27" s="2" t="str">
        <f>[2]หน้าผ้า!ED36</f>
        <v xml:space="preserve"> /</v>
      </c>
      <c r="AY27" s="2">
        <f>[2]หน้าผ้า!AG36</f>
        <v>0</v>
      </c>
      <c r="AZ27" s="2">
        <f>[2]หน้าผ้า!EG36</f>
        <v>0</v>
      </c>
      <c r="BA27" s="2">
        <f>[2]หน้าผ้า!EH36</f>
        <v>0</v>
      </c>
      <c r="BB27" s="2">
        <f>[2]หน้าผ้า!EI36</f>
        <v>0</v>
      </c>
      <c r="BC27" s="1" t="str">
        <f>[2]หน้าผ้า!BZ36</f>
        <v>WRWT21720/WRWT25800</v>
      </c>
      <c r="BD27" s="56">
        <f>[2]หน้าผ้า!CA36</f>
        <v>0</v>
      </c>
    </row>
    <row r="28" spans="1:56" ht="27.75" customHeight="1" x14ac:dyDescent="0.45">
      <c r="A28" s="3">
        <f>[2]หน้าผ้า!C37</f>
        <v>45896</v>
      </c>
      <c r="B28" s="14" t="str">
        <f>[2]หน้าผ้า!B37</f>
        <v>MK68-001043</v>
      </c>
      <c r="C28" s="9" t="str">
        <f>[2]หน้าผ้า!E37</f>
        <v>บจก.เคอรี่ฟลาวมิลล์</v>
      </c>
      <c r="D28" s="13" t="str">
        <f>[2]หน้าผ้า!F37</f>
        <v>กุ้งแดง</v>
      </c>
      <c r="E28" s="9">
        <f>[2]หน้าผ้า!G37</f>
        <v>19</v>
      </c>
      <c r="F28" s="9">
        <f>[2]หน้าผ้า!H37</f>
        <v>32</v>
      </c>
      <c r="G28" s="9" t="str">
        <f>[2]หน้าผ้า!I37</f>
        <v>ขาว</v>
      </c>
      <c r="H28" s="9">
        <f>[2]หน้าผ้า!J37</f>
        <v>0</v>
      </c>
      <c r="I28" s="9">
        <f>[2]หน้าผ้า!L37</f>
        <v>67</v>
      </c>
      <c r="J28" s="9" t="str">
        <f>[2]หน้าผ้า!M37</f>
        <v>+</v>
      </c>
      <c r="K28" s="9">
        <f>[2]หน้าผ้า!N37</f>
        <v>5</v>
      </c>
      <c r="L28" s="9" t="str">
        <f>[2]หน้าผ้า!R37</f>
        <v>บิด</v>
      </c>
      <c r="M28" s="10" t="str">
        <f>[2]หน้าผ้า!T37</f>
        <v>ไม่สวมถุงใน</v>
      </c>
      <c r="N28" s="9">
        <f>[2]หน้าผ้า!U37</f>
        <v>0</v>
      </c>
      <c r="O28" s="9">
        <f>[2]หน้าผ้า!V37</f>
        <v>0</v>
      </c>
      <c r="P28" s="10">
        <f>[2]หน้าผ้า!AB37</f>
        <v>0</v>
      </c>
      <c r="Q28" s="10">
        <f>[2]หน้าผ้า!AC37</f>
        <v>0</v>
      </c>
      <c r="R28" s="10">
        <f>[2]หน้าผ้า!AD37</f>
        <v>0</v>
      </c>
      <c r="S28" s="9" t="str">
        <f>[2]หน้าผ้า!Z37</f>
        <v>ห่ออัดเบลแบน500</v>
      </c>
      <c r="T28" s="12">
        <f>[2]หน้าผ้า!X37</f>
        <v>45906</v>
      </c>
      <c r="U28" s="11">
        <f>[2]หน้าผ้า!AA37</f>
        <v>5000</v>
      </c>
      <c r="V28" s="10">
        <f>[2]หน้าผ้า!AJ37</f>
        <v>5000</v>
      </c>
      <c r="W28" s="10">
        <f>[2]หน้าผ้า!AL37</f>
        <v>0</v>
      </c>
      <c r="X28" s="10">
        <f>[2]หน้าผ้า!AM37</f>
        <v>5400</v>
      </c>
      <c r="Y28" s="10">
        <f>[2]หน้าผ้า!AN37</f>
        <v>0</v>
      </c>
      <c r="Z28" s="9" t="str">
        <f>[2]หน้าผ้า!AO37</f>
        <v>WSWT1921720</v>
      </c>
      <c r="AA28" s="8">
        <f>[2]หน้าผ้า!AQ37</f>
        <v>0</v>
      </c>
      <c r="AB28" s="8">
        <f>[2]หน้าผ้า!AR37</f>
        <v>0</v>
      </c>
      <c r="AC28" s="8">
        <f>[2]หน้าผ้า!AS37</f>
        <v>0</v>
      </c>
      <c r="AD28" s="8">
        <f>[2]หน้าผ้า!AT37</f>
        <v>0</v>
      </c>
      <c r="AE28" s="8">
        <f>[2]หน้าผ้า!AU37</f>
        <v>0</v>
      </c>
      <c r="AF28" s="8">
        <f>[2]หน้าผ้า!AI37</f>
        <v>0</v>
      </c>
      <c r="AG28" s="1" t="str">
        <f>[3]หน้าผ้า!DC40</f>
        <v>พร้อมส่ง</v>
      </c>
      <c r="AH28" s="1" t="str">
        <f>[2]หน้าผ้า!DL37</f>
        <v>P7</v>
      </c>
      <c r="AI28" s="1">
        <f>[2]หน้าผ้า!DM37</f>
        <v>2</v>
      </c>
      <c r="AJ28" s="3">
        <f>[2]หน้าผ้า!DN37</f>
        <v>45906</v>
      </c>
      <c r="AK28" s="3">
        <f>[2]หน้าผ้า!DQ37</f>
        <v>0</v>
      </c>
      <c r="AL28" s="3">
        <f>[2]หน้าผ้า!DR37</f>
        <v>45897</v>
      </c>
      <c r="AM28" s="3">
        <f>[2]หน้าผ้า!DS37</f>
        <v>45904</v>
      </c>
      <c r="AN28" s="3">
        <f>[2]หน้าผ้า!DT37</f>
        <v>45905</v>
      </c>
      <c r="AO28" s="3">
        <f>[2]หน้าผ้า!DU37</f>
        <v>45905</v>
      </c>
      <c r="AP28" s="3">
        <f>[2]หน้าผ้า!DP37</f>
        <v>45901</v>
      </c>
      <c r="AQ28" s="3">
        <f>[2]หน้าผ้า!DW37</f>
        <v>0</v>
      </c>
      <c r="AR28" s="3">
        <f>[2]หน้าผ้า!DX37</f>
        <v>0</v>
      </c>
      <c r="AS28" s="3">
        <f>[2]หน้าผ้า!DY37</f>
        <v>0</v>
      </c>
      <c r="AT28" s="3">
        <f>[2]หน้าผ้า!DZ37</f>
        <v>0</v>
      </c>
      <c r="AU28" s="3">
        <f>[2]หน้าผ้า!EA37</f>
        <v>0</v>
      </c>
      <c r="AV28" s="1">
        <f>[2]หน้าผ้า!EB37</f>
        <v>0</v>
      </c>
      <c r="AW28" s="2" t="str">
        <f>[2]หน้าผ้า!EC37</f>
        <v>งานพิมพ์</v>
      </c>
      <c r="AX28" s="2" t="str">
        <f>[2]หน้าผ้า!ED37</f>
        <v xml:space="preserve"> /</v>
      </c>
      <c r="AY28" s="2">
        <f>[2]หน้าผ้า!AG37</f>
        <v>0</v>
      </c>
      <c r="AZ28" s="2">
        <f>[2]หน้าผ้า!EG37</f>
        <v>0</v>
      </c>
      <c r="BA28" s="2">
        <f>[2]หน้าผ้า!EH37</f>
        <v>0</v>
      </c>
      <c r="BB28" s="2">
        <f>[2]หน้าผ้า!EI37</f>
        <v>0</v>
      </c>
      <c r="BC28" s="1" t="str">
        <f>[2]หน้าผ้า!BZ37</f>
        <v>WRWT21720/WRWT25800</v>
      </c>
      <c r="BD28" s="56">
        <f>[2]หน้าผ้า!CA37</f>
        <v>0</v>
      </c>
    </row>
    <row r="29" spans="1:56" ht="27.75" customHeight="1" x14ac:dyDescent="0.45">
      <c r="A29" s="3">
        <f>[2]หน้าผ้า!C38</f>
        <v>45896</v>
      </c>
      <c r="B29" s="14" t="str">
        <f>[2]หน้าผ้า!B38</f>
        <v>MK68-001043</v>
      </c>
      <c r="C29" s="9" t="str">
        <f>[2]หน้าผ้า!E38</f>
        <v>บจก.เคอรี่ฟลาวมิลล์</v>
      </c>
      <c r="D29" s="13" t="str">
        <f>[2]หน้าผ้า!F38</f>
        <v>โบว์น้ำเงิน</v>
      </c>
      <c r="E29" s="9">
        <f>[2]หน้าผ้า!G38</f>
        <v>19</v>
      </c>
      <c r="F29" s="9">
        <f>[2]หน้าผ้า!H38</f>
        <v>32</v>
      </c>
      <c r="G29" s="9" t="str">
        <f>[2]หน้าผ้า!I38</f>
        <v>ขาว</v>
      </c>
      <c r="H29" s="9">
        <f>[2]หน้าผ้า!J38</f>
        <v>0</v>
      </c>
      <c r="I29" s="9">
        <f>[2]หน้าผ้า!L38</f>
        <v>67</v>
      </c>
      <c r="J29" s="9" t="str">
        <f>[2]หน้าผ้า!M38</f>
        <v>+</v>
      </c>
      <c r="K29" s="9">
        <f>[2]หน้าผ้า!N38</f>
        <v>5</v>
      </c>
      <c r="L29" s="9" t="str">
        <f>[2]หน้าผ้า!R38</f>
        <v>บิด</v>
      </c>
      <c r="M29" s="10" t="str">
        <f>[2]หน้าผ้า!T38</f>
        <v>ไม่สวมถุงใน</v>
      </c>
      <c r="N29" s="9">
        <f>[2]หน้าผ้า!U38</f>
        <v>0</v>
      </c>
      <c r="O29" s="9">
        <f>[2]หน้าผ้า!V38</f>
        <v>0</v>
      </c>
      <c r="P29" s="10">
        <f>[2]หน้าผ้า!AB38</f>
        <v>0</v>
      </c>
      <c r="Q29" s="10">
        <f>[2]หน้าผ้า!AC38</f>
        <v>0</v>
      </c>
      <c r="R29" s="10">
        <f>[2]หน้าผ้า!AD38</f>
        <v>0</v>
      </c>
      <c r="S29" s="9" t="str">
        <f>[2]หน้าผ้า!Z38</f>
        <v>ห่ออัดเบลแบน500</v>
      </c>
      <c r="T29" s="12">
        <f>[2]หน้าผ้า!X38</f>
        <v>45906</v>
      </c>
      <c r="U29" s="11">
        <f>[2]หน้าผ้า!AA38</f>
        <v>5000</v>
      </c>
      <c r="V29" s="10">
        <f>[2]หน้าผ้า!AJ38</f>
        <v>5000</v>
      </c>
      <c r="W29" s="10">
        <f>[2]หน้าผ้า!AL38</f>
        <v>0</v>
      </c>
      <c r="X29" s="10">
        <f>[2]หน้าผ้า!AM38</f>
        <v>5400</v>
      </c>
      <c r="Y29" s="10">
        <f>[2]หน้าผ้า!AN38</f>
        <v>0</v>
      </c>
      <c r="Z29" s="9" t="str">
        <f>[2]หน้าผ้า!AO38</f>
        <v>WSWT1921720</v>
      </c>
      <c r="AA29" s="8">
        <f>[2]หน้าผ้า!AQ38</f>
        <v>0</v>
      </c>
      <c r="AB29" s="8">
        <f>[2]หน้าผ้า!AR38</f>
        <v>0</v>
      </c>
      <c r="AC29" s="8">
        <f>[2]หน้าผ้า!AS38</f>
        <v>0</v>
      </c>
      <c r="AD29" s="8">
        <f>[2]หน้าผ้า!AT38</f>
        <v>0</v>
      </c>
      <c r="AE29" s="8">
        <f>[2]หน้าผ้า!AU38</f>
        <v>0</v>
      </c>
      <c r="AF29" s="8">
        <f>[2]หน้าผ้า!AI38</f>
        <v>0</v>
      </c>
      <c r="AG29" s="1" t="str">
        <f>[3]หน้าผ้า!DC41</f>
        <v>พร้อมส่ง</v>
      </c>
      <c r="AH29" s="1" t="str">
        <f>[2]หน้าผ้า!DL38</f>
        <v>P7</v>
      </c>
      <c r="AI29" s="1">
        <f>[2]หน้าผ้า!DM38</f>
        <v>2</v>
      </c>
      <c r="AJ29" s="3">
        <f>[2]หน้าผ้า!DN38</f>
        <v>45906</v>
      </c>
      <c r="AK29" s="3">
        <f>[2]หน้าผ้า!DQ38</f>
        <v>0</v>
      </c>
      <c r="AL29" s="3">
        <f>[2]หน้าผ้า!DR38</f>
        <v>45897</v>
      </c>
      <c r="AM29" s="3">
        <f>[2]หน้าผ้า!DS38</f>
        <v>45904</v>
      </c>
      <c r="AN29" s="3">
        <f>[2]หน้าผ้า!DT38</f>
        <v>45905</v>
      </c>
      <c r="AO29" s="3">
        <f>[2]หน้าผ้า!DU38</f>
        <v>45905</v>
      </c>
      <c r="AP29" s="3">
        <f>[2]หน้าผ้า!DP38</f>
        <v>45901</v>
      </c>
      <c r="AQ29" s="3">
        <f>[2]หน้าผ้า!DW38</f>
        <v>0</v>
      </c>
      <c r="AR29" s="3">
        <f>[2]หน้าผ้า!DX38</f>
        <v>0</v>
      </c>
      <c r="AS29" s="3">
        <f>[2]หน้าผ้า!DY38</f>
        <v>0</v>
      </c>
      <c r="AT29" s="3">
        <f>[2]หน้าผ้า!DZ38</f>
        <v>0</v>
      </c>
      <c r="AU29" s="3">
        <f>[2]หน้าผ้า!EA38</f>
        <v>0</v>
      </c>
      <c r="AV29" s="1">
        <f>[2]หน้าผ้า!EB38</f>
        <v>0</v>
      </c>
      <c r="AW29" s="2" t="str">
        <f>[2]หน้าผ้า!EC38</f>
        <v>งานพิมพ์</v>
      </c>
      <c r="AX29" s="2" t="str">
        <f>[2]หน้าผ้า!ED38</f>
        <v xml:space="preserve"> /</v>
      </c>
      <c r="AY29" s="2">
        <f>[2]หน้าผ้า!AG38</f>
        <v>0</v>
      </c>
      <c r="AZ29" s="2">
        <f>[2]หน้าผ้า!EG38</f>
        <v>0</v>
      </c>
      <c r="BA29" s="2">
        <f>[2]หน้าผ้า!EH38</f>
        <v>0</v>
      </c>
      <c r="BB29" s="2">
        <f>[2]หน้าผ้า!EI38</f>
        <v>0</v>
      </c>
      <c r="BC29" s="1" t="str">
        <f>[2]หน้าผ้า!BZ38</f>
        <v>WRWT21720/WRWT25800</v>
      </c>
      <c r="BD29" s="56">
        <f>[2]หน้าผ้า!CA38</f>
        <v>0</v>
      </c>
    </row>
    <row r="30" spans="1:56" ht="27.75" customHeight="1" x14ac:dyDescent="0.45">
      <c r="A30" s="3">
        <f>[2]หน้าผ้า!C39</f>
        <v>45896</v>
      </c>
      <c r="B30" s="14" t="str">
        <f>[2]หน้าผ้า!B39</f>
        <v>MK68-001044</v>
      </c>
      <c r="C30" s="9" t="str">
        <f>[2]หน้าผ้า!E39</f>
        <v>บจก.เคอรี่ฟลาวมิลล์</v>
      </c>
      <c r="D30" s="13" t="str">
        <f>[2]หน้าผ้า!F39</f>
        <v>เคเอ็ม</v>
      </c>
      <c r="E30" s="9">
        <f>[2]หน้าผ้า!G39</f>
        <v>19</v>
      </c>
      <c r="F30" s="9">
        <f>[2]หน้าผ้า!H39</f>
        <v>32</v>
      </c>
      <c r="G30" s="9" t="str">
        <f>[2]หน้าผ้า!I39</f>
        <v>ขาว</v>
      </c>
      <c r="H30" s="9">
        <f>[2]หน้าผ้า!J39</f>
        <v>0</v>
      </c>
      <c r="I30" s="9">
        <f>[2]หน้าผ้า!L39</f>
        <v>67</v>
      </c>
      <c r="J30" s="9" t="str">
        <f>[2]หน้าผ้า!M39</f>
        <v>+</v>
      </c>
      <c r="K30" s="9">
        <f>[2]หน้าผ้า!N39</f>
        <v>5</v>
      </c>
      <c r="L30" s="9" t="str">
        <f>[2]หน้าผ้า!R39</f>
        <v>บิด</v>
      </c>
      <c r="M30" s="10" t="str">
        <f>[2]หน้าผ้า!T39</f>
        <v>ไม่สวมถุงใน</v>
      </c>
      <c r="N30" s="9">
        <f>[2]หน้าผ้า!U39</f>
        <v>0</v>
      </c>
      <c r="O30" s="9">
        <f>[2]หน้าผ้า!V39</f>
        <v>0</v>
      </c>
      <c r="P30" s="10">
        <f>[2]หน้าผ้า!AB39</f>
        <v>0</v>
      </c>
      <c r="Q30" s="10">
        <f>[2]หน้าผ้า!AC39</f>
        <v>0</v>
      </c>
      <c r="R30" s="10">
        <f>[2]หน้าผ้า!AD39</f>
        <v>0</v>
      </c>
      <c r="S30" s="9" t="str">
        <f>[2]หน้าผ้า!Z39</f>
        <v>ห่ออัดเบลแบน500</v>
      </c>
      <c r="T30" s="12">
        <f>[2]หน้าผ้า!X39</f>
        <v>45906</v>
      </c>
      <c r="U30" s="11">
        <f>[2]หน้าผ้า!AA39</f>
        <v>5000</v>
      </c>
      <c r="V30" s="10">
        <f>[2]หน้าผ้า!AJ39</f>
        <v>5000</v>
      </c>
      <c r="W30" s="10">
        <f>[2]หน้าผ้า!AL39</f>
        <v>0</v>
      </c>
      <c r="X30" s="10">
        <f>[2]หน้าผ้า!AM39</f>
        <v>5400</v>
      </c>
      <c r="Y30" s="10">
        <f>[2]หน้าผ้า!AN39</f>
        <v>0</v>
      </c>
      <c r="Z30" s="9" t="str">
        <f>[2]หน้าผ้า!AO39</f>
        <v>WSWT1921720</v>
      </c>
      <c r="AA30" s="8">
        <f>[2]หน้าผ้า!AQ39</f>
        <v>0</v>
      </c>
      <c r="AB30" s="8">
        <f>[2]หน้าผ้า!AR39</f>
        <v>0</v>
      </c>
      <c r="AC30" s="8">
        <f>[2]หน้าผ้า!AS39</f>
        <v>0</v>
      </c>
      <c r="AD30" s="8">
        <f>[2]หน้าผ้า!AT39</f>
        <v>0</v>
      </c>
      <c r="AE30" s="8">
        <f>[2]หน้าผ้า!AU39</f>
        <v>0</v>
      </c>
      <c r="AF30" s="8">
        <f>[2]หน้าผ้า!AI39</f>
        <v>0</v>
      </c>
      <c r="AG30" s="1" t="str">
        <f>[3]หน้าผ้า!DC42</f>
        <v>รอตัด</v>
      </c>
      <c r="AH30" s="1" t="str">
        <f>[2]หน้าผ้า!DL39</f>
        <v>P7</v>
      </c>
      <c r="AI30" s="1">
        <f>[2]หน้าผ้า!DM39</f>
        <v>2</v>
      </c>
      <c r="AJ30" s="3">
        <f>[2]หน้าผ้า!DN39</f>
        <v>45906</v>
      </c>
      <c r="AK30" s="3">
        <f>[2]หน้าผ้า!DQ39</f>
        <v>0</v>
      </c>
      <c r="AL30" s="3">
        <f>[2]หน้าผ้า!DR39</f>
        <v>45897</v>
      </c>
      <c r="AM30" s="3">
        <f>[2]หน้าผ้า!DS39</f>
        <v>45904</v>
      </c>
      <c r="AN30" s="3">
        <f>[2]หน้าผ้า!DT39</f>
        <v>45905</v>
      </c>
      <c r="AO30" s="3">
        <f>[2]หน้าผ้า!DU39</f>
        <v>45905</v>
      </c>
      <c r="AP30" s="3">
        <f>[2]หน้าผ้า!DP39</f>
        <v>45901</v>
      </c>
      <c r="AQ30" s="3">
        <f>[2]หน้าผ้า!DW39</f>
        <v>0</v>
      </c>
      <c r="AR30" s="3">
        <f>[2]หน้าผ้า!DX39</f>
        <v>0</v>
      </c>
      <c r="AS30" s="3">
        <f>[2]หน้าผ้า!DY39</f>
        <v>0</v>
      </c>
      <c r="AT30" s="3">
        <f>[2]หน้าผ้า!DZ39</f>
        <v>0</v>
      </c>
      <c r="AU30" s="3">
        <f>[2]หน้าผ้า!EA39</f>
        <v>0</v>
      </c>
      <c r="AV30" s="1">
        <f>[2]หน้าผ้า!EB39</f>
        <v>0</v>
      </c>
      <c r="AW30" s="2" t="str">
        <f>[2]หน้าผ้า!EC39</f>
        <v>งานพิมพ์</v>
      </c>
      <c r="AX30" s="2" t="str">
        <f>[2]หน้าผ้า!ED39</f>
        <v xml:space="preserve"> /</v>
      </c>
      <c r="AY30" s="2">
        <f>[2]หน้าผ้า!AG39</f>
        <v>0</v>
      </c>
      <c r="AZ30" s="2">
        <f>[2]หน้าผ้า!EG39</f>
        <v>0</v>
      </c>
      <c r="BA30" s="2">
        <f>[2]หน้าผ้า!EH39</f>
        <v>0</v>
      </c>
      <c r="BB30" s="2">
        <f>[2]หน้าผ้า!EI39</f>
        <v>0</v>
      </c>
      <c r="BC30" s="1" t="str">
        <f>[2]หน้าผ้า!BZ39</f>
        <v>WRWT21720/WRWT25800</v>
      </c>
      <c r="BD30" s="56">
        <f>[2]หน้าผ้า!CA39</f>
        <v>0</v>
      </c>
    </row>
    <row r="31" spans="1:56" ht="27.75" customHeight="1" x14ac:dyDescent="0.45">
      <c r="A31" s="3">
        <f>[2]หน้าผ้า!C40</f>
        <v>45896</v>
      </c>
      <c r="B31" s="14" t="str">
        <f>[2]หน้าผ้า!B40</f>
        <v>MK68-001044</v>
      </c>
      <c r="C31" s="9" t="str">
        <f>[2]หน้าผ้า!E40</f>
        <v>บจก.เคอรี่ฟลาวมิลล์</v>
      </c>
      <c r="D31" s="13" t="str">
        <f>[2]หน้าผ้า!F40</f>
        <v>ดอกไม้ม่วง</v>
      </c>
      <c r="E31" s="9">
        <f>[2]หน้าผ้า!G40</f>
        <v>19</v>
      </c>
      <c r="F31" s="9">
        <f>[2]หน้าผ้า!H40</f>
        <v>32</v>
      </c>
      <c r="G31" s="9" t="str">
        <f>[2]หน้าผ้า!I40</f>
        <v>ขาว</v>
      </c>
      <c r="H31" s="9">
        <f>[2]หน้าผ้า!J40</f>
        <v>0</v>
      </c>
      <c r="I31" s="9">
        <f>[2]หน้าผ้า!L40</f>
        <v>67</v>
      </c>
      <c r="J31" s="9" t="str">
        <f>[2]หน้าผ้า!M40</f>
        <v>+</v>
      </c>
      <c r="K31" s="9">
        <f>[2]หน้าผ้า!N40</f>
        <v>5</v>
      </c>
      <c r="L31" s="9" t="str">
        <f>[2]หน้าผ้า!R40</f>
        <v>บิด</v>
      </c>
      <c r="M31" s="10" t="str">
        <f>[2]หน้าผ้า!T40</f>
        <v>ไม่สวมถุงใน</v>
      </c>
      <c r="N31" s="9">
        <f>[2]หน้าผ้า!U40</f>
        <v>0</v>
      </c>
      <c r="O31" s="9">
        <f>[2]หน้าผ้า!V40</f>
        <v>0</v>
      </c>
      <c r="P31" s="10">
        <f>[2]หน้าผ้า!AB40</f>
        <v>0</v>
      </c>
      <c r="Q31" s="10">
        <f>[2]หน้าผ้า!AC40</f>
        <v>0</v>
      </c>
      <c r="R31" s="10">
        <f>[2]หน้าผ้า!AD40</f>
        <v>0</v>
      </c>
      <c r="S31" s="9" t="str">
        <f>[2]หน้าผ้า!Z40</f>
        <v>ห่ออัดเบลแบน500</v>
      </c>
      <c r="T31" s="12">
        <f>[2]หน้าผ้า!X40</f>
        <v>45906</v>
      </c>
      <c r="U31" s="11">
        <f>[2]หน้าผ้า!AA40</f>
        <v>5000</v>
      </c>
      <c r="V31" s="10">
        <f>[2]หน้าผ้า!AJ40</f>
        <v>5000</v>
      </c>
      <c r="W31" s="10">
        <f>[2]หน้าผ้า!AL40</f>
        <v>0</v>
      </c>
      <c r="X31" s="10">
        <f>[2]หน้าผ้า!AM40</f>
        <v>5400</v>
      </c>
      <c r="Y31" s="10">
        <f>[2]หน้าผ้า!AN40</f>
        <v>0</v>
      </c>
      <c r="Z31" s="9" t="str">
        <f>[2]หน้าผ้า!AO40</f>
        <v>WSWT1921720</v>
      </c>
      <c r="AA31" s="8">
        <f>[2]หน้าผ้า!AQ40</f>
        <v>0</v>
      </c>
      <c r="AB31" s="8">
        <f>[2]หน้าผ้า!AR40</f>
        <v>0</v>
      </c>
      <c r="AC31" s="8">
        <f>[2]หน้าผ้า!AS40</f>
        <v>0</v>
      </c>
      <c r="AD31" s="8">
        <f>[2]หน้าผ้า!AT40</f>
        <v>0</v>
      </c>
      <c r="AE31" s="8">
        <f>[2]หน้าผ้า!AU40</f>
        <v>0</v>
      </c>
      <c r="AF31" s="8">
        <f>[2]หน้าผ้า!AI40</f>
        <v>0</v>
      </c>
      <c r="AG31" s="1" t="str">
        <f>[3]หน้าผ้า!DC43</f>
        <v>พร้อมส่ง</v>
      </c>
      <c r="AH31" s="1" t="str">
        <f>[2]หน้าผ้า!DL40</f>
        <v>P7</v>
      </c>
      <c r="AI31" s="1">
        <f>[2]หน้าผ้า!DM40</f>
        <v>2</v>
      </c>
      <c r="AJ31" s="3">
        <f>[2]หน้าผ้า!DN40</f>
        <v>45906</v>
      </c>
      <c r="AK31" s="3">
        <f>[2]หน้าผ้า!DQ40</f>
        <v>0</v>
      </c>
      <c r="AL31" s="3">
        <f>[2]หน้าผ้า!DR40</f>
        <v>45897</v>
      </c>
      <c r="AM31" s="3">
        <f>[2]หน้าผ้า!DS40</f>
        <v>45904</v>
      </c>
      <c r="AN31" s="3">
        <f>[2]หน้าผ้า!DT40</f>
        <v>45905</v>
      </c>
      <c r="AO31" s="3">
        <f>[2]หน้าผ้า!DU40</f>
        <v>45905</v>
      </c>
      <c r="AP31" s="3">
        <f>[2]หน้าผ้า!DP40</f>
        <v>45901</v>
      </c>
      <c r="AQ31" s="3">
        <f>[2]หน้าผ้า!DW40</f>
        <v>0</v>
      </c>
      <c r="AR31" s="3">
        <f>[2]หน้าผ้า!DX40</f>
        <v>0</v>
      </c>
      <c r="AS31" s="3">
        <f>[2]หน้าผ้า!DY40</f>
        <v>0</v>
      </c>
      <c r="AT31" s="3">
        <f>[2]หน้าผ้า!DZ40</f>
        <v>0</v>
      </c>
      <c r="AU31" s="3">
        <f>[2]หน้าผ้า!EA40</f>
        <v>0</v>
      </c>
      <c r="AV31" s="1">
        <f>[2]หน้าผ้า!EB40</f>
        <v>0</v>
      </c>
      <c r="AW31" s="2" t="str">
        <f>[2]หน้าผ้า!EC40</f>
        <v>งานพิมพ์</v>
      </c>
      <c r="AX31" s="2" t="str">
        <f>[2]หน้าผ้า!ED40</f>
        <v xml:space="preserve"> /</v>
      </c>
      <c r="AY31" s="2">
        <f>[2]หน้าผ้า!AG40</f>
        <v>0</v>
      </c>
      <c r="AZ31" s="2">
        <f>[2]หน้าผ้า!EG40</f>
        <v>0</v>
      </c>
      <c r="BA31" s="2">
        <f>[2]หน้าผ้า!EH40</f>
        <v>0</v>
      </c>
      <c r="BB31" s="2">
        <f>[2]หน้าผ้า!EI40</f>
        <v>0</v>
      </c>
      <c r="BC31" s="1" t="str">
        <f>[2]หน้าผ้า!BZ40</f>
        <v>WRWT21720/WRWT25800</v>
      </c>
      <c r="BD31" s="56">
        <f>[2]หน้าผ้า!CA40</f>
        <v>0</v>
      </c>
    </row>
    <row r="32" spans="1:56" ht="27.75" customHeight="1" x14ac:dyDescent="0.45">
      <c r="A32" s="3">
        <f>[2]หน้าผ้า!C41</f>
        <v>45896</v>
      </c>
      <c r="B32" s="14" t="str">
        <f>[2]หน้าผ้า!B41</f>
        <v>MK68-001044</v>
      </c>
      <c r="C32" s="9" t="str">
        <f>[2]หน้าผ้า!E41</f>
        <v>บจก.เคอรี่ฟลาวมิลล์</v>
      </c>
      <c r="D32" s="13" t="str">
        <f>[2]หน้าผ้า!F41</f>
        <v>แต้มฟ้า</v>
      </c>
      <c r="E32" s="9">
        <f>[2]หน้าผ้า!G41</f>
        <v>19</v>
      </c>
      <c r="F32" s="9">
        <f>[2]หน้าผ้า!H41</f>
        <v>32</v>
      </c>
      <c r="G32" s="9" t="str">
        <f>[2]หน้าผ้า!I41</f>
        <v>ขาว</v>
      </c>
      <c r="H32" s="9">
        <f>[2]หน้าผ้า!J41</f>
        <v>0</v>
      </c>
      <c r="I32" s="9">
        <f>[2]หน้าผ้า!L41</f>
        <v>67</v>
      </c>
      <c r="J32" s="9" t="str">
        <f>[2]หน้าผ้า!M41</f>
        <v>+</v>
      </c>
      <c r="K32" s="9">
        <f>[2]หน้าผ้า!N41</f>
        <v>5</v>
      </c>
      <c r="L32" s="9" t="str">
        <f>[2]หน้าผ้า!R41</f>
        <v>บิด</v>
      </c>
      <c r="M32" s="10" t="str">
        <f>[2]หน้าผ้า!T41</f>
        <v>ไม่สวมถุงใน</v>
      </c>
      <c r="N32" s="9">
        <f>[2]หน้าผ้า!U41</f>
        <v>0</v>
      </c>
      <c r="O32" s="9">
        <f>[2]หน้าผ้า!V41</f>
        <v>0</v>
      </c>
      <c r="P32" s="10">
        <f>[2]หน้าผ้า!AB41</f>
        <v>0</v>
      </c>
      <c r="Q32" s="10">
        <f>[2]หน้าผ้า!AC41</f>
        <v>0</v>
      </c>
      <c r="R32" s="10">
        <f>[2]หน้าผ้า!AD41</f>
        <v>0</v>
      </c>
      <c r="S32" s="9" t="str">
        <f>[2]หน้าผ้า!Z41</f>
        <v>ห่ออัดเบลแบน500</v>
      </c>
      <c r="T32" s="12">
        <f>[2]หน้าผ้า!X41</f>
        <v>45906</v>
      </c>
      <c r="U32" s="11">
        <f>[2]หน้าผ้า!AA41</f>
        <v>5000</v>
      </c>
      <c r="V32" s="10">
        <f>[2]หน้าผ้า!AJ41</f>
        <v>5000</v>
      </c>
      <c r="W32" s="10">
        <f>[2]หน้าผ้า!AL41</f>
        <v>0</v>
      </c>
      <c r="X32" s="10">
        <f>[2]หน้าผ้า!AM41</f>
        <v>5250</v>
      </c>
      <c r="Y32" s="10">
        <f>[2]หน้าผ้า!AN41</f>
        <v>0</v>
      </c>
      <c r="Z32" s="9" t="str">
        <f>[2]หน้าผ้า!AO41</f>
        <v>WSWT1921720</v>
      </c>
      <c r="AA32" s="8">
        <f>[2]หน้าผ้า!AQ41</f>
        <v>0</v>
      </c>
      <c r="AB32" s="8">
        <f>[2]หน้าผ้า!AR41</f>
        <v>0</v>
      </c>
      <c r="AC32" s="8">
        <f>[2]หน้าผ้า!AS41</f>
        <v>0</v>
      </c>
      <c r="AD32" s="8">
        <f>[2]หน้าผ้า!AT41</f>
        <v>0</v>
      </c>
      <c r="AE32" s="8">
        <f>[2]หน้าผ้า!AU41</f>
        <v>0</v>
      </c>
      <c r="AF32" s="8">
        <f>[2]หน้าผ้า!AI41</f>
        <v>0</v>
      </c>
      <c r="AG32" s="1" t="str">
        <f>[3]หน้าผ้า!DC44</f>
        <v>พร้อมส่ง</v>
      </c>
      <c r="AH32" s="1" t="str">
        <f>[2]หน้าผ้า!DL41</f>
        <v>P7</v>
      </c>
      <c r="AI32" s="1">
        <f>[2]หน้าผ้า!DM41</f>
        <v>2</v>
      </c>
      <c r="AJ32" s="3">
        <f>[2]หน้าผ้า!DN41</f>
        <v>45906</v>
      </c>
      <c r="AK32" s="3">
        <f>[2]หน้าผ้า!DQ41</f>
        <v>0</v>
      </c>
      <c r="AL32" s="3">
        <f>[2]หน้าผ้า!DR41</f>
        <v>45897</v>
      </c>
      <c r="AM32" s="3">
        <f>[2]หน้าผ้า!DS41</f>
        <v>45904</v>
      </c>
      <c r="AN32" s="3">
        <f>[2]หน้าผ้า!DT41</f>
        <v>45905</v>
      </c>
      <c r="AO32" s="3">
        <f>[2]หน้าผ้า!DU41</f>
        <v>45905</v>
      </c>
      <c r="AP32" s="3">
        <f>[2]หน้าผ้า!DP41</f>
        <v>45901</v>
      </c>
      <c r="AQ32" s="3">
        <f>[2]หน้าผ้า!DW41</f>
        <v>0</v>
      </c>
      <c r="AR32" s="3">
        <f>[2]หน้าผ้า!DX41</f>
        <v>0</v>
      </c>
      <c r="AS32" s="3">
        <f>[2]หน้าผ้า!DY41</f>
        <v>0</v>
      </c>
      <c r="AT32" s="3">
        <f>[2]หน้าผ้า!DZ41</f>
        <v>0</v>
      </c>
      <c r="AU32" s="3">
        <f>[2]หน้าผ้า!EA41</f>
        <v>0</v>
      </c>
      <c r="AV32" s="1">
        <f>[2]หน้าผ้า!EB41</f>
        <v>0</v>
      </c>
      <c r="AW32" s="2" t="str">
        <f>[2]หน้าผ้า!EC41</f>
        <v>งานพิมพ์</v>
      </c>
      <c r="AX32" s="2" t="str">
        <f>[2]หน้าผ้า!ED41</f>
        <v xml:space="preserve"> /</v>
      </c>
      <c r="AY32" s="2">
        <f>[2]หน้าผ้า!AG41</f>
        <v>0</v>
      </c>
      <c r="AZ32" s="2">
        <f>[2]หน้าผ้า!EG41</f>
        <v>0</v>
      </c>
      <c r="BA32" s="2">
        <f>[2]หน้าผ้า!EH41</f>
        <v>0</v>
      </c>
      <c r="BB32" s="2">
        <f>[2]หน้าผ้า!EI41</f>
        <v>0</v>
      </c>
      <c r="BC32" s="1" t="str">
        <f>[2]หน้าผ้า!BZ41</f>
        <v>WRWT21720/WRWT25800</v>
      </c>
      <c r="BD32" s="56">
        <f>[2]หน้าผ้า!CA41</f>
        <v>0</v>
      </c>
    </row>
    <row r="33" spans="1:56" ht="27.75" customHeight="1" x14ac:dyDescent="0.45">
      <c r="A33" s="3">
        <f>[2]หน้าผ้า!C42</f>
        <v>45896</v>
      </c>
      <c r="B33" s="14" t="str">
        <f>[2]หน้าผ้า!B42</f>
        <v>MK68-001043</v>
      </c>
      <c r="C33" s="9" t="str">
        <f>[2]หน้าผ้า!E42</f>
        <v>บจก.เคอรี่ฟลาวมิลล์</v>
      </c>
      <c r="D33" s="13" t="str">
        <f>[2]หน้าผ้า!F42</f>
        <v>HARD FLOUR</v>
      </c>
      <c r="E33" s="9">
        <f>[2]หน้าผ้า!G42</f>
        <v>19</v>
      </c>
      <c r="F33" s="9">
        <f>[2]หน้าผ้า!H42</f>
        <v>32</v>
      </c>
      <c r="G33" s="9" t="str">
        <f>[2]หน้าผ้า!I42</f>
        <v>ขาว</v>
      </c>
      <c r="H33" s="9">
        <f>[2]หน้าผ้า!J42</f>
        <v>0</v>
      </c>
      <c r="I33" s="9">
        <f>[2]หน้าผ้า!L42</f>
        <v>67</v>
      </c>
      <c r="J33" s="9" t="str">
        <f>[2]หน้าผ้า!M42</f>
        <v>+</v>
      </c>
      <c r="K33" s="9">
        <f>[2]หน้าผ้า!N42</f>
        <v>5</v>
      </c>
      <c r="L33" s="9" t="str">
        <f>[2]หน้าผ้า!R42</f>
        <v>บิด</v>
      </c>
      <c r="M33" s="10" t="str">
        <f>[2]หน้าผ้า!T42</f>
        <v>ไม่สวมถุงใน</v>
      </c>
      <c r="N33" s="9">
        <f>[2]หน้าผ้า!U42</f>
        <v>0</v>
      </c>
      <c r="O33" s="9">
        <f>[2]หน้าผ้า!V42</f>
        <v>0</v>
      </c>
      <c r="P33" s="10">
        <f>[2]หน้าผ้า!AB42</f>
        <v>0</v>
      </c>
      <c r="Q33" s="10">
        <f>[2]หน้าผ้า!AC42</f>
        <v>0</v>
      </c>
      <c r="R33" s="10">
        <f>[2]หน้าผ้า!AD42</f>
        <v>0</v>
      </c>
      <c r="S33" s="9" t="str">
        <f>[2]หน้าผ้า!Z42</f>
        <v>ห่ออัดเบลแบน500</v>
      </c>
      <c r="T33" s="12">
        <f>[2]หน้าผ้า!X42</f>
        <v>45909</v>
      </c>
      <c r="U33" s="11">
        <f>[2]หน้าผ้า!AA42</f>
        <v>5000</v>
      </c>
      <c r="V33" s="10">
        <f>[2]หน้าผ้า!AJ42</f>
        <v>0</v>
      </c>
      <c r="W33" s="10">
        <f>[2]หน้าผ้า!AL42</f>
        <v>5000</v>
      </c>
      <c r="X33" s="10">
        <f>[2]หน้าผ้า!AM42</f>
        <v>5400</v>
      </c>
      <c r="Y33" s="10">
        <f>[2]หน้าผ้า!AN42</f>
        <v>0</v>
      </c>
      <c r="Z33" s="9" t="str">
        <f>[2]หน้าผ้า!AO42</f>
        <v>WSWT1921720</v>
      </c>
      <c r="AA33" s="8">
        <f>[2]หน้าผ้า!AQ42</f>
        <v>0</v>
      </c>
      <c r="AB33" s="8">
        <f>[2]หน้าผ้า!AR42</f>
        <v>0</v>
      </c>
      <c r="AC33" s="8">
        <f>[2]หน้าผ้า!AS42</f>
        <v>0</v>
      </c>
      <c r="AD33" s="8">
        <f>[2]หน้าผ้า!AT42</f>
        <v>0</v>
      </c>
      <c r="AE33" s="8">
        <f>[2]หน้าผ้า!AU42</f>
        <v>0</v>
      </c>
      <c r="AF33" s="8">
        <f>[2]หน้าผ้า!AI42</f>
        <v>0</v>
      </c>
      <c r="AG33" s="1" t="str">
        <f>[3]หน้าผ้า!DC45</f>
        <v>รอตัด</v>
      </c>
      <c r="AH33" s="1" t="str">
        <f>[2]หน้าผ้า!DL42</f>
        <v>P7</v>
      </c>
      <c r="AI33" s="1">
        <f>[2]หน้าผ้า!DM42</f>
        <v>2</v>
      </c>
      <c r="AJ33" s="3">
        <f>[2]หน้าผ้า!DN42</f>
        <v>45909</v>
      </c>
      <c r="AK33" s="3">
        <f>[2]หน้าผ้า!DQ42</f>
        <v>0</v>
      </c>
      <c r="AL33" s="3">
        <f>[2]หน้าผ้า!DR42</f>
        <v>45900</v>
      </c>
      <c r="AM33" s="3">
        <f>[2]หน้าผ้า!DS42</f>
        <v>45907</v>
      </c>
      <c r="AN33" s="3">
        <f>[2]หน้าผ้า!DT42</f>
        <v>45908</v>
      </c>
      <c r="AO33" s="3">
        <f>[2]หน้าผ้า!DU42</f>
        <v>45908</v>
      </c>
      <c r="AP33" s="3">
        <f>[2]หน้าผ้า!DP42</f>
        <v>45904</v>
      </c>
      <c r="AQ33" s="3">
        <f>[2]หน้าผ้า!DW42</f>
        <v>0</v>
      </c>
      <c r="AR33" s="3">
        <f>[2]หน้าผ้า!DX42</f>
        <v>0</v>
      </c>
      <c r="AS33" s="3">
        <f>[2]หน้าผ้า!DY42</f>
        <v>0</v>
      </c>
      <c r="AT33" s="3">
        <f>[2]หน้าผ้า!DZ42</f>
        <v>0</v>
      </c>
      <c r="AU33" s="3">
        <f>[2]หน้าผ้า!EA42</f>
        <v>0</v>
      </c>
      <c r="AV33" s="1">
        <f>[2]หน้าผ้า!EB42</f>
        <v>0</v>
      </c>
      <c r="AW33" s="2" t="str">
        <f>[2]หน้าผ้า!EC42</f>
        <v>งานพิมพ์</v>
      </c>
      <c r="AX33" s="2" t="str">
        <f>[2]หน้าผ้า!ED42</f>
        <v xml:space="preserve"> /</v>
      </c>
      <c r="AY33" s="2">
        <f>[2]หน้าผ้า!AG42</f>
        <v>0</v>
      </c>
      <c r="AZ33" s="2">
        <f>[2]หน้าผ้า!EG42</f>
        <v>0</v>
      </c>
      <c r="BA33" s="2">
        <f>[2]หน้าผ้า!EH42</f>
        <v>0</v>
      </c>
      <c r="BB33" s="2">
        <f>[2]หน้าผ้า!EI42</f>
        <v>0</v>
      </c>
      <c r="BC33" s="1" t="str">
        <f>[2]หน้าผ้า!BZ42</f>
        <v>WRWT21720/WRWT25800</v>
      </c>
      <c r="BD33" s="56">
        <f>[2]หน้าผ้า!CA42</f>
        <v>0</v>
      </c>
    </row>
    <row r="34" spans="1:56" ht="27.75" customHeight="1" x14ac:dyDescent="0.45">
      <c r="A34" s="3">
        <f>[2]หน้าผ้า!C43</f>
        <v>45896</v>
      </c>
      <c r="B34" s="14" t="str">
        <f>[2]หน้าผ้า!B43</f>
        <v>MK68-001043</v>
      </c>
      <c r="C34" s="9" t="str">
        <f>[2]หน้าผ้า!E43</f>
        <v>บจก.เคอรี่ฟลาวมิลล์</v>
      </c>
      <c r="D34" s="13" t="str">
        <f>[2]หน้าผ้า!F43</f>
        <v>ปลาโลมาแดง</v>
      </c>
      <c r="E34" s="9">
        <f>[2]หน้าผ้า!G43</f>
        <v>19</v>
      </c>
      <c r="F34" s="9">
        <f>[2]หน้าผ้า!H43</f>
        <v>32</v>
      </c>
      <c r="G34" s="9" t="str">
        <f>[2]หน้าผ้า!I43</f>
        <v>ขาว</v>
      </c>
      <c r="H34" s="9">
        <f>[2]หน้าผ้า!J43</f>
        <v>0</v>
      </c>
      <c r="I34" s="9">
        <f>[2]หน้าผ้า!L43</f>
        <v>67</v>
      </c>
      <c r="J34" s="9" t="str">
        <f>[2]หน้าผ้า!M43</f>
        <v>+</v>
      </c>
      <c r="K34" s="9">
        <f>[2]หน้าผ้า!N43</f>
        <v>5</v>
      </c>
      <c r="L34" s="9" t="str">
        <f>[2]หน้าผ้า!R43</f>
        <v>บิด</v>
      </c>
      <c r="M34" s="10" t="str">
        <f>[2]หน้าผ้า!T43</f>
        <v>ไม่สวมถุงใน</v>
      </c>
      <c r="N34" s="9">
        <f>[2]หน้าผ้า!U43</f>
        <v>0</v>
      </c>
      <c r="O34" s="9">
        <f>[2]หน้าผ้า!V43</f>
        <v>0</v>
      </c>
      <c r="P34" s="10">
        <f>[2]หน้าผ้า!AB43</f>
        <v>0</v>
      </c>
      <c r="Q34" s="10">
        <f>[2]หน้าผ้า!AC43</f>
        <v>0</v>
      </c>
      <c r="R34" s="10">
        <f>[2]หน้าผ้า!AD43</f>
        <v>0</v>
      </c>
      <c r="S34" s="9" t="str">
        <f>[2]หน้าผ้า!Z43</f>
        <v>ห่ออัดเบลแบน500</v>
      </c>
      <c r="T34" s="12">
        <f>[2]หน้าผ้า!X43</f>
        <v>45909</v>
      </c>
      <c r="U34" s="11">
        <f>[2]หน้าผ้า!AA43</f>
        <v>5000</v>
      </c>
      <c r="V34" s="10">
        <f>[2]หน้าผ้า!AJ43</f>
        <v>5000</v>
      </c>
      <c r="W34" s="10">
        <f>[2]หน้าผ้า!AL43</f>
        <v>0</v>
      </c>
      <c r="X34" s="10">
        <f>[2]หน้าผ้า!AM43</f>
        <v>5250</v>
      </c>
      <c r="Y34" s="10">
        <f>[2]หน้าผ้า!AN43</f>
        <v>0</v>
      </c>
      <c r="Z34" s="9" t="str">
        <f>[2]หน้าผ้า!AO43</f>
        <v>WSWT1921720</v>
      </c>
      <c r="AA34" s="8">
        <f>[2]หน้าผ้า!AQ43</f>
        <v>0</v>
      </c>
      <c r="AB34" s="8">
        <f>[2]หน้าผ้า!AR43</f>
        <v>0</v>
      </c>
      <c r="AC34" s="8">
        <f>[2]หน้าผ้า!AS43</f>
        <v>0</v>
      </c>
      <c r="AD34" s="8">
        <f>[2]หน้าผ้า!AT43</f>
        <v>0</v>
      </c>
      <c r="AE34" s="8">
        <f>[2]หน้าผ้า!AU43</f>
        <v>0</v>
      </c>
      <c r="AF34" s="8">
        <f>[2]หน้าผ้า!AI43</f>
        <v>0</v>
      </c>
      <c r="AG34" s="1" t="str">
        <f>[3]หน้าผ้า!DC46</f>
        <v>พร้อมส่ง</v>
      </c>
      <c r="AH34" s="1" t="str">
        <f>[2]หน้าผ้า!DL43</f>
        <v>P7</v>
      </c>
      <c r="AI34" s="1">
        <f>[2]หน้าผ้า!DM43</f>
        <v>2</v>
      </c>
      <c r="AJ34" s="3">
        <f>[2]หน้าผ้า!DN43</f>
        <v>45909</v>
      </c>
      <c r="AK34" s="3">
        <f>[2]หน้าผ้า!DQ43</f>
        <v>0</v>
      </c>
      <c r="AL34" s="3">
        <f>[2]หน้าผ้า!DR43</f>
        <v>45900</v>
      </c>
      <c r="AM34" s="3">
        <f>[2]หน้าผ้า!DS43</f>
        <v>45907</v>
      </c>
      <c r="AN34" s="3">
        <f>[2]หน้าผ้า!DT43</f>
        <v>45908</v>
      </c>
      <c r="AO34" s="3">
        <f>[2]หน้าผ้า!DU43</f>
        <v>45908</v>
      </c>
      <c r="AP34" s="3">
        <f>[2]หน้าผ้า!DP43</f>
        <v>45904</v>
      </c>
      <c r="AQ34" s="3">
        <f>[2]หน้าผ้า!DW43</f>
        <v>0</v>
      </c>
      <c r="AR34" s="3">
        <f>[2]หน้าผ้า!DX43</f>
        <v>0</v>
      </c>
      <c r="AS34" s="3">
        <f>[2]หน้าผ้า!DY43</f>
        <v>0</v>
      </c>
      <c r="AT34" s="3">
        <f>[2]หน้าผ้า!DZ43</f>
        <v>0</v>
      </c>
      <c r="AU34" s="3">
        <f>[2]หน้าผ้า!EA43</f>
        <v>0</v>
      </c>
      <c r="AV34" s="1">
        <f>[2]หน้าผ้า!EB43</f>
        <v>0</v>
      </c>
      <c r="AW34" s="2" t="str">
        <f>[2]หน้าผ้า!EC43</f>
        <v>งานพิมพ์</v>
      </c>
      <c r="AX34" s="2" t="str">
        <f>[2]หน้าผ้า!ED43</f>
        <v xml:space="preserve"> /</v>
      </c>
      <c r="AY34" s="2">
        <f>[2]หน้าผ้า!AG43</f>
        <v>0</v>
      </c>
      <c r="AZ34" s="2">
        <f>[2]หน้าผ้า!EG43</f>
        <v>0</v>
      </c>
      <c r="BA34" s="2">
        <f>[2]หน้าผ้า!EH43</f>
        <v>0</v>
      </c>
      <c r="BB34" s="2">
        <f>[2]หน้าผ้า!EI43</f>
        <v>0</v>
      </c>
      <c r="BC34" s="1" t="str">
        <f>[2]หน้าผ้า!BZ43</f>
        <v>WRWT21720/WRWT25800</v>
      </c>
      <c r="BD34" s="56">
        <f>[2]หน้าผ้า!CA43</f>
        <v>0</v>
      </c>
    </row>
    <row r="35" spans="1:56" ht="27.75" customHeight="1" x14ac:dyDescent="0.45">
      <c r="A35" s="3">
        <f>[2]หน้าผ้า!C44</f>
        <v>45896</v>
      </c>
      <c r="B35" s="14" t="str">
        <f>[2]หน้าผ้า!B44</f>
        <v>MK68-001043</v>
      </c>
      <c r="C35" s="9" t="str">
        <f>[2]หน้าผ้า!E44</f>
        <v>บจก.เคอรี่ฟลาวมิลล์</v>
      </c>
      <c r="D35" s="13" t="str">
        <f>[2]หน้าผ้า!F44</f>
        <v>BS</v>
      </c>
      <c r="E35" s="9">
        <f>[2]หน้าผ้า!G44</f>
        <v>19</v>
      </c>
      <c r="F35" s="9">
        <f>[2]หน้าผ้า!H44</f>
        <v>32</v>
      </c>
      <c r="G35" s="9" t="str">
        <f>[2]หน้าผ้า!I44</f>
        <v>ขาว</v>
      </c>
      <c r="H35" s="9">
        <f>[2]หน้าผ้า!J44</f>
        <v>0</v>
      </c>
      <c r="I35" s="9">
        <f>[2]หน้าผ้า!L44</f>
        <v>67</v>
      </c>
      <c r="J35" s="9" t="str">
        <f>[2]หน้าผ้า!M44</f>
        <v>+</v>
      </c>
      <c r="K35" s="9">
        <f>[2]หน้าผ้า!N44</f>
        <v>5</v>
      </c>
      <c r="L35" s="9" t="str">
        <f>[2]หน้าผ้า!R44</f>
        <v>บิด</v>
      </c>
      <c r="M35" s="10" t="str">
        <f>[2]หน้าผ้า!T44</f>
        <v>ไม่สวมถุงใน</v>
      </c>
      <c r="N35" s="9">
        <f>[2]หน้าผ้า!U44</f>
        <v>0</v>
      </c>
      <c r="O35" s="9">
        <f>[2]หน้าผ้า!V44</f>
        <v>0</v>
      </c>
      <c r="P35" s="10">
        <f>[2]หน้าผ้า!AB44</f>
        <v>0</v>
      </c>
      <c r="Q35" s="10">
        <f>[2]หน้าผ้า!AC44</f>
        <v>0</v>
      </c>
      <c r="R35" s="10">
        <f>[2]หน้าผ้า!AD44</f>
        <v>0</v>
      </c>
      <c r="S35" s="9" t="str">
        <f>[2]หน้าผ้า!Z44</f>
        <v>ห่ออัดเบลแบน500</v>
      </c>
      <c r="T35" s="12">
        <f>[2]หน้าผ้า!X44</f>
        <v>45909</v>
      </c>
      <c r="U35" s="11">
        <f>[2]หน้าผ้า!AA44</f>
        <v>5000</v>
      </c>
      <c r="V35" s="10">
        <f>[2]หน้าผ้า!AJ44</f>
        <v>5000</v>
      </c>
      <c r="W35" s="10">
        <f>[2]หน้าผ้า!AL44</f>
        <v>0</v>
      </c>
      <c r="X35" s="10">
        <f>[2]หน้าผ้า!AM44</f>
        <v>5250</v>
      </c>
      <c r="Y35" s="10">
        <f>[2]หน้าผ้า!AN44</f>
        <v>0</v>
      </c>
      <c r="Z35" s="9" t="str">
        <f>[2]หน้าผ้า!AO44</f>
        <v>WSWT1921720</v>
      </c>
      <c r="AA35" s="8">
        <f>[2]หน้าผ้า!AQ44</f>
        <v>0</v>
      </c>
      <c r="AB35" s="8">
        <f>[2]หน้าผ้า!AR44</f>
        <v>0</v>
      </c>
      <c r="AC35" s="8">
        <f>[2]หน้าผ้า!AS44</f>
        <v>0</v>
      </c>
      <c r="AD35" s="8">
        <f>[2]หน้าผ้า!AT44</f>
        <v>0</v>
      </c>
      <c r="AE35" s="8">
        <f>[2]หน้าผ้า!AU44</f>
        <v>0</v>
      </c>
      <c r="AF35" s="8">
        <f>[2]หน้าผ้า!AI44</f>
        <v>0</v>
      </c>
      <c r="AG35" s="1" t="str">
        <f>[3]หน้าผ้า!DC47</f>
        <v>ยังไม่ได้พิมพ์</v>
      </c>
      <c r="AH35" s="1" t="str">
        <f>[2]หน้าผ้า!DL44</f>
        <v>P7</v>
      </c>
      <c r="AI35" s="1">
        <f>[2]หน้าผ้า!DM44</f>
        <v>2</v>
      </c>
      <c r="AJ35" s="3">
        <f>[2]หน้าผ้า!DN44</f>
        <v>45909</v>
      </c>
      <c r="AK35" s="3">
        <f>[2]หน้าผ้า!DQ44</f>
        <v>0</v>
      </c>
      <c r="AL35" s="3">
        <f>[2]หน้าผ้า!DR44</f>
        <v>45900</v>
      </c>
      <c r="AM35" s="3">
        <f>[2]หน้าผ้า!DS44</f>
        <v>45907</v>
      </c>
      <c r="AN35" s="3">
        <f>[2]หน้าผ้า!DT44</f>
        <v>45908</v>
      </c>
      <c r="AO35" s="3">
        <f>[2]หน้าผ้า!DU44</f>
        <v>45908</v>
      </c>
      <c r="AP35" s="3">
        <f>[2]หน้าผ้า!DP44</f>
        <v>45904</v>
      </c>
      <c r="AQ35" s="3">
        <f>[2]หน้าผ้า!DW44</f>
        <v>0</v>
      </c>
      <c r="AR35" s="3">
        <f>[2]หน้าผ้า!DX44</f>
        <v>0</v>
      </c>
      <c r="AS35" s="3">
        <f>[2]หน้าผ้า!DY44</f>
        <v>0</v>
      </c>
      <c r="AT35" s="3">
        <f>[2]หน้าผ้า!DZ44</f>
        <v>0</v>
      </c>
      <c r="AU35" s="3">
        <f>[2]หน้าผ้า!EA44</f>
        <v>0</v>
      </c>
      <c r="AV35" s="1">
        <f>[2]หน้าผ้า!EB44</f>
        <v>0</v>
      </c>
      <c r="AW35" s="2" t="str">
        <f>[2]หน้าผ้า!EC44</f>
        <v>งานพิมพ์</v>
      </c>
      <c r="AX35" s="2" t="str">
        <f>[2]หน้าผ้า!ED44</f>
        <v xml:space="preserve"> /</v>
      </c>
      <c r="AY35" s="2">
        <f>[2]หน้าผ้า!AG44</f>
        <v>0</v>
      </c>
      <c r="AZ35" s="2">
        <f>[2]หน้าผ้า!EG44</f>
        <v>0</v>
      </c>
      <c r="BA35" s="2">
        <f>[2]หน้าผ้า!EH44</f>
        <v>0</v>
      </c>
      <c r="BB35" s="2">
        <f>[2]หน้าผ้า!EI44</f>
        <v>0</v>
      </c>
      <c r="BC35" s="1" t="str">
        <f>[2]หน้าผ้า!BZ44</f>
        <v>WRWT21720/WRWT25800</v>
      </c>
      <c r="BD35" s="56">
        <f>[2]หน้าผ้า!CA44</f>
        <v>0</v>
      </c>
    </row>
    <row r="36" spans="1:56" ht="27.75" customHeight="1" x14ac:dyDescent="0.45">
      <c r="A36" s="3">
        <f>[2]หน้าผ้า!C45</f>
        <v>45896</v>
      </c>
      <c r="B36" s="14" t="str">
        <f>[2]หน้าผ้า!B45</f>
        <v>MK68-001043</v>
      </c>
      <c r="C36" s="9" t="str">
        <f>[2]หน้าผ้า!E45</f>
        <v>บจก.เคอรี่ฟลาวมิลล์</v>
      </c>
      <c r="D36" s="13" t="str">
        <f>[2]หน้าผ้า!F45</f>
        <v>KFM</v>
      </c>
      <c r="E36" s="9">
        <f>[2]หน้าผ้า!G45</f>
        <v>19</v>
      </c>
      <c r="F36" s="9">
        <f>[2]หน้าผ้า!H45</f>
        <v>32</v>
      </c>
      <c r="G36" s="9" t="str">
        <f>[2]หน้าผ้า!I45</f>
        <v>ขาว</v>
      </c>
      <c r="H36" s="9">
        <f>[2]หน้าผ้า!J45</f>
        <v>0</v>
      </c>
      <c r="I36" s="9">
        <f>[2]หน้าผ้า!L45</f>
        <v>67</v>
      </c>
      <c r="J36" s="9" t="str">
        <f>[2]หน้าผ้า!M45</f>
        <v>+</v>
      </c>
      <c r="K36" s="9">
        <f>[2]หน้าผ้า!N45</f>
        <v>5</v>
      </c>
      <c r="L36" s="9" t="str">
        <f>[2]หน้าผ้า!R45</f>
        <v>ไม่</v>
      </c>
      <c r="M36" s="10" t="str">
        <f>[2]หน้าผ้า!T45</f>
        <v>ไม่สวมถุงใน</v>
      </c>
      <c r="N36" s="9">
        <f>[2]หน้าผ้า!U45</f>
        <v>0</v>
      </c>
      <c r="O36" s="9">
        <f>[2]หน้าผ้า!V45</f>
        <v>0</v>
      </c>
      <c r="P36" s="10">
        <f>[2]หน้าผ้า!AB45</f>
        <v>0</v>
      </c>
      <c r="Q36" s="10">
        <f>[2]หน้าผ้า!AC45</f>
        <v>0</v>
      </c>
      <c r="R36" s="10">
        <f>[2]หน้าผ้า!AD45</f>
        <v>0</v>
      </c>
      <c r="S36" s="9" t="str">
        <f>[2]หน้าผ้า!Z45</f>
        <v>ห่ออัดเบลแบน500</v>
      </c>
      <c r="T36" s="12">
        <f>[2]หน้าผ้า!X45</f>
        <v>45909</v>
      </c>
      <c r="U36" s="11">
        <f>[2]หน้าผ้า!AA45</f>
        <v>5000</v>
      </c>
      <c r="V36" s="10">
        <f>[2]หน้าผ้า!AJ45</f>
        <v>0</v>
      </c>
      <c r="W36" s="10">
        <f>[2]หน้าผ้า!AL45</f>
        <v>5000</v>
      </c>
      <c r="X36" s="10">
        <f>[2]หน้าผ้า!AM45</f>
        <v>5400</v>
      </c>
      <c r="Y36" s="10">
        <f>[2]หน้าผ้า!AN45</f>
        <v>0</v>
      </c>
      <c r="Z36" s="9" t="str">
        <f>[2]หน้าผ้า!AO45</f>
        <v>WSWT1921720</v>
      </c>
      <c r="AA36" s="8">
        <f>[2]หน้าผ้า!AQ45</f>
        <v>0</v>
      </c>
      <c r="AB36" s="8">
        <f>[2]หน้าผ้า!AR45</f>
        <v>0</v>
      </c>
      <c r="AC36" s="8">
        <f>[2]หน้าผ้า!AS45</f>
        <v>0</v>
      </c>
      <c r="AD36" s="8">
        <f>[2]หน้าผ้า!AT45</f>
        <v>0</v>
      </c>
      <c r="AE36" s="8">
        <f>[2]หน้าผ้า!AU45</f>
        <v>0</v>
      </c>
      <c r="AF36" s="8">
        <f>[2]หน้าผ้า!AI45</f>
        <v>0</v>
      </c>
      <c r="AG36" s="1" t="str">
        <f>[3]หน้าผ้า!DC48</f>
        <v>ยังไม่ได้พิมพ์</v>
      </c>
      <c r="AH36" s="1" t="str">
        <f>[2]หน้าผ้า!DL45</f>
        <v>P7</v>
      </c>
      <c r="AI36" s="1">
        <f>[2]หน้าผ้า!DM45</f>
        <v>2</v>
      </c>
      <c r="AJ36" s="3">
        <f>[2]หน้าผ้า!DN45</f>
        <v>45909</v>
      </c>
      <c r="AK36" s="3">
        <f>[2]หน้าผ้า!DQ45</f>
        <v>0</v>
      </c>
      <c r="AL36" s="3">
        <f>[2]หน้าผ้า!DR45</f>
        <v>45900</v>
      </c>
      <c r="AM36" s="3">
        <f>[2]หน้าผ้า!DS45</f>
        <v>45907</v>
      </c>
      <c r="AN36" s="3">
        <f>[2]หน้าผ้า!DT45</f>
        <v>45908</v>
      </c>
      <c r="AO36" s="3">
        <f>[2]หน้าผ้า!DU45</f>
        <v>45908</v>
      </c>
      <c r="AP36" s="3">
        <f>[2]หน้าผ้า!DP45</f>
        <v>45904</v>
      </c>
      <c r="AQ36" s="3">
        <f>[2]หน้าผ้า!DW45</f>
        <v>0</v>
      </c>
      <c r="AR36" s="3">
        <f>[2]หน้าผ้า!DX45</f>
        <v>0</v>
      </c>
      <c r="AS36" s="3">
        <f>[2]หน้าผ้า!DY45</f>
        <v>0</v>
      </c>
      <c r="AT36" s="3">
        <f>[2]หน้าผ้า!DZ45</f>
        <v>0</v>
      </c>
      <c r="AU36" s="3">
        <f>[2]หน้าผ้า!EA45</f>
        <v>0</v>
      </c>
      <c r="AV36" s="1">
        <f>[2]หน้าผ้า!EB45</f>
        <v>0</v>
      </c>
      <c r="AW36" s="2" t="str">
        <f>[2]หน้าผ้า!EC45</f>
        <v>งานพิมพ์</v>
      </c>
      <c r="AX36" s="2" t="str">
        <f>[2]หน้าผ้า!ED45</f>
        <v xml:space="preserve"> /</v>
      </c>
      <c r="AY36" s="2">
        <f>[2]หน้าผ้า!AG45</f>
        <v>0</v>
      </c>
      <c r="AZ36" s="2">
        <f>[2]หน้าผ้า!EG45</f>
        <v>0</v>
      </c>
      <c r="BA36" s="2">
        <f>[2]หน้าผ้า!EH45</f>
        <v>0</v>
      </c>
      <c r="BB36" s="2">
        <f>[2]หน้าผ้า!EI45</f>
        <v>0</v>
      </c>
      <c r="BC36" s="1" t="str">
        <f>[2]หน้าผ้า!BZ45</f>
        <v>WRWT21720/WRWT25800</v>
      </c>
      <c r="BD36" s="56">
        <f>[2]หน้าผ้า!CA45</f>
        <v>0</v>
      </c>
    </row>
    <row r="37" spans="1:56" ht="27.75" customHeight="1" x14ac:dyDescent="0.45">
      <c r="A37" s="3">
        <f>[2]หน้าผ้า!C46</f>
        <v>45896</v>
      </c>
      <c r="B37" s="14" t="str">
        <f>[2]หน้าผ้า!B46</f>
        <v>MK68-001043</v>
      </c>
      <c r="C37" s="9" t="str">
        <f>[2]หน้าผ้า!E46</f>
        <v>บจก.เคอรี่ฟลาวมิลล์</v>
      </c>
      <c r="D37" s="13" t="str">
        <f>[2]หน้าผ้า!F46</f>
        <v>แต้มฟ้า</v>
      </c>
      <c r="E37" s="9">
        <f>[2]หน้าผ้า!G46</f>
        <v>19</v>
      </c>
      <c r="F37" s="9">
        <f>[2]หน้าผ้า!H46</f>
        <v>32</v>
      </c>
      <c r="G37" s="9" t="str">
        <f>[2]หน้าผ้า!I46</f>
        <v>ขาว</v>
      </c>
      <c r="H37" s="9">
        <f>[2]หน้าผ้า!J46</f>
        <v>0</v>
      </c>
      <c r="I37" s="9">
        <f>[2]หน้าผ้า!L46</f>
        <v>67</v>
      </c>
      <c r="J37" s="9" t="str">
        <f>[2]หน้าผ้า!M46</f>
        <v>+</v>
      </c>
      <c r="K37" s="9">
        <f>[2]หน้าผ้า!N46</f>
        <v>5</v>
      </c>
      <c r="L37" s="9" t="str">
        <f>[2]หน้าผ้า!R46</f>
        <v>บิด</v>
      </c>
      <c r="M37" s="10" t="str">
        <f>[2]หน้าผ้า!T46</f>
        <v>ไม่สวมถุงใน</v>
      </c>
      <c r="N37" s="9">
        <f>[2]หน้าผ้า!U46</f>
        <v>0</v>
      </c>
      <c r="O37" s="9">
        <f>[2]หน้าผ้า!V46</f>
        <v>0</v>
      </c>
      <c r="P37" s="10">
        <f>[2]หน้าผ้า!AB46</f>
        <v>0</v>
      </c>
      <c r="Q37" s="10">
        <f>[2]หน้าผ้า!AC46</f>
        <v>0</v>
      </c>
      <c r="R37" s="10">
        <f>[2]หน้าผ้า!AD46</f>
        <v>0</v>
      </c>
      <c r="S37" s="9" t="str">
        <f>[2]หน้าผ้า!Z46</f>
        <v>ห่ออัดเบลแบน500</v>
      </c>
      <c r="T37" s="12">
        <f>[2]หน้าผ้า!X46</f>
        <v>45909</v>
      </c>
      <c r="U37" s="11">
        <f>[2]หน้าผ้า!AA46</f>
        <v>5000</v>
      </c>
      <c r="V37" s="10">
        <f>[2]หน้าผ้า!AJ46</f>
        <v>5000</v>
      </c>
      <c r="W37" s="10">
        <f>[2]หน้าผ้า!AL46</f>
        <v>0</v>
      </c>
      <c r="X37" s="10">
        <f>[2]หน้าผ้า!AM46</f>
        <v>5250</v>
      </c>
      <c r="Y37" s="10">
        <f>[2]หน้าผ้า!AN46</f>
        <v>0</v>
      </c>
      <c r="Z37" s="9" t="str">
        <f>[2]หน้าผ้า!AO46</f>
        <v>WSWT1921720</v>
      </c>
      <c r="AA37" s="8">
        <f>[2]หน้าผ้า!AQ46</f>
        <v>0</v>
      </c>
      <c r="AB37" s="8">
        <f>[2]หน้าผ้า!AR46</f>
        <v>0</v>
      </c>
      <c r="AC37" s="8">
        <f>[2]หน้าผ้า!AS46</f>
        <v>0</v>
      </c>
      <c r="AD37" s="8">
        <f>[2]หน้าผ้า!AT46</f>
        <v>0</v>
      </c>
      <c r="AE37" s="8">
        <f>[2]หน้าผ้า!AU46</f>
        <v>0</v>
      </c>
      <c r="AF37" s="8">
        <f>[2]หน้าผ้า!AI46</f>
        <v>0</v>
      </c>
      <c r="AG37" s="1" t="str">
        <f>[3]หน้าผ้า!DC49</f>
        <v>พร้อมส่ง</v>
      </c>
      <c r="AH37" s="1" t="str">
        <f>[2]หน้าผ้า!DL46</f>
        <v>P7</v>
      </c>
      <c r="AI37" s="1">
        <f>[2]หน้าผ้า!DM46</f>
        <v>2</v>
      </c>
      <c r="AJ37" s="3">
        <f>[2]หน้าผ้า!DN46</f>
        <v>45909</v>
      </c>
      <c r="AK37" s="3">
        <f>[2]หน้าผ้า!DQ46</f>
        <v>0</v>
      </c>
      <c r="AL37" s="3">
        <f>[2]หน้าผ้า!DR46</f>
        <v>45900</v>
      </c>
      <c r="AM37" s="3">
        <f>[2]หน้าผ้า!DS46</f>
        <v>45907</v>
      </c>
      <c r="AN37" s="3">
        <f>[2]หน้าผ้า!DT46</f>
        <v>45908</v>
      </c>
      <c r="AO37" s="3">
        <f>[2]หน้าผ้า!DU46</f>
        <v>45908</v>
      </c>
      <c r="AP37" s="3">
        <f>[2]หน้าผ้า!DP46</f>
        <v>45904</v>
      </c>
      <c r="AQ37" s="3">
        <f>[2]หน้าผ้า!DW46</f>
        <v>0</v>
      </c>
      <c r="AR37" s="3">
        <f>[2]หน้าผ้า!DX46</f>
        <v>0</v>
      </c>
      <c r="AS37" s="3">
        <f>[2]หน้าผ้า!DY46</f>
        <v>0</v>
      </c>
      <c r="AT37" s="3">
        <f>[2]หน้าผ้า!DZ46</f>
        <v>0</v>
      </c>
      <c r="AU37" s="3">
        <f>[2]หน้าผ้า!EA46</f>
        <v>0</v>
      </c>
      <c r="AV37" s="1">
        <f>[2]หน้าผ้า!EB46</f>
        <v>0</v>
      </c>
      <c r="AW37" s="2" t="str">
        <f>[2]หน้าผ้า!EC46</f>
        <v>งานพิมพ์</v>
      </c>
      <c r="AX37" s="2" t="str">
        <f>[2]หน้าผ้า!ED46</f>
        <v xml:space="preserve"> /</v>
      </c>
      <c r="AY37" s="2">
        <f>[2]หน้าผ้า!AG46</f>
        <v>0</v>
      </c>
      <c r="AZ37" s="2">
        <f>[2]หน้าผ้า!EG46</f>
        <v>0</v>
      </c>
      <c r="BA37" s="2">
        <f>[2]หน้าผ้า!EH46</f>
        <v>0</v>
      </c>
      <c r="BB37" s="2">
        <f>[2]หน้าผ้า!EI46</f>
        <v>0</v>
      </c>
      <c r="BC37" s="1" t="str">
        <f>[2]หน้าผ้า!BZ46</f>
        <v>WRWT21720/WRWT25800</v>
      </c>
      <c r="BD37" s="56">
        <f>[2]หน้าผ้า!CA46</f>
        <v>0</v>
      </c>
    </row>
    <row r="38" spans="1:56" ht="27.75" customHeight="1" x14ac:dyDescent="0.45">
      <c r="A38" s="3">
        <f>[2]หน้าผ้า!C47</f>
        <v>45898</v>
      </c>
      <c r="B38" s="14" t="str">
        <f>[2]หน้าผ้า!B47</f>
        <v>MK68-001044</v>
      </c>
      <c r="C38" s="9" t="str">
        <f>[2]หน้าผ้า!E47</f>
        <v>บจก.เคอรี่ฟลาวมิลล์</v>
      </c>
      <c r="D38" s="13" t="str">
        <f>[2]หน้าผ้า!F47</f>
        <v>หีบเพลงเหลือง</v>
      </c>
      <c r="E38" s="9">
        <f>[2]หน้าผ้า!G47</f>
        <v>19</v>
      </c>
      <c r="F38" s="9">
        <f>[2]หน้าผ้า!H47</f>
        <v>32</v>
      </c>
      <c r="G38" s="9" t="str">
        <f>[2]หน้าผ้า!I47</f>
        <v>ขาว</v>
      </c>
      <c r="H38" s="9">
        <f>[2]หน้าผ้า!J47</f>
        <v>0</v>
      </c>
      <c r="I38" s="9">
        <f>[2]หน้าผ้า!L47</f>
        <v>67</v>
      </c>
      <c r="J38" s="9" t="str">
        <f>[2]หน้าผ้า!M47</f>
        <v>+</v>
      </c>
      <c r="K38" s="9">
        <f>[2]หน้าผ้า!N47</f>
        <v>5</v>
      </c>
      <c r="L38" s="9" t="str">
        <f>[2]หน้าผ้า!R47</f>
        <v>บิด</v>
      </c>
      <c r="M38" s="10" t="str">
        <f>[2]หน้าผ้า!T47</f>
        <v>ไม่สวมถุงใน</v>
      </c>
      <c r="N38" s="9">
        <f>[2]หน้าผ้า!U47</f>
        <v>0</v>
      </c>
      <c r="O38" s="9">
        <f>[2]หน้าผ้า!V47</f>
        <v>0</v>
      </c>
      <c r="P38" s="10">
        <f>[2]หน้าผ้า!AB47</f>
        <v>0</v>
      </c>
      <c r="Q38" s="10">
        <f>[2]หน้าผ้า!AC47</f>
        <v>0</v>
      </c>
      <c r="R38" s="10">
        <f>[2]หน้าผ้า!AD47</f>
        <v>0</v>
      </c>
      <c r="S38" s="9" t="str">
        <f>[2]หน้าผ้า!Z47</f>
        <v>ห่ออัดเบลแบน500</v>
      </c>
      <c r="T38" s="12">
        <f>[2]หน้าผ้า!X47</f>
        <v>45909</v>
      </c>
      <c r="U38" s="11">
        <f>[2]หน้าผ้า!AA47</f>
        <v>5000</v>
      </c>
      <c r="V38" s="10">
        <f>[2]หน้าผ้า!AJ47</f>
        <v>0</v>
      </c>
      <c r="W38" s="10">
        <f>[2]หน้าผ้า!AL47</f>
        <v>5000</v>
      </c>
      <c r="X38" s="10">
        <f>[2]หน้าผ้า!AM47</f>
        <v>0</v>
      </c>
      <c r="Y38" s="10">
        <f>[2]หน้าผ้า!AN47</f>
        <v>5250</v>
      </c>
      <c r="Z38" s="9" t="str">
        <f>[2]หน้าผ้า!AO47</f>
        <v>WSWT1921720</v>
      </c>
      <c r="AA38" s="8">
        <f>[2]หน้าผ้า!AQ47</f>
        <v>4679.9500000000007</v>
      </c>
      <c r="AB38" s="8">
        <f>[2]หน้าผ้า!AR47</f>
        <v>4679.9500000000007</v>
      </c>
      <c r="AC38" s="8">
        <f>[2]หน้าผ้า!AS47</f>
        <v>0</v>
      </c>
      <c r="AD38" s="8">
        <f>[2]หน้าผ้า!AT47</f>
        <v>0</v>
      </c>
      <c r="AE38" s="8">
        <f>[2]หน้าผ้า!AU47</f>
        <v>0</v>
      </c>
      <c r="AF38" s="8">
        <f>[2]หน้าผ้า!AI47</f>
        <v>0</v>
      </c>
      <c r="AG38" s="1" t="str">
        <f>[3]หน้าผ้า!DC50</f>
        <v>ผ้าขาว</v>
      </c>
      <c r="AH38" s="1" t="str">
        <f>[2]หน้าผ้า!DL47</f>
        <v>P7</v>
      </c>
      <c r="AI38" s="1">
        <f>[2]หน้าผ้า!DM47</f>
        <v>2</v>
      </c>
      <c r="AJ38" s="3">
        <f>[2]หน้าผ้า!DN47</f>
        <v>45909</v>
      </c>
      <c r="AK38" s="3">
        <f>[2]หน้าผ้า!DQ47</f>
        <v>0</v>
      </c>
      <c r="AL38" s="3">
        <f>[2]หน้าผ้า!DR47</f>
        <v>45900</v>
      </c>
      <c r="AM38" s="3">
        <f>[2]หน้าผ้า!DS47</f>
        <v>45907</v>
      </c>
      <c r="AN38" s="3">
        <f>[2]หน้าผ้า!DT47</f>
        <v>45908</v>
      </c>
      <c r="AO38" s="3">
        <f>[2]หน้าผ้า!DU47</f>
        <v>45908</v>
      </c>
      <c r="AP38" s="3">
        <f>[2]หน้าผ้า!DP47</f>
        <v>45904</v>
      </c>
      <c r="AQ38" s="3">
        <f>[2]หน้าผ้า!DW47</f>
        <v>0</v>
      </c>
      <c r="AR38" s="3">
        <f>[2]หน้าผ้า!DX47</f>
        <v>0</v>
      </c>
      <c r="AS38" s="3">
        <f>[2]หน้าผ้า!DY47</f>
        <v>0</v>
      </c>
      <c r="AT38" s="3">
        <f>[2]หน้าผ้า!DZ47</f>
        <v>0</v>
      </c>
      <c r="AU38" s="3">
        <f>[2]หน้าผ้า!EA47</f>
        <v>0</v>
      </c>
      <c r="AV38" s="1">
        <f>[2]หน้าผ้า!EB47</f>
        <v>0</v>
      </c>
      <c r="AW38" s="2" t="str">
        <f>[2]หน้าผ้า!EC47</f>
        <v>งานพิมพ์</v>
      </c>
      <c r="AX38" s="2" t="str">
        <f>[2]หน้าผ้า!ED47</f>
        <v xml:space="preserve"> /</v>
      </c>
      <c r="AY38" s="2">
        <f>[2]หน้าผ้า!AG47</f>
        <v>0</v>
      </c>
      <c r="AZ38" s="2">
        <f>[2]หน้าผ้า!EG47</f>
        <v>0</v>
      </c>
      <c r="BA38" s="2">
        <f>[2]หน้าผ้า!EH47</f>
        <v>0</v>
      </c>
      <c r="BB38" s="2">
        <f>[2]หน้าผ้า!EI47</f>
        <v>0</v>
      </c>
      <c r="BC38" s="1" t="str">
        <f>[2]หน้าผ้า!BZ47</f>
        <v>WRWT21720/WRWT25800</v>
      </c>
      <c r="BD38" s="56">
        <f>[2]หน้าผ้า!CA47</f>
        <v>0</v>
      </c>
    </row>
    <row r="39" spans="1:56" ht="27.75" customHeight="1" x14ac:dyDescent="0.45">
      <c r="A39" s="3">
        <f>[2]หน้าผ้า!C48</f>
        <v>45898</v>
      </c>
      <c r="B39" s="14" t="str">
        <f>[2]หน้าผ้า!B48</f>
        <v>MK68-001044</v>
      </c>
      <c r="C39" s="9" t="str">
        <f>[2]หน้าผ้า!E48</f>
        <v>บจก.เคอรี่ฟลาวมิลล์</v>
      </c>
      <c r="D39" s="13" t="str">
        <f>[2]หน้าผ้า!F48</f>
        <v>บะหมี่เตี๊ยว</v>
      </c>
      <c r="E39" s="9">
        <f>[2]หน้าผ้า!G48</f>
        <v>19</v>
      </c>
      <c r="F39" s="9">
        <f>[2]หน้าผ้า!H48</f>
        <v>32</v>
      </c>
      <c r="G39" s="9" t="str">
        <f>[2]หน้าผ้า!I48</f>
        <v>ขาว</v>
      </c>
      <c r="H39" s="9">
        <f>[2]หน้าผ้า!J48</f>
        <v>0</v>
      </c>
      <c r="I39" s="9">
        <f>[2]หน้าผ้า!L48</f>
        <v>67</v>
      </c>
      <c r="J39" s="9" t="str">
        <f>[2]หน้าผ้า!M48</f>
        <v>+</v>
      </c>
      <c r="K39" s="9">
        <f>[2]หน้าผ้า!N48</f>
        <v>5</v>
      </c>
      <c r="L39" s="9" t="str">
        <f>[2]หน้าผ้า!R48</f>
        <v>บิด</v>
      </c>
      <c r="M39" s="10" t="str">
        <f>[2]หน้าผ้า!T48</f>
        <v>ไม่สวมถุงใน</v>
      </c>
      <c r="N39" s="9">
        <f>[2]หน้าผ้า!U48</f>
        <v>0</v>
      </c>
      <c r="O39" s="9">
        <f>[2]หน้าผ้า!V48</f>
        <v>0</v>
      </c>
      <c r="P39" s="10">
        <f>[2]หน้าผ้า!AB48</f>
        <v>0</v>
      </c>
      <c r="Q39" s="10">
        <f>[2]หน้าผ้า!AC48</f>
        <v>0</v>
      </c>
      <c r="R39" s="10">
        <f>[2]หน้าผ้า!AD48</f>
        <v>0</v>
      </c>
      <c r="S39" s="9" t="str">
        <f>[2]หน้าผ้า!Z48</f>
        <v>ห่ออัดเบลแบน500</v>
      </c>
      <c r="T39" s="12">
        <f>[2]หน้าผ้า!X48</f>
        <v>45909</v>
      </c>
      <c r="U39" s="11">
        <f>[2]หน้าผ้า!AA48</f>
        <v>5000</v>
      </c>
      <c r="V39" s="10">
        <f>[2]หน้าผ้า!AJ48</f>
        <v>0</v>
      </c>
      <c r="W39" s="10">
        <f>[2]หน้าผ้า!AL48</f>
        <v>5000</v>
      </c>
      <c r="X39" s="10">
        <f>[2]หน้าผ้า!AM48</f>
        <v>0</v>
      </c>
      <c r="Y39" s="10">
        <f>[2]หน้าผ้า!AN48</f>
        <v>5250</v>
      </c>
      <c r="Z39" s="9" t="str">
        <f>[2]หน้าผ้า!AO48</f>
        <v>WSWT1921720</v>
      </c>
      <c r="AA39" s="8">
        <f>[2]หน้าผ้า!AQ48</f>
        <v>4679.9500000000007</v>
      </c>
      <c r="AB39" s="8">
        <f>[2]หน้าผ้า!AR48</f>
        <v>4679.9500000000007</v>
      </c>
      <c r="AC39" s="8">
        <f>[2]หน้าผ้า!AS48</f>
        <v>0</v>
      </c>
      <c r="AD39" s="8">
        <f>[2]หน้าผ้า!AT48</f>
        <v>0</v>
      </c>
      <c r="AE39" s="8">
        <f>[2]หน้าผ้า!AU48</f>
        <v>0</v>
      </c>
      <c r="AF39" s="8">
        <f>[2]หน้าผ้า!AI48</f>
        <v>0</v>
      </c>
      <c r="AG39" s="1" t="str">
        <f>[3]หน้าผ้า!DC51</f>
        <v>ผ้าขาว</v>
      </c>
      <c r="AH39" s="1" t="str">
        <f>[2]หน้าผ้า!DL48</f>
        <v>P7</v>
      </c>
      <c r="AI39" s="1">
        <f>[2]หน้าผ้า!DM48</f>
        <v>2</v>
      </c>
      <c r="AJ39" s="3">
        <f>[2]หน้าผ้า!DN48</f>
        <v>45909</v>
      </c>
      <c r="AK39" s="3">
        <f>[2]หน้าผ้า!DQ48</f>
        <v>0</v>
      </c>
      <c r="AL39" s="3">
        <f>[2]หน้าผ้า!DR48</f>
        <v>45900</v>
      </c>
      <c r="AM39" s="3">
        <f>[2]หน้าผ้า!DS48</f>
        <v>45907</v>
      </c>
      <c r="AN39" s="3">
        <f>[2]หน้าผ้า!DT48</f>
        <v>45908</v>
      </c>
      <c r="AO39" s="3">
        <f>[2]หน้าผ้า!DU48</f>
        <v>45908</v>
      </c>
      <c r="AP39" s="3">
        <f>[2]หน้าผ้า!DP48</f>
        <v>45904</v>
      </c>
      <c r="AQ39" s="3">
        <f>[2]หน้าผ้า!DW48</f>
        <v>0</v>
      </c>
      <c r="AR39" s="3">
        <f>[2]หน้าผ้า!DX48</f>
        <v>0</v>
      </c>
      <c r="AS39" s="3">
        <f>[2]หน้าผ้า!DY48</f>
        <v>0</v>
      </c>
      <c r="AT39" s="3">
        <f>[2]หน้าผ้า!DZ48</f>
        <v>0</v>
      </c>
      <c r="AU39" s="3">
        <f>[2]หน้าผ้า!EA48</f>
        <v>0</v>
      </c>
      <c r="AV39" s="1">
        <f>[2]หน้าผ้า!EB48</f>
        <v>0</v>
      </c>
      <c r="AW39" s="2" t="str">
        <f>[2]หน้าผ้า!EC48</f>
        <v>งานพิมพ์</v>
      </c>
      <c r="AX39" s="2" t="str">
        <f>[2]หน้าผ้า!ED48</f>
        <v xml:space="preserve"> /</v>
      </c>
      <c r="AY39" s="2">
        <f>[2]หน้าผ้า!AG48</f>
        <v>0</v>
      </c>
      <c r="AZ39" s="2">
        <f>[2]หน้าผ้า!EG48</f>
        <v>0</v>
      </c>
      <c r="BA39" s="2">
        <f>[2]หน้าผ้า!EH48</f>
        <v>0</v>
      </c>
      <c r="BB39" s="2">
        <f>[2]หน้าผ้า!EI48</f>
        <v>0</v>
      </c>
      <c r="BC39" s="1" t="str">
        <f>[2]หน้าผ้า!BZ48</f>
        <v>WRWT21720/WRWT25800</v>
      </c>
      <c r="BD39" s="56">
        <f>[2]หน้าผ้า!CA48</f>
        <v>0</v>
      </c>
    </row>
    <row r="40" spans="1:56" ht="27.75" customHeight="1" x14ac:dyDescent="0.45">
      <c r="A40" s="3">
        <f>[2]หน้าผ้า!C49</f>
        <v>45898</v>
      </c>
      <c r="B40" s="14" t="str">
        <f>[2]หน้าผ้า!B49</f>
        <v>MK68-001044</v>
      </c>
      <c r="C40" s="9" t="str">
        <f>[2]หน้าผ้า!E49</f>
        <v>บจก.เคอรี่ฟลาวมิลล์</v>
      </c>
      <c r="D40" s="13" t="str">
        <f>[2]หน้าผ้า!F49</f>
        <v>FW-Y</v>
      </c>
      <c r="E40" s="9">
        <f>[2]หน้าผ้า!G49</f>
        <v>19</v>
      </c>
      <c r="F40" s="9">
        <f>[2]หน้าผ้า!H49</f>
        <v>32</v>
      </c>
      <c r="G40" s="9" t="str">
        <f>[2]หน้าผ้า!I49</f>
        <v>ขาว</v>
      </c>
      <c r="H40" s="9">
        <f>[2]หน้าผ้า!J49</f>
        <v>0</v>
      </c>
      <c r="I40" s="9">
        <f>[2]หน้าผ้า!L49</f>
        <v>67</v>
      </c>
      <c r="J40" s="9" t="str">
        <f>[2]หน้าผ้า!M49</f>
        <v>+</v>
      </c>
      <c r="K40" s="9">
        <f>[2]หน้าผ้า!N49</f>
        <v>5</v>
      </c>
      <c r="L40" s="9" t="str">
        <f>[2]หน้าผ้า!R49</f>
        <v>บิด</v>
      </c>
      <c r="M40" s="10" t="str">
        <f>[2]หน้าผ้า!T49</f>
        <v>ไม่สวมถุงใน</v>
      </c>
      <c r="N40" s="9">
        <f>[2]หน้าผ้า!U49</f>
        <v>0</v>
      </c>
      <c r="O40" s="9">
        <f>[2]หน้าผ้า!V49</f>
        <v>0</v>
      </c>
      <c r="P40" s="10">
        <f>[2]หน้าผ้า!AB49</f>
        <v>0</v>
      </c>
      <c r="Q40" s="10">
        <f>[2]หน้าผ้า!AC49</f>
        <v>0</v>
      </c>
      <c r="R40" s="10">
        <f>[2]หน้าผ้า!AD49</f>
        <v>0</v>
      </c>
      <c r="S40" s="9" t="str">
        <f>[2]หน้าผ้า!Z49</f>
        <v>ห่ออัดเบลแบน500</v>
      </c>
      <c r="T40" s="12">
        <f>[2]หน้าผ้า!X49</f>
        <v>45909</v>
      </c>
      <c r="U40" s="11">
        <f>[2]หน้าผ้า!AA49</f>
        <v>5000</v>
      </c>
      <c r="V40" s="10">
        <f>[2]หน้าผ้า!AJ49</f>
        <v>5000</v>
      </c>
      <c r="W40" s="10">
        <f>[2]หน้าผ้า!AL49</f>
        <v>0</v>
      </c>
      <c r="X40" s="10">
        <f>[2]หน้าผ้า!AM49</f>
        <v>5400</v>
      </c>
      <c r="Y40" s="10">
        <f>[2]หน้าผ้า!AN49</f>
        <v>0</v>
      </c>
      <c r="Z40" s="9" t="str">
        <f>[2]หน้าผ้า!AO49</f>
        <v>WSWT1921720</v>
      </c>
      <c r="AA40" s="8">
        <f>[2]หน้าผ้า!AQ49</f>
        <v>0</v>
      </c>
      <c r="AB40" s="8">
        <f>[2]หน้าผ้า!AR49</f>
        <v>0</v>
      </c>
      <c r="AC40" s="8">
        <f>[2]หน้าผ้า!AS49</f>
        <v>0</v>
      </c>
      <c r="AD40" s="8">
        <f>[2]หน้าผ้า!AT49</f>
        <v>0</v>
      </c>
      <c r="AE40" s="8">
        <f>[2]หน้าผ้า!AU49</f>
        <v>0</v>
      </c>
      <c r="AF40" s="8">
        <f>[2]หน้าผ้า!AI49</f>
        <v>0</v>
      </c>
      <c r="AG40" s="1" t="str">
        <f>[3]หน้าผ้า!DC52</f>
        <v>ผ้าขาว</v>
      </c>
      <c r="AH40" s="1" t="str">
        <f>[2]หน้าผ้า!DL49</f>
        <v>P7</v>
      </c>
      <c r="AI40" s="1">
        <f>[2]หน้าผ้า!DM49</f>
        <v>2</v>
      </c>
      <c r="AJ40" s="3">
        <f>[2]หน้าผ้า!DN49</f>
        <v>45909</v>
      </c>
      <c r="AK40" s="3">
        <f>[2]หน้าผ้า!DQ49</f>
        <v>0</v>
      </c>
      <c r="AL40" s="3">
        <f>[2]หน้าผ้า!DR49</f>
        <v>45900</v>
      </c>
      <c r="AM40" s="3">
        <f>[2]หน้าผ้า!DS49</f>
        <v>45907</v>
      </c>
      <c r="AN40" s="3">
        <f>[2]หน้าผ้า!DT49</f>
        <v>45908</v>
      </c>
      <c r="AO40" s="3">
        <f>[2]หน้าผ้า!DU49</f>
        <v>45908</v>
      </c>
      <c r="AP40" s="3">
        <f>[2]หน้าผ้า!DP49</f>
        <v>45904</v>
      </c>
      <c r="AQ40" s="3">
        <f>[2]หน้าผ้า!DW49</f>
        <v>0</v>
      </c>
      <c r="AR40" s="3">
        <f>[2]หน้าผ้า!DX49</f>
        <v>0</v>
      </c>
      <c r="AS40" s="3">
        <f>[2]หน้าผ้า!DY49</f>
        <v>0</v>
      </c>
      <c r="AT40" s="3">
        <f>[2]หน้าผ้า!DZ49</f>
        <v>0</v>
      </c>
      <c r="AU40" s="3">
        <f>[2]หน้าผ้า!EA49</f>
        <v>0</v>
      </c>
      <c r="AV40" s="1">
        <f>[2]หน้าผ้า!EB49</f>
        <v>0</v>
      </c>
      <c r="AW40" s="2" t="str">
        <f>[2]หน้าผ้า!EC49</f>
        <v>งานพิมพ์</v>
      </c>
      <c r="AX40" s="2" t="str">
        <f>[2]หน้าผ้า!ED49</f>
        <v xml:space="preserve"> /</v>
      </c>
      <c r="AY40" s="2">
        <f>[2]หน้าผ้า!AG49</f>
        <v>0</v>
      </c>
      <c r="AZ40" s="2">
        <f>[2]หน้าผ้า!EG49</f>
        <v>0</v>
      </c>
      <c r="BA40" s="2">
        <f>[2]หน้าผ้า!EH49</f>
        <v>0</v>
      </c>
      <c r="BB40" s="2">
        <f>[2]หน้าผ้า!EI49</f>
        <v>0</v>
      </c>
      <c r="BC40" s="1" t="str">
        <f>[2]หน้าผ้า!BZ49</f>
        <v>WRWT21720/WRWT25800</v>
      </c>
      <c r="BD40" s="56">
        <f>[2]หน้าผ้า!CA49</f>
        <v>0</v>
      </c>
    </row>
    <row r="41" spans="1:56" ht="27.75" customHeight="1" x14ac:dyDescent="0.45">
      <c r="A41" s="3">
        <f>[2]หน้าผ้า!C50</f>
        <v>45904</v>
      </c>
      <c r="B41" s="14" t="str">
        <f>[2]หน้าผ้า!B50</f>
        <v>MK68-001075</v>
      </c>
      <c r="C41" s="9" t="str">
        <f>[2]หน้าผ้า!E50</f>
        <v>บจก.เคอรี่ฟลาวมิลล์</v>
      </c>
      <c r="D41" s="13" t="str">
        <f>[2]หน้าผ้า!F50</f>
        <v>ไม่พิมพ์</v>
      </c>
      <c r="E41" s="9">
        <f>[2]หน้าผ้า!G50</f>
        <v>19</v>
      </c>
      <c r="F41" s="9">
        <f>[2]หน้าผ้า!H50</f>
        <v>32</v>
      </c>
      <c r="G41" s="9" t="str">
        <f>[2]หน้าผ้า!I50</f>
        <v>ขาว</v>
      </c>
      <c r="H41" s="9">
        <f>[2]หน้าผ้า!J50</f>
        <v>0</v>
      </c>
      <c r="I41" s="9">
        <f>[2]หน้าผ้า!L50</f>
        <v>67</v>
      </c>
      <c r="J41" s="9" t="str">
        <f>[2]หน้าผ้า!M50</f>
        <v>+</v>
      </c>
      <c r="K41" s="9">
        <f>[2]หน้าผ้า!N50</f>
        <v>5</v>
      </c>
      <c r="L41" s="9" t="str">
        <f>[2]หน้าผ้า!R50</f>
        <v>ไม่</v>
      </c>
      <c r="M41" s="10" t="str">
        <f>[2]หน้าผ้า!T50</f>
        <v>ไม่สวมถุงใน</v>
      </c>
      <c r="N41" s="9">
        <f>[2]หน้าผ้า!U50</f>
        <v>0</v>
      </c>
      <c r="O41" s="9">
        <f>[2]หน้าผ้า!V50</f>
        <v>0</v>
      </c>
      <c r="P41" s="10">
        <f>[2]หน้าผ้า!AB50</f>
        <v>0</v>
      </c>
      <c r="Q41" s="10">
        <f>[2]หน้าผ้า!AC50</f>
        <v>0</v>
      </c>
      <c r="R41" s="10">
        <f>[2]หน้าผ้า!AD50</f>
        <v>0</v>
      </c>
      <c r="S41" s="9" t="str">
        <f>[2]หน้าผ้า!Z50</f>
        <v>ห่ออัดเบลแบน501</v>
      </c>
      <c r="T41" s="12">
        <f>[2]หน้าผ้า!X50</f>
        <v>45915</v>
      </c>
      <c r="U41" s="11">
        <f>[2]หน้าผ้า!AA50</f>
        <v>20000</v>
      </c>
      <c r="V41" s="10">
        <f>[2]หน้าผ้า!AJ50</f>
        <v>0</v>
      </c>
      <c r="W41" s="10">
        <f>[2]หน้าผ้า!AL50</f>
        <v>20000</v>
      </c>
      <c r="X41" s="10">
        <f>[2]หน้าผ้า!AM50</f>
        <v>0</v>
      </c>
      <c r="Y41" s="10">
        <f>[2]หน้าผ้า!AN50</f>
        <v>0</v>
      </c>
      <c r="Z41" s="9" t="str">
        <f>[2]หน้าผ้า!AO50</f>
        <v>WSWT1921720</v>
      </c>
      <c r="AA41" s="8">
        <f>[2]หน้าผ้า!AQ50</f>
        <v>18719.800000000003</v>
      </c>
      <c r="AB41" s="8">
        <f>[2]หน้าผ้า!AR50</f>
        <v>18719.800000000003</v>
      </c>
      <c r="AC41" s="8">
        <f>[2]หน้าผ้า!AS50</f>
        <v>0</v>
      </c>
      <c r="AD41" s="8">
        <f>[2]หน้าผ้า!AT50</f>
        <v>0</v>
      </c>
      <c r="AE41" s="8">
        <f>[2]หน้าผ้า!AU50</f>
        <v>0</v>
      </c>
      <c r="AF41" s="8">
        <f>[2]หน้าผ้า!AI50</f>
        <v>0</v>
      </c>
      <c r="AG41" s="1" t="str">
        <f>[3]หน้าผ้า!DC53</f>
        <v>ผ้าขาว</v>
      </c>
      <c r="AH41" s="1" t="str">
        <f>[2]หน้าผ้า!DL50</f>
        <v>P3</v>
      </c>
      <c r="AI41" s="1">
        <f>[2]หน้าผ้า!DM50</f>
        <v>1</v>
      </c>
      <c r="AJ41" s="3">
        <f>[2]หน้าผ้า!DN50</f>
        <v>45915</v>
      </c>
      <c r="AK41" s="3">
        <f>[2]หน้าผ้า!DQ50</f>
        <v>0</v>
      </c>
      <c r="AL41" s="3">
        <f>[2]หน้าผ้า!DR50</f>
        <v>0</v>
      </c>
      <c r="AM41" s="3">
        <f>[2]หน้าผ้า!DS50</f>
        <v>0</v>
      </c>
      <c r="AN41" s="3">
        <f>[2]หน้าผ้า!DT50</f>
        <v>0</v>
      </c>
      <c r="AO41" s="3">
        <f>[2]หน้าผ้า!DU50</f>
        <v>45914</v>
      </c>
      <c r="AP41" s="3">
        <f>[2]หน้าผ้า!DP50</f>
        <v>45910</v>
      </c>
      <c r="AQ41" s="3">
        <f>[2]หน้าผ้า!DW50</f>
        <v>0</v>
      </c>
      <c r="AR41" s="3">
        <f>[2]หน้าผ้า!DX50</f>
        <v>0</v>
      </c>
      <c r="AS41" s="3">
        <f>[2]หน้าผ้า!DY50</f>
        <v>0</v>
      </c>
      <c r="AT41" s="3">
        <f>[2]หน้าผ้า!DZ50</f>
        <v>0</v>
      </c>
      <c r="AU41" s="3">
        <f>[2]หน้าผ้า!EA50</f>
        <v>0</v>
      </c>
      <c r="AV41" s="1">
        <f>[2]หน้าผ้า!EB50</f>
        <v>0</v>
      </c>
      <c r="AW41" s="2" t="str">
        <f>[2]หน้าผ้า!EC50</f>
        <v>ตัด</v>
      </c>
      <c r="AX41" s="2">
        <f>[2]หน้าผ้า!ED50</f>
        <v>0</v>
      </c>
      <c r="AY41" s="2">
        <f>[2]หน้าผ้า!AG50</f>
        <v>0</v>
      </c>
      <c r="AZ41" s="2">
        <f>[2]หน้าผ้า!EG50</f>
        <v>0</v>
      </c>
      <c r="BA41" s="2">
        <f>[2]หน้าผ้า!EH50</f>
        <v>0</v>
      </c>
      <c r="BB41" s="2">
        <f>[2]หน้าผ้า!EI50</f>
        <v>0</v>
      </c>
      <c r="BC41" s="1" t="str">
        <f>[2]หน้าผ้า!BZ50</f>
        <v>WRWT21720/WRWT25800</v>
      </c>
      <c r="BD41" s="56">
        <f>[2]หน้าผ้า!CA50</f>
        <v>0</v>
      </c>
    </row>
    <row r="42" spans="1:56" ht="27.75" customHeight="1" x14ac:dyDescent="0.45">
      <c r="A42" s="3">
        <f>[2]หน้าผ้า!C51</f>
        <v>45904</v>
      </c>
      <c r="B42" s="14" t="str">
        <f>[2]หน้าผ้า!B51</f>
        <v>MK68-001075</v>
      </c>
      <c r="C42" s="9" t="str">
        <f>[2]หน้าผ้า!E51</f>
        <v>บจก.เคอรี่ฟลาวมิลล์</v>
      </c>
      <c r="D42" s="13" t="str">
        <f>[2]หน้าผ้า!F51</f>
        <v>ไม่พิมพ์</v>
      </c>
      <c r="E42" s="9">
        <f>[2]หน้าผ้า!G51</f>
        <v>19</v>
      </c>
      <c r="F42" s="9">
        <f>[2]หน้าผ้า!H51</f>
        <v>32</v>
      </c>
      <c r="G42" s="9" t="str">
        <f>[2]หน้าผ้า!I51</f>
        <v>ขาว</v>
      </c>
      <c r="H42" s="9">
        <f>[2]หน้าผ้า!J51</f>
        <v>0</v>
      </c>
      <c r="I42" s="9">
        <f>[2]หน้าผ้า!L51</f>
        <v>67</v>
      </c>
      <c r="J42" s="9" t="str">
        <f>[2]หน้าผ้า!M51</f>
        <v>+</v>
      </c>
      <c r="K42" s="9">
        <f>[2]หน้าผ้า!N51</f>
        <v>5</v>
      </c>
      <c r="L42" s="9" t="str">
        <f>[2]หน้าผ้า!R51</f>
        <v>ไม่</v>
      </c>
      <c r="M42" s="10" t="str">
        <f>[2]หน้าผ้า!T51</f>
        <v>ไม่สวมถุงใน</v>
      </c>
      <c r="N42" s="9">
        <f>[2]หน้าผ้า!U51</f>
        <v>0</v>
      </c>
      <c r="O42" s="9">
        <f>[2]หน้าผ้า!V51</f>
        <v>0</v>
      </c>
      <c r="P42" s="10">
        <f>[2]หน้าผ้า!AB51</f>
        <v>0</v>
      </c>
      <c r="Q42" s="10">
        <f>[2]หน้าผ้า!AC51</f>
        <v>0</v>
      </c>
      <c r="R42" s="10">
        <f>[2]หน้าผ้า!AD51</f>
        <v>0</v>
      </c>
      <c r="S42" s="9" t="str">
        <f>[2]หน้าผ้า!Z51</f>
        <v>ห่ออัดเบลแบน501</v>
      </c>
      <c r="T42" s="12">
        <f>[2]หน้าผ้า!X51</f>
        <v>45924</v>
      </c>
      <c r="U42" s="11">
        <f>[2]หน้าผ้า!AA51</f>
        <v>20000</v>
      </c>
      <c r="V42" s="10">
        <f>[2]หน้าผ้า!AJ51</f>
        <v>0</v>
      </c>
      <c r="W42" s="10">
        <f>[2]หน้าผ้า!AL51</f>
        <v>20000</v>
      </c>
      <c r="X42" s="10">
        <f>[2]หน้าผ้า!AM51</f>
        <v>0</v>
      </c>
      <c r="Y42" s="10">
        <f>[2]หน้าผ้า!AN51</f>
        <v>0</v>
      </c>
      <c r="Z42" s="9" t="str">
        <f>[2]หน้าผ้า!AO51</f>
        <v>WSWT1921720</v>
      </c>
      <c r="AA42" s="8">
        <f>[2]หน้าผ้า!AQ51</f>
        <v>18719.800000000003</v>
      </c>
      <c r="AB42" s="8">
        <f>[2]หน้าผ้า!AR51</f>
        <v>18719.800000000003</v>
      </c>
      <c r="AC42" s="8">
        <f>[2]หน้าผ้า!AS51</f>
        <v>0</v>
      </c>
      <c r="AD42" s="8">
        <f>[2]หน้าผ้า!AT51</f>
        <v>0</v>
      </c>
      <c r="AE42" s="8">
        <f>[2]หน้าผ้า!AU51</f>
        <v>0</v>
      </c>
      <c r="AF42" s="8">
        <f>[2]หน้าผ้า!AI51</f>
        <v>0</v>
      </c>
      <c r="AG42" s="1" t="str">
        <f>[3]หน้าผ้า!DC54</f>
        <v>ยังไม่ได้พิมพ์</v>
      </c>
      <c r="AH42" s="1" t="str">
        <f>[2]หน้าผ้า!DL51</f>
        <v>P3</v>
      </c>
      <c r="AI42" s="1">
        <f>[2]หน้าผ้า!DM51</f>
        <v>1</v>
      </c>
      <c r="AJ42" s="3">
        <f>[2]หน้าผ้า!DN51</f>
        <v>45924</v>
      </c>
      <c r="AK42" s="3">
        <f>[2]หน้าผ้า!DQ51</f>
        <v>0</v>
      </c>
      <c r="AL42" s="3">
        <f>[2]หน้าผ้า!DR51</f>
        <v>0</v>
      </c>
      <c r="AM42" s="3">
        <f>[2]หน้าผ้า!DS51</f>
        <v>0</v>
      </c>
      <c r="AN42" s="3">
        <f>[2]หน้าผ้า!DT51</f>
        <v>0</v>
      </c>
      <c r="AO42" s="3">
        <f>[2]หน้าผ้า!DU51</f>
        <v>45923</v>
      </c>
      <c r="AP42" s="3">
        <f>[2]หน้าผ้า!DP51</f>
        <v>45919</v>
      </c>
      <c r="AQ42" s="3">
        <f>[2]หน้าผ้า!DW51</f>
        <v>0</v>
      </c>
      <c r="AR42" s="3">
        <f>[2]หน้าผ้า!DX51</f>
        <v>0</v>
      </c>
      <c r="AS42" s="3">
        <f>[2]หน้าผ้า!DY51</f>
        <v>0</v>
      </c>
      <c r="AT42" s="3">
        <f>[2]หน้าผ้า!DZ51</f>
        <v>0</v>
      </c>
      <c r="AU42" s="3">
        <f>[2]หน้าผ้า!EA51</f>
        <v>0</v>
      </c>
      <c r="AV42" s="1">
        <f>[2]หน้าผ้า!EB51</f>
        <v>0</v>
      </c>
      <c r="AW42" s="2" t="str">
        <f>[2]หน้าผ้า!EC51</f>
        <v>ตัด</v>
      </c>
      <c r="AX42" s="2">
        <f>[2]หน้าผ้า!ED51</f>
        <v>0</v>
      </c>
      <c r="AY42" s="2">
        <f>[2]หน้าผ้า!AG51</f>
        <v>0</v>
      </c>
      <c r="AZ42" s="2">
        <f>[2]หน้าผ้า!EG51</f>
        <v>0</v>
      </c>
      <c r="BA42" s="2">
        <f>[2]หน้าผ้า!EH51</f>
        <v>0</v>
      </c>
      <c r="BB42" s="2">
        <f>[2]หน้าผ้า!EI51</f>
        <v>0</v>
      </c>
      <c r="BC42" s="1" t="str">
        <f>[2]หน้าผ้า!BZ51</f>
        <v>WRWT21720/WRWT25800</v>
      </c>
      <c r="BD42" s="56">
        <f>[2]หน้าผ้า!CA51</f>
        <v>0</v>
      </c>
    </row>
    <row r="43" spans="1:56" ht="27.75" customHeight="1" x14ac:dyDescent="0.45">
      <c r="A43" s="3">
        <f>[2]หน้าผ้า!C52</f>
        <v>45904</v>
      </c>
      <c r="B43" s="14" t="str">
        <f>[2]หน้าผ้า!B52</f>
        <v>MK68-001076</v>
      </c>
      <c r="C43" s="9" t="str">
        <f>[2]หน้าผ้า!E52</f>
        <v>บจก.เคอรี่ฟลาวมิลล์</v>
      </c>
      <c r="D43" s="13" t="str">
        <f>[2]หน้าผ้า!F52</f>
        <v>ไม่พิมพ์</v>
      </c>
      <c r="E43" s="9">
        <f>[2]หน้าผ้า!G52</f>
        <v>19</v>
      </c>
      <c r="F43" s="9">
        <f>[2]หน้าผ้า!H52</f>
        <v>32</v>
      </c>
      <c r="G43" s="9" t="str">
        <f>[2]หน้าผ้า!I52</f>
        <v>ขาว</v>
      </c>
      <c r="H43" s="9">
        <f>[2]หน้าผ้า!J52</f>
        <v>0</v>
      </c>
      <c r="I43" s="9">
        <f>[2]หน้าผ้า!L52</f>
        <v>67</v>
      </c>
      <c r="J43" s="9" t="str">
        <f>[2]หน้าผ้า!M52</f>
        <v>+</v>
      </c>
      <c r="K43" s="9">
        <f>[2]หน้าผ้า!N52</f>
        <v>5</v>
      </c>
      <c r="L43" s="9" t="str">
        <f>[2]หน้าผ้า!R52</f>
        <v>ไม่</v>
      </c>
      <c r="M43" s="10" t="str">
        <f>[2]หน้าผ้า!T52</f>
        <v>ไม่สวมถุงใน</v>
      </c>
      <c r="N43" s="9">
        <f>[2]หน้าผ้า!U52</f>
        <v>0</v>
      </c>
      <c r="O43" s="9">
        <f>[2]หน้าผ้า!V52</f>
        <v>0</v>
      </c>
      <c r="P43" s="10">
        <f>[2]หน้าผ้า!AB52</f>
        <v>0</v>
      </c>
      <c r="Q43" s="10">
        <f>[2]หน้าผ้า!AC52</f>
        <v>0</v>
      </c>
      <c r="R43" s="10">
        <f>[2]หน้าผ้า!AD52</f>
        <v>0</v>
      </c>
      <c r="S43" s="9" t="str">
        <f>[2]หน้าผ้า!Z52</f>
        <v>ห่ออัดเบลแบน501</v>
      </c>
      <c r="T43" s="12">
        <f>[2]หน้าผ้า!X52</f>
        <v>45915</v>
      </c>
      <c r="U43" s="11">
        <f>[2]หน้าผ้า!AA52</f>
        <v>20000</v>
      </c>
      <c r="V43" s="10">
        <f>[2]หน้าผ้า!AJ52</f>
        <v>0</v>
      </c>
      <c r="W43" s="10">
        <f>[2]หน้าผ้า!AL52</f>
        <v>20000</v>
      </c>
      <c r="X43" s="10">
        <f>[2]หน้าผ้า!AM52</f>
        <v>0</v>
      </c>
      <c r="Y43" s="10">
        <f>[2]หน้าผ้า!AN52</f>
        <v>0</v>
      </c>
      <c r="Z43" s="9" t="str">
        <f>[2]หน้าผ้า!AO52</f>
        <v>WSWT1921720</v>
      </c>
      <c r="AA43" s="8">
        <f>[2]หน้าผ้า!AQ52</f>
        <v>18719.800000000003</v>
      </c>
      <c r="AB43" s="8">
        <f>[2]หน้าผ้า!AR52</f>
        <v>12462</v>
      </c>
      <c r="AC43" s="8">
        <f>[2]หน้าผ้า!AS52</f>
        <v>6257.8000000000029</v>
      </c>
      <c r="AD43" s="8">
        <f>[2]หน้าผ้า!AT52</f>
        <v>0</v>
      </c>
      <c r="AE43" s="8">
        <f>[2]หน้าผ้า!AU52</f>
        <v>0</v>
      </c>
      <c r="AF43" s="8">
        <f>[2]หน้าผ้า!AI52</f>
        <v>0</v>
      </c>
      <c r="AG43" s="1" t="str">
        <f>[3]หน้าผ้า!DC55</f>
        <v>ยังไม่ได้พิมพ์</v>
      </c>
      <c r="AH43" s="1" t="str">
        <f>[2]หน้าผ้า!DL52</f>
        <v>P3</v>
      </c>
      <c r="AI43" s="1">
        <f>[2]หน้าผ้า!DM52</f>
        <v>1</v>
      </c>
      <c r="AJ43" s="3">
        <f>[2]หน้าผ้า!DN52</f>
        <v>45915</v>
      </c>
      <c r="AK43" s="3">
        <f>[2]หน้าผ้า!DQ52</f>
        <v>0</v>
      </c>
      <c r="AL43" s="3">
        <f>[2]หน้าผ้า!DR52</f>
        <v>0</v>
      </c>
      <c r="AM43" s="3">
        <f>[2]หน้าผ้า!DS52</f>
        <v>0</v>
      </c>
      <c r="AN43" s="3">
        <f>[2]หน้าผ้า!DT52</f>
        <v>0</v>
      </c>
      <c r="AO43" s="3">
        <f>[2]หน้าผ้า!DU52</f>
        <v>45914</v>
      </c>
      <c r="AP43" s="3">
        <f>[2]หน้าผ้า!DP52</f>
        <v>45910</v>
      </c>
      <c r="AQ43" s="3">
        <f>[2]หน้าผ้า!DW52</f>
        <v>0</v>
      </c>
      <c r="AR43" s="3">
        <f>[2]หน้าผ้า!DX52</f>
        <v>0</v>
      </c>
      <c r="AS43" s="3">
        <f>[2]หน้าผ้า!DY52</f>
        <v>0</v>
      </c>
      <c r="AT43" s="3">
        <f>[2]หน้าผ้า!DZ52</f>
        <v>0</v>
      </c>
      <c r="AU43" s="3">
        <f>[2]หน้าผ้า!EA52</f>
        <v>0</v>
      </c>
      <c r="AV43" s="1">
        <f>[2]หน้าผ้า!EB52</f>
        <v>0</v>
      </c>
      <c r="AW43" s="2" t="str">
        <f>[2]หน้าผ้า!EC52</f>
        <v>ตัด</v>
      </c>
      <c r="AX43" s="2">
        <f>[2]หน้าผ้า!ED52</f>
        <v>0</v>
      </c>
      <c r="AY43" s="2">
        <f>[2]หน้าผ้า!AG52</f>
        <v>0</v>
      </c>
      <c r="AZ43" s="2">
        <f>[2]หน้าผ้า!EG52</f>
        <v>0</v>
      </c>
      <c r="BA43" s="2">
        <f>[2]หน้าผ้า!EH52</f>
        <v>0</v>
      </c>
      <c r="BB43" s="2">
        <f>[2]หน้าผ้า!EI52</f>
        <v>0</v>
      </c>
      <c r="BC43" s="1" t="str">
        <f>[2]หน้าผ้า!BZ52</f>
        <v>WRWT21720/WRWT25800</v>
      </c>
      <c r="BD43" s="56">
        <f>[2]หน้าผ้า!CA52</f>
        <v>471.36530844444462</v>
      </c>
    </row>
    <row r="44" spans="1:56" ht="27.75" customHeight="1" x14ac:dyDescent="0.45">
      <c r="A44" s="3">
        <f>[2]หน้าผ้า!C53</f>
        <v>45904</v>
      </c>
      <c r="B44" s="14" t="str">
        <f>[2]หน้าผ้า!B53</f>
        <v>MK68-001076</v>
      </c>
      <c r="C44" s="9" t="str">
        <f>[2]หน้าผ้า!E53</f>
        <v>บจก.เคอรี่ฟลาวมิลล์</v>
      </c>
      <c r="D44" s="13" t="str">
        <f>[2]หน้าผ้า!F53</f>
        <v>ไม่พิมพ์</v>
      </c>
      <c r="E44" s="9">
        <f>[2]หน้าผ้า!G53</f>
        <v>19</v>
      </c>
      <c r="F44" s="9">
        <f>[2]หน้าผ้า!H53</f>
        <v>32</v>
      </c>
      <c r="G44" s="9" t="str">
        <f>[2]หน้าผ้า!I53</f>
        <v>ขาว</v>
      </c>
      <c r="H44" s="9">
        <f>[2]หน้าผ้า!J53</f>
        <v>0</v>
      </c>
      <c r="I44" s="9">
        <f>[2]หน้าผ้า!L53</f>
        <v>67</v>
      </c>
      <c r="J44" s="9" t="str">
        <f>[2]หน้าผ้า!M53</f>
        <v>+</v>
      </c>
      <c r="K44" s="9">
        <f>[2]หน้าผ้า!N53</f>
        <v>5</v>
      </c>
      <c r="L44" s="9" t="str">
        <f>[2]หน้าผ้า!R53</f>
        <v>ไม่</v>
      </c>
      <c r="M44" s="10" t="str">
        <f>[2]หน้าผ้า!T53</f>
        <v>ไม่สวมถุงใน</v>
      </c>
      <c r="N44" s="9">
        <f>[2]หน้าผ้า!U53</f>
        <v>0</v>
      </c>
      <c r="O44" s="9">
        <f>[2]หน้าผ้า!V53</f>
        <v>0</v>
      </c>
      <c r="P44" s="10">
        <f>[2]หน้าผ้า!AB53</f>
        <v>0</v>
      </c>
      <c r="Q44" s="10">
        <f>[2]หน้าผ้า!AC53</f>
        <v>0</v>
      </c>
      <c r="R44" s="10">
        <f>[2]หน้าผ้า!AD53</f>
        <v>0</v>
      </c>
      <c r="S44" s="9" t="str">
        <f>[2]หน้าผ้า!Z53</f>
        <v>ห่ออัดเบลแบน501</v>
      </c>
      <c r="T44" s="12">
        <f>[2]หน้าผ้า!X53</f>
        <v>45924</v>
      </c>
      <c r="U44" s="11">
        <f>[2]หน้าผ้า!AA53</f>
        <v>20000</v>
      </c>
      <c r="V44" s="10">
        <f>[2]หน้าผ้า!AJ53</f>
        <v>0</v>
      </c>
      <c r="W44" s="10">
        <f>[2]หน้าผ้า!AL53</f>
        <v>20000</v>
      </c>
      <c r="X44" s="10">
        <f>[2]หน้าผ้า!AM53</f>
        <v>0</v>
      </c>
      <c r="Y44" s="10">
        <f>[2]หน้าผ้า!AN53</f>
        <v>0</v>
      </c>
      <c r="Z44" s="9" t="str">
        <f>[2]หน้าผ้า!AO53</f>
        <v>WSWT1921720</v>
      </c>
      <c r="AA44" s="8">
        <f>[2]หน้าผ้า!AQ53</f>
        <v>18719.800000000003</v>
      </c>
      <c r="AB44" s="8">
        <f>[2]หน้าผ้า!AR53</f>
        <v>0</v>
      </c>
      <c r="AC44" s="8">
        <f>[2]หน้าผ้า!AS53</f>
        <v>18719.800000000003</v>
      </c>
      <c r="AD44" s="8">
        <f>[2]หน้าผ้า!AT53</f>
        <v>0</v>
      </c>
      <c r="AE44" s="8">
        <f>[2]หน้าผ้า!AU53</f>
        <v>0</v>
      </c>
      <c r="AF44" s="8">
        <f>[2]หน้าผ้า!AI53</f>
        <v>0</v>
      </c>
      <c r="AG44" s="1" t="str">
        <f>[3]หน้าผ้า!DC56</f>
        <v>ยังไม่ได้พิมพ์</v>
      </c>
      <c r="AH44" s="1" t="str">
        <f>[2]หน้าผ้า!DL53</f>
        <v>P3</v>
      </c>
      <c r="AI44" s="1">
        <f>[2]หน้าผ้า!DM53</f>
        <v>1</v>
      </c>
      <c r="AJ44" s="3">
        <f>[2]หน้าผ้า!DN53</f>
        <v>45924</v>
      </c>
      <c r="AK44" s="3">
        <f>[2]หน้าผ้า!DQ53</f>
        <v>0</v>
      </c>
      <c r="AL44" s="3">
        <f>[2]หน้าผ้า!DR53</f>
        <v>0</v>
      </c>
      <c r="AM44" s="3">
        <f>[2]หน้าผ้า!DS53</f>
        <v>0</v>
      </c>
      <c r="AN44" s="3">
        <f>[2]หน้าผ้า!DT53</f>
        <v>0</v>
      </c>
      <c r="AO44" s="3">
        <f>[2]หน้าผ้า!DU53</f>
        <v>45923</v>
      </c>
      <c r="AP44" s="3">
        <f>[2]หน้าผ้า!DP53</f>
        <v>45919</v>
      </c>
      <c r="AQ44" s="3">
        <f>[2]หน้าผ้า!DW53</f>
        <v>0</v>
      </c>
      <c r="AR44" s="3">
        <f>[2]หน้าผ้า!DX53</f>
        <v>0</v>
      </c>
      <c r="AS44" s="3">
        <f>[2]หน้าผ้า!DY53</f>
        <v>0</v>
      </c>
      <c r="AT44" s="3">
        <f>[2]หน้าผ้า!DZ53</f>
        <v>0</v>
      </c>
      <c r="AU44" s="3">
        <f>[2]หน้าผ้า!EA53</f>
        <v>0</v>
      </c>
      <c r="AV44" s="1">
        <f>[2]หน้าผ้า!EB53</f>
        <v>0</v>
      </c>
      <c r="AW44" s="2" t="str">
        <f>[2]หน้าผ้า!EC53</f>
        <v>ตัด</v>
      </c>
      <c r="AX44" s="2">
        <f>[2]หน้าผ้า!ED53</f>
        <v>0</v>
      </c>
      <c r="AY44" s="2">
        <f>[2]หน้าผ้า!AG53</f>
        <v>0</v>
      </c>
      <c r="AZ44" s="2">
        <f>[2]หน้าผ้า!EG53</f>
        <v>0</v>
      </c>
      <c r="BA44" s="2">
        <f>[2]หน้าผ้า!EH53</f>
        <v>0</v>
      </c>
      <c r="BB44" s="2">
        <f>[2]หน้าผ้า!EI53</f>
        <v>0</v>
      </c>
      <c r="BC44" s="1" t="str">
        <f>[2]หน้าผ้า!BZ53</f>
        <v>WRWT21720/WRWT25800</v>
      </c>
      <c r="BD44" s="56">
        <f>[2]หน้าผ้า!CA53</f>
        <v>1410.0585351111113</v>
      </c>
    </row>
    <row r="45" spans="1:56" ht="27.75" customHeight="1" x14ac:dyDescent="0.45">
      <c r="A45" s="3">
        <f>[2]หน้าผ้า!C54</f>
        <v>45905</v>
      </c>
      <c r="B45" s="14" t="str">
        <f>[2]หน้าผ้า!B54</f>
        <v>MK68-001077</v>
      </c>
      <c r="C45" s="9" t="str">
        <f>[2]หน้าผ้า!E54</f>
        <v>บจก.เคอรี่ฟลาวมิลล์</v>
      </c>
      <c r="D45" s="13" t="str">
        <f>[2]หน้าผ้า!F54</f>
        <v>ปลาโลมาเทา</v>
      </c>
      <c r="E45" s="9">
        <f>[2]หน้าผ้า!G54</f>
        <v>19</v>
      </c>
      <c r="F45" s="9">
        <f>[2]หน้าผ้า!H54</f>
        <v>32</v>
      </c>
      <c r="G45" s="9" t="str">
        <f>[2]หน้าผ้า!I54</f>
        <v>ขาว</v>
      </c>
      <c r="H45" s="9">
        <f>[2]หน้าผ้า!J54</f>
        <v>0</v>
      </c>
      <c r="I45" s="9">
        <f>[2]หน้าผ้า!L54</f>
        <v>67</v>
      </c>
      <c r="J45" s="9" t="str">
        <f>[2]หน้าผ้า!M54</f>
        <v>+</v>
      </c>
      <c r="K45" s="9">
        <f>[2]หน้าผ้า!N54</f>
        <v>5</v>
      </c>
      <c r="L45" s="9" t="str">
        <f>[2]หน้าผ้า!R54</f>
        <v>บิด</v>
      </c>
      <c r="M45" s="10" t="str">
        <f>[2]หน้าผ้า!T54</f>
        <v>ไม่สวมถุงใน</v>
      </c>
      <c r="N45" s="9">
        <f>[2]หน้าผ้า!U54</f>
        <v>0</v>
      </c>
      <c r="O45" s="9">
        <f>[2]หน้าผ้า!V54</f>
        <v>0</v>
      </c>
      <c r="P45" s="10">
        <f>[2]หน้าผ้า!AB54</f>
        <v>0</v>
      </c>
      <c r="Q45" s="10">
        <f>[2]หน้าผ้า!AC54</f>
        <v>0</v>
      </c>
      <c r="R45" s="10">
        <f>[2]หน้าผ้า!AD54</f>
        <v>0</v>
      </c>
      <c r="S45" s="9" t="str">
        <f>[2]หน้าผ้า!Z54</f>
        <v>ห่ออัดเบลแบน500</v>
      </c>
      <c r="T45" s="12">
        <f>[2]หน้าผ้า!X54</f>
        <v>45916</v>
      </c>
      <c r="U45" s="11">
        <f>[2]หน้าผ้า!AA54</f>
        <v>5000</v>
      </c>
      <c r="V45" s="10">
        <f>[2]หน้าผ้า!AJ54</f>
        <v>0</v>
      </c>
      <c r="W45" s="10">
        <f>[2]หน้าผ้า!AL54</f>
        <v>5000</v>
      </c>
      <c r="X45" s="10">
        <f>[2]หน้าผ้า!AM54</f>
        <v>0</v>
      </c>
      <c r="Y45" s="10">
        <f>[2]หน้าผ้า!AN54</f>
        <v>5250</v>
      </c>
      <c r="Z45" s="9" t="str">
        <f>[2]หน้าผ้า!AO54</f>
        <v>WSWT1921720</v>
      </c>
      <c r="AA45" s="8">
        <f>[2]หน้าผ้า!AQ54</f>
        <v>4679.9500000000007</v>
      </c>
      <c r="AB45" s="8">
        <f>[2]หน้าผ้า!AR54</f>
        <v>0</v>
      </c>
      <c r="AC45" s="8">
        <f>[2]หน้าผ้า!AS54</f>
        <v>4679.9500000000007</v>
      </c>
      <c r="AD45" s="8">
        <f>[2]หน้าผ้า!AT54</f>
        <v>0</v>
      </c>
      <c r="AE45" s="8">
        <f>[2]หน้าผ้า!AU54</f>
        <v>0</v>
      </c>
      <c r="AF45" s="8" t="str">
        <f>[2]หน้าผ้า!AI54</f>
        <v>PDR250295</v>
      </c>
      <c r="AG45" s="1" t="str">
        <f>[3]หน้าผ้า!DC57</f>
        <v>ยังไม่ได้พิมพ์</v>
      </c>
      <c r="AH45" s="1" t="str">
        <f>[2]หน้าผ้า!DL54</f>
        <v>P7</v>
      </c>
      <c r="AI45" s="1">
        <f>[2]หน้าผ้า!DM54</f>
        <v>2</v>
      </c>
      <c r="AJ45" s="3">
        <f>[2]หน้าผ้า!DN54</f>
        <v>45916</v>
      </c>
      <c r="AK45" s="3">
        <f>[2]หน้าผ้า!DQ54</f>
        <v>0</v>
      </c>
      <c r="AL45" s="3">
        <f>[2]หน้าผ้า!DR54</f>
        <v>45907</v>
      </c>
      <c r="AM45" s="3">
        <f>[2]หน้าผ้า!DS54</f>
        <v>45914</v>
      </c>
      <c r="AN45" s="3">
        <f>[2]หน้าผ้า!DT54</f>
        <v>45915</v>
      </c>
      <c r="AO45" s="3">
        <f>[2]หน้าผ้า!DU54</f>
        <v>45915</v>
      </c>
      <c r="AP45" s="3">
        <f>[2]หน้าผ้า!DP54</f>
        <v>45911</v>
      </c>
      <c r="AQ45" s="3">
        <f>[2]หน้าผ้า!DW54</f>
        <v>0</v>
      </c>
      <c r="AR45" s="3">
        <f>[2]หน้าผ้า!DX54</f>
        <v>0</v>
      </c>
      <c r="AS45" s="3">
        <f>[2]หน้าผ้า!DY54</f>
        <v>0</v>
      </c>
      <c r="AT45" s="3">
        <f>[2]หน้าผ้า!DZ54</f>
        <v>0</v>
      </c>
      <c r="AU45" s="3">
        <f>[2]หน้าผ้า!EA54</f>
        <v>0</v>
      </c>
      <c r="AV45" s="1">
        <f>[2]หน้าผ้า!EB54</f>
        <v>0</v>
      </c>
      <c r="AW45" s="2" t="str">
        <f>[2]หน้าผ้า!EC54</f>
        <v>งานพิมพ์</v>
      </c>
      <c r="AX45" s="2" t="str">
        <f>[2]หน้าผ้า!ED54</f>
        <v xml:space="preserve"> /</v>
      </c>
      <c r="AY45" s="2">
        <f>[2]หน้าผ้า!AG54</f>
        <v>0</v>
      </c>
      <c r="AZ45" s="2">
        <f>[2]หน้าผ้า!EG54</f>
        <v>0</v>
      </c>
      <c r="BA45" s="2">
        <f>[2]หน้าผ้า!EH54</f>
        <v>0</v>
      </c>
      <c r="BB45" s="2">
        <f>[2]หน้าผ้า!EI54</f>
        <v>0</v>
      </c>
      <c r="BC45" s="1" t="str">
        <f>[2]หน้าผ้า!BZ54</f>
        <v>WRWT21720/WRWT25800</v>
      </c>
      <c r="BD45" s="56">
        <f>[2]หน้าผ้า!CA54</f>
        <v>352.51463377777782</v>
      </c>
    </row>
    <row r="46" spans="1:56" ht="27.75" customHeight="1" x14ac:dyDescent="0.45">
      <c r="A46" s="3">
        <f>[2]หน้าผ้า!C55</f>
        <v>45905</v>
      </c>
      <c r="B46" s="14" t="str">
        <f>[2]หน้าผ้า!B55</f>
        <v>MK68-001077</v>
      </c>
      <c r="C46" s="9" t="str">
        <f>[2]หน้าผ้า!E55</f>
        <v>บจก.เคอรี่ฟลาวมิลล์</v>
      </c>
      <c r="D46" s="13" t="str">
        <f>[2]หน้าผ้า!F55</f>
        <v>ถุงเงิน</v>
      </c>
      <c r="E46" s="9">
        <f>[2]หน้าผ้า!G55</f>
        <v>19</v>
      </c>
      <c r="F46" s="9">
        <f>[2]หน้าผ้า!H55</f>
        <v>32</v>
      </c>
      <c r="G46" s="9" t="str">
        <f>[2]หน้าผ้า!I55</f>
        <v>ขาว</v>
      </c>
      <c r="H46" s="9">
        <f>[2]หน้าผ้า!J55</f>
        <v>0</v>
      </c>
      <c r="I46" s="9">
        <f>[2]หน้าผ้า!L55</f>
        <v>67</v>
      </c>
      <c r="J46" s="9" t="str">
        <f>[2]หน้าผ้า!M55</f>
        <v>+</v>
      </c>
      <c r="K46" s="9">
        <f>[2]หน้าผ้า!N55</f>
        <v>5</v>
      </c>
      <c r="L46" s="9" t="str">
        <f>[2]หน้าผ้า!R55</f>
        <v>บิด</v>
      </c>
      <c r="M46" s="10" t="str">
        <f>[2]หน้าผ้า!T55</f>
        <v>ไม่สวมถุงใน</v>
      </c>
      <c r="N46" s="9">
        <f>[2]หน้าผ้า!U55</f>
        <v>0</v>
      </c>
      <c r="O46" s="9">
        <f>[2]หน้าผ้า!V55</f>
        <v>0</v>
      </c>
      <c r="P46" s="10">
        <f>[2]หน้าผ้า!AB55</f>
        <v>0</v>
      </c>
      <c r="Q46" s="10">
        <f>[2]หน้าผ้า!AC55</f>
        <v>0</v>
      </c>
      <c r="R46" s="10">
        <f>[2]หน้าผ้า!AD55</f>
        <v>0</v>
      </c>
      <c r="S46" s="9" t="str">
        <f>[2]หน้าผ้า!Z55</f>
        <v>ห่ออัดเบลแบน500</v>
      </c>
      <c r="T46" s="12">
        <f>[2]หน้าผ้า!X55</f>
        <v>45916</v>
      </c>
      <c r="U46" s="11">
        <f>[2]หน้าผ้า!AA55</f>
        <v>5000</v>
      </c>
      <c r="V46" s="10">
        <f>[2]หน้าผ้า!AJ55</f>
        <v>0</v>
      </c>
      <c r="W46" s="10">
        <f>[2]หน้าผ้า!AL55</f>
        <v>5000</v>
      </c>
      <c r="X46" s="10">
        <f>[2]หน้าผ้า!AM55</f>
        <v>0</v>
      </c>
      <c r="Y46" s="10">
        <f>[2]หน้าผ้า!AN55</f>
        <v>5250</v>
      </c>
      <c r="Z46" s="9" t="str">
        <f>[2]หน้าผ้า!AO55</f>
        <v>WSWT1921720</v>
      </c>
      <c r="AA46" s="8">
        <f>[2]หน้าผ้า!AQ55</f>
        <v>4679.9500000000007</v>
      </c>
      <c r="AB46" s="8">
        <f>[2]หน้าผ้า!AR55</f>
        <v>0</v>
      </c>
      <c r="AC46" s="8">
        <f>[2]หน้าผ้า!AS55</f>
        <v>4679.9500000000007</v>
      </c>
      <c r="AD46" s="8">
        <f>[2]หน้าผ้า!AT55</f>
        <v>0</v>
      </c>
      <c r="AE46" s="8">
        <f>[2]หน้าผ้า!AU55</f>
        <v>0</v>
      </c>
      <c r="AF46" s="8" t="str">
        <f>[2]หน้าผ้า!AI55</f>
        <v>PDR250295</v>
      </c>
      <c r="AG46" s="1" t="str">
        <f>[3]หน้าผ้า!DC58</f>
        <v>ยังไม่ได้พิมพ์</v>
      </c>
      <c r="AH46" s="1" t="str">
        <f>[2]หน้าผ้า!DL55</f>
        <v>P7</v>
      </c>
      <c r="AI46" s="1">
        <f>[2]หน้าผ้า!DM55</f>
        <v>2</v>
      </c>
      <c r="AJ46" s="3">
        <f>[2]หน้าผ้า!DN55</f>
        <v>45916</v>
      </c>
      <c r="AK46" s="3">
        <f>[2]หน้าผ้า!DQ55</f>
        <v>0</v>
      </c>
      <c r="AL46" s="3">
        <f>[2]หน้าผ้า!DR55</f>
        <v>45907</v>
      </c>
      <c r="AM46" s="3">
        <f>[2]หน้าผ้า!DS55</f>
        <v>45914</v>
      </c>
      <c r="AN46" s="3">
        <f>[2]หน้าผ้า!DT55</f>
        <v>45915</v>
      </c>
      <c r="AO46" s="3">
        <f>[2]หน้าผ้า!DU55</f>
        <v>45915</v>
      </c>
      <c r="AP46" s="3">
        <f>[2]หน้าผ้า!DP55</f>
        <v>45911</v>
      </c>
      <c r="AQ46" s="3">
        <f>[2]หน้าผ้า!DW55</f>
        <v>0</v>
      </c>
      <c r="AR46" s="3">
        <f>[2]หน้าผ้า!DX55</f>
        <v>0</v>
      </c>
      <c r="AS46" s="3">
        <f>[2]หน้าผ้า!DY55</f>
        <v>0</v>
      </c>
      <c r="AT46" s="3">
        <f>[2]หน้าผ้า!DZ55</f>
        <v>0</v>
      </c>
      <c r="AU46" s="3">
        <f>[2]หน้าผ้า!EA55</f>
        <v>0</v>
      </c>
      <c r="AV46" s="1">
        <f>[2]หน้าผ้า!EB55</f>
        <v>0</v>
      </c>
      <c r="AW46" s="2" t="str">
        <f>[2]หน้าผ้า!EC55</f>
        <v>งานพิมพ์</v>
      </c>
      <c r="AX46" s="2" t="str">
        <f>[2]หน้าผ้า!ED55</f>
        <v xml:space="preserve"> /</v>
      </c>
      <c r="AY46" s="2">
        <f>[2]หน้าผ้า!AG55</f>
        <v>0</v>
      </c>
      <c r="AZ46" s="2">
        <f>[2]หน้าผ้า!EG55</f>
        <v>0</v>
      </c>
      <c r="BA46" s="2">
        <f>[2]หน้าผ้า!EH55</f>
        <v>0</v>
      </c>
      <c r="BB46" s="2">
        <f>[2]หน้าผ้า!EI55</f>
        <v>0</v>
      </c>
      <c r="BC46" s="1" t="str">
        <f>[2]หน้าผ้า!BZ55</f>
        <v>WRWT21720/WRWT25800</v>
      </c>
      <c r="BD46" s="56">
        <f>[2]หน้าผ้า!CA55</f>
        <v>352.51463377777782</v>
      </c>
    </row>
    <row r="47" spans="1:56" ht="27.75" customHeight="1" x14ac:dyDescent="0.45">
      <c r="A47" s="3">
        <f>[2]หน้าผ้า!C56</f>
        <v>45905</v>
      </c>
      <c r="B47" s="14" t="str">
        <f>[2]หน้าผ้า!B56</f>
        <v>MK68-001077</v>
      </c>
      <c r="C47" s="9" t="str">
        <f>[2]หน้าผ้า!E56</f>
        <v>บจก.เคอรี่ฟลาวมิลล์</v>
      </c>
      <c r="D47" s="13" t="str">
        <f>[2]หน้าผ้า!F56</f>
        <v>กุ้งแดง</v>
      </c>
      <c r="E47" s="9">
        <f>[2]หน้าผ้า!G56</f>
        <v>19</v>
      </c>
      <c r="F47" s="9">
        <f>[2]หน้าผ้า!H56</f>
        <v>32</v>
      </c>
      <c r="G47" s="9" t="str">
        <f>[2]หน้าผ้า!I56</f>
        <v>ขาว</v>
      </c>
      <c r="H47" s="9">
        <f>[2]หน้าผ้า!J56</f>
        <v>0</v>
      </c>
      <c r="I47" s="9">
        <f>[2]หน้าผ้า!L56</f>
        <v>67</v>
      </c>
      <c r="J47" s="9" t="str">
        <f>[2]หน้าผ้า!M56</f>
        <v>+</v>
      </c>
      <c r="K47" s="9">
        <f>[2]หน้าผ้า!N56</f>
        <v>5</v>
      </c>
      <c r="L47" s="9" t="str">
        <f>[2]หน้าผ้า!R56</f>
        <v>บิด</v>
      </c>
      <c r="M47" s="10" t="str">
        <f>[2]หน้าผ้า!T56</f>
        <v>ไม่สวมถุงใน</v>
      </c>
      <c r="N47" s="9">
        <f>[2]หน้าผ้า!U56</f>
        <v>0</v>
      </c>
      <c r="O47" s="9">
        <f>[2]หน้าผ้า!V56</f>
        <v>0</v>
      </c>
      <c r="P47" s="10">
        <f>[2]หน้าผ้า!AB56</f>
        <v>0</v>
      </c>
      <c r="Q47" s="10">
        <f>[2]หน้าผ้า!AC56</f>
        <v>0</v>
      </c>
      <c r="R47" s="10">
        <f>[2]หน้าผ้า!AD56</f>
        <v>0</v>
      </c>
      <c r="S47" s="9" t="str">
        <f>[2]หน้าผ้า!Z56</f>
        <v>ห่ออัดเบลแบน500</v>
      </c>
      <c r="T47" s="12">
        <f>[2]หน้าผ้า!X56</f>
        <v>45916</v>
      </c>
      <c r="U47" s="11">
        <f>[2]หน้าผ้า!AA56</f>
        <v>10000</v>
      </c>
      <c r="V47" s="10">
        <f>[2]หน้าผ้า!AJ56</f>
        <v>0</v>
      </c>
      <c r="W47" s="10">
        <f>[2]หน้าผ้า!AL56</f>
        <v>10000</v>
      </c>
      <c r="X47" s="10">
        <f>[2]หน้าผ้า!AM56</f>
        <v>0</v>
      </c>
      <c r="Y47" s="10">
        <f>[2]หน้าผ้า!AN56</f>
        <v>10500</v>
      </c>
      <c r="Z47" s="9" t="str">
        <f>[2]หน้าผ้า!AO56</f>
        <v>WSWT1921720</v>
      </c>
      <c r="AA47" s="8">
        <f>[2]หน้าผ้า!AQ56</f>
        <v>9359.9000000000015</v>
      </c>
      <c r="AB47" s="8">
        <f>[2]หน้าผ้า!AR56</f>
        <v>0</v>
      </c>
      <c r="AC47" s="8">
        <f>[2]หน้าผ้า!AS56</f>
        <v>9359.9000000000015</v>
      </c>
      <c r="AD47" s="8">
        <f>[2]หน้าผ้า!AT56</f>
        <v>0</v>
      </c>
      <c r="AE47" s="8">
        <f>[2]หน้าผ้า!AU56</f>
        <v>0</v>
      </c>
      <c r="AF47" s="8" t="str">
        <f>[2]หน้าผ้า!AI56</f>
        <v>PDR250295</v>
      </c>
      <c r="AG47" s="1" t="str">
        <f>[3]หน้าผ้า!DC59</f>
        <v>ยังไม่ได้พิมพ์</v>
      </c>
      <c r="AH47" s="1" t="str">
        <f>[2]หน้าผ้า!DL56</f>
        <v>P7</v>
      </c>
      <c r="AI47" s="1">
        <f>[2]หน้าผ้า!DM56</f>
        <v>2</v>
      </c>
      <c r="AJ47" s="3">
        <f>[2]หน้าผ้า!DN56</f>
        <v>45916</v>
      </c>
      <c r="AK47" s="3">
        <f>[2]หน้าผ้า!DQ56</f>
        <v>0</v>
      </c>
      <c r="AL47" s="3">
        <f>[2]หน้าผ้า!DR56</f>
        <v>45907</v>
      </c>
      <c r="AM47" s="3">
        <f>[2]หน้าผ้า!DS56</f>
        <v>45914</v>
      </c>
      <c r="AN47" s="3">
        <f>[2]หน้าผ้า!DT56</f>
        <v>45915</v>
      </c>
      <c r="AO47" s="3">
        <f>[2]หน้าผ้า!DU56</f>
        <v>45915</v>
      </c>
      <c r="AP47" s="3">
        <f>[2]หน้าผ้า!DP56</f>
        <v>45911</v>
      </c>
      <c r="AQ47" s="3">
        <f>[2]หน้าผ้า!DW56</f>
        <v>0</v>
      </c>
      <c r="AR47" s="3">
        <f>[2]หน้าผ้า!DX56</f>
        <v>0</v>
      </c>
      <c r="AS47" s="3">
        <f>[2]หน้าผ้า!DY56</f>
        <v>0</v>
      </c>
      <c r="AT47" s="3">
        <f>[2]หน้าผ้า!DZ56</f>
        <v>0</v>
      </c>
      <c r="AU47" s="3">
        <f>[2]หน้าผ้า!EA56</f>
        <v>0</v>
      </c>
      <c r="AV47" s="1">
        <f>[2]หน้าผ้า!EB56</f>
        <v>0</v>
      </c>
      <c r="AW47" s="2" t="str">
        <f>[2]หน้าผ้า!EC56</f>
        <v>งานพิมพ์</v>
      </c>
      <c r="AX47" s="2" t="str">
        <f>[2]หน้าผ้า!ED56</f>
        <v xml:space="preserve"> /</v>
      </c>
      <c r="AY47" s="2">
        <f>[2]หน้าผ้า!AG56</f>
        <v>0</v>
      </c>
      <c r="AZ47" s="2">
        <f>[2]หน้าผ้า!EG56</f>
        <v>0</v>
      </c>
      <c r="BA47" s="2">
        <f>[2]หน้าผ้า!EH56</f>
        <v>0</v>
      </c>
      <c r="BB47" s="2">
        <f>[2]หน้าผ้า!EI56</f>
        <v>0</v>
      </c>
      <c r="BC47" s="1" t="str">
        <f>[2]หน้าผ้า!BZ56</f>
        <v>WRWT21720/WRWT25800</v>
      </c>
      <c r="BD47" s="56">
        <f>[2]หน้าผ้า!CA56</f>
        <v>705.02926755555563</v>
      </c>
    </row>
    <row r="48" spans="1:56" ht="27.75" customHeight="1" x14ac:dyDescent="0.45">
      <c r="A48" s="3">
        <f>[2]หน้าผ้า!C57</f>
        <v>45905</v>
      </c>
      <c r="B48" s="14" t="str">
        <f>[2]หน้าผ้า!B57</f>
        <v>MK68-001077</v>
      </c>
      <c r="C48" s="9" t="str">
        <f>[2]หน้าผ้า!E57</f>
        <v>บจก.เคอรี่ฟลาวมิลล์</v>
      </c>
      <c r="D48" s="13" t="str">
        <f>[2]หน้าผ้า!F57</f>
        <v>PBKF2-01-03</v>
      </c>
      <c r="E48" s="9">
        <f>[2]หน้าผ้า!G57</f>
        <v>19</v>
      </c>
      <c r="F48" s="9">
        <f>[2]หน้าผ้า!H57</f>
        <v>32</v>
      </c>
      <c r="G48" s="9" t="str">
        <f>[2]หน้าผ้า!I57</f>
        <v>ขาว</v>
      </c>
      <c r="H48" s="9">
        <f>[2]หน้าผ้า!J57</f>
        <v>0</v>
      </c>
      <c r="I48" s="9">
        <f>[2]หน้าผ้า!L57</f>
        <v>67</v>
      </c>
      <c r="J48" s="9" t="str">
        <f>[2]หน้าผ้า!M57</f>
        <v>+</v>
      </c>
      <c r="K48" s="9">
        <f>[2]หน้าผ้า!N57</f>
        <v>5</v>
      </c>
      <c r="L48" s="9" t="str">
        <f>[2]หน้าผ้า!R57</f>
        <v>บิด</v>
      </c>
      <c r="M48" s="10" t="str">
        <f>[2]หน้าผ้า!T57</f>
        <v>ไม่สวมถุงใน</v>
      </c>
      <c r="N48" s="9">
        <f>[2]หน้าผ้า!U57</f>
        <v>0</v>
      </c>
      <c r="O48" s="9">
        <f>[2]หน้าผ้า!V57</f>
        <v>0</v>
      </c>
      <c r="P48" s="10">
        <f>[2]หน้าผ้า!AB57</f>
        <v>0</v>
      </c>
      <c r="Q48" s="10">
        <f>[2]หน้าผ้า!AC57</f>
        <v>0</v>
      </c>
      <c r="R48" s="10">
        <f>[2]หน้าผ้า!AD57</f>
        <v>0</v>
      </c>
      <c r="S48" s="9" t="str">
        <f>[2]หน้าผ้า!Z57</f>
        <v>ห่ออัดเบลแบน500</v>
      </c>
      <c r="T48" s="12">
        <f>[2]หน้าผ้า!X57</f>
        <v>45916</v>
      </c>
      <c r="U48" s="11">
        <f>[2]หน้าผ้า!AA57</f>
        <v>5000</v>
      </c>
      <c r="V48" s="10">
        <f>[2]หน้าผ้า!AJ57</f>
        <v>0</v>
      </c>
      <c r="W48" s="10">
        <f>[2]หน้าผ้า!AL57</f>
        <v>5000</v>
      </c>
      <c r="X48" s="10">
        <f>[2]หน้าผ้า!AM57</f>
        <v>0</v>
      </c>
      <c r="Y48" s="10">
        <f>[2]หน้าผ้า!AN57</f>
        <v>5250</v>
      </c>
      <c r="Z48" s="9" t="str">
        <f>[2]หน้าผ้า!AO57</f>
        <v>WSWT1921720</v>
      </c>
      <c r="AA48" s="8">
        <f>[2]หน้าผ้า!AQ57</f>
        <v>4679.9500000000007</v>
      </c>
      <c r="AB48" s="8">
        <f>[2]หน้าผ้า!AR57</f>
        <v>0</v>
      </c>
      <c r="AC48" s="8">
        <f>[2]หน้าผ้า!AS57</f>
        <v>4679.9500000000007</v>
      </c>
      <c r="AD48" s="8">
        <f>[2]หน้าผ้า!AT57</f>
        <v>0</v>
      </c>
      <c r="AE48" s="8">
        <f>[2]หน้าผ้า!AU57</f>
        <v>0</v>
      </c>
      <c r="AF48" s="8" t="str">
        <f>[2]หน้าผ้า!AI57</f>
        <v>PDR250295</v>
      </c>
      <c r="AG48" s="1" t="str">
        <f>[3]หน้าผ้า!DC60</f>
        <v>ยังไม่ได้พิมพ์</v>
      </c>
      <c r="AH48" s="1" t="str">
        <f>[2]หน้าผ้า!DL57</f>
        <v>P7</v>
      </c>
      <c r="AI48" s="1">
        <f>[2]หน้าผ้า!DM57</f>
        <v>2</v>
      </c>
      <c r="AJ48" s="3">
        <f>[2]หน้าผ้า!DN57</f>
        <v>45916</v>
      </c>
      <c r="AK48" s="3">
        <f>[2]หน้าผ้า!DQ57</f>
        <v>0</v>
      </c>
      <c r="AL48" s="3">
        <f>[2]หน้าผ้า!DR57</f>
        <v>45907</v>
      </c>
      <c r="AM48" s="3">
        <f>[2]หน้าผ้า!DS57</f>
        <v>45914</v>
      </c>
      <c r="AN48" s="3">
        <f>[2]หน้าผ้า!DT57</f>
        <v>45915</v>
      </c>
      <c r="AO48" s="3">
        <f>[2]หน้าผ้า!DU57</f>
        <v>45915</v>
      </c>
      <c r="AP48" s="3">
        <f>[2]หน้าผ้า!DP57</f>
        <v>45911</v>
      </c>
      <c r="AQ48" s="3">
        <f>[2]หน้าผ้า!DW57</f>
        <v>0</v>
      </c>
      <c r="AR48" s="3">
        <f>[2]หน้าผ้า!DX57</f>
        <v>0</v>
      </c>
      <c r="AS48" s="3">
        <f>[2]หน้าผ้า!DY57</f>
        <v>0</v>
      </c>
      <c r="AT48" s="3">
        <f>[2]หน้าผ้า!DZ57</f>
        <v>0</v>
      </c>
      <c r="AU48" s="3">
        <f>[2]หน้าผ้า!EA57</f>
        <v>0</v>
      </c>
      <c r="AV48" s="1">
        <f>[2]หน้าผ้า!EB57</f>
        <v>0</v>
      </c>
      <c r="AW48" s="2" t="str">
        <f>[2]หน้าผ้า!EC57</f>
        <v>งานพิมพ์</v>
      </c>
      <c r="AX48" s="2" t="str">
        <f>[2]หน้าผ้า!ED57</f>
        <v xml:space="preserve"> /</v>
      </c>
      <c r="AY48" s="2">
        <f>[2]หน้าผ้า!AG57</f>
        <v>0</v>
      </c>
      <c r="AZ48" s="2">
        <f>[2]หน้าผ้า!EG57</f>
        <v>0</v>
      </c>
      <c r="BA48" s="2">
        <f>[2]หน้าผ้า!EH57</f>
        <v>0</v>
      </c>
      <c r="BB48" s="2">
        <f>[2]หน้าผ้า!EI57</f>
        <v>0</v>
      </c>
      <c r="BC48" s="1" t="str">
        <f>[2]หน้าผ้า!BZ57</f>
        <v>WRWT21720/WRWT25800</v>
      </c>
      <c r="BD48" s="56">
        <f>[2]หน้าผ้า!CA57</f>
        <v>352.51463377777782</v>
      </c>
    </row>
    <row r="49" spans="1:56" ht="27.75" customHeight="1" x14ac:dyDescent="0.45">
      <c r="A49" s="3">
        <f>[2]หน้าผ้า!C58</f>
        <v>45905</v>
      </c>
      <c r="B49" s="14" t="str">
        <f>[2]หน้าผ้า!B58</f>
        <v>MK68-001077</v>
      </c>
      <c r="C49" s="9" t="str">
        <f>[2]หน้าผ้า!E58</f>
        <v>บจก.เคอรี่ฟลาวมิลล์</v>
      </c>
      <c r="D49" s="13" t="str">
        <f>[2]หน้าผ้า!F58</f>
        <v>บะหมี่เตี๊ยว</v>
      </c>
      <c r="E49" s="9">
        <f>[2]หน้าผ้า!G58</f>
        <v>19</v>
      </c>
      <c r="F49" s="9">
        <f>[2]หน้าผ้า!H58</f>
        <v>32</v>
      </c>
      <c r="G49" s="9" t="str">
        <f>[2]หน้าผ้า!I58</f>
        <v>ขาว</v>
      </c>
      <c r="H49" s="9">
        <f>[2]หน้าผ้า!J58</f>
        <v>0</v>
      </c>
      <c r="I49" s="9">
        <f>[2]หน้าผ้า!L58</f>
        <v>67</v>
      </c>
      <c r="J49" s="9" t="str">
        <f>[2]หน้าผ้า!M58</f>
        <v>+</v>
      </c>
      <c r="K49" s="9">
        <f>[2]หน้าผ้า!N58</f>
        <v>5</v>
      </c>
      <c r="L49" s="9" t="str">
        <f>[2]หน้าผ้า!R58</f>
        <v>บิด</v>
      </c>
      <c r="M49" s="10" t="str">
        <f>[2]หน้าผ้า!T58</f>
        <v>ไม่สวมถุงใน</v>
      </c>
      <c r="N49" s="9">
        <f>[2]หน้าผ้า!U58</f>
        <v>0</v>
      </c>
      <c r="O49" s="9">
        <f>[2]หน้าผ้า!V58</f>
        <v>0</v>
      </c>
      <c r="P49" s="10">
        <f>[2]หน้าผ้า!AB58</f>
        <v>0</v>
      </c>
      <c r="Q49" s="10">
        <f>[2]หน้าผ้า!AC58</f>
        <v>0</v>
      </c>
      <c r="R49" s="10">
        <f>[2]หน้าผ้า!AD58</f>
        <v>0</v>
      </c>
      <c r="S49" s="9" t="str">
        <f>[2]หน้าผ้า!Z58</f>
        <v>ห่ออัดเบลแบน500</v>
      </c>
      <c r="T49" s="12">
        <f>[2]หน้าผ้า!X58</f>
        <v>45918</v>
      </c>
      <c r="U49" s="11">
        <f>[2]หน้าผ้า!AA58</f>
        <v>5000</v>
      </c>
      <c r="V49" s="10">
        <f>[2]หน้าผ้า!AJ58</f>
        <v>0</v>
      </c>
      <c r="W49" s="10">
        <f>[2]หน้าผ้า!AL58</f>
        <v>5000</v>
      </c>
      <c r="X49" s="10">
        <f>[2]หน้าผ้า!AM58</f>
        <v>0</v>
      </c>
      <c r="Y49" s="10">
        <f>[2]หน้าผ้า!AN58</f>
        <v>5250</v>
      </c>
      <c r="Z49" s="9" t="str">
        <f>[2]หน้าผ้า!AO58</f>
        <v>WSWT1921720</v>
      </c>
      <c r="AA49" s="8">
        <f>[2]หน้าผ้า!AQ58</f>
        <v>4679.9500000000007</v>
      </c>
      <c r="AB49" s="8">
        <f>[2]หน้าผ้า!AR58</f>
        <v>0</v>
      </c>
      <c r="AC49" s="8">
        <f>[2]หน้าผ้า!AS58</f>
        <v>4679.9500000000007</v>
      </c>
      <c r="AD49" s="8">
        <f>[2]หน้าผ้า!AT58</f>
        <v>0</v>
      </c>
      <c r="AE49" s="8">
        <f>[2]หน้าผ้า!AU58</f>
        <v>0</v>
      </c>
      <c r="AF49" s="8" t="str">
        <f>[2]หน้าผ้า!AI58</f>
        <v>PDR250296</v>
      </c>
      <c r="AG49" s="1" t="str">
        <f>[3]หน้าผ้า!DC61</f>
        <v>ยังไม่ได้พิมพ์</v>
      </c>
      <c r="AH49" s="1" t="str">
        <f>[2]หน้าผ้า!DL58</f>
        <v>P7</v>
      </c>
      <c r="AI49" s="1">
        <f>[2]หน้าผ้า!DM58</f>
        <v>2</v>
      </c>
      <c r="AJ49" s="3">
        <f>[2]หน้าผ้า!DN58</f>
        <v>45918</v>
      </c>
      <c r="AK49" s="3">
        <f>[2]หน้าผ้า!DQ58</f>
        <v>0</v>
      </c>
      <c r="AL49" s="3">
        <f>[2]หน้าผ้า!DR58</f>
        <v>45909</v>
      </c>
      <c r="AM49" s="3">
        <f>[2]หน้าผ้า!DS58</f>
        <v>45916</v>
      </c>
      <c r="AN49" s="3">
        <f>[2]หน้าผ้า!DT58</f>
        <v>45917</v>
      </c>
      <c r="AO49" s="3">
        <f>[2]หน้าผ้า!DU58</f>
        <v>45917</v>
      </c>
      <c r="AP49" s="3">
        <f>[2]หน้าผ้า!DP58</f>
        <v>45913</v>
      </c>
      <c r="AQ49" s="3">
        <f>[2]หน้าผ้า!DW58</f>
        <v>0</v>
      </c>
      <c r="AR49" s="3">
        <f>[2]หน้าผ้า!DX58</f>
        <v>0</v>
      </c>
      <c r="AS49" s="3">
        <f>[2]หน้าผ้า!DY58</f>
        <v>0</v>
      </c>
      <c r="AT49" s="3">
        <f>[2]หน้าผ้า!DZ58</f>
        <v>0</v>
      </c>
      <c r="AU49" s="3">
        <f>[2]หน้าผ้า!EA58</f>
        <v>0</v>
      </c>
      <c r="AV49" s="1">
        <f>[2]หน้าผ้า!EB58</f>
        <v>0</v>
      </c>
      <c r="AW49" s="2" t="str">
        <f>[2]หน้าผ้า!EC58</f>
        <v>งานพิมพ์</v>
      </c>
      <c r="AX49" s="2" t="str">
        <f>[2]หน้าผ้า!ED58</f>
        <v xml:space="preserve"> /</v>
      </c>
      <c r="AY49" s="2">
        <f>[2]หน้าผ้า!AG58</f>
        <v>0</v>
      </c>
      <c r="AZ49" s="2">
        <f>[2]หน้าผ้า!EG58</f>
        <v>0</v>
      </c>
      <c r="BA49" s="2">
        <f>[2]หน้าผ้า!EH58</f>
        <v>0</v>
      </c>
      <c r="BB49" s="2">
        <f>[2]หน้าผ้า!EI58</f>
        <v>0</v>
      </c>
      <c r="BC49" s="1" t="str">
        <f>[2]หน้าผ้า!BZ58</f>
        <v>WRWT21720/WRWT25800</v>
      </c>
      <c r="BD49" s="56">
        <f>[2]หน้าผ้า!CA58</f>
        <v>352.51463377777782</v>
      </c>
    </row>
    <row r="50" spans="1:56" ht="27.75" customHeight="1" x14ac:dyDescent="0.45">
      <c r="A50" s="3">
        <f>[2]หน้าผ้า!C59</f>
        <v>45905</v>
      </c>
      <c r="B50" s="14" t="str">
        <f>[2]หน้าผ้า!B59</f>
        <v>MK68-001077</v>
      </c>
      <c r="C50" s="9" t="str">
        <f>[2]หน้าผ้า!E59</f>
        <v>บจก.เคอรี่ฟลาวมิลล์</v>
      </c>
      <c r="D50" s="13" t="str">
        <f>[2]หน้าผ้า!F59</f>
        <v>แต้มแดง</v>
      </c>
      <c r="E50" s="9">
        <f>[2]หน้าผ้า!G59</f>
        <v>19</v>
      </c>
      <c r="F50" s="9">
        <f>[2]หน้าผ้า!H59</f>
        <v>32</v>
      </c>
      <c r="G50" s="9" t="str">
        <f>[2]หน้าผ้า!I59</f>
        <v>ขาว</v>
      </c>
      <c r="H50" s="9">
        <f>[2]หน้าผ้า!J59</f>
        <v>0</v>
      </c>
      <c r="I50" s="9">
        <f>[2]หน้าผ้า!L59</f>
        <v>67</v>
      </c>
      <c r="J50" s="9" t="str">
        <f>[2]หน้าผ้า!M59</f>
        <v>+</v>
      </c>
      <c r="K50" s="9">
        <f>[2]หน้าผ้า!N59</f>
        <v>5</v>
      </c>
      <c r="L50" s="9" t="str">
        <f>[2]หน้าผ้า!R59</f>
        <v>บิด</v>
      </c>
      <c r="M50" s="10" t="str">
        <f>[2]หน้าผ้า!T59</f>
        <v>ไม่สวมถุงใน</v>
      </c>
      <c r="N50" s="9">
        <f>[2]หน้าผ้า!U59</f>
        <v>0</v>
      </c>
      <c r="O50" s="9">
        <f>[2]หน้าผ้า!V59</f>
        <v>0</v>
      </c>
      <c r="P50" s="10">
        <f>[2]หน้าผ้า!AB59</f>
        <v>0</v>
      </c>
      <c r="Q50" s="10">
        <f>[2]หน้าผ้า!AC59</f>
        <v>0</v>
      </c>
      <c r="R50" s="10">
        <f>[2]หน้าผ้า!AD59</f>
        <v>0</v>
      </c>
      <c r="S50" s="9" t="str">
        <f>[2]หน้าผ้า!Z59</f>
        <v>ห่ออัดเบลแบน500</v>
      </c>
      <c r="T50" s="12">
        <f>[2]หน้าผ้า!X59</f>
        <v>45918</v>
      </c>
      <c r="U50" s="11">
        <f>[2]หน้าผ้า!AA59</f>
        <v>5000</v>
      </c>
      <c r="V50" s="10">
        <f>[2]หน้าผ้า!AJ59</f>
        <v>0</v>
      </c>
      <c r="W50" s="10">
        <f>[2]หน้าผ้า!AL59</f>
        <v>5000</v>
      </c>
      <c r="X50" s="10">
        <f>[2]หน้าผ้า!AM59</f>
        <v>0</v>
      </c>
      <c r="Y50" s="10">
        <f>[2]หน้าผ้า!AN59</f>
        <v>5250</v>
      </c>
      <c r="Z50" s="9" t="str">
        <f>[2]หน้าผ้า!AO59</f>
        <v>WSWT1921720</v>
      </c>
      <c r="AA50" s="8">
        <f>[2]หน้าผ้า!AQ59</f>
        <v>4679.9500000000007</v>
      </c>
      <c r="AB50" s="8">
        <f>[2]หน้าผ้า!AR59</f>
        <v>0</v>
      </c>
      <c r="AC50" s="8">
        <f>[2]หน้าผ้า!AS59</f>
        <v>4679.9500000000007</v>
      </c>
      <c r="AD50" s="8">
        <f>[2]หน้าผ้า!AT59</f>
        <v>0</v>
      </c>
      <c r="AE50" s="8">
        <f>[2]หน้าผ้า!AU59</f>
        <v>0</v>
      </c>
      <c r="AF50" s="8" t="str">
        <f>[2]หน้าผ้า!AI59</f>
        <v>PDR250296</v>
      </c>
      <c r="AG50" s="1" t="str">
        <f>[3]หน้าผ้า!DC62</f>
        <v>รอแบบ</v>
      </c>
      <c r="AH50" s="1" t="str">
        <f>[2]หน้าผ้า!DL59</f>
        <v>P7</v>
      </c>
      <c r="AI50" s="1">
        <f>[2]หน้าผ้า!DM59</f>
        <v>2</v>
      </c>
      <c r="AJ50" s="3">
        <f>[2]หน้าผ้า!DN59</f>
        <v>45918</v>
      </c>
      <c r="AK50" s="3">
        <f>[2]หน้าผ้า!DQ59</f>
        <v>0</v>
      </c>
      <c r="AL50" s="3">
        <f>[2]หน้าผ้า!DR59</f>
        <v>45909</v>
      </c>
      <c r="AM50" s="3">
        <f>[2]หน้าผ้า!DS59</f>
        <v>45916</v>
      </c>
      <c r="AN50" s="3">
        <f>[2]หน้าผ้า!DT59</f>
        <v>45917</v>
      </c>
      <c r="AO50" s="3">
        <f>[2]หน้าผ้า!DU59</f>
        <v>45917</v>
      </c>
      <c r="AP50" s="3">
        <f>[2]หน้าผ้า!DP59</f>
        <v>45913</v>
      </c>
      <c r="AQ50" s="3">
        <f>[2]หน้าผ้า!DW59</f>
        <v>0</v>
      </c>
      <c r="AR50" s="3">
        <f>[2]หน้าผ้า!DX59</f>
        <v>0</v>
      </c>
      <c r="AS50" s="3">
        <f>[2]หน้าผ้า!DY59</f>
        <v>0</v>
      </c>
      <c r="AT50" s="3">
        <f>[2]หน้าผ้า!DZ59</f>
        <v>0</v>
      </c>
      <c r="AU50" s="3">
        <f>[2]หน้าผ้า!EA59</f>
        <v>0</v>
      </c>
      <c r="AV50" s="1">
        <f>[2]หน้าผ้า!EB59</f>
        <v>0</v>
      </c>
      <c r="AW50" s="2" t="str">
        <f>[2]หน้าผ้า!EC59</f>
        <v>งานพิมพ์</v>
      </c>
      <c r="AX50" s="2" t="str">
        <f>[2]หน้าผ้า!ED59</f>
        <v xml:space="preserve"> /</v>
      </c>
      <c r="AY50" s="2">
        <f>[2]หน้าผ้า!AG59</f>
        <v>0</v>
      </c>
      <c r="AZ50" s="2">
        <f>[2]หน้าผ้า!EG59</f>
        <v>0</v>
      </c>
      <c r="BA50" s="2">
        <f>[2]หน้าผ้า!EH59</f>
        <v>0</v>
      </c>
      <c r="BB50" s="2">
        <f>[2]หน้าผ้า!EI59</f>
        <v>0</v>
      </c>
      <c r="BC50" s="1" t="str">
        <f>[2]หน้าผ้า!BZ59</f>
        <v>WRWT21720/WRWT25800</v>
      </c>
      <c r="BD50" s="56">
        <f>[2]หน้าผ้า!CA59</f>
        <v>352.51463377777782</v>
      </c>
    </row>
    <row r="51" spans="1:56" ht="27.75" customHeight="1" x14ac:dyDescent="0.45">
      <c r="A51" s="3">
        <f>[2]หน้าผ้า!C60</f>
        <v>45905</v>
      </c>
      <c r="B51" s="14" t="str">
        <f>[2]หน้าผ้า!B60</f>
        <v>MK68-001077</v>
      </c>
      <c r="C51" s="9" t="str">
        <f>[2]หน้าผ้า!E60</f>
        <v>บจก.เคอรี่ฟลาวมิลล์</v>
      </c>
      <c r="D51" s="13" t="str">
        <f>[2]หน้าผ้า!F60</f>
        <v>ถุงเขียว</v>
      </c>
      <c r="E51" s="9">
        <f>[2]หน้าผ้า!G60</f>
        <v>19</v>
      </c>
      <c r="F51" s="9">
        <f>[2]หน้าผ้า!H60</f>
        <v>32</v>
      </c>
      <c r="G51" s="9" t="str">
        <f>[2]หน้าผ้า!I60</f>
        <v>ขาว</v>
      </c>
      <c r="H51" s="9">
        <f>[2]หน้าผ้า!J60</f>
        <v>0</v>
      </c>
      <c r="I51" s="9">
        <f>[2]หน้าผ้า!L60</f>
        <v>67</v>
      </c>
      <c r="J51" s="9" t="str">
        <f>[2]หน้าผ้า!M60</f>
        <v>+</v>
      </c>
      <c r="K51" s="9">
        <f>[2]หน้าผ้า!N60</f>
        <v>5</v>
      </c>
      <c r="L51" s="9" t="str">
        <f>[2]หน้าผ้า!R60</f>
        <v>บิด</v>
      </c>
      <c r="M51" s="10" t="str">
        <f>[2]หน้าผ้า!T60</f>
        <v>ไม่สวมถุงใน</v>
      </c>
      <c r="N51" s="9">
        <f>[2]หน้าผ้า!U60</f>
        <v>0</v>
      </c>
      <c r="O51" s="9">
        <f>[2]หน้าผ้า!V60</f>
        <v>0</v>
      </c>
      <c r="P51" s="10">
        <f>[2]หน้าผ้า!AB60</f>
        <v>0</v>
      </c>
      <c r="Q51" s="10">
        <f>[2]หน้าผ้า!AC60</f>
        <v>0</v>
      </c>
      <c r="R51" s="10">
        <f>[2]หน้าผ้า!AD60</f>
        <v>0</v>
      </c>
      <c r="S51" s="9" t="str">
        <f>[2]หน้าผ้า!Z60</f>
        <v>ห่ออัดเบลแบน500</v>
      </c>
      <c r="T51" s="12">
        <f>[2]หน้าผ้า!X60</f>
        <v>45918</v>
      </c>
      <c r="U51" s="11">
        <f>[2]หน้าผ้า!AA60</f>
        <v>10000</v>
      </c>
      <c r="V51" s="10">
        <f>[2]หน้าผ้า!AJ60</f>
        <v>0</v>
      </c>
      <c r="W51" s="10">
        <f>[2]หน้าผ้า!AL60</f>
        <v>10000</v>
      </c>
      <c r="X51" s="10">
        <f>[2]หน้าผ้า!AM60</f>
        <v>0</v>
      </c>
      <c r="Y51" s="10">
        <f>[2]หน้าผ้า!AN60</f>
        <v>10500</v>
      </c>
      <c r="Z51" s="9" t="str">
        <f>[2]หน้าผ้า!AO60</f>
        <v>WSWT1921720</v>
      </c>
      <c r="AA51" s="8">
        <f>[2]หน้าผ้า!AQ60</f>
        <v>9359.9000000000015</v>
      </c>
      <c r="AB51" s="8">
        <f>[2]หน้าผ้า!AR60</f>
        <v>0</v>
      </c>
      <c r="AC51" s="8">
        <f>[2]หน้าผ้า!AS60</f>
        <v>9359.9000000000015</v>
      </c>
      <c r="AD51" s="8">
        <f>[2]หน้าผ้า!AT60</f>
        <v>0</v>
      </c>
      <c r="AE51" s="8">
        <f>[2]หน้าผ้า!AU60</f>
        <v>0</v>
      </c>
      <c r="AF51" s="8" t="str">
        <f>[2]หน้าผ้า!AI60</f>
        <v>PDR250296</v>
      </c>
      <c r="AG51" s="1" t="str">
        <f>[3]หน้าผ้า!DC63</f>
        <v>พร้อมส่ง</v>
      </c>
      <c r="AH51" s="1" t="str">
        <f>[2]หน้าผ้า!DL60</f>
        <v>P7</v>
      </c>
      <c r="AI51" s="1">
        <f>[2]หน้าผ้า!DM60</f>
        <v>2</v>
      </c>
      <c r="AJ51" s="3">
        <f>[2]หน้าผ้า!DN60</f>
        <v>45918</v>
      </c>
      <c r="AK51" s="3">
        <f>[2]หน้าผ้า!DQ60</f>
        <v>0</v>
      </c>
      <c r="AL51" s="3">
        <f>[2]หน้าผ้า!DR60</f>
        <v>45909</v>
      </c>
      <c r="AM51" s="3">
        <f>[2]หน้าผ้า!DS60</f>
        <v>45916</v>
      </c>
      <c r="AN51" s="3">
        <f>[2]หน้าผ้า!DT60</f>
        <v>45917</v>
      </c>
      <c r="AO51" s="3">
        <f>[2]หน้าผ้า!DU60</f>
        <v>45917</v>
      </c>
      <c r="AP51" s="3">
        <f>[2]หน้าผ้า!DP60</f>
        <v>45913</v>
      </c>
      <c r="AQ51" s="3">
        <f>[2]หน้าผ้า!DW60</f>
        <v>0</v>
      </c>
      <c r="AR51" s="3">
        <f>[2]หน้าผ้า!DX60</f>
        <v>0</v>
      </c>
      <c r="AS51" s="3">
        <f>[2]หน้าผ้า!DY60</f>
        <v>0</v>
      </c>
      <c r="AT51" s="3">
        <f>[2]หน้าผ้า!DZ60</f>
        <v>0</v>
      </c>
      <c r="AU51" s="3">
        <f>[2]หน้าผ้า!EA60</f>
        <v>0</v>
      </c>
      <c r="AV51" s="1">
        <f>[2]หน้าผ้า!EB60</f>
        <v>0</v>
      </c>
      <c r="AW51" s="2" t="str">
        <f>[2]หน้าผ้า!EC60</f>
        <v>งานพิมพ์</v>
      </c>
      <c r="AX51" s="2" t="str">
        <f>[2]หน้าผ้า!ED60</f>
        <v xml:space="preserve"> /</v>
      </c>
      <c r="AY51" s="2">
        <f>[2]หน้าผ้า!AG60</f>
        <v>0</v>
      </c>
      <c r="AZ51" s="2">
        <f>[2]หน้าผ้า!EG60</f>
        <v>0</v>
      </c>
      <c r="BA51" s="2">
        <f>[2]หน้าผ้า!EH60</f>
        <v>0</v>
      </c>
      <c r="BB51" s="2">
        <f>[2]หน้าผ้า!EI60</f>
        <v>0</v>
      </c>
      <c r="BC51" s="1" t="str">
        <f>[2]หน้าผ้า!BZ60</f>
        <v>WRWT21720/WRWT25800</v>
      </c>
      <c r="BD51" s="56">
        <f>[2]หน้าผ้า!CA60</f>
        <v>705.02926755555563</v>
      </c>
    </row>
    <row r="52" spans="1:56" ht="27.75" customHeight="1" x14ac:dyDescent="0.45">
      <c r="A52" s="3">
        <f>[2]หน้าผ้า!C61</f>
        <v>45905</v>
      </c>
      <c r="B52" s="14" t="str">
        <f>[2]หน้าผ้า!B61</f>
        <v>MK68-001077</v>
      </c>
      <c r="C52" s="9" t="str">
        <f>[2]หน้าผ้า!E61</f>
        <v>บจก.เคอรี่ฟลาวมิลล์</v>
      </c>
      <c r="D52" s="13" t="str">
        <f>[2]หน้าผ้า!F61</f>
        <v>ดอกไม้เขียว</v>
      </c>
      <c r="E52" s="9">
        <f>[2]หน้าผ้า!G61</f>
        <v>19</v>
      </c>
      <c r="F52" s="9">
        <f>[2]หน้าผ้า!H61</f>
        <v>32</v>
      </c>
      <c r="G52" s="9" t="str">
        <f>[2]หน้าผ้า!I61</f>
        <v>ขาว</v>
      </c>
      <c r="H52" s="9">
        <f>[2]หน้าผ้า!J61</f>
        <v>0</v>
      </c>
      <c r="I52" s="9">
        <f>[2]หน้าผ้า!L61</f>
        <v>67</v>
      </c>
      <c r="J52" s="9" t="str">
        <f>[2]หน้าผ้า!M61</f>
        <v>+</v>
      </c>
      <c r="K52" s="9">
        <f>[2]หน้าผ้า!N61</f>
        <v>5</v>
      </c>
      <c r="L52" s="9" t="str">
        <f>[2]หน้าผ้า!R61</f>
        <v>บิด</v>
      </c>
      <c r="M52" s="10" t="str">
        <f>[2]หน้าผ้า!T61</f>
        <v>ไม่สวมถุงใน</v>
      </c>
      <c r="N52" s="9">
        <f>[2]หน้าผ้า!U61</f>
        <v>0</v>
      </c>
      <c r="O52" s="9">
        <f>[2]หน้าผ้า!V61</f>
        <v>0</v>
      </c>
      <c r="P52" s="10">
        <f>[2]หน้าผ้า!AB61</f>
        <v>0</v>
      </c>
      <c r="Q52" s="10">
        <f>[2]หน้าผ้า!AC61</f>
        <v>0</v>
      </c>
      <c r="R52" s="10">
        <f>[2]หน้าผ้า!AD61</f>
        <v>0</v>
      </c>
      <c r="S52" s="9" t="str">
        <f>[2]หน้าผ้า!Z61</f>
        <v>ห่ออัดเบลแบน500</v>
      </c>
      <c r="T52" s="12">
        <f>[2]หน้าผ้า!X61</f>
        <v>45918</v>
      </c>
      <c r="U52" s="11">
        <f>[2]หน้าผ้า!AA61</f>
        <v>5000</v>
      </c>
      <c r="V52" s="10">
        <f>[2]หน้าผ้า!AJ61</f>
        <v>0</v>
      </c>
      <c r="W52" s="10">
        <f>[2]หน้าผ้า!AL61</f>
        <v>5000</v>
      </c>
      <c r="X52" s="10">
        <f>[2]หน้าผ้า!AM61</f>
        <v>0</v>
      </c>
      <c r="Y52" s="10">
        <f>[2]หน้าผ้า!AN61</f>
        <v>5250</v>
      </c>
      <c r="Z52" s="9" t="str">
        <f>[2]หน้าผ้า!AO61</f>
        <v>WSWT1921720</v>
      </c>
      <c r="AA52" s="8">
        <f>[2]หน้าผ้า!AQ61</f>
        <v>4679.9500000000007</v>
      </c>
      <c r="AB52" s="8">
        <f>[2]หน้าผ้า!AR61</f>
        <v>0</v>
      </c>
      <c r="AC52" s="8">
        <f>[2]หน้าผ้า!AS61</f>
        <v>4679.9500000000007</v>
      </c>
      <c r="AD52" s="8">
        <f>[2]หน้าผ้า!AT61</f>
        <v>0</v>
      </c>
      <c r="AE52" s="8">
        <f>[2]หน้าผ้า!AU61</f>
        <v>0</v>
      </c>
      <c r="AF52" s="8" t="str">
        <f>[2]หน้าผ้า!AI61</f>
        <v>PDR250296</v>
      </c>
      <c r="AG52" s="1" t="str">
        <f>[3]หน้าผ้า!DC64</f>
        <v>พร้อมส่ง</v>
      </c>
      <c r="AH52" s="1" t="str">
        <f>[2]หน้าผ้า!DL61</f>
        <v>P7</v>
      </c>
      <c r="AI52" s="1">
        <f>[2]หน้าผ้า!DM61</f>
        <v>2</v>
      </c>
      <c r="AJ52" s="3">
        <f>[2]หน้าผ้า!DN61</f>
        <v>45918</v>
      </c>
      <c r="AK52" s="3">
        <f>[2]หน้าผ้า!DQ61</f>
        <v>0</v>
      </c>
      <c r="AL52" s="3">
        <f>[2]หน้าผ้า!DR61</f>
        <v>45909</v>
      </c>
      <c r="AM52" s="3">
        <f>[2]หน้าผ้า!DS61</f>
        <v>45916</v>
      </c>
      <c r="AN52" s="3">
        <f>[2]หน้าผ้า!DT61</f>
        <v>45917</v>
      </c>
      <c r="AO52" s="3">
        <f>[2]หน้าผ้า!DU61</f>
        <v>45917</v>
      </c>
      <c r="AP52" s="3">
        <f>[2]หน้าผ้า!DP61</f>
        <v>45913</v>
      </c>
      <c r="AQ52" s="3">
        <f>[2]หน้าผ้า!DW61</f>
        <v>0</v>
      </c>
      <c r="AR52" s="3">
        <f>[2]หน้าผ้า!DX61</f>
        <v>0</v>
      </c>
      <c r="AS52" s="3">
        <f>[2]หน้าผ้า!DY61</f>
        <v>0</v>
      </c>
      <c r="AT52" s="3">
        <f>[2]หน้าผ้า!DZ61</f>
        <v>0</v>
      </c>
      <c r="AU52" s="3">
        <f>[2]หน้าผ้า!EA61</f>
        <v>0</v>
      </c>
      <c r="AV52" s="1">
        <f>[2]หน้าผ้า!EB61</f>
        <v>0</v>
      </c>
      <c r="AW52" s="2" t="str">
        <f>[2]หน้าผ้า!EC61</f>
        <v>งานพิมพ์</v>
      </c>
      <c r="AX52" s="2" t="str">
        <f>[2]หน้าผ้า!ED61</f>
        <v xml:space="preserve"> /</v>
      </c>
      <c r="AY52" s="2">
        <f>[2]หน้าผ้า!AG61</f>
        <v>0</v>
      </c>
      <c r="AZ52" s="2">
        <f>[2]หน้าผ้า!EG61</f>
        <v>0</v>
      </c>
      <c r="BA52" s="2">
        <f>[2]หน้าผ้า!EH61</f>
        <v>0</v>
      </c>
      <c r="BB52" s="2">
        <f>[2]หน้าผ้า!EI61</f>
        <v>0</v>
      </c>
      <c r="BC52" s="1" t="str">
        <f>[2]หน้าผ้า!BZ61</f>
        <v>WRWT21720/WRWT25800</v>
      </c>
      <c r="BD52" s="56">
        <f>[2]หน้าผ้า!CA61</f>
        <v>352.51463377777782</v>
      </c>
    </row>
    <row r="53" spans="1:56" ht="27.75" customHeight="1" x14ac:dyDescent="0.45">
      <c r="A53" s="3" t="str">
        <f>[2]หน้าผ้า!C62</f>
        <v>ประมาณการ</v>
      </c>
      <c r="B53" s="14" t="str">
        <f>[2]หน้าผ้า!B62</f>
        <v>ประมาณการ</v>
      </c>
      <c r="C53" s="9" t="str">
        <f>[2]หน้าผ้า!E62</f>
        <v>บจก.เคอรี่ฟลาวมิลล์</v>
      </c>
      <c r="D53" s="13" t="str">
        <f>[2]หน้าผ้า!F62</f>
        <v>รอแบบ</v>
      </c>
      <c r="E53" s="9">
        <f>[2]หน้าผ้า!G62</f>
        <v>19</v>
      </c>
      <c r="F53" s="9">
        <f>[2]หน้าผ้า!H62</f>
        <v>32</v>
      </c>
      <c r="G53" s="9" t="str">
        <f>[2]หน้าผ้า!I62</f>
        <v>ขาว</v>
      </c>
      <c r="H53" s="9">
        <f>[2]หน้าผ้า!J62</f>
        <v>0</v>
      </c>
      <c r="I53" s="9">
        <f>[2]หน้าผ้า!L62</f>
        <v>67</v>
      </c>
      <c r="J53" s="9" t="str">
        <f>[2]หน้าผ้า!M62</f>
        <v>+</v>
      </c>
      <c r="K53" s="9">
        <f>[2]หน้าผ้า!N62</f>
        <v>5</v>
      </c>
      <c r="L53" s="9" t="str">
        <f>[2]หน้าผ้า!R62</f>
        <v>บิด</v>
      </c>
      <c r="M53" s="10" t="str">
        <f>[2]หน้าผ้า!T62</f>
        <v>ไม่สวมถุงใน</v>
      </c>
      <c r="N53" s="9">
        <f>[2]หน้าผ้า!U62</f>
        <v>0</v>
      </c>
      <c r="O53" s="9">
        <f>[2]หน้าผ้า!V62</f>
        <v>0</v>
      </c>
      <c r="P53" s="10">
        <f>[2]หน้าผ้า!AB62</f>
        <v>0</v>
      </c>
      <c r="Q53" s="10">
        <f>[2]หน้าผ้า!AC62</f>
        <v>0</v>
      </c>
      <c r="R53" s="10">
        <f>[2]หน้าผ้า!AD62</f>
        <v>0</v>
      </c>
      <c r="S53" s="9" t="str">
        <f>[2]หน้าผ้า!Z62</f>
        <v>ห่ออัดเบลแบน500</v>
      </c>
      <c r="T53" s="12">
        <f>[2]หน้าผ้า!X62</f>
        <v>45930</v>
      </c>
      <c r="U53" s="11">
        <f>[2]หน้าผ้า!AA62</f>
        <v>140000</v>
      </c>
      <c r="V53" s="10">
        <f>[2]หน้าผ้า!AJ62</f>
        <v>0</v>
      </c>
      <c r="W53" s="10">
        <f>[2]หน้าผ้า!AL62</f>
        <v>140000</v>
      </c>
      <c r="X53" s="10">
        <f>[2]หน้าผ้า!AM62</f>
        <v>0</v>
      </c>
      <c r="Y53" s="10">
        <f>[2]หน้าผ้า!AN62</f>
        <v>147000</v>
      </c>
      <c r="Z53" s="9" t="str">
        <f>[2]หน้าผ้า!AO62</f>
        <v>WSWT1921720</v>
      </c>
      <c r="AA53" s="8">
        <f>[2]หน้าผ้า!AQ62</f>
        <v>131038.6</v>
      </c>
      <c r="AB53" s="8">
        <f>[2]หน้าผ้า!AR62</f>
        <v>0</v>
      </c>
      <c r="AC53" s="8">
        <f>[2]หน้าผ้า!AS62</f>
        <v>131038.6</v>
      </c>
      <c r="AD53" s="8">
        <f>[2]หน้าผ้า!AT62</f>
        <v>0</v>
      </c>
      <c r="AE53" s="8">
        <f>[2]หน้าผ้า!AU62</f>
        <v>0</v>
      </c>
      <c r="AF53" s="8">
        <f>[2]หน้าผ้า!AI62</f>
        <v>0</v>
      </c>
      <c r="AG53" s="1" t="str">
        <f>[3]หน้าผ้า!DC65</f>
        <v>ยังไม่ได้พิมพ์</v>
      </c>
      <c r="AH53" s="1" t="str">
        <f>[2]หน้าผ้า!DL62</f>
        <v>P7</v>
      </c>
      <c r="AI53" s="1">
        <f>[2]หน้าผ้า!DM62</f>
        <v>2</v>
      </c>
      <c r="AJ53" s="3">
        <f>[2]หน้าผ้า!DN62</f>
        <v>45930</v>
      </c>
      <c r="AK53" s="3">
        <f>[2]หน้าผ้า!DQ62</f>
        <v>0</v>
      </c>
      <c r="AL53" s="3">
        <f>[2]หน้าผ้า!DR62</f>
        <v>45921</v>
      </c>
      <c r="AM53" s="3">
        <f>[2]หน้าผ้า!DS62</f>
        <v>45928</v>
      </c>
      <c r="AN53" s="3">
        <f>[2]หน้าผ้า!DT62</f>
        <v>45929</v>
      </c>
      <c r="AO53" s="3">
        <f>[2]หน้าผ้า!DU62</f>
        <v>45929</v>
      </c>
      <c r="AP53" s="3">
        <f>[2]หน้าผ้า!DP62</f>
        <v>45925</v>
      </c>
      <c r="AQ53" s="3">
        <f>[2]หน้าผ้า!DW62</f>
        <v>0</v>
      </c>
      <c r="AR53" s="3">
        <f>[2]หน้าผ้า!DX62</f>
        <v>0</v>
      </c>
      <c r="AS53" s="3">
        <f>[2]หน้าผ้า!DY62</f>
        <v>0</v>
      </c>
      <c r="AT53" s="3">
        <f>[2]หน้าผ้า!DZ62</f>
        <v>0</v>
      </c>
      <c r="AU53" s="3">
        <f>[2]หน้าผ้า!EA62</f>
        <v>0</v>
      </c>
      <c r="AV53" s="1">
        <f>[2]หน้าผ้า!EB62</f>
        <v>0</v>
      </c>
      <c r="AW53" s="2" t="str">
        <f>[2]หน้าผ้า!EC62</f>
        <v>งานพิมพ์</v>
      </c>
      <c r="AX53" s="2" t="str">
        <f>[2]หน้าผ้า!ED62</f>
        <v>รอART</v>
      </c>
      <c r="AY53" s="2">
        <f>[2]หน้าผ้า!AG62</f>
        <v>0</v>
      </c>
      <c r="AZ53" s="2">
        <f>[2]หน้าผ้า!EG62</f>
        <v>0</v>
      </c>
      <c r="BA53" s="2">
        <f>[2]หน้าผ้า!EH62</f>
        <v>0</v>
      </c>
      <c r="BB53" s="2">
        <f>[2]หน้าผ้า!EI62</f>
        <v>0</v>
      </c>
      <c r="BC53" s="1" t="str">
        <f>[2]หน้าผ้า!BZ62</f>
        <v>WRWT21720/WRWT25800</v>
      </c>
      <c r="BD53" s="56">
        <f>[2]หน้าผ้า!CA62</f>
        <v>9870.4097457777771</v>
      </c>
    </row>
    <row r="54" spans="1:56" ht="27.75" customHeight="1" x14ac:dyDescent="0.45">
      <c r="A54" s="3">
        <f>[2]หน้าผ้า!C63</f>
        <v>0</v>
      </c>
      <c r="B54" s="14">
        <f>[2]หน้าผ้า!B63</f>
        <v>0</v>
      </c>
      <c r="C54" s="9">
        <f>[2]หน้าผ้า!E63</f>
        <v>0</v>
      </c>
      <c r="D54" s="13">
        <f>[2]หน้าผ้า!F63</f>
        <v>0</v>
      </c>
      <c r="E54" s="9">
        <f>[2]หน้าผ้า!G63</f>
        <v>19</v>
      </c>
      <c r="F54" s="9">
        <f>[2]หน้าผ้า!H63</f>
        <v>30</v>
      </c>
      <c r="G54" s="9">
        <f>[2]หน้าผ้า!I63</f>
        <v>0</v>
      </c>
      <c r="H54" s="9">
        <f>[2]หน้าผ้า!J63</f>
        <v>0</v>
      </c>
      <c r="I54" s="9">
        <f>[2]หน้าผ้า!L63</f>
        <v>63</v>
      </c>
      <c r="J54" s="9" t="str">
        <f>[2]หน้าผ้า!M63</f>
        <v>+</v>
      </c>
      <c r="K54" s="9">
        <f>[2]หน้าผ้า!N63</f>
        <v>5</v>
      </c>
      <c r="L54" s="9">
        <f>[2]หน้าผ้า!R63</f>
        <v>0</v>
      </c>
      <c r="M54" s="10">
        <f>[2]หน้าผ้า!T63</f>
        <v>0</v>
      </c>
      <c r="N54" s="9">
        <f>[2]หน้าผ้า!U63</f>
        <v>0</v>
      </c>
      <c r="O54" s="9">
        <f>[2]หน้าผ้า!V63</f>
        <v>0</v>
      </c>
      <c r="P54" s="10">
        <f>[2]หน้าผ้า!AB63</f>
        <v>0</v>
      </c>
      <c r="Q54" s="10">
        <f>[2]หน้าผ้า!AC63</f>
        <v>0</v>
      </c>
      <c r="R54" s="10">
        <f>[2]หน้าผ้า!AD63</f>
        <v>0</v>
      </c>
      <c r="S54" s="9">
        <f>[2]หน้าผ้า!Z63</f>
        <v>0</v>
      </c>
      <c r="T54" s="12">
        <f>[2]หน้าผ้า!X63</f>
        <v>0</v>
      </c>
      <c r="U54" s="11">
        <f>[2]หน้าผ้า!AA63</f>
        <v>0</v>
      </c>
      <c r="V54" s="10">
        <f>[2]หน้าผ้า!AJ63</f>
        <v>0</v>
      </c>
      <c r="W54" s="10">
        <f>[2]หน้าผ้า!AL63</f>
        <v>0</v>
      </c>
      <c r="X54" s="10">
        <f>[2]หน้าผ้า!AM63</f>
        <v>0</v>
      </c>
      <c r="Y54" s="10">
        <f>[2]หน้าผ้า!AN63</f>
        <v>0</v>
      </c>
      <c r="Z54" s="9" t="str">
        <f>[2]หน้าผ้า!AO63</f>
        <v>WSWT1921720</v>
      </c>
      <c r="AA54" s="8">
        <f>[2]หน้าผ้า!AQ63</f>
        <v>262077.2</v>
      </c>
      <c r="AB54" s="8">
        <f>[2]หน้าผ้า!AR63</f>
        <v>59261.500000000007</v>
      </c>
      <c r="AC54" s="8">
        <f>[2]หน้าผ้า!AS63</f>
        <v>202815.7</v>
      </c>
      <c r="AD54" s="8">
        <f>[2]หน้าผ้า!AT63</f>
        <v>0</v>
      </c>
      <c r="AE54" s="8">
        <f>[2]หน้าผ้า!AU63</f>
        <v>0</v>
      </c>
      <c r="AF54" s="8" t="str">
        <f>[2]หน้าผ้า!AI63</f>
        <v>ระบุในSD</v>
      </c>
      <c r="AG54" s="1" t="str">
        <f>[3]หน้าผ้า!DC66</f>
        <v>ยังไม่ได้พิมพ์</v>
      </c>
      <c r="AH54" s="1">
        <f>[2]หน้าผ้า!DL63</f>
        <v>0</v>
      </c>
      <c r="AI54" s="1" t="str">
        <f>[2]หน้าผ้า!DM63</f>
        <v>Lead time</v>
      </c>
      <c r="AJ54" s="3">
        <f>[2]หน้าผ้า!DN63</f>
        <v>0</v>
      </c>
      <c r="AK54" s="3">
        <f>[2]หน้าผ้า!DQ63</f>
        <v>0</v>
      </c>
      <c r="AL54" s="3">
        <f>[2]หน้าผ้า!DR63</f>
        <v>0</v>
      </c>
      <c r="AM54" s="3">
        <f>[2]หน้าผ้า!DS63</f>
        <v>0</v>
      </c>
      <c r="AN54" s="3">
        <f>[2]หน้าผ้า!DT63</f>
        <v>0</v>
      </c>
      <c r="AO54" s="3">
        <f>[2]หน้าผ้า!DU63</f>
        <v>0</v>
      </c>
      <c r="AP54" s="3">
        <f>[2]หน้าผ้า!DP63</f>
        <v>0</v>
      </c>
      <c r="AQ54" s="3">
        <f>[2]หน้าผ้า!DW63</f>
        <v>0</v>
      </c>
      <c r="AR54" s="3">
        <f>[2]หน้าผ้า!DX63</f>
        <v>0</v>
      </c>
      <c r="AS54" s="3">
        <f>[2]หน้าผ้า!DY63</f>
        <v>0</v>
      </c>
      <c r="AT54" s="3">
        <f>[2]หน้าผ้า!DZ63</f>
        <v>0</v>
      </c>
      <c r="AU54" s="3">
        <f>[2]หน้าผ้า!EA63</f>
        <v>0</v>
      </c>
      <c r="AV54" s="1">
        <f>[2]หน้าผ้า!EB63</f>
        <v>0</v>
      </c>
      <c r="AW54" s="2">
        <f>[2]หน้าผ้า!EC63</f>
        <v>0</v>
      </c>
      <c r="AX54" s="2">
        <f>[2]หน้าผ้า!ED63</f>
        <v>0</v>
      </c>
      <c r="AY54" s="2">
        <f>[2]หน้าผ้า!AG63</f>
        <v>0</v>
      </c>
      <c r="AZ54" s="2">
        <f>[2]หน้าผ้า!EG63</f>
        <v>0</v>
      </c>
      <c r="BA54" s="2">
        <f>[2]หน้าผ้า!EH63</f>
        <v>0</v>
      </c>
      <c r="BB54" s="2">
        <f>[2]หน้าผ้า!EI63</f>
        <v>0</v>
      </c>
      <c r="BC54" s="1" t="str">
        <f>[2]หน้าผ้า!BZ63</f>
        <v>WRWT190720/WRWT25800</v>
      </c>
      <c r="BD54" s="56">
        <f>[2]หน้าผ้า!CA63</f>
        <v>0</v>
      </c>
    </row>
    <row r="55" spans="1:56" ht="27.75" customHeight="1" x14ac:dyDescent="0.45">
      <c r="A55" s="3">
        <f>[2]หน้าผ้า!C64</f>
        <v>0</v>
      </c>
      <c r="B55" s="14">
        <f>[2]หน้าผ้า!B64</f>
        <v>0</v>
      </c>
      <c r="C55" s="9">
        <f>[2]หน้าผ้า!E64</f>
        <v>0</v>
      </c>
      <c r="D55" s="13">
        <f>[2]หน้าผ้า!F64</f>
        <v>0</v>
      </c>
      <c r="E55" s="9">
        <f>[2]หน้าผ้า!G64</f>
        <v>19</v>
      </c>
      <c r="F55" s="9">
        <f>[2]หน้าผ้า!H64</f>
        <v>30</v>
      </c>
      <c r="G55" s="9">
        <f>[2]หน้าผ้า!I64</f>
        <v>0</v>
      </c>
      <c r="H55" s="9">
        <f>[2]หน้าผ้า!J64</f>
        <v>0</v>
      </c>
      <c r="I55" s="9">
        <f>[2]หน้าผ้า!L64</f>
        <v>56</v>
      </c>
      <c r="J55" s="9" t="str">
        <f>[2]หน้าผ้า!M64</f>
        <v>±</v>
      </c>
      <c r="K55" s="9">
        <f>[2]หน้าผ้า!N64</f>
        <v>5</v>
      </c>
      <c r="L55" s="9">
        <f>[2]หน้าผ้า!R64</f>
        <v>0</v>
      </c>
      <c r="M55" s="10">
        <f>[2]หน้าผ้า!T64</f>
        <v>0</v>
      </c>
      <c r="N55" s="9">
        <f>[2]หน้าผ้า!U64</f>
        <v>0</v>
      </c>
      <c r="O55" s="9">
        <f>[2]หน้าผ้า!V64</f>
        <v>0</v>
      </c>
      <c r="P55" s="10">
        <f>[2]หน้าผ้า!AB64</f>
        <v>0</v>
      </c>
      <c r="Q55" s="10">
        <f>[2]หน้าผ้า!AC64</f>
        <v>0</v>
      </c>
      <c r="R55" s="10">
        <f>[2]หน้าผ้า!AD64</f>
        <v>0</v>
      </c>
      <c r="S55" s="9">
        <f>[2]หน้าผ้า!Z64</f>
        <v>0</v>
      </c>
      <c r="T55" s="12">
        <f>[2]หน้าผ้า!X64</f>
        <v>0</v>
      </c>
      <c r="U55" s="11">
        <f>[2]หน้าผ้า!AA64</f>
        <v>0</v>
      </c>
      <c r="V55" s="10" t="str">
        <f>[2]หน้าผ้า!AJ64</f>
        <v xml:space="preserve"> </v>
      </c>
      <c r="W55" s="10">
        <f>[2]หน้าผ้า!AL64</f>
        <v>0</v>
      </c>
      <c r="X55" s="10">
        <f>[2]หน้าผ้า!AM64</f>
        <v>0</v>
      </c>
      <c r="Y55" s="10">
        <f>[2]หน้าผ้า!AN64</f>
        <v>0</v>
      </c>
      <c r="Z55" s="9" t="str">
        <f>[2]หน้าผ้า!AO64</f>
        <v>WSWT1925800SM</v>
      </c>
      <c r="AA55" s="8" t="e">
        <f>[2]หน้าผ้า!AQ64</f>
        <v>#REF!</v>
      </c>
      <c r="AB55" s="8" t="e">
        <f>[2]หน้าผ้า!AR64</f>
        <v>#REF!</v>
      </c>
      <c r="AC55" s="8" t="e">
        <f>[2]หน้าผ้า!AS64</f>
        <v>#REF!</v>
      </c>
      <c r="AD55" s="8" t="e">
        <f>[2]หน้าผ้า!AT64</f>
        <v>#REF!</v>
      </c>
      <c r="AE55" s="8" t="e">
        <f>[2]หน้าผ้า!AU64</f>
        <v>#REF!</v>
      </c>
      <c r="AF55" s="8" t="str">
        <f>[2]หน้าผ้า!AI64</f>
        <v>ระบุในSD</v>
      </c>
      <c r="AG55" s="1" t="str">
        <f>[3]หน้าผ้า!DC67</f>
        <v>พร้อมส่ง</v>
      </c>
      <c r="AH55" s="1">
        <f>[2]หน้าผ้า!DL64</f>
        <v>0</v>
      </c>
      <c r="AI55" s="1" t="str">
        <f>[2]หน้าผ้า!DM64</f>
        <v>Lead time</v>
      </c>
      <c r="AJ55" s="3">
        <f>[2]หน้าผ้า!DN64</f>
        <v>0</v>
      </c>
      <c r="AK55" s="3">
        <f>[2]หน้าผ้า!DQ64</f>
        <v>0</v>
      </c>
      <c r="AL55" s="3">
        <f>[2]หน้าผ้า!DR64</f>
        <v>0</v>
      </c>
      <c r="AM55" s="3">
        <f>[2]หน้าผ้า!DS64</f>
        <v>0</v>
      </c>
      <c r="AN55" s="3">
        <f>[2]หน้าผ้า!DT64</f>
        <v>0</v>
      </c>
      <c r="AO55" s="3">
        <f>[2]หน้าผ้า!DU64</f>
        <v>0</v>
      </c>
      <c r="AP55" s="3">
        <f>[2]หน้าผ้า!DP64</f>
        <v>0</v>
      </c>
      <c r="AQ55" s="3">
        <f>[2]หน้าผ้า!DW64</f>
        <v>0</v>
      </c>
      <c r="AR55" s="3">
        <f>[2]หน้าผ้า!DX64</f>
        <v>0</v>
      </c>
      <c r="AS55" s="3">
        <f>[2]หน้าผ้า!DY64</f>
        <v>0</v>
      </c>
      <c r="AT55" s="3">
        <f>[2]หน้าผ้า!DZ64</f>
        <v>0</v>
      </c>
      <c r="AU55" s="3">
        <f>[2]หน้าผ้า!EA64</f>
        <v>0</v>
      </c>
      <c r="AV55" s="1">
        <f>[2]หน้าผ้า!EB64</f>
        <v>0</v>
      </c>
      <c r="AW55" s="2">
        <f>[2]หน้าผ้า!EC64</f>
        <v>0</v>
      </c>
      <c r="AX55" s="2">
        <f>[2]หน้าผ้า!ED64</f>
        <v>0</v>
      </c>
      <c r="AY55" s="2">
        <f>[2]หน้าผ้า!AG64</f>
        <v>0</v>
      </c>
      <c r="AZ55" s="2">
        <f>[2]หน้าผ้า!EG64</f>
        <v>0</v>
      </c>
      <c r="BA55" s="2">
        <f>[2]หน้าผ้า!EH64</f>
        <v>0</v>
      </c>
      <c r="BB55" s="2">
        <f>[2]หน้าผ้า!EI64</f>
        <v>0</v>
      </c>
      <c r="BC55" s="1" t="str">
        <f>[2]หน้าผ้า!BZ64</f>
        <v>WRWT190800/WRWT25800</v>
      </c>
      <c r="BD55" s="56">
        <f>[2]หน้าผ้า!CA64</f>
        <v>0</v>
      </c>
    </row>
    <row r="56" spans="1:56" ht="27.75" customHeight="1" x14ac:dyDescent="0.45">
      <c r="A56" s="3">
        <f>[2]หน้าผ้า!C65</f>
        <v>45905</v>
      </c>
      <c r="B56" s="14" t="str">
        <f>[2]หน้าผ้า!B65</f>
        <v>ใบรับคำสั่งซื้อ</v>
      </c>
      <c r="C56" s="9" t="str">
        <f>[2]หน้าผ้า!E65</f>
        <v>บจก.อินเทคค์ โกลบอล</v>
      </c>
      <c r="D56" s="13" t="str">
        <f>[2]หน้าผ้า!F65</f>
        <v>เพอเฟคค์103P โกลด์</v>
      </c>
      <c r="E56" s="9">
        <f>[2]หน้าผ้า!G65</f>
        <v>19</v>
      </c>
      <c r="F56" s="9">
        <f>[2]หน้าผ้า!H65</f>
        <v>34</v>
      </c>
      <c r="G56" s="9" t="str">
        <f>[2]หน้าผ้า!I65</f>
        <v>ขาว</v>
      </c>
      <c r="H56" s="9" t="str">
        <f>[2]หน้าผ้า!J65</f>
        <v>ด้าน</v>
      </c>
      <c r="I56" s="9">
        <f>[2]หน้าผ้า!L65</f>
        <v>100</v>
      </c>
      <c r="J56" s="9" t="str">
        <f>[2]หน้าผ้า!M65</f>
        <v>±</v>
      </c>
      <c r="K56" s="9">
        <f>[2]หน้าผ้า!N65</f>
        <v>5</v>
      </c>
      <c r="L56" s="9" t="str">
        <f>[2]หน้าผ้า!R65</f>
        <v>จับจีบ4"</v>
      </c>
      <c r="M56" s="10" t="str">
        <f>[2]หน้าผ้า!T65</f>
        <v>ไม่สวมถุงใน</v>
      </c>
      <c r="N56" s="9">
        <f>[2]หน้าผ้า!U65</f>
        <v>0</v>
      </c>
      <c r="O56" s="9">
        <f>[2]หน้าผ้า!V65</f>
        <v>0</v>
      </c>
      <c r="P56" s="10">
        <f>[2]หน้าผ้า!AB65</f>
        <v>0</v>
      </c>
      <c r="Q56" s="10">
        <f>[2]หน้าผ้า!AC65</f>
        <v>0</v>
      </c>
      <c r="R56" s="10">
        <f>[2]หน้าผ้า!AD65</f>
        <v>0</v>
      </c>
      <c r="S56" s="9" t="str">
        <f>[2]หน้าผ้า!Z65</f>
        <v>มัด80 ใช้สายรัด</v>
      </c>
      <c r="T56" s="12">
        <f>[2]หน้าผ้า!X65</f>
        <v>45920</v>
      </c>
      <c r="U56" s="11">
        <f>[2]หน้าผ้า!AA65</f>
        <v>5040</v>
      </c>
      <c r="V56" s="10">
        <f>[2]หน้าผ้า!AJ65</f>
        <v>0</v>
      </c>
      <c r="W56" s="10">
        <f>[2]หน้าผ้า!AL65</f>
        <v>5040</v>
      </c>
      <c r="X56" s="10">
        <f>[2]หน้าผ้า!AM65</f>
        <v>0</v>
      </c>
      <c r="Y56" s="10">
        <f>[2]หน้าผ้า!AN65</f>
        <v>5292</v>
      </c>
      <c r="Z56" s="9" t="str">
        <f>[2]หน้าผ้า!AO65</f>
        <v>WSWT19251000SM</v>
      </c>
      <c r="AA56" s="8">
        <f>[2]หน้าผ้า!AQ65</f>
        <v>4999.0247999999992</v>
      </c>
      <c r="AB56" s="8">
        <f>[2]หน้าผ้า!AR65</f>
        <v>2960</v>
      </c>
      <c r="AC56" s="8">
        <f>[2]หน้าผ้า!AS65</f>
        <v>2039.0247999999992</v>
      </c>
      <c r="AD56" s="8">
        <f>[2]หน้าผ้า!AT65</f>
        <v>0</v>
      </c>
      <c r="AE56" s="8">
        <f>[2]หน้าผ้า!AU65</f>
        <v>4999.0247999999992</v>
      </c>
      <c r="AF56" s="8">
        <f>[2]หน้าผ้า!AI65</f>
        <v>0</v>
      </c>
      <c r="AG56" s="1" t="str">
        <f>[3]หน้าผ้า!DC68</f>
        <v>พร้อมส่ง</v>
      </c>
      <c r="AH56" s="1" t="str">
        <f>[2]หน้าผ้า!DL65</f>
        <v>P6</v>
      </c>
      <c r="AI56" s="1">
        <f>[2]หน้าผ้า!DM65</f>
        <v>4</v>
      </c>
      <c r="AJ56" s="3">
        <f>[2]หน้าผ้า!DN65</f>
        <v>45920</v>
      </c>
      <c r="AK56" s="3">
        <f>[2]หน้าผ้า!DQ65</f>
        <v>45916</v>
      </c>
      <c r="AL56" s="3">
        <f>[2]หน้าผ้า!DR65</f>
        <v>45909</v>
      </c>
      <c r="AM56" s="3">
        <f>[2]หน้าผ้า!DS65</f>
        <v>45917</v>
      </c>
      <c r="AN56" s="3">
        <f>[2]หน้าผ้า!DT65</f>
        <v>45918</v>
      </c>
      <c r="AO56" s="3">
        <f>[2]หน้าผ้า!DU65</f>
        <v>45919</v>
      </c>
      <c r="AP56" s="3">
        <f>[2]หน้าผ้า!DP65</f>
        <v>45915</v>
      </c>
      <c r="AQ56" s="3">
        <f>[2]หน้าผ้า!DW65</f>
        <v>0</v>
      </c>
      <c r="AR56" s="3">
        <f>[2]หน้าผ้า!DX65</f>
        <v>0</v>
      </c>
      <c r="AS56" s="3">
        <f>[2]หน้าผ้า!DY65</f>
        <v>0</v>
      </c>
      <c r="AT56" s="3">
        <f>[2]หน้าผ้า!DZ65</f>
        <v>0</v>
      </c>
      <c r="AU56" s="3">
        <f>[2]หน้าผ้า!EA65</f>
        <v>0</v>
      </c>
      <c r="AV56" s="1">
        <f>[2]หน้าผ้า!EB65</f>
        <v>0</v>
      </c>
      <c r="AW56" s="2" t="str">
        <f>[2]หน้าผ้า!EC65</f>
        <v>งานเคลือบ+พิมพ์</v>
      </c>
      <c r="AX56" s="2" t="str">
        <f>[2]หน้าผ้า!ED65</f>
        <v>รอART</v>
      </c>
      <c r="AY56" s="2">
        <f>[2]หน้าผ้า!AG65</f>
        <v>0</v>
      </c>
      <c r="AZ56" s="2">
        <f>[2]หน้าผ้า!EG65</f>
        <v>0</v>
      </c>
      <c r="BA56" s="2">
        <f>[2]หน้าผ้า!EH65</f>
        <v>0</v>
      </c>
      <c r="BB56" s="2">
        <f>[2]หน้าผ้า!EI65</f>
        <v>0</v>
      </c>
      <c r="BC56" s="1" t="str">
        <f>[2]หน้าผ้า!BZ65</f>
        <v>WRWT251000/WRWT251000</v>
      </c>
      <c r="BD56" s="56">
        <f>[2]หน้าผ้า!CA65</f>
        <v>172.18431644444436</v>
      </c>
    </row>
    <row r="57" spans="1:56" ht="27.75" customHeight="1" x14ac:dyDescent="0.45">
      <c r="A57" s="3">
        <f>[2]หน้าผ้า!C66</f>
        <v>45905</v>
      </c>
      <c r="B57" s="14" t="str">
        <f>[2]หน้าผ้า!B66</f>
        <v>ใบรับคำสั่งซื้อ</v>
      </c>
      <c r="C57" s="9" t="str">
        <f>[2]หน้าผ้า!E66</f>
        <v>บจก.อินเทคค์ โกลบอล</v>
      </c>
      <c r="D57" s="13" t="str">
        <f>[2]หน้าผ้า!F66</f>
        <v>เพอเฟคค์104 โกลด์</v>
      </c>
      <c r="E57" s="9">
        <f>[2]หน้าผ้า!G66</f>
        <v>19</v>
      </c>
      <c r="F57" s="9">
        <f>[2]หน้าผ้า!H66</f>
        <v>34</v>
      </c>
      <c r="G57" s="9" t="str">
        <f>[2]หน้าผ้า!I66</f>
        <v>ขาว</v>
      </c>
      <c r="H57" s="9" t="str">
        <f>[2]หน้าผ้า!J66</f>
        <v>ด้าน</v>
      </c>
      <c r="I57" s="9">
        <f>[2]หน้าผ้า!L66</f>
        <v>100</v>
      </c>
      <c r="J57" s="9" t="str">
        <f>[2]หน้าผ้า!M66</f>
        <v>±</v>
      </c>
      <c r="K57" s="9">
        <f>[2]หน้าผ้า!N66</f>
        <v>5</v>
      </c>
      <c r="L57" s="9" t="str">
        <f>[2]หน้าผ้า!R66</f>
        <v>จับจีบ4"</v>
      </c>
      <c r="M57" s="10" t="str">
        <f>[2]หน้าผ้า!T66</f>
        <v>ไม่สวมถุงใน</v>
      </c>
      <c r="N57" s="9">
        <f>[2]หน้าผ้า!U66</f>
        <v>0</v>
      </c>
      <c r="O57" s="9">
        <f>[2]หน้าผ้า!V66</f>
        <v>0</v>
      </c>
      <c r="P57" s="10">
        <f>[2]หน้าผ้า!AB66</f>
        <v>0</v>
      </c>
      <c r="Q57" s="10">
        <f>[2]หน้าผ้า!AC66</f>
        <v>0</v>
      </c>
      <c r="R57" s="10">
        <f>[2]หน้าผ้า!AD66</f>
        <v>0</v>
      </c>
      <c r="S57" s="9" t="str">
        <f>[2]หน้าผ้า!Z66</f>
        <v>มัด80 ใช้สายรัด</v>
      </c>
      <c r="T57" s="12">
        <f>[2]หน้าผ้า!X66</f>
        <v>45920</v>
      </c>
      <c r="U57" s="11">
        <f>[2]หน้าผ้า!AA66</f>
        <v>5040</v>
      </c>
      <c r="V57" s="10">
        <f>[2]หน้าผ้า!AJ66</f>
        <v>0</v>
      </c>
      <c r="W57" s="10">
        <f>[2]หน้าผ้า!AL66</f>
        <v>5040</v>
      </c>
      <c r="X57" s="10">
        <f>[2]หน้าผ้า!AM66</f>
        <v>0</v>
      </c>
      <c r="Y57" s="10">
        <f>[2]หน้าผ้า!AN66</f>
        <v>5292</v>
      </c>
      <c r="Z57" s="9" t="str">
        <f>[2]หน้าผ้า!AO66</f>
        <v>WSWT19251000SM</v>
      </c>
      <c r="AA57" s="8">
        <f>[2]หน้าผ้า!AQ66</f>
        <v>4999.0247999999992</v>
      </c>
      <c r="AB57" s="8">
        <f>[2]หน้าผ้า!AR66</f>
        <v>0</v>
      </c>
      <c r="AC57" s="8">
        <f>[2]หน้าผ้า!AS66</f>
        <v>4999.0247999999992</v>
      </c>
      <c r="AD57" s="8">
        <f>[2]หน้าผ้า!AT66</f>
        <v>0</v>
      </c>
      <c r="AE57" s="8">
        <f>[2]หน้าผ้า!AU66</f>
        <v>4999.0247999999992</v>
      </c>
      <c r="AF57" s="8">
        <f>[2]หน้าผ้า!AI66</f>
        <v>0</v>
      </c>
      <c r="AG57" s="1" t="str">
        <f>[3]หน้าผ้า!DC69</f>
        <v>พร้อมส่ง</v>
      </c>
      <c r="AH57" s="1" t="str">
        <f>[2]หน้าผ้า!DL66</f>
        <v>P6</v>
      </c>
      <c r="AI57" s="1">
        <f>[2]หน้าผ้า!DM66</f>
        <v>4</v>
      </c>
      <c r="AJ57" s="3">
        <f>[2]หน้าผ้า!DN66</f>
        <v>45920</v>
      </c>
      <c r="AK57" s="3">
        <f>[2]หน้าผ้า!DQ66</f>
        <v>45916</v>
      </c>
      <c r="AL57" s="3">
        <f>[2]หน้าผ้า!DR66</f>
        <v>45909</v>
      </c>
      <c r="AM57" s="3">
        <f>[2]หน้าผ้า!DS66</f>
        <v>45917</v>
      </c>
      <c r="AN57" s="3">
        <f>[2]หน้าผ้า!DT66</f>
        <v>45918</v>
      </c>
      <c r="AO57" s="3">
        <f>[2]หน้าผ้า!DU66</f>
        <v>45919</v>
      </c>
      <c r="AP57" s="3">
        <f>[2]หน้าผ้า!DP66</f>
        <v>45915</v>
      </c>
      <c r="AQ57" s="3">
        <f>[2]หน้าผ้า!DW66</f>
        <v>0</v>
      </c>
      <c r="AR57" s="3">
        <f>[2]หน้าผ้า!DX66</f>
        <v>0</v>
      </c>
      <c r="AS57" s="3">
        <f>[2]หน้าผ้า!DY66</f>
        <v>0</v>
      </c>
      <c r="AT57" s="3">
        <f>[2]หน้าผ้า!DZ66</f>
        <v>0</v>
      </c>
      <c r="AU57" s="3">
        <f>[2]หน้าผ้า!EA66</f>
        <v>0</v>
      </c>
      <c r="AV57" s="1">
        <f>[2]หน้าผ้า!EB66</f>
        <v>0</v>
      </c>
      <c r="AW57" s="2" t="str">
        <f>[2]หน้าผ้า!EC66</f>
        <v>งานเคลือบ+พิมพ์</v>
      </c>
      <c r="AX57" s="2" t="str">
        <f>[2]หน้าผ้า!ED66</f>
        <v>รอART</v>
      </c>
      <c r="AY57" s="2">
        <f>[2]หน้าผ้า!AG66</f>
        <v>0</v>
      </c>
      <c r="AZ57" s="2">
        <f>[2]หน้าผ้า!EG66</f>
        <v>0</v>
      </c>
      <c r="BA57" s="2">
        <f>[2]หน้าผ้า!EH66</f>
        <v>0</v>
      </c>
      <c r="BB57" s="2">
        <f>[2]หน้าผ้า!EI66</f>
        <v>0</v>
      </c>
      <c r="BC57" s="1" t="str">
        <f>[2]หน้าผ้า!BZ66</f>
        <v>WRWT251000/WRWT251000</v>
      </c>
      <c r="BD57" s="56">
        <f>[2]หน้าผ้า!CA66</f>
        <v>422.13987199999991</v>
      </c>
    </row>
    <row r="58" spans="1:56" ht="27.75" customHeight="1" x14ac:dyDescent="0.45">
      <c r="A58" s="3">
        <f>[2]หน้าผ้า!C67</f>
        <v>45796</v>
      </c>
      <c r="B58" s="14" t="str">
        <f>[2]หน้าผ้า!B67</f>
        <v>MK68-000680</v>
      </c>
      <c r="C58" s="9" t="str">
        <f>[2]หน้าผ้า!E67</f>
        <v>บจก.อินเทคค์ โกลบอล</v>
      </c>
      <c r="D58" s="13" t="str">
        <f>[2]หน้าผ้า!F67</f>
        <v>เพอเฟคค์103P โกลด์</v>
      </c>
      <c r="E58" s="9">
        <f>[2]หน้าผ้า!G67</f>
        <v>19</v>
      </c>
      <c r="F58" s="9">
        <f>[2]หน้าผ้า!H67</f>
        <v>34</v>
      </c>
      <c r="G58" s="9" t="str">
        <f>[2]หน้าผ้า!I67</f>
        <v>ขาว</v>
      </c>
      <c r="H58" s="9" t="str">
        <f>[2]หน้าผ้า!J67</f>
        <v>ด้าน</v>
      </c>
      <c r="I58" s="9">
        <f>[2]หน้าผ้า!L67</f>
        <v>100</v>
      </c>
      <c r="J58" s="9" t="str">
        <f>[2]หน้าผ้า!M67</f>
        <v>±</v>
      </c>
      <c r="K58" s="9">
        <f>[2]หน้าผ้า!N67</f>
        <v>5</v>
      </c>
      <c r="L58" s="9" t="str">
        <f>[2]หน้าผ้า!R67</f>
        <v>จับจีบ4"</v>
      </c>
      <c r="M58" s="10" t="str">
        <f>[2]หน้าผ้า!T67</f>
        <v>ไม่สวมถุงใน</v>
      </c>
      <c r="N58" s="9">
        <f>[2]หน้าผ้า!U67</f>
        <v>0</v>
      </c>
      <c r="O58" s="9">
        <f>[2]หน้าผ้า!V67</f>
        <v>0</v>
      </c>
      <c r="P58" s="10">
        <f>[2]หน้าผ้า!AB67</f>
        <v>0</v>
      </c>
      <c r="Q58" s="10">
        <f>[2]หน้าผ้า!AC67</f>
        <v>0</v>
      </c>
      <c r="R58" s="10">
        <f>[2]หน้าผ้า!AD67</f>
        <v>0</v>
      </c>
      <c r="S58" s="9" t="str">
        <f>[2]หน้าผ้า!Z67</f>
        <v>มัด80 ใช้สายรัด</v>
      </c>
      <c r="T58" s="12" t="str">
        <f>[2]หน้าผ้า!X67</f>
        <v>รอแจ้ง</v>
      </c>
      <c r="U58" s="11">
        <f>[2]หน้าผ้า!AA67</f>
        <v>503</v>
      </c>
      <c r="V58" s="10">
        <f>[2]หน้าผ้า!AJ67</f>
        <v>0</v>
      </c>
      <c r="W58" s="10">
        <f>[2]หน้าผ้า!AL67</f>
        <v>503</v>
      </c>
      <c r="X58" s="10">
        <f>[2]หน้าผ้า!AM67</f>
        <v>5250</v>
      </c>
      <c r="Y58" s="10">
        <f>[2]หน้าผ้า!AN67</f>
        <v>0</v>
      </c>
      <c r="Z58" s="9" t="str">
        <f>[2]หน้าผ้า!AO67</f>
        <v>WSWT19251000SM</v>
      </c>
      <c r="AA58" s="8">
        <f>[2]หน้าผ้า!AQ67</f>
        <v>0</v>
      </c>
      <c r="AB58" s="8">
        <f>[2]หน้าผ้า!AR67</f>
        <v>0</v>
      </c>
      <c r="AC58" s="8">
        <f>[2]หน้าผ้า!AS67</f>
        <v>0</v>
      </c>
      <c r="AD58" s="8">
        <f>[2]หน้าผ้า!AT67</f>
        <v>0</v>
      </c>
      <c r="AE58" s="8">
        <f>[2]หน้าผ้า!AU67</f>
        <v>0</v>
      </c>
      <c r="AF58" s="8">
        <f>[2]หน้าผ้า!AI67</f>
        <v>0</v>
      </c>
      <c r="AG58" s="1" t="str">
        <f>[3]หน้าผ้า!DC70</f>
        <v>พร้อมส่ง</v>
      </c>
      <c r="AH58" s="1" t="str">
        <f>[2]หน้าผ้า!DL67</f>
        <v>P6</v>
      </c>
      <c r="AI58" s="1">
        <f>[2]หน้าผ้า!DM67</f>
        <v>4</v>
      </c>
      <c r="AJ58" s="3" t="str">
        <f>[2]หน้าผ้า!DN67</f>
        <v>รอแจ้ง</v>
      </c>
      <c r="AK58" s="3" t="e">
        <f>[2]หน้าผ้า!DQ67</f>
        <v>#VALUE!</v>
      </c>
      <c r="AL58" s="3" t="e">
        <f>[2]หน้าผ้า!DR67</f>
        <v>#VALUE!</v>
      </c>
      <c r="AM58" s="3" t="e">
        <f>[2]หน้าผ้า!DS67</f>
        <v>#VALUE!</v>
      </c>
      <c r="AN58" s="3" t="e">
        <f>[2]หน้าผ้า!DT67</f>
        <v>#VALUE!</v>
      </c>
      <c r="AO58" s="3" t="e">
        <f>[2]หน้าผ้า!DU67</f>
        <v>#VALUE!</v>
      </c>
      <c r="AP58" s="3" t="e">
        <f>[2]หน้าผ้า!DP67</f>
        <v>#VALUE!</v>
      </c>
      <c r="AQ58" s="3">
        <f>[2]หน้าผ้า!DW67</f>
        <v>0</v>
      </c>
      <c r="AR58" s="3">
        <f>[2]หน้าผ้า!DX67</f>
        <v>0</v>
      </c>
      <c r="AS58" s="3">
        <f>[2]หน้าผ้า!DY67</f>
        <v>0</v>
      </c>
      <c r="AT58" s="3">
        <f>[2]หน้าผ้า!DZ67</f>
        <v>0</v>
      </c>
      <c r="AU58" s="3">
        <f>[2]หน้าผ้า!EA67</f>
        <v>0</v>
      </c>
      <c r="AV58" s="1">
        <f>[2]หน้าผ้า!EB67</f>
        <v>0</v>
      </c>
      <c r="AW58" s="2" t="str">
        <f>[2]หน้าผ้า!EC67</f>
        <v>งานเคลือบ+พิมพ์</v>
      </c>
      <c r="AX58" s="2" t="str">
        <f>[2]หน้าผ้า!ED67</f>
        <v xml:space="preserve"> /</v>
      </c>
      <c r="AY58" s="2">
        <f>[2]หน้าผ้า!AG67</f>
        <v>0</v>
      </c>
      <c r="AZ58" s="2">
        <f>[2]หน้าผ้า!EG67</f>
        <v>0</v>
      </c>
      <c r="BA58" s="2">
        <f>[2]หน้าผ้า!EH67</f>
        <v>0</v>
      </c>
      <c r="BB58" s="2">
        <f>[2]หน้าผ้า!EI67</f>
        <v>0</v>
      </c>
      <c r="BC58" s="1" t="str">
        <f>[2]หน้าผ้า!BZ67</f>
        <v>WRWT251000/WRWT251000</v>
      </c>
      <c r="BD58" s="56">
        <f>[2]หน้าผ้า!CA67</f>
        <v>0</v>
      </c>
    </row>
    <row r="59" spans="1:56" ht="27.75" customHeight="1" x14ac:dyDescent="0.45">
      <c r="A59" s="3">
        <f>[2]หน้าผ้า!C68</f>
        <v>0</v>
      </c>
      <c r="B59" s="14">
        <f>[2]หน้าผ้า!B68</f>
        <v>0</v>
      </c>
      <c r="C59" s="9">
        <f>[2]หน้าผ้า!E68</f>
        <v>0</v>
      </c>
      <c r="D59" s="13">
        <f>[2]หน้าผ้า!F68</f>
        <v>0</v>
      </c>
      <c r="E59" s="9">
        <f>[2]หน้าผ้า!G68</f>
        <v>19</v>
      </c>
      <c r="F59" s="9">
        <f>[2]หน้าผ้า!H68</f>
        <v>34</v>
      </c>
      <c r="G59" s="9" t="str">
        <f>[2]หน้าผ้า!I68</f>
        <v>ขาว</v>
      </c>
      <c r="H59" s="9">
        <f>[2]หน้าผ้า!J68</f>
        <v>0</v>
      </c>
      <c r="I59" s="9">
        <f>[2]หน้าผ้า!L68</f>
        <v>80</v>
      </c>
      <c r="J59" s="9" t="str">
        <f>[2]หน้าผ้า!M68</f>
        <v>±</v>
      </c>
      <c r="K59" s="9">
        <f>[2]หน้าผ้า!N68</f>
        <v>5</v>
      </c>
      <c r="L59" s="9">
        <f>[2]หน้าผ้า!R68</f>
        <v>0</v>
      </c>
      <c r="M59" s="10">
        <f>[2]หน้าผ้า!T68</f>
        <v>0</v>
      </c>
      <c r="N59" s="9">
        <f>[2]หน้าผ้า!U68</f>
        <v>0</v>
      </c>
      <c r="O59" s="9">
        <f>[2]หน้าผ้า!V68</f>
        <v>0</v>
      </c>
      <c r="P59" s="10">
        <f>[2]หน้าผ้า!AB68</f>
        <v>0</v>
      </c>
      <c r="Q59" s="10">
        <f>[2]หน้าผ้า!AC68</f>
        <v>0</v>
      </c>
      <c r="R59" s="10">
        <f>[2]หน้าผ้า!AD68</f>
        <v>0</v>
      </c>
      <c r="S59" s="9">
        <f>[2]หน้าผ้า!Z68</f>
        <v>0</v>
      </c>
      <c r="T59" s="12">
        <f>[2]หน้าผ้า!X68</f>
        <v>0</v>
      </c>
      <c r="U59" s="11">
        <f>[2]หน้าผ้า!AA68</f>
        <v>0</v>
      </c>
      <c r="V59" s="10">
        <f>[2]หน้าผ้า!AJ68</f>
        <v>0</v>
      </c>
      <c r="W59" s="10">
        <f>[2]หน้าผ้า!AL68</f>
        <v>0</v>
      </c>
      <c r="X59" s="10">
        <f>[2]หน้าผ้า!AM68</f>
        <v>0</v>
      </c>
      <c r="Y59" s="10">
        <f>[2]หน้าผ้า!AN68</f>
        <v>0</v>
      </c>
      <c r="Z59" s="9" t="str">
        <f>[2]หน้าผ้า!AO68</f>
        <v>WSWT19251000SM</v>
      </c>
      <c r="AA59" s="8">
        <f>[2]หน้าผ้า!AQ68</f>
        <v>9998.0495999999985</v>
      </c>
      <c r="AB59" s="8">
        <f>[2]หน้าผ้า!AR68</f>
        <v>2960</v>
      </c>
      <c r="AC59" s="8">
        <f>[2]หน้าผ้า!AS68</f>
        <v>7038.0495999999985</v>
      </c>
      <c r="AD59" s="8">
        <f>[2]หน้าผ้า!AT68</f>
        <v>0</v>
      </c>
      <c r="AE59" s="8">
        <f>[2]หน้าผ้า!AU68</f>
        <v>9998.0495999999985</v>
      </c>
      <c r="AF59" s="8" t="str">
        <f>[2]หน้าผ้า!AI68</f>
        <v>ระบุในSD</v>
      </c>
      <c r="AG59" s="1" t="str">
        <f>[3]หน้าผ้า!DC71</f>
        <v>พร้อมส่ง</v>
      </c>
      <c r="AH59" s="1">
        <f>[2]หน้าผ้า!DL68</f>
        <v>0</v>
      </c>
      <c r="AI59" s="1" t="str">
        <f>[2]หน้าผ้า!DM68</f>
        <v>Lead time</v>
      </c>
      <c r="AJ59" s="3">
        <f>[2]หน้าผ้า!DN68</f>
        <v>0</v>
      </c>
      <c r="AK59" s="3">
        <f>[2]หน้าผ้า!DQ68</f>
        <v>0</v>
      </c>
      <c r="AL59" s="3">
        <f>[2]หน้าผ้า!DR68</f>
        <v>0</v>
      </c>
      <c r="AM59" s="3">
        <f>[2]หน้าผ้า!DS68</f>
        <v>0</v>
      </c>
      <c r="AN59" s="3">
        <f>[2]หน้าผ้า!DT68</f>
        <v>0</v>
      </c>
      <c r="AO59" s="3">
        <f>[2]หน้าผ้า!DU68</f>
        <v>0</v>
      </c>
      <c r="AP59" s="3">
        <f>[2]หน้าผ้า!DP68</f>
        <v>0</v>
      </c>
      <c r="AQ59" s="3">
        <f>[2]หน้าผ้า!DW68</f>
        <v>0</v>
      </c>
      <c r="AR59" s="3">
        <f>[2]หน้าผ้า!DX68</f>
        <v>0</v>
      </c>
      <c r="AS59" s="3">
        <f>[2]หน้าผ้า!DY68</f>
        <v>0</v>
      </c>
      <c r="AT59" s="3">
        <f>[2]หน้าผ้า!DZ68</f>
        <v>0</v>
      </c>
      <c r="AU59" s="3">
        <f>[2]หน้าผ้า!EA68</f>
        <v>0</v>
      </c>
      <c r="AV59" s="1">
        <f>[2]หน้าผ้า!EB68</f>
        <v>0</v>
      </c>
      <c r="AW59" s="2">
        <f>[2]หน้าผ้า!EC68</f>
        <v>0</v>
      </c>
      <c r="AX59" s="2">
        <f>[2]หน้าผ้า!ED68</f>
        <v>0</v>
      </c>
      <c r="AY59" s="2">
        <f>[2]หน้าผ้า!AG68</f>
        <v>0</v>
      </c>
      <c r="AZ59" s="2">
        <f>[2]หน้าผ้า!EG68</f>
        <v>0</v>
      </c>
      <c r="BA59" s="2">
        <f>[2]หน้าผ้า!EH68</f>
        <v>0</v>
      </c>
      <c r="BB59" s="2">
        <f>[2]หน้าผ้า!EI68</f>
        <v>0</v>
      </c>
      <c r="BC59" s="1" t="str">
        <f>[2]หน้าผ้า!BZ68</f>
        <v>WRWT251000/WRYL251000</v>
      </c>
      <c r="BD59" s="56">
        <f>[2]หน้าผ้า!CA68</f>
        <v>0</v>
      </c>
    </row>
    <row r="60" spans="1:56" ht="27.75" customHeight="1" x14ac:dyDescent="0.45">
      <c r="A60" s="3">
        <f>[2]หน้าผ้า!C69</f>
        <v>0</v>
      </c>
      <c r="B60" s="14">
        <f>[2]หน้าผ้า!B69</f>
        <v>0</v>
      </c>
      <c r="C60" s="9">
        <f>[2]หน้าผ้า!E69</f>
        <v>0</v>
      </c>
      <c r="D60" s="13">
        <f>[2]หน้าผ้า!F69</f>
        <v>0</v>
      </c>
      <c r="E60" s="9">
        <f>[2]หน้าผ้า!G69</f>
        <v>20</v>
      </c>
      <c r="F60" s="9">
        <f>[2]หน้าผ้า!H69</f>
        <v>37</v>
      </c>
      <c r="G60" s="9" t="str">
        <f>[2]หน้าผ้า!I69</f>
        <v>ขาว</v>
      </c>
      <c r="H60" s="9">
        <f>[2]หน้าผ้า!J69</f>
        <v>0</v>
      </c>
      <c r="I60" s="9">
        <f>[2]หน้าผ้า!L69</f>
        <v>65</v>
      </c>
      <c r="J60" s="9" t="str">
        <f>[2]หน้าผ้า!M69</f>
        <v>±</v>
      </c>
      <c r="K60" s="9">
        <f>[2]หน้าผ้า!N69</f>
        <v>5</v>
      </c>
      <c r="L60" s="9">
        <f>[2]หน้าผ้า!R69</f>
        <v>0</v>
      </c>
      <c r="M60" s="10">
        <f>[2]หน้าผ้า!T69</f>
        <v>0</v>
      </c>
      <c r="N60" s="9">
        <f>[2]หน้าผ้า!U69</f>
        <v>0</v>
      </c>
      <c r="O60" s="9">
        <f>[2]หน้าผ้า!V69</f>
        <v>0</v>
      </c>
      <c r="P60" s="10">
        <f>[2]หน้าผ้า!AB69</f>
        <v>0</v>
      </c>
      <c r="Q60" s="10">
        <f>[2]หน้าผ้า!AC69</f>
        <v>0</v>
      </c>
      <c r="R60" s="10">
        <f>[2]หน้าผ้า!AD69</f>
        <v>0</v>
      </c>
      <c r="S60" s="9">
        <f>[2]หน้าผ้า!Z69</f>
        <v>0</v>
      </c>
      <c r="T60" s="12">
        <f>[2]หน้าผ้า!X69</f>
        <v>0</v>
      </c>
      <c r="U60" s="11">
        <f>[2]หน้าผ้า!AA69</f>
        <v>0</v>
      </c>
      <c r="V60" s="10">
        <f>[2]หน้าผ้า!AJ69</f>
        <v>0</v>
      </c>
      <c r="W60" s="10">
        <f>[2]หน้าผ้า!AL69</f>
        <v>0</v>
      </c>
      <c r="X60" s="10">
        <f>[2]หน้าผ้า!AM69</f>
        <v>0</v>
      </c>
      <c r="Y60" s="10">
        <f>[2]หน้าผ้า!AN69</f>
        <v>0</v>
      </c>
      <c r="Z60" s="9" t="str">
        <f>[2]หน้าผ้า!AO69</f>
        <v>WSWT2025650</v>
      </c>
      <c r="AA60" s="8" t="e">
        <f>[2]หน้าผ้า!AQ69</f>
        <v>#REF!</v>
      </c>
      <c r="AB60" s="8" t="e">
        <f>[2]หน้าผ้า!AR69</f>
        <v>#REF!</v>
      </c>
      <c r="AC60" s="8" t="e">
        <f>[2]หน้าผ้า!AS69</f>
        <v>#REF!</v>
      </c>
      <c r="AD60" s="8" t="e">
        <f>[2]หน้าผ้า!AT69</f>
        <v>#REF!</v>
      </c>
      <c r="AE60" s="8" t="e">
        <f>[2]หน้าผ้า!AU69</f>
        <v>#REF!</v>
      </c>
      <c r="AF60" s="8" t="str">
        <f>[2]หน้าผ้า!AI69</f>
        <v>ระบุในSD</v>
      </c>
      <c r="AG60" s="1" t="str">
        <f>[3]หน้าผ้า!DC72</f>
        <v>พร้อมส่ง</v>
      </c>
      <c r="AH60" s="1">
        <f>[2]หน้าผ้า!DL69</f>
        <v>0</v>
      </c>
      <c r="AI60" s="1" t="str">
        <f>[2]หน้าผ้า!DM69</f>
        <v>Lead time</v>
      </c>
      <c r="AJ60" s="3">
        <f>[2]หน้าผ้า!DN69</f>
        <v>0</v>
      </c>
      <c r="AK60" s="3">
        <f>[2]หน้าผ้า!DQ69</f>
        <v>0</v>
      </c>
      <c r="AL60" s="3">
        <f>[2]หน้าผ้า!DR69</f>
        <v>0</v>
      </c>
      <c r="AM60" s="3">
        <f>[2]หน้าผ้า!DS69</f>
        <v>0</v>
      </c>
      <c r="AN60" s="3">
        <f>[2]หน้าผ้า!DT69</f>
        <v>0</v>
      </c>
      <c r="AO60" s="3">
        <f>[2]หน้าผ้า!DU69</f>
        <v>0</v>
      </c>
      <c r="AP60" s="3">
        <f>[2]หน้าผ้า!DP69</f>
        <v>0</v>
      </c>
      <c r="AQ60" s="3">
        <f>[2]หน้าผ้า!DW69</f>
        <v>0</v>
      </c>
      <c r="AR60" s="3">
        <f>[2]หน้าผ้า!DX69</f>
        <v>0</v>
      </c>
      <c r="AS60" s="3">
        <f>[2]หน้าผ้า!DY69</f>
        <v>0</v>
      </c>
      <c r="AT60" s="3">
        <f>[2]หน้าผ้า!DZ69</f>
        <v>0</v>
      </c>
      <c r="AU60" s="3">
        <f>[2]หน้าผ้า!EA69</f>
        <v>0</v>
      </c>
      <c r="AV60" s="1">
        <f>[2]หน้าผ้า!EB69</f>
        <v>0</v>
      </c>
      <c r="AW60" s="2">
        <f>[2]หน้าผ้า!EC69</f>
        <v>0</v>
      </c>
      <c r="AX60" s="2">
        <f>[2]หน้าผ้า!ED69</f>
        <v>0</v>
      </c>
      <c r="AY60" s="2">
        <f>[2]หน้าผ้า!AG69</f>
        <v>0</v>
      </c>
      <c r="AZ60" s="2">
        <f>[2]หน้าผ้า!EG69</f>
        <v>0</v>
      </c>
      <c r="BA60" s="2">
        <f>[2]หน้าผ้า!EH69</f>
        <v>0</v>
      </c>
      <c r="BB60" s="2">
        <f>[2]หน้าผ้า!EI69</f>
        <v>0</v>
      </c>
      <c r="BC60" s="1" t="str">
        <f>[2]หน้าผ้า!BZ69</f>
        <v>WRWT25650/WRWT25650</v>
      </c>
      <c r="BD60" s="56">
        <f>[2]หน้าผ้า!CA69</f>
        <v>0</v>
      </c>
    </row>
    <row r="61" spans="1:56" ht="27.75" customHeight="1" x14ac:dyDescent="0.45">
      <c r="A61" s="3">
        <f>[2]หน้าผ้า!C70</f>
        <v>0</v>
      </c>
      <c r="B61" s="14">
        <f>[2]หน้าผ้า!B70</f>
        <v>0</v>
      </c>
      <c r="C61" s="9">
        <f>[2]หน้าผ้า!E70</f>
        <v>0</v>
      </c>
      <c r="D61" s="13">
        <f>[2]หน้าผ้า!F70</f>
        <v>0</v>
      </c>
      <c r="E61" s="9">
        <f>[2]หน้าผ้า!G70</f>
        <v>20</v>
      </c>
      <c r="F61" s="9">
        <f>[2]หน้าผ้า!H70</f>
        <v>37</v>
      </c>
      <c r="G61" s="9" t="str">
        <f>[2]หน้าผ้า!I70</f>
        <v>ขาว</v>
      </c>
      <c r="H61" s="9">
        <f>[2]หน้าผ้า!J70</f>
        <v>0</v>
      </c>
      <c r="I61" s="9">
        <f>[2]หน้าผ้า!L70</f>
        <v>70</v>
      </c>
      <c r="J61" s="9" t="str">
        <f>[2]หน้าผ้า!M70</f>
        <v>±</v>
      </c>
      <c r="K61" s="9">
        <f>[2]หน้าผ้า!N70</f>
        <v>5</v>
      </c>
      <c r="L61" s="9">
        <f>[2]หน้าผ้า!R70</f>
        <v>0</v>
      </c>
      <c r="M61" s="10">
        <f>[2]หน้าผ้า!T70</f>
        <v>0</v>
      </c>
      <c r="N61" s="9">
        <f>[2]หน้าผ้า!U70</f>
        <v>0</v>
      </c>
      <c r="O61" s="9">
        <f>[2]หน้าผ้า!V70</f>
        <v>0</v>
      </c>
      <c r="P61" s="10">
        <f>[2]หน้าผ้า!AB70</f>
        <v>0</v>
      </c>
      <c r="Q61" s="10">
        <f>[2]หน้าผ้า!AC70</f>
        <v>0</v>
      </c>
      <c r="R61" s="10">
        <f>[2]หน้าผ้า!AD70</f>
        <v>0</v>
      </c>
      <c r="S61" s="9">
        <f>[2]หน้าผ้า!Z70</f>
        <v>0</v>
      </c>
      <c r="T61" s="12">
        <f>[2]หน้าผ้า!X70</f>
        <v>0</v>
      </c>
      <c r="U61" s="11">
        <f>[2]หน้าผ้า!AA70</f>
        <v>0</v>
      </c>
      <c r="V61" s="10">
        <f>[2]หน้าผ้า!AJ70</f>
        <v>0</v>
      </c>
      <c r="W61" s="10">
        <f>[2]หน้าผ้า!AL70</f>
        <v>0</v>
      </c>
      <c r="X61" s="10">
        <f>[2]หน้าผ้า!AM70</f>
        <v>0</v>
      </c>
      <c r="Y61" s="10">
        <f>[2]หน้าผ้า!AN70</f>
        <v>0</v>
      </c>
      <c r="Z61" s="9" t="str">
        <f>[2]หน้าผ้า!AO70</f>
        <v>WSWT2025700</v>
      </c>
      <c r="AA61" s="8" t="e">
        <f>[2]หน้าผ้า!AQ70</f>
        <v>#REF!</v>
      </c>
      <c r="AB61" s="8" t="e">
        <f>[2]หน้าผ้า!AR70</f>
        <v>#REF!</v>
      </c>
      <c r="AC61" s="8" t="e">
        <f>[2]หน้าผ้า!AS70</f>
        <v>#REF!</v>
      </c>
      <c r="AD61" s="8" t="e">
        <f>[2]หน้าผ้า!AT70</f>
        <v>#REF!</v>
      </c>
      <c r="AE61" s="8" t="e">
        <f>[2]หน้าผ้า!AU70</f>
        <v>#REF!</v>
      </c>
      <c r="AF61" s="8" t="str">
        <f>[2]หน้าผ้า!AI70</f>
        <v>ระบุในSD</v>
      </c>
      <c r="AG61" s="1" t="str">
        <f>[3]หน้าผ้า!DC73</f>
        <v>ยังไม่ได้พิมพ์</v>
      </c>
      <c r="AH61" s="1">
        <f>[2]หน้าผ้า!DL70</f>
        <v>0</v>
      </c>
      <c r="AI61" s="1" t="str">
        <f>[2]หน้าผ้า!DM70</f>
        <v>Lead time</v>
      </c>
      <c r="AJ61" s="3">
        <f>[2]หน้าผ้า!DN70</f>
        <v>0</v>
      </c>
      <c r="AK61" s="3">
        <f>[2]หน้าผ้า!DQ70</f>
        <v>0</v>
      </c>
      <c r="AL61" s="3">
        <f>[2]หน้าผ้า!DR70</f>
        <v>0</v>
      </c>
      <c r="AM61" s="3">
        <f>[2]หน้าผ้า!DS70</f>
        <v>0</v>
      </c>
      <c r="AN61" s="3">
        <f>[2]หน้าผ้า!DT70</f>
        <v>0</v>
      </c>
      <c r="AO61" s="3">
        <f>[2]หน้าผ้า!DU70</f>
        <v>0</v>
      </c>
      <c r="AP61" s="3">
        <f>[2]หน้าผ้า!DP70</f>
        <v>0</v>
      </c>
      <c r="AQ61" s="3">
        <f>[2]หน้าผ้า!DW70</f>
        <v>0</v>
      </c>
      <c r="AR61" s="3">
        <f>[2]หน้าผ้า!DX70</f>
        <v>0</v>
      </c>
      <c r="AS61" s="3">
        <f>[2]หน้าผ้า!DY70</f>
        <v>0</v>
      </c>
      <c r="AT61" s="3">
        <f>[2]หน้าผ้า!DZ70</f>
        <v>0</v>
      </c>
      <c r="AU61" s="3">
        <f>[2]หน้าผ้า!EA70</f>
        <v>0</v>
      </c>
      <c r="AV61" s="1">
        <f>[2]หน้าผ้า!EB70</f>
        <v>0</v>
      </c>
      <c r="AW61" s="2">
        <f>[2]หน้าผ้า!EC70</f>
        <v>0</v>
      </c>
      <c r="AX61" s="2">
        <f>[2]หน้าผ้า!ED70</f>
        <v>0</v>
      </c>
      <c r="AY61" s="2">
        <f>[2]หน้าผ้า!AG70</f>
        <v>0</v>
      </c>
      <c r="AZ61" s="2">
        <f>[2]หน้าผ้า!EG70</f>
        <v>0</v>
      </c>
      <c r="BA61" s="2">
        <f>[2]หน้าผ้า!EH70</f>
        <v>0</v>
      </c>
      <c r="BB61" s="2">
        <f>[2]หน้าผ้า!EI70</f>
        <v>0</v>
      </c>
      <c r="BC61" s="1" t="str">
        <f>[2]หน้าผ้า!BZ70</f>
        <v>WRWT25800/WRWT25650</v>
      </c>
      <c r="BD61" s="56">
        <f>[2]หน้าผ้า!CA70</f>
        <v>0</v>
      </c>
    </row>
    <row r="62" spans="1:56" ht="27.75" customHeight="1" x14ac:dyDescent="0.45">
      <c r="A62" s="3">
        <f>[2]หน้าผ้า!C71</f>
        <v>45877</v>
      </c>
      <c r="B62" s="14" t="str">
        <f>[2]หน้าผ้า!B71</f>
        <v>MK68-000990</v>
      </c>
      <c r="C62" s="9" t="str">
        <f>[2]หน้าผ้า!E71</f>
        <v>บจก.เอสพีเอ็ม อาหารสัตว์</v>
      </c>
      <c r="D62" s="13" t="str">
        <f>[2]หน้าผ้า!F71</f>
        <v>SW 441 PLUS</v>
      </c>
      <c r="E62" s="9">
        <f>[2]หน้าผ้า!G71</f>
        <v>20</v>
      </c>
      <c r="F62" s="9">
        <f>[2]หน้าผ้า!H71</f>
        <v>38</v>
      </c>
      <c r="G62" s="9" t="str">
        <f>[2]หน้าผ้า!I71</f>
        <v>ขาว</v>
      </c>
      <c r="H62" s="9" t="str">
        <f>[2]หน้าผ้า!J71</f>
        <v>ใส</v>
      </c>
      <c r="I62" s="9">
        <f>[2]หน้าผ้า!L71</f>
        <v>100</v>
      </c>
      <c r="J62" s="9" t="str">
        <f>[2]หน้าผ้า!M71</f>
        <v>±</v>
      </c>
      <c r="K62" s="9">
        <f>[2]หน้าผ้า!N71</f>
        <v>5</v>
      </c>
      <c r="L62" s="9" t="str">
        <f>[2]หน้าผ้า!R71</f>
        <v>บิด</v>
      </c>
      <c r="M62" s="10" t="str">
        <f>[2]หน้าผ้า!T71</f>
        <v>ไม่สวมถุงใน</v>
      </c>
      <c r="N62" s="9">
        <f>[2]หน้าผ้า!U71</f>
        <v>0</v>
      </c>
      <c r="O62" s="9">
        <f>[2]หน้าผ้า!V71</f>
        <v>0</v>
      </c>
      <c r="P62" s="10">
        <f>[2]หน้าผ้า!AB71</f>
        <v>0</v>
      </c>
      <c r="Q62" s="10">
        <f>[2]หน้าผ้า!AC71</f>
        <v>0</v>
      </c>
      <c r="R62" s="10">
        <f>[2]หน้าผ้า!AD71</f>
        <v>0</v>
      </c>
      <c r="S62" s="9" t="str">
        <f>[2]หน้าผ้า!Z71</f>
        <v>500กระสอบแบน</v>
      </c>
      <c r="T62" s="12">
        <f>[2]หน้าผ้า!X71</f>
        <v>45906</v>
      </c>
      <c r="U62" s="11">
        <f>[2]หน้าผ้า!AA71</f>
        <v>3000</v>
      </c>
      <c r="V62" s="10">
        <f>[2]หน้าผ้า!AJ71</f>
        <v>3000</v>
      </c>
      <c r="W62" s="10">
        <f>[2]หน้าผ้า!AL71</f>
        <v>0</v>
      </c>
      <c r="X62" s="10">
        <f>[2]หน้าผ้า!AM71</f>
        <v>3300</v>
      </c>
      <c r="Y62" s="10">
        <f>[2]หน้าผ้า!AN71</f>
        <v>0</v>
      </c>
      <c r="Z62" s="9" t="str">
        <f>[2]หน้าผ้า!AO71</f>
        <v>WSWT2025800SM</v>
      </c>
      <c r="AA62" s="8">
        <f>[2]หน้าผ้า!AQ71</f>
        <v>0</v>
      </c>
      <c r="AB62" s="8">
        <f>[2]หน้าผ้า!AR71</f>
        <v>0</v>
      </c>
      <c r="AC62" s="8">
        <f>[2]หน้าผ้า!AS71</f>
        <v>0</v>
      </c>
      <c r="AD62" s="8">
        <f>[2]หน้าผ้า!AT71</f>
        <v>0</v>
      </c>
      <c r="AE62" s="8">
        <f>[2]หน้าผ้า!AU71</f>
        <v>0</v>
      </c>
      <c r="AF62" s="8">
        <f>[2]หน้าผ้า!AI71</f>
        <v>0</v>
      </c>
      <c r="AG62" s="1" t="str">
        <f>[3]หน้าผ้า!DC74</f>
        <v>ยังไม่ได้พิมพ์</v>
      </c>
      <c r="AH62" s="1" t="str">
        <f>[2]หน้าผ้า!DL71</f>
        <v>P6</v>
      </c>
      <c r="AI62" s="1">
        <f>[2]หน้าผ้า!DM71</f>
        <v>4</v>
      </c>
      <c r="AJ62" s="3">
        <f>[2]หน้าผ้า!DN71</f>
        <v>45906</v>
      </c>
      <c r="AK62" s="3">
        <f>[2]หน้าผ้า!DQ71</f>
        <v>45902</v>
      </c>
      <c r="AL62" s="3">
        <f>[2]หน้าผ้า!DR71</f>
        <v>45895</v>
      </c>
      <c r="AM62" s="3">
        <f>[2]หน้าผ้า!DS71</f>
        <v>45903</v>
      </c>
      <c r="AN62" s="3">
        <f>[2]หน้าผ้า!DT71</f>
        <v>45904</v>
      </c>
      <c r="AO62" s="3">
        <f>[2]หน้าผ้า!DU71</f>
        <v>45905</v>
      </c>
      <c r="AP62" s="3">
        <f>[2]หน้าผ้า!DP71</f>
        <v>45901</v>
      </c>
      <c r="AQ62" s="3">
        <f>[2]หน้าผ้า!DW71</f>
        <v>0</v>
      </c>
      <c r="AR62" s="3">
        <f>[2]หน้าผ้า!DX71</f>
        <v>0</v>
      </c>
      <c r="AS62" s="3">
        <f>[2]หน้าผ้า!DY71</f>
        <v>0</v>
      </c>
      <c r="AT62" s="3">
        <f>[2]หน้าผ้า!DZ71</f>
        <v>0</v>
      </c>
      <c r="AU62" s="3">
        <f>[2]หน้าผ้า!EA71</f>
        <v>0</v>
      </c>
      <c r="AV62" s="1">
        <f>[2]หน้าผ้า!EB71</f>
        <v>0</v>
      </c>
      <c r="AW62" s="2" t="str">
        <f>[2]หน้าผ้า!EC71</f>
        <v>งานเคลือบ+พิมพ์</v>
      </c>
      <c r="AX62" s="2" t="str">
        <f>[2]หน้าผ้า!ED71</f>
        <v xml:space="preserve"> /</v>
      </c>
      <c r="AY62" s="2">
        <f>[2]หน้าผ้า!AG71</f>
        <v>0</v>
      </c>
      <c r="AZ62" s="2">
        <f>[2]หน้าผ้า!EG71</f>
        <v>0</v>
      </c>
      <c r="BA62" s="2">
        <f>[2]หน้าผ้า!EH71</f>
        <v>0</v>
      </c>
      <c r="BB62" s="2">
        <f>[2]หน้าผ้า!EI71</f>
        <v>0</v>
      </c>
      <c r="BC62" s="1" t="str">
        <f>[2]หน้าผ้า!BZ71</f>
        <v>WRWT25850/WRWT25850</v>
      </c>
      <c r="BD62" s="56">
        <f>[2]หน้าผ้า!CA71</f>
        <v>0</v>
      </c>
    </row>
    <row r="63" spans="1:56" ht="27.75" customHeight="1" x14ac:dyDescent="0.45">
      <c r="A63" s="3">
        <f>[2]หน้าผ้า!C72</f>
        <v>45850</v>
      </c>
      <c r="B63" s="14" t="str">
        <f>[2]หน้าผ้า!B72</f>
        <v>MK68-000877</v>
      </c>
      <c r="C63" s="9" t="str">
        <f>[2]หน้าผ้า!E72</f>
        <v>บจก.เอพีเอ็ม อะโกร</v>
      </c>
      <c r="D63" s="13" t="str">
        <f>[2]หน้าผ้า!F72</f>
        <v>ยู-ฟีด รวมหมู</v>
      </c>
      <c r="E63" s="9">
        <f>[2]หน้าผ้า!G72</f>
        <v>20</v>
      </c>
      <c r="F63" s="9">
        <f>[2]หน้าผ้า!H72</f>
        <v>38</v>
      </c>
      <c r="G63" s="9" t="str">
        <f>[2]หน้าผ้า!I72</f>
        <v>ขาว</v>
      </c>
      <c r="H63" s="9" t="str">
        <f>[2]หน้าผ้า!J72</f>
        <v>ใส</v>
      </c>
      <c r="I63" s="9">
        <f>[2]หน้าผ้า!L72</f>
        <v>100</v>
      </c>
      <c r="J63" s="9" t="str">
        <f>[2]หน้าผ้า!M72</f>
        <v>±</v>
      </c>
      <c r="K63" s="9">
        <f>[2]หน้าผ้า!N72</f>
        <v>5</v>
      </c>
      <c r="L63" s="9" t="str">
        <f>[2]หน้าผ้า!R72</f>
        <v>บิด</v>
      </c>
      <c r="M63" s="10" t="str">
        <f>[2]หน้าผ้า!T72</f>
        <v>ไม่สวมถุงใน</v>
      </c>
      <c r="N63" s="9">
        <f>[2]หน้าผ้า!U72</f>
        <v>0</v>
      </c>
      <c r="O63" s="9">
        <f>[2]หน้าผ้า!V72</f>
        <v>0</v>
      </c>
      <c r="P63" s="10">
        <f>[2]หน้าผ้า!AB72</f>
        <v>0</v>
      </c>
      <c r="Q63" s="10">
        <f>[2]หน้าผ้า!AC72</f>
        <v>0</v>
      </c>
      <c r="R63" s="10">
        <f>[2]หน้าผ้า!AD72</f>
        <v>0</v>
      </c>
      <c r="S63" s="9" t="str">
        <f>[2]หน้าผ้า!Z72</f>
        <v>500กระสอบแบน</v>
      </c>
      <c r="T63" s="12">
        <f>[2]หน้าผ้า!X72</f>
        <v>45906</v>
      </c>
      <c r="U63" s="11">
        <f>[2]หน้าผ้า!AA72</f>
        <v>3000</v>
      </c>
      <c r="V63" s="10">
        <f>[2]หน้าผ้า!AJ72</f>
        <v>3000</v>
      </c>
      <c r="W63" s="10">
        <f>[2]หน้าผ้า!AL72</f>
        <v>0</v>
      </c>
      <c r="X63" s="10">
        <f>[2]หน้าผ้า!AM72</f>
        <v>3300</v>
      </c>
      <c r="Y63" s="10">
        <f>[2]หน้าผ้า!AN72</f>
        <v>0</v>
      </c>
      <c r="Z63" s="9" t="str">
        <f>[2]หน้าผ้า!AO72</f>
        <v>WSWT2025800SM</v>
      </c>
      <c r="AA63" s="8">
        <f>[2]หน้าผ้า!AQ72</f>
        <v>0</v>
      </c>
      <c r="AB63" s="8">
        <f>[2]หน้าผ้า!AR72</f>
        <v>0</v>
      </c>
      <c r="AC63" s="8">
        <f>[2]หน้าผ้า!AS72</f>
        <v>0</v>
      </c>
      <c r="AD63" s="8">
        <f>[2]หน้าผ้า!AT72</f>
        <v>0</v>
      </c>
      <c r="AE63" s="8">
        <f>[2]หน้าผ้า!AU72</f>
        <v>0</v>
      </c>
      <c r="AF63" s="8">
        <f>[2]หน้าผ้า!AI72</f>
        <v>0</v>
      </c>
      <c r="AG63" s="1" t="str">
        <f>[3]หน้าผ้า!DC75</f>
        <v>ยังไม่ได้พิมพ์</v>
      </c>
      <c r="AH63" s="1" t="str">
        <f>[2]หน้าผ้า!DL72</f>
        <v>P6</v>
      </c>
      <c r="AI63" s="1">
        <f>[2]หน้าผ้า!DM72</f>
        <v>4</v>
      </c>
      <c r="AJ63" s="3">
        <f>[2]หน้าผ้า!DN72</f>
        <v>45906</v>
      </c>
      <c r="AK63" s="3">
        <f>[2]หน้าผ้า!DQ72</f>
        <v>45902</v>
      </c>
      <c r="AL63" s="3">
        <f>[2]หน้าผ้า!DR72</f>
        <v>45895</v>
      </c>
      <c r="AM63" s="3">
        <f>[2]หน้าผ้า!DS72</f>
        <v>45903</v>
      </c>
      <c r="AN63" s="3">
        <f>[2]หน้าผ้า!DT72</f>
        <v>45904</v>
      </c>
      <c r="AO63" s="3">
        <f>[2]หน้าผ้า!DU72</f>
        <v>45905</v>
      </c>
      <c r="AP63" s="3">
        <f>[2]หน้าผ้า!DP72</f>
        <v>45901</v>
      </c>
      <c r="AQ63" s="3">
        <f>[2]หน้าผ้า!DW72</f>
        <v>0</v>
      </c>
      <c r="AR63" s="3">
        <f>[2]หน้าผ้า!DX72</f>
        <v>0</v>
      </c>
      <c r="AS63" s="3">
        <f>[2]หน้าผ้า!DY72</f>
        <v>0</v>
      </c>
      <c r="AT63" s="3">
        <f>[2]หน้าผ้า!DZ72</f>
        <v>0</v>
      </c>
      <c r="AU63" s="3">
        <f>[2]หน้าผ้า!EA72</f>
        <v>0</v>
      </c>
      <c r="AV63" s="1">
        <f>[2]หน้าผ้า!EB72</f>
        <v>0</v>
      </c>
      <c r="AW63" s="2" t="str">
        <f>[2]หน้าผ้า!EC72</f>
        <v>งานเคลือบ+พิมพ์</v>
      </c>
      <c r="AX63" s="2" t="str">
        <f>[2]หน้าผ้า!ED72</f>
        <v xml:space="preserve"> /</v>
      </c>
      <c r="AY63" s="2" t="str">
        <f>[2]หน้าผ้า!AG72</f>
        <v>ลบสี</v>
      </c>
      <c r="AZ63" s="2">
        <f>[2]หน้าผ้า!EG72</f>
        <v>0</v>
      </c>
      <c r="BA63" s="2">
        <f>[2]หน้าผ้า!EH72</f>
        <v>0</v>
      </c>
      <c r="BB63" s="2">
        <f>[2]หน้าผ้า!EI72</f>
        <v>0</v>
      </c>
      <c r="BC63" s="1" t="str">
        <f>[2]หน้าผ้า!BZ72</f>
        <v>WRWT25850/WRWT25850</v>
      </c>
      <c r="BD63" s="56">
        <f>[2]หน้าผ้า!CA72</f>
        <v>0</v>
      </c>
    </row>
    <row r="64" spans="1:56" ht="27.75" customHeight="1" x14ac:dyDescent="0.45">
      <c r="A64" s="3">
        <f>[2]หน้าผ้า!C73</f>
        <v>45905</v>
      </c>
      <c r="B64" s="14" t="str">
        <f>[2]หน้าผ้า!B73</f>
        <v>ใบรับคำสั่งซื้อ</v>
      </c>
      <c r="C64" s="9" t="str">
        <f>[2]หน้าผ้า!E73</f>
        <v>บจก.อินเทคค์ โกลบอล</v>
      </c>
      <c r="D64" s="13" t="str">
        <f>[2]หน้าผ้า!F73</f>
        <v>เฟิร์สช้อย 914</v>
      </c>
      <c r="E64" s="9">
        <f>[2]หน้าผ้า!G73</f>
        <v>20</v>
      </c>
      <c r="F64" s="9">
        <f>[2]หน้าผ้า!H73</f>
        <v>36</v>
      </c>
      <c r="G64" s="9" t="str">
        <f>[2]หน้าผ้า!I73</f>
        <v>ขาว</v>
      </c>
      <c r="H64" s="9" t="str">
        <f>[2]หน้าผ้า!J73</f>
        <v>ด้าน</v>
      </c>
      <c r="I64" s="9">
        <f>[2]หน้าผ้า!L73</f>
        <v>100</v>
      </c>
      <c r="J64" s="9" t="str">
        <f>[2]หน้าผ้า!M73</f>
        <v>±</v>
      </c>
      <c r="K64" s="9">
        <f>[2]หน้าผ้า!N73</f>
        <v>5</v>
      </c>
      <c r="L64" s="9" t="str">
        <f>[2]หน้าผ้า!R73</f>
        <v>จับจีบ</v>
      </c>
      <c r="M64" s="10" t="str">
        <f>[2]หน้าผ้า!T73</f>
        <v>ไม่สวมถุงใน</v>
      </c>
      <c r="N64" s="9">
        <f>[2]หน้าผ้า!U73</f>
        <v>0</v>
      </c>
      <c r="O64" s="9">
        <f>[2]หน้าผ้า!V73</f>
        <v>0</v>
      </c>
      <c r="P64" s="10">
        <f>[2]หน้าผ้า!AB73</f>
        <v>0</v>
      </c>
      <c r="Q64" s="10">
        <f>[2]หน้าผ้า!AC73</f>
        <v>0</v>
      </c>
      <c r="R64" s="10">
        <f>[2]หน้าผ้า!AD73</f>
        <v>0</v>
      </c>
      <c r="S64" s="9" t="str">
        <f>[2]หน้าผ้า!Z73</f>
        <v>มัด80 ใช้สายรัด</v>
      </c>
      <c r="T64" s="12">
        <f>[2]หน้าผ้า!X73</f>
        <v>45919</v>
      </c>
      <c r="U64" s="11">
        <f>[2]หน้าผ้า!AA73</f>
        <v>5040</v>
      </c>
      <c r="V64" s="10">
        <f>[2]หน้าผ้า!AJ73</f>
        <v>0</v>
      </c>
      <c r="W64" s="10">
        <f>[2]หน้าผ้า!AL73</f>
        <v>5040</v>
      </c>
      <c r="X64" s="10">
        <f>[2]หน้าผ้า!AM73</f>
        <v>0</v>
      </c>
      <c r="Y64" s="10">
        <f>[2]หน้าผ้า!AN73</f>
        <v>5292</v>
      </c>
      <c r="Z64" s="9" t="str">
        <f>[2]หน้าผ้า!AO73</f>
        <v>WSWT2025800SM</v>
      </c>
      <c r="AA64" s="8">
        <f>[2]หน้าผ้า!AQ73</f>
        <v>5280.6600000000008</v>
      </c>
      <c r="AB64" s="8">
        <f>[2]หน้าผ้า!AR73</f>
        <v>0</v>
      </c>
      <c r="AC64" s="8">
        <f>[2]หน้าผ้า!AS73</f>
        <v>5280.6600000000008</v>
      </c>
      <c r="AD64" s="8">
        <f>[2]หน้าผ้า!AT73</f>
        <v>0</v>
      </c>
      <c r="AE64" s="8">
        <f>[2]หน้าผ้า!AU73</f>
        <v>5280.6600000000008</v>
      </c>
      <c r="AF64" s="8">
        <f>[2]หน้าผ้า!AI73</f>
        <v>0</v>
      </c>
      <c r="AG64" s="1" t="str">
        <f>[3]หน้าผ้า!DC76</f>
        <v>ยังไม่ได้พิมพ์</v>
      </c>
      <c r="AH64" s="1" t="str">
        <f>[2]หน้าผ้า!DL73</f>
        <v>P6</v>
      </c>
      <c r="AI64" s="1">
        <f>[2]หน้าผ้า!DM73</f>
        <v>4</v>
      </c>
      <c r="AJ64" s="3">
        <f>[2]หน้าผ้า!DN73</f>
        <v>45919</v>
      </c>
      <c r="AK64" s="3">
        <f>[2]หน้าผ้า!DQ73</f>
        <v>45915</v>
      </c>
      <c r="AL64" s="3">
        <f>[2]หน้าผ้า!DR73</f>
        <v>45908</v>
      </c>
      <c r="AM64" s="3">
        <f>[2]หน้าผ้า!DS73</f>
        <v>45916</v>
      </c>
      <c r="AN64" s="3">
        <f>[2]หน้าผ้า!DT73</f>
        <v>45917</v>
      </c>
      <c r="AO64" s="3">
        <f>[2]หน้าผ้า!DU73</f>
        <v>45918</v>
      </c>
      <c r="AP64" s="3">
        <f>[2]หน้าผ้า!DP73</f>
        <v>45914</v>
      </c>
      <c r="AQ64" s="3">
        <f>[2]หน้าผ้า!DW73</f>
        <v>0</v>
      </c>
      <c r="AR64" s="3">
        <f>[2]หน้าผ้า!DX73</f>
        <v>0</v>
      </c>
      <c r="AS64" s="3">
        <f>[2]หน้าผ้า!DY73</f>
        <v>0</v>
      </c>
      <c r="AT64" s="3">
        <f>[2]หน้าผ้า!DZ73</f>
        <v>0</v>
      </c>
      <c r="AU64" s="3">
        <f>[2]หน้าผ้า!EA73</f>
        <v>0</v>
      </c>
      <c r="AV64" s="1">
        <f>[2]หน้าผ้า!EB73</f>
        <v>0</v>
      </c>
      <c r="AW64" s="2" t="str">
        <f>[2]หน้าผ้า!EC73</f>
        <v>งานเคลือบ+พิมพ์</v>
      </c>
      <c r="AX64" s="2" t="str">
        <f>[2]หน้าผ้า!ED73</f>
        <v>รอART</v>
      </c>
      <c r="AY64" s="2">
        <f>[2]หน้าผ้า!AG73</f>
        <v>0</v>
      </c>
      <c r="AZ64" s="2">
        <f>[2]หน้าผ้า!EG73</f>
        <v>0</v>
      </c>
      <c r="BA64" s="2">
        <f>[2]หน้าผ้า!EH73</f>
        <v>0</v>
      </c>
      <c r="BB64" s="2">
        <f>[2]หน้าผ้า!EI73</f>
        <v>0</v>
      </c>
      <c r="BC64" s="1" t="str">
        <f>[2]หน้าผ้า!BZ73</f>
        <v>WRWT25850/WRWT25850</v>
      </c>
      <c r="BD64" s="56">
        <f>[2]หน้าผ้า!CA73</f>
        <v>398.98320000000001</v>
      </c>
    </row>
    <row r="65" spans="1:56" ht="27.75" customHeight="1" x14ac:dyDescent="0.45">
      <c r="A65" s="3">
        <f>[2]หน้าผ้า!C74</f>
        <v>45905</v>
      </c>
      <c r="B65" s="14" t="str">
        <f>[2]หน้าผ้า!B74</f>
        <v>ใบรับคำสั่งซื้อ</v>
      </c>
      <c r="C65" s="9" t="str">
        <f>[2]หน้าผ้า!E74</f>
        <v>บจก.อินเทคค์ โกลบอล</v>
      </c>
      <c r="D65" s="13" t="str">
        <f>[2]หน้าผ้า!F74</f>
        <v>เพอเฟคค์ 912</v>
      </c>
      <c r="E65" s="9">
        <f>[2]หน้าผ้า!G74</f>
        <v>20</v>
      </c>
      <c r="F65" s="9">
        <f>[2]หน้าผ้า!H74</f>
        <v>36</v>
      </c>
      <c r="G65" s="9" t="str">
        <f>[2]หน้าผ้า!I74</f>
        <v>ขาว</v>
      </c>
      <c r="H65" s="9" t="str">
        <f>[2]หน้าผ้า!J74</f>
        <v>ด้าน</v>
      </c>
      <c r="I65" s="9">
        <f>[2]หน้าผ้า!L74</f>
        <v>100</v>
      </c>
      <c r="J65" s="9" t="str">
        <f>[2]หน้าผ้า!M74</f>
        <v>±</v>
      </c>
      <c r="K65" s="9">
        <f>[2]หน้าผ้า!N74</f>
        <v>5</v>
      </c>
      <c r="L65" s="9" t="str">
        <f>[2]หน้าผ้า!R74</f>
        <v>จับจีบ</v>
      </c>
      <c r="M65" s="10" t="str">
        <f>[2]หน้าผ้า!T74</f>
        <v>ไม่สวมถุงใน</v>
      </c>
      <c r="N65" s="9">
        <f>[2]หน้าผ้า!U74</f>
        <v>0</v>
      </c>
      <c r="O65" s="9">
        <f>[2]หน้าผ้า!V74</f>
        <v>0</v>
      </c>
      <c r="P65" s="10">
        <f>[2]หน้าผ้า!AB74</f>
        <v>0</v>
      </c>
      <c r="Q65" s="10">
        <f>[2]หน้าผ้า!AC74</f>
        <v>0</v>
      </c>
      <c r="R65" s="10">
        <f>[2]หน้าผ้า!AD74</f>
        <v>0</v>
      </c>
      <c r="S65" s="9" t="str">
        <f>[2]หน้าผ้า!Z74</f>
        <v>มัด80 ใช้สายรัด</v>
      </c>
      <c r="T65" s="12">
        <f>[2]หน้าผ้า!X74</f>
        <v>45919</v>
      </c>
      <c r="U65" s="11">
        <f>[2]หน้าผ้า!AA74</f>
        <v>10000</v>
      </c>
      <c r="V65" s="10">
        <f>[2]หน้าผ้า!AJ74</f>
        <v>0</v>
      </c>
      <c r="W65" s="10">
        <f>[2]หน้าผ้า!AL74</f>
        <v>10000</v>
      </c>
      <c r="X65" s="10">
        <f>[2]หน้าผ้า!AM74</f>
        <v>0</v>
      </c>
      <c r="Y65" s="10">
        <f>[2]หน้าผ้า!AN74</f>
        <v>10500</v>
      </c>
      <c r="Z65" s="9" t="str">
        <f>[2]หน้าผ้า!AO74</f>
        <v>WSWT2025800SM</v>
      </c>
      <c r="AA65" s="8">
        <f>[2]หน้าผ้า!AQ74</f>
        <v>10477.5</v>
      </c>
      <c r="AB65" s="8">
        <f>[2]หน้าผ้า!AR74</f>
        <v>0</v>
      </c>
      <c r="AC65" s="8">
        <f>[2]หน้าผ้า!AS74</f>
        <v>10477.5</v>
      </c>
      <c r="AD65" s="8">
        <f>[2]หน้าผ้า!AT74</f>
        <v>0</v>
      </c>
      <c r="AE65" s="8">
        <f>[2]หน้าผ้า!AU74</f>
        <v>10477.5</v>
      </c>
      <c r="AF65" s="8">
        <f>[2]หน้าผ้า!AI74</f>
        <v>0</v>
      </c>
      <c r="AG65" s="1" t="str">
        <f>[3]หน้าผ้า!DC77</f>
        <v>พร้อมส่ง</v>
      </c>
      <c r="AH65" s="1" t="str">
        <f>[2]หน้าผ้า!DL74</f>
        <v>P6</v>
      </c>
      <c r="AI65" s="1">
        <f>[2]หน้าผ้า!DM74</f>
        <v>4</v>
      </c>
      <c r="AJ65" s="3">
        <f>[2]หน้าผ้า!DN74</f>
        <v>45919</v>
      </c>
      <c r="AK65" s="3">
        <f>[2]หน้าผ้า!DQ74</f>
        <v>45915</v>
      </c>
      <c r="AL65" s="3">
        <f>[2]หน้าผ้า!DR74</f>
        <v>45908</v>
      </c>
      <c r="AM65" s="3">
        <f>[2]หน้าผ้า!DS74</f>
        <v>45916</v>
      </c>
      <c r="AN65" s="3">
        <f>[2]หน้าผ้า!DT74</f>
        <v>45917</v>
      </c>
      <c r="AO65" s="3">
        <f>[2]หน้าผ้า!DU74</f>
        <v>45918</v>
      </c>
      <c r="AP65" s="3">
        <f>[2]หน้าผ้า!DP74</f>
        <v>45914</v>
      </c>
      <c r="AQ65" s="3">
        <f>[2]หน้าผ้า!DW74</f>
        <v>0</v>
      </c>
      <c r="AR65" s="3">
        <f>[2]หน้าผ้า!DX74</f>
        <v>0</v>
      </c>
      <c r="AS65" s="3">
        <f>[2]หน้าผ้า!DY74</f>
        <v>0</v>
      </c>
      <c r="AT65" s="3">
        <f>[2]หน้าผ้า!DZ74</f>
        <v>0</v>
      </c>
      <c r="AU65" s="3">
        <f>[2]หน้าผ้า!EA74</f>
        <v>0</v>
      </c>
      <c r="AV65" s="1">
        <f>[2]หน้าผ้า!EB74</f>
        <v>0</v>
      </c>
      <c r="AW65" s="2" t="str">
        <f>[2]หน้าผ้า!EC74</f>
        <v>งานเคลือบ+พิมพ์</v>
      </c>
      <c r="AX65" s="2" t="str">
        <f>[2]หน้าผ้า!ED74</f>
        <v>รอART</v>
      </c>
      <c r="AY65" s="2">
        <f>[2]หน้าผ้า!AG74</f>
        <v>0</v>
      </c>
      <c r="AZ65" s="2">
        <f>[2]หน้าผ้า!EG74</f>
        <v>0</v>
      </c>
      <c r="BA65" s="2">
        <f>[2]หน้าผ้า!EH74</f>
        <v>0</v>
      </c>
      <c r="BB65" s="2">
        <f>[2]หน้าผ้า!EI74</f>
        <v>0</v>
      </c>
      <c r="BC65" s="1" t="str">
        <f>[2]หน้าผ้า!BZ74</f>
        <v>WRWT25850/WRWT25850</v>
      </c>
      <c r="BD65" s="56">
        <f>[2]หน้าผ้า!CA74</f>
        <v>791.63333333333321</v>
      </c>
    </row>
    <row r="66" spans="1:56" ht="27.75" customHeight="1" x14ac:dyDescent="0.45">
      <c r="A66" s="3">
        <f>[2]หน้าผ้า!C75</f>
        <v>45905</v>
      </c>
      <c r="B66" s="14" t="str">
        <f>[2]หน้าผ้า!B75</f>
        <v>ใบรับคำสั่งซื้อ</v>
      </c>
      <c r="C66" s="9" t="str">
        <f>[2]หน้าผ้า!E75</f>
        <v>บจก.อินเทคค์ โกลบอล</v>
      </c>
      <c r="D66" s="13" t="str">
        <f>[2]หน้าผ้า!F75</f>
        <v>เฟิร์สช้อย 912</v>
      </c>
      <c r="E66" s="9">
        <f>[2]หน้าผ้า!G75</f>
        <v>20</v>
      </c>
      <c r="F66" s="9">
        <f>[2]หน้าผ้า!H75</f>
        <v>36</v>
      </c>
      <c r="G66" s="9" t="str">
        <f>[2]หน้าผ้า!I75</f>
        <v>ขาว</v>
      </c>
      <c r="H66" s="9" t="str">
        <f>[2]หน้าผ้า!J75</f>
        <v>ด้าน</v>
      </c>
      <c r="I66" s="9">
        <f>[2]หน้าผ้า!L75</f>
        <v>100</v>
      </c>
      <c r="J66" s="9" t="str">
        <f>[2]หน้าผ้า!M75</f>
        <v>±</v>
      </c>
      <c r="K66" s="9">
        <f>[2]หน้าผ้า!N75</f>
        <v>5</v>
      </c>
      <c r="L66" s="9" t="str">
        <f>[2]หน้าผ้า!R75</f>
        <v>จับจีบ</v>
      </c>
      <c r="M66" s="10" t="str">
        <f>[2]หน้าผ้า!T75</f>
        <v>ไม่สวมถุงใน</v>
      </c>
      <c r="N66" s="9">
        <f>[2]หน้าผ้า!U75</f>
        <v>0</v>
      </c>
      <c r="O66" s="9">
        <f>[2]หน้าผ้า!V75</f>
        <v>0</v>
      </c>
      <c r="P66" s="10">
        <f>[2]หน้าผ้า!AB75</f>
        <v>0</v>
      </c>
      <c r="Q66" s="10">
        <f>[2]หน้าผ้า!AC75</f>
        <v>0</v>
      </c>
      <c r="R66" s="10">
        <f>[2]หน้าผ้า!AD75</f>
        <v>0</v>
      </c>
      <c r="S66" s="9" t="str">
        <f>[2]หน้าผ้า!Z75</f>
        <v>มัด80 ใช้สายรัด</v>
      </c>
      <c r="T66" s="12">
        <f>[2]หน้าผ้า!X75</f>
        <v>45920</v>
      </c>
      <c r="U66" s="11">
        <f>[2]หน้าผ้า!AA75</f>
        <v>5040</v>
      </c>
      <c r="V66" s="10">
        <f>[2]หน้าผ้า!AJ75</f>
        <v>0</v>
      </c>
      <c r="W66" s="10">
        <f>[2]หน้าผ้า!AL75</f>
        <v>5040</v>
      </c>
      <c r="X66" s="10">
        <f>[2]หน้าผ้า!AM75</f>
        <v>0</v>
      </c>
      <c r="Y66" s="10">
        <f>[2]หน้าผ้า!AN75</f>
        <v>5292</v>
      </c>
      <c r="Z66" s="9" t="str">
        <f>[2]หน้าผ้า!AO75</f>
        <v>WSWT2025800SM</v>
      </c>
      <c r="AA66" s="8">
        <f>[2]หน้าผ้า!AQ75</f>
        <v>5280.6600000000008</v>
      </c>
      <c r="AB66" s="8">
        <f>[2]หน้าผ้า!AR75</f>
        <v>0</v>
      </c>
      <c r="AC66" s="8">
        <f>[2]หน้าผ้า!AS75</f>
        <v>5280.6600000000008</v>
      </c>
      <c r="AD66" s="8">
        <f>[2]หน้าผ้า!AT75</f>
        <v>0</v>
      </c>
      <c r="AE66" s="8">
        <f>[2]หน้าผ้า!AU75</f>
        <v>5280.6600000000008</v>
      </c>
      <c r="AF66" s="8">
        <f>[2]หน้าผ้า!AI75</f>
        <v>0</v>
      </c>
      <c r="AG66" s="1" t="str">
        <f>[3]หน้าผ้า!DC78</f>
        <v>พร้อมส่ง</v>
      </c>
      <c r="AH66" s="1" t="str">
        <f>[2]หน้าผ้า!DL75</f>
        <v>P6</v>
      </c>
      <c r="AI66" s="1">
        <f>[2]หน้าผ้า!DM75</f>
        <v>4</v>
      </c>
      <c r="AJ66" s="3">
        <f>[2]หน้าผ้า!DN75</f>
        <v>45920</v>
      </c>
      <c r="AK66" s="3">
        <f>[2]หน้าผ้า!DQ75</f>
        <v>45916</v>
      </c>
      <c r="AL66" s="3">
        <f>[2]หน้าผ้า!DR75</f>
        <v>45909</v>
      </c>
      <c r="AM66" s="3">
        <f>[2]หน้าผ้า!DS75</f>
        <v>45917</v>
      </c>
      <c r="AN66" s="3">
        <f>[2]หน้าผ้า!DT75</f>
        <v>45918</v>
      </c>
      <c r="AO66" s="3">
        <f>[2]หน้าผ้า!DU75</f>
        <v>45919</v>
      </c>
      <c r="AP66" s="3">
        <f>[2]หน้าผ้า!DP75</f>
        <v>45915</v>
      </c>
      <c r="AQ66" s="3">
        <f>[2]หน้าผ้า!DW75</f>
        <v>0</v>
      </c>
      <c r="AR66" s="3">
        <f>[2]หน้าผ้า!DX75</f>
        <v>0</v>
      </c>
      <c r="AS66" s="3">
        <f>[2]หน้าผ้า!DY75</f>
        <v>0</v>
      </c>
      <c r="AT66" s="3">
        <f>[2]หน้าผ้า!DZ75</f>
        <v>0</v>
      </c>
      <c r="AU66" s="3">
        <f>[2]หน้าผ้า!EA75</f>
        <v>0</v>
      </c>
      <c r="AV66" s="1">
        <f>[2]หน้าผ้า!EB75</f>
        <v>0</v>
      </c>
      <c r="AW66" s="2" t="str">
        <f>[2]หน้าผ้า!EC75</f>
        <v>งานเคลือบ+พิมพ์</v>
      </c>
      <c r="AX66" s="2" t="str">
        <f>[2]หน้าผ้า!ED75</f>
        <v>รอART</v>
      </c>
      <c r="AY66" s="2">
        <f>[2]หน้าผ้า!AG75</f>
        <v>0</v>
      </c>
      <c r="AZ66" s="2">
        <f>[2]หน้าผ้า!EG75</f>
        <v>0</v>
      </c>
      <c r="BA66" s="2">
        <f>[2]หน้าผ้า!EH75</f>
        <v>0</v>
      </c>
      <c r="BB66" s="2">
        <f>[2]หน้าผ้า!EI75</f>
        <v>0</v>
      </c>
      <c r="BC66" s="1" t="str">
        <f>[2]หน้าผ้า!BZ75</f>
        <v>WRWT25850/WRWT25850</v>
      </c>
      <c r="BD66" s="56">
        <f>[2]หน้าผ้า!CA75</f>
        <v>398.98320000000001</v>
      </c>
    </row>
    <row r="67" spans="1:56" ht="27.75" customHeight="1" x14ac:dyDescent="0.45">
      <c r="A67" s="3">
        <f>[2]หน้าผ้า!C76</f>
        <v>45905</v>
      </c>
      <c r="B67" s="14" t="str">
        <f>[2]หน้าผ้า!B76</f>
        <v>ใบรับคำสั่งซื้อ</v>
      </c>
      <c r="C67" s="9" t="str">
        <f>[2]หน้าผ้า!E76</f>
        <v>บจก.อินเทคค์ โกลบอล</v>
      </c>
      <c r="D67" s="13" t="str">
        <f>[2]หน้าผ้า!F76</f>
        <v>เฟิร์สช้อย 902</v>
      </c>
      <c r="E67" s="9">
        <f>[2]หน้าผ้า!G76</f>
        <v>20</v>
      </c>
      <c r="F67" s="9">
        <f>[2]หน้าผ้า!H76</f>
        <v>36</v>
      </c>
      <c r="G67" s="9" t="str">
        <f>[2]หน้าผ้า!I76</f>
        <v>ขาว</v>
      </c>
      <c r="H67" s="9" t="str">
        <f>[2]หน้าผ้า!J76</f>
        <v>ด้าน</v>
      </c>
      <c r="I67" s="9">
        <f>[2]หน้าผ้า!L76</f>
        <v>100</v>
      </c>
      <c r="J67" s="9" t="str">
        <f>[2]หน้าผ้า!M76</f>
        <v>±</v>
      </c>
      <c r="K67" s="9">
        <f>[2]หน้าผ้า!N76</f>
        <v>5</v>
      </c>
      <c r="L67" s="9" t="str">
        <f>[2]หน้าผ้า!R76</f>
        <v>จับจีบ</v>
      </c>
      <c r="M67" s="10" t="str">
        <f>[2]หน้าผ้า!T76</f>
        <v>ไม่สวมถุงใน</v>
      </c>
      <c r="N67" s="9">
        <f>[2]หน้าผ้า!U76</f>
        <v>0</v>
      </c>
      <c r="O67" s="9">
        <f>[2]หน้าผ้า!V76</f>
        <v>0</v>
      </c>
      <c r="P67" s="10">
        <f>[2]หน้าผ้า!AB76</f>
        <v>0</v>
      </c>
      <c r="Q67" s="10">
        <f>[2]หน้าผ้า!AC76</f>
        <v>0</v>
      </c>
      <c r="R67" s="10">
        <f>[2]หน้าผ้า!AD76</f>
        <v>0</v>
      </c>
      <c r="S67" s="9" t="str">
        <f>[2]หน้าผ้า!Z76</f>
        <v>มัด80 ใช้สายรัด</v>
      </c>
      <c r="T67" s="12">
        <f>[2]หน้าผ้า!X76</f>
        <v>45920</v>
      </c>
      <c r="U67" s="11">
        <f>[2]หน้าผ้า!AA76</f>
        <v>5040</v>
      </c>
      <c r="V67" s="10">
        <f>[2]หน้าผ้า!AJ76</f>
        <v>0</v>
      </c>
      <c r="W67" s="10">
        <f>[2]หน้าผ้า!AL76</f>
        <v>5040</v>
      </c>
      <c r="X67" s="10">
        <f>[2]หน้าผ้า!AM76</f>
        <v>0</v>
      </c>
      <c r="Y67" s="10">
        <f>[2]หน้าผ้า!AN76</f>
        <v>5292</v>
      </c>
      <c r="Z67" s="9" t="str">
        <f>[2]หน้าผ้า!AO76</f>
        <v>WSWT2025800SM</v>
      </c>
      <c r="AA67" s="8">
        <f>[2]หน้าผ้า!AQ76</f>
        <v>5280.6600000000008</v>
      </c>
      <c r="AB67" s="8">
        <f>[2]หน้าผ้า!AR76</f>
        <v>0</v>
      </c>
      <c r="AC67" s="8">
        <f>[2]หน้าผ้า!AS76</f>
        <v>5280.6600000000008</v>
      </c>
      <c r="AD67" s="8">
        <f>[2]หน้าผ้า!AT76</f>
        <v>0</v>
      </c>
      <c r="AE67" s="8">
        <f>[2]หน้าผ้า!AU76</f>
        <v>5280.6600000000008</v>
      </c>
      <c r="AF67" s="8">
        <f>[2]หน้าผ้า!AI76</f>
        <v>0</v>
      </c>
      <c r="AG67" s="1" t="str">
        <f>[3]หน้าผ้า!DC79</f>
        <v>รอตัด</v>
      </c>
      <c r="AH67" s="1" t="str">
        <f>[2]หน้าผ้า!DL76</f>
        <v>P6</v>
      </c>
      <c r="AI67" s="1">
        <f>[2]หน้าผ้า!DM76</f>
        <v>4</v>
      </c>
      <c r="AJ67" s="3">
        <f>[2]หน้าผ้า!DN76</f>
        <v>45920</v>
      </c>
      <c r="AK67" s="3">
        <f>[2]หน้าผ้า!DQ76</f>
        <v>45916</v>
      </c>
      <c r="AL67" s="3">
        <f>[2]หน้าผ้า!DR76</f>
        <v>45909</v>
      </c>
      <c r="AM67" s="3">
        <f>[2]หน้าผ้า!DS76</f>
        <v>45917</v>
      </c>
      <c r="AN67" s="3">
        <f>[2]หน้าผ้า!DT76</f>
        <v>45918</v>
      </c>
      <c r="AO67" s="3">
        <f>[2]หน้าผ้า!DU76</f>
        <v>45919</v>
      </c>
      <c r="AP67" s="3">
        <f>[2]หน้าผ้า!DP76</f>
        <v>45915</v>
      </c>
      <c r="AQ67" s="3">
        <f>[2]หน้าผ้า!DW76</f>
        <v>0</v>
      </c>
      <c r="AR67" s="3">
        <f>[2]หน้าผ้า!DX76</f>
        <v>0</v>
      </c>
      <c r="AS67" s="3">
        <f>[2]หน้าผ้า!DY76</f>
        <v>0</v>
      </c>
      <c r="AT67" s="3">
        <f>[2]หน้าผ้า!DZ76</f>
        <v>0</v>
      </c>
      <c r="AU67" s="3">
        <f>[2]หน้าผ้า!EA76</f>
        <v>0</v>
      </c>
      <c r="AV67" s="1">
        <f>[2]หน้าผ้า!EB76</f>
        <v>0</v>
      </c>
      <c r="AW67" s="2" t="str">
        <f>[2]หน้าผ้า!EC76</f>
        <v>งานเคลือบ+พิมพ์</v>
      </c>
      <c r="AX67" s="2" t="str">
        <f>[2]หน้าผ้า!ED76</f>
        <v>รอART</v>
      </c>
      <c r="AY67" s="2">
        <f>[2]หน้าผ้า!AG76</f>
        <v>0</v>
      </c>
      <c r="AZ67" s="2">
        <f>[2]หน้าผ้า!EG76</f>
        <v>0</v>
      </c>
      <c r="BA67" s="2">
        <f>[2]หน้าผ้า!EH76</f>
        <v>0</v>
      </c>
      <c r="BB67" s="2">
        <f>[2]หน้าผ้า!EI76</f>
        <v>0</v>
      </c>
      <c r="BC67" s="1" t="str">
        <f>[2]หน้าผ้า!BZ76</f>
        <v>WRWT25850/WRWT25850</v>
      </c>
      <c r="BD67" s="56">
        <f>[2]หน้าผ้า!CA76</f>
        <v>398.98320000000001</v>
      </c>
    </row>
    <row r="68" spans="1:56" ht="27.75" customHeight="1" x14ac:dyDescent="0.45">
      <c r="A68" s="3">
        <f>[2]หน้าผ้า!C77</f>
        <v>45796</v>
      </c>
      <c r="B68" s="14" t="str">
        <f>[2]หน้าผ้า!B77</f>
        <v>MK68-000671</v>
      </c>
      <c r="C68" s="9" t="str">
        <f>[2]หน้าผ้า!E77</f>
        <v>บจก.อินเทคค์ โกลบอล</v>
      </c>
      <c r="D68" s="13" t="str">
        <f>[2]หน้าผ้า!F77</f>
        <v>เฟิร์สช้อย 902</v>
      </c>
      <c r="E68" s="9">
        <f>[2]หน้าผ้า!G77</f>
        <v>20</v>
      </c>
      <c r="F68" s="9">
        <f>[2]หน้าผ้า!H77</f>
        <v>36</v>
      </c>
      <c r="G68" s="9" t="str">
        <f>[2]หน้าผ้า!I77</f>
        <v>ขาว</v>
      </c>
      <c r="H68" s="9" t="str">
        <f>[2]หน้าผ้า!J77</f>
        <v>ด้าน</v>
      </c>
      <c r="I68" s="9">
        <f>[2]หน้าผ้า!L77</f>
        <v>100</v>
      </c>
      <c r="J68" s="9" t="str">
        <f>[2]หน้าผ้า!M77</f>
        <v>±</v>
      </c>
      <c r="K68" s="9">
        <f>[2]หน้าผ้า!N77</f>
        <v>5</v>
      </c>
      <c r="L68" s="9" t="str">
        <f>[2]หน้าผ้า!R77</f>
        <v>จับจีบ</v>
      </c>
      <c r="M68" s="10" t="str">
        <f>[2]หน้าผ้า!T77</f>
        <v>ไม่สวมถุงใน</v>
      </c>
      <c r="N68" s="9">
        <f>[2]หน้าผ้า!U77</f>
        <v>0</v>
      </c>
      <c r="O68" s="9">
        <f>[2]หน้าผ้า!V77</f>
        <v>0</v>
      </c>
      <c r="P68" s="10">
        <f>[2]หน้าผ้า!AB77</f>
        <v>0</v>
      </c>
      <c r="Q68" s="10">
        <f>[2]หน้าผ้า!AC77</f>
        <v>0</v>
      </c>
      <c r="R68" s="10">
        <f>[2]หน้าผ้า!AD77</f>
        <v>0</v>
      </c>
      <c r="S68" s="9" t="str">
        <f>[2]หน้าผ้า!Z77</f>
        <v>มัด80 ใช้สายรัด</v>
      </c>
      <c r="T68" s="12">
        <f>[2]หน้าผ้า!X77</f>
        <v>45915</v>
      </c>
      <c r="U68" s="11">
        <f>[2]หน้าผ้า!AA77</f>
        <v>366</v>
      </c>
      <c r="V68" s="10">
        <f>[2]หน้าผ้า!AJ77</f>
        <v>0</v>
      </c>
      <c r="W68" s="10">
        <f>[2]หน้าผ้า!AL77</f>
        <v>366</v>
      </c>
      <c r="X68" s="10">
        <f>[2]หน้าผ้า!AM77</f>
        <v>0</v>
      </c>
      <c r="Y68" s="10">
        <f>[2]หน้าผ้า!AN77</f>
        <v>384.3</v>
      </c>
      <c r="Z68" s="9" t="str">
        <f>[2]หน้าผ้า!AO77</f>
        <v>WSWT2025800SM</v>
      </c>
      <c r="AA68" s="8">
        <f>[2]หน้าผ้า!AQ77</f>
        <v>383.47650000000004</v>
      </c>
      <c r="AB68" s="8">
        <f>[2]หน้าผ้า!AR77</f>
        <v>0</v>
      </c>
      <c r="AC68" s="8">
        <f>[2]หน้าผ้า!AS77</f>
        <v>383.47650000000004</v>
      </c>
      <c r="AD68" s="8">
        <f>[2]หน้าผ้า!AT77</f>
        <v>0</v>
      </c>
      <c r="AE68" s="8">
        <f>[2]หน้าผ้า!AU77</f>
        <v>383.47650000000004</v>
      </c>
      <c r="AF68" s="8">
        <f>[2]หน้าผ้า!AI77</f>
        <v>0</v>
      </c>
      <c r="AG68" s="1" t="str">
        <f>[3]หน้าผ้า!DC80</f>
        <v>พร้อมส่ง</v>
      </c>
      <c r="AH68" s="1" t="str">
        <f>[2]หน้าผ้า!DL77</f>
        <v>P6</v>
      </c>
      <c r="AI68" s="1">
        <f>[2]หน้าผ้า!DM77</f>
        <v>4</v>
      </c>
      <c r="AJ68" s="3">
        <f>[2]หน้าผ้า!DN77</f>
        <v>45915</v>
      </c>
      <c r="AK68" s="3">
        <f>[2]หน้าผ้า!DQ77</f>
        <v>45911</v>
      </c>
      <c r="AL68" s="3">
        <f>[2]หน้าผ้า!DR77</f>
        <v>45904</v>
      </c>
      <c r="AM68" s="3">
        <f>[2]หน้าผ้า!DS77</f>
        <v>45912</v>
      </c>
      <c r="AN68" s="3">
        <f>[2]หน้าผ้า!DT77</f>
        <v>45913</v>
      </c>
      <c r="AO68" s="3">
        <f>[2]หน้าผ้า!DU77</f>
        <v>45914</v>
      </c>
      <c r="AP68" s="3">
        <f>[2]หน้าผ้า!DP77</f>
        <v>45910</v>
      </c>
      <c r="AQ68" s="3">
        <f>[2]หน้าผ้า!DW77</f>
        <v>0</v>
      </c>
      <c r="AR68" s="3">
        <f>[2]หน้าผ้า!DX77</f>
        <v>0</v>
      </c>
      <c r="AS68" s="3">
        <f>[2]หน้าผ้า!DY77</f>
        <v>0</v>
      </c>
      <c r="AT68" s="3">
        <f>[2]หน้าผ้า!DZ77</f>
        <v>0</v>
      </c>
      <c r="AU68" s="3">
        <f>[2]หน้าผ้า!EA77</f>
        <v>0</v>
      </c>
      <c r="AV68" s="1">
        <f>[2]หน้าผ้า!EB77</f>
        <v>0</v>
      </c>
      <c r="AW68" s="2" t="str">
        <f>[2]หน้าผ้า!EC77</f>
        <v>งานเคลือบ+พิมพ์</v>
      </c>
      <c r="AX68" s="2" t="str">
        <f>[2]หน้าผ้า!ED77</f>
        <v xml:space="preserve"> /</v>
      </c>
      <c r="AY68" s="2">
        <f>[2]หน้าผ้า!AG77</f>
        <v>0</v>
      </c>
      <c r="AZ68" s="2">
        <f>[2]หน้าผ้า!EG77</f>
        <v>0</v>
      </c>
      <c r="BA68" s="2">
        <f>[2]หน้าผ้า!EH77</f>
        <v>0</v>
      </c>
      <c r="BB68" s="2">
        <f>[2]หน้าผ้า!EI77</f>
        <v>0</v>
      </c>
      <c r="BC68" s="1" t="str">
        <f>[2]หน้าผ้า!BZ77</f>
        <v>WRWT25850/WRWT25850</v>
      </c>
      <c r="BD68" s="56">
        <f>[2]หน้าผ้า!CA77</f>
        <v>28.973779999999994</v>
      </c>
    </row>
    <row r="69" spans="1:56" ht="27.75" customHeight="1" x14ac:dyDescent="0.45">
      <c r="A69" s="3">
        <f>[2]หน้าผ้า!C78</f>
        <v>45892</v>
      </c>
      <c r="B69" s="14" t="str">
        <f>[2]หน้าผ้า!B78</f>
        <v>MK68-001024</v>
      </c>
      <c r="C69" s="9" t="str">
        <f>[2]หน้าผ้า!E78</f>
        <v>บจก.อินเทคค์ โกลบอล</v>
      </c>
      <c r="D69" s="13" t="str">
        <f>[2]หน้าผ้า!F78</f>
        <v>เฟิร์สช้อย 913</v>
      </c>
      <c r="E69" s="9">
        <f>[2]หน้าผ้า!G78</f>
        <v>20</v>
      </c>
      <c r="F69" s="9">
        <f>[2]หน้าผ้า!H78</f>
        <v>36</v>
      </c>
      <c r="G69" s="9" t="str">
        <f>[2]หน้าผ้า!I78</f>
        <v>ขาว</v>
      </c>
      <c r="H69" s="9" t="str">
        <f>[2]หน้าผ้า!J78</f>
        <v>ด้าน</v>
      </c>
      <c r="I69" s="9">
        <f>[2]หน้าผ้า!L78</f>
        <v>100</v>
      </c>
      <c r="J69" s="9" t="str">
        <f>[2]หน้าผ้า!M78</f>
        <v>±</v>
      </c>
      <c r="K69" s="9">
        <f>[2]หน้าผ้า!N78</f>
        <v>5</v>
      </c>
      <c r="L69" s="9" t="str">
        <f>[2]หน้าผ้า!R78</f>
        <v>จับจีบ</v>
      </c>
      <c r="M69" s="10" t="str">
        <f>[2]หน้าผ้า!T78</f>
        <v>ไม่สวมถุงใน</v>
      </c>
      <c r="N69" s="9">
        <f>[2]หน้าผ้า!U78</f>
        <v>0</v>
      </c>
      <c r="O69" s="9">
        <f>[2]หน้าผ้า!V78</f>
        <v>0</v>
      </c>
      <c r="P69" s="10">
        <f>[2]หน้าผ้า!AB78</f>
        <v>0</v>
      </c>
      <c r="Q69" s="10">
        <f>[2]หน้าผ้า!AC78</f>
        <v>0</v>
      </c>
      <c r="R69" s="10">
        <f>[2]หน้าผ้า!AD78</f>
        <v>0</v>
      </c>
      <c r="S69" s="9" t="str">
        <f>[2]หน้าผ้า!Z78</f>
        <v>มัด80 ใช้สายรัด</v>
      </c>
      <c r="T69" s="12" t="str">
        <f>[2]หน้าผ้า!X78</f>
        <v>รอแจ้ง</v>
      </c>
      <c r="U69" s="11">
        <f>[2]หน้าผ้า!AA78</f>
        <v>640</v>
      </c>
      <c r="V69" s="10">
        <f>[2]หน้าผ้า!AJ78</f>
        <v>0</v>
      </c>
      <c r="W69" s="10">
        <f>[2]หน้าผ้า!AL78</f>
        <v>640</v>
      </c>
      <c r="X69" s="10">
        <f>[2]หน้าผ้า!AM78</f>
        <v>6000</v>
      </c>
      <c r="Y69" s="10">
        <f>[2]หน้าผ้า!AN78</f>
        <v>0</v>
      </c>
      <c r="Z69" s="9" t="str">
        <f>[2]หน้าผ้า!AO78</f>
        <v>WSWT2025800SM</v>
      </c>
      <c r="AA69" s="8">
        <f>[2]หน้าผ้า!AQ78</f>
        <v>0</v>
      </c>
      <c r="AB69" s="8">
        <f>[2]หน้าผ้า!AR78</f>
        <v>0</v>
      </c>
      <c r="AC69" s="8">
        <f>[2]หน้าผ้า!AS78</f>
        <v>0</v>
      </c>
      <c r="AD69" s="8">
        <f>[2]หน้าผ้า!AT78</f>
        <v>0</v>
      </c>
      <c r="AE69" s="8">
        <f>[2]หน้าผ้า!AU78</f>
        <v>0</v>
      </c>
      <c r="AF69" s="8">
        <f>[2]หน้าผ้า!AI78</f>
        <v>0</v>
      </c>
      <c r="AG69" s="1" t="str">
        <f>[3]หน้าผ้า!DC81</f>
        <v>รอตัด</v>
      </c>
      <c r="AH69" s="1" t="str">
        <f>[2]หน้าผ้า!DL78</f>
        <v>P6</v>
      </c>
      <c r="AI69" s="1">
        <f>[2]หน้าผ้า!DM78</f>
        <v>4</v>
      </c>
      <c r="AJ69" s="3" t="str">
        <f>[2]หน้าผ้า!DN78</f>
        <v>รอแจ้ง</v>
      </c>
      <c r="AK69" s="3" t="e">
        <f>[2]หน้าผ้า!DQ78</f>
        <v>#VALUE!</v>
      </c>
      <c r="AL69" s="3" t="e">
        <f>[2]หน้าผ้า!DR78</f>
        <v>#VALUE!</v>
      </c>
      <c r="AM69" s="3" t="e">
        <f>[2]หน้าผ้า!DS78</f>
        <v>#VALUE!</v>
      </c>
      <c r="AN69" s="3" t="e">
        <f>[2]หน้าผ้า!DT78</f>
        <v>#VALUE!</v>
      </c>
      <c r="AO69" s="3" t="e">
        <f>[2]หน้าผ้า!DU78</f>
        <v>#VALUE!</v>
      </c>
      <c r="AP69" s="3" t="e">
        <f>[2]หน้าผ้า!DP78</f>
        <v>#VALUE!</v>
      </c>
      <c r="AQ69" s="3">
        <f>[2]หน้าผ้า!DW78</f>
        <v>0</v>
      </c>
      <c r="AR69" s="3">
        <f>[2]หน้าผ้า!DX78</f>
        <v>0</v>
      </c>
      <c r="AS69" s="3">
        <f>[2]หน้าผ้า!DY78</f>
        <v>0</v>
      </c>
      <c r="AT69" s="3">
        <f>[2]หน้าผ้า!DZ78</f>
        <v>0</v>
      </c>
      <c r="AU69" s="3">
        <f>[2]หน้าผ้า!EA78</f>
        <v>0</v>
      </c>
      <c r="AV69" s="1">
        <f>[2]หน้าผ้า!EB78</f>
        <v>0</v>
      </c>
      <c r="AW69" s="2" t="str">
        <f>[2]หน้าผ้า!EC78</f>
        <v>งานเคลือบ+พิมพ์</v>
      </c>
      <c r="AX69" s="2" t="str">
        <f>[2]หน้าผ้า!ED78</f>
        <v xml:space="preserve"> /</v>
      </c>
      <c r="AY69" s="2" t="str">
        <f>[2]หน้าผ้า!AG78</f>
        <v>สีผิดเบอร์280</v>
      </c>
      <c r="AZ69" s="2">
        <f>[2]หน้าผ้า!EG78</f>
        <v>0</v>
      </c>
      <c r="BA69" s="2">
        <f>[2]หน้าผ้า!EH78</f>
        <v>0</v>
      </c>
      <c r="BB69" s="2">
        <f>[2]หน้าผ้า!EI78</f>
        <v>0</v>
      </c>
      <c r="BC69" s="1" t="str">
        <f>[2]หน้าผ้า!BZ78</f>
        <v>WRWT25850/WRWT25850</v>
      </c>
      <c r="BD69" s="56">
        <f>[2]หน้าผ้า!CA78</f>
        <v>0</v>
      </c>
    </row>
    <row r="70" spans="1:56" ht="27.75" customHeight="1" x14ac:dyDescent="0.45">
      <c r="A70" s="3">
        <f>[2]หน้าผ้า!C79</f>
        <v>45892</v>
      </c>
      <c r="B70" s="14" t="str">
        <f>[2]หน้าผ้า!B79</f>
        <v>MK68-001026</v>
      </c>
      <c r="C70" s="9" t="str">
        <f>[2]หน้าผ้า!E79</f>
        <v>บจก.อินเทคค์ โกลบอล</v>
      </c>
      <c r="D70" s="13" t="str">
        <f>[2]หน้าผ้า!F79</f>
        <v>เพอเฟคค์ 913</v>
      </c>
      <c r="E70" s="9">
        <f>[2]หน้าผ้า!G79</f>
        <v>20</v>
      </c>
      <c r="F70" s="9">
        <f>[2]หน้าผ้า!H79</f>
        <v>36</v>
      </c>
      <c r="G70" s="9" t="str">
        <f>[2]หน้าผ้า!I79</f>
        <v>ขาว</v>
      </c>
      <c r="H70" s="9" t="str">
        <f>[2]หน้าผ้า!J79</f>
        <v>ด้าน</v>
      </c>
      <c r="I70" s="9">
        <f>[2]หน้าผ้า!L79</f>
        <v>100</v>
      </c>
      <c r="J70" s="9" t="str">
        <f>[2]หน้าผ้า!M79</f>
        <v>±</v>
      </c>
      <c r="K70" s="9">
        <f>[2]หน้าผ้า!N79</f>
        <v>5</v>
      </c>
      <c r="L70" s="9" t="str">
        <f>[2]หน้าผ้า!R79</f>
        <v>จับจีบ</v>
      </c>
      <c r="M70" s="10" t="str">
        <f>[2]หน้าผ้า!T79</f>
        <v>ไม่สวมถุงใน</v>
      </c>
      <c r="N70" s="9">
        <f>[2]หน้าผ้า!U79</f>
        <v>0</v>
      </c>
      <c r="O70" s="9">
        <f>[2]หน้าผ้า!V79</f>
        <v>0</v>
      </c>
      <c r="P70" s="10">
        <f>[2]หน้าผ้า!AB79</f>
        <v>0</v>
      </c>
      <c r="Q70" s="10">
        <f>[2]หน้าผ้า!AC79</f>
        <v>0</v>
      </c>
      <c r="R70" s="10">
        <f>[2]หน้าผ้า!AD79</f>
        <v>0</v>
      </c>
      <c r="S70" s="9" t="str">
        <f>[2]หน้าผ้า!Z79</f>
        <v>มัด80 ใช้สายรัด</v>
      </c>
      <c r="T70" s="12" t="str">
        <f>[2]หน้าผ้า!X79</f>
        <v>รอแจ้ง</v>
      </c>
      <c r="U70" s="11">
        <f>[2]หน้าผ้า!AA79</f>
        <v>1840</v>
      </c>
      <c r="V70" s="10">
        <f>[2]หน้าผ้า!AJ79</f>
        <v>80</v>
      </c>
      <c r="W70" s="10">
        <f>[2]หน้าผ้า!AL79</f>
        <v>1760</v>
      </c>
      <c r="X70" s="10">
        <f>[2]หน้าผ้า!AM79</f>
        <v>10650</v>
      </c>
      <c r="Y70" s="10">
        <f>[2]หน้าผ้า!AN79</f>
        <v>0</v>
      </c>
      <c r="Z70" s="9" t="str">
        <f>[2]หน้าผ้า!AO79</f>
        <v>WSWT2025800SM</v>
      </c>
      <c r="AA70" s="8">
        <f>[2]หน้าผ้า!AQ79</f>
        <v>0</v>
      </c>
      <c r="AB70" s="8">
        <f>[2]หน้าผ้า!AR79</f>
        <v>0</v>
      </c>
      <c r="AC70" s="8">
        <f>[2]หน้าผ้า!AS79</f>
        <v>0</v>
      </c>
      <c r="AD70" s="8">
        <f>[2]หน้าผ้า!AT79</f>
        <v>0</v>
      </c>
      <c r="AE70" s="8">
        <f>[2]หน้าผ้า!AU79</f>
        <v>0</v>
      </c>
      <c r="AF70" s="8">
        <f>[2]หน้าผ้า!AI79</f>
        <v>0</v>
      </c>
      <c r="AG70" s="1" t="str">
        <f>[3]หน้าผ้า!DC82</f>
        <v>ยังไม่ได้พิมพ์</v>
      </c>
      <c r="AH70" s="1" t="str">
        <f>[2]หน้าผ้า!DL79</f>
        <v>P6</v>
      </c>
      <c r="AI70" s="1">
        <f>[2]หน้าผ้า!DM79</f>
        <v>4</v>
      </c>
      <c r="AJ70" s="3" t="str">
        <f>[2]หน้าผ้า!DN79</f>
        <v>รอแจ้ง</v>
      </c>
      <c r="AK70" s="3" t="e">
        <f>[2]หน้าผ้า!DQ79</f>
        <v>#VALUE!</v>
      </c>
      <c r="AL70" s="3" t="e">
        <f>[2]หน้าผ้า!DR79</f>
        <v>#VALUE!</v>
      </c>
      <c r="AM70" s="3" t="e">
        <f>[2]หน้าผ้า!DS79</f>
        <v>#VALUE!</v>
      </c>
      <c r="AN70" s="3" t="e">
        <f>[2]หน้าผ้า!DT79</f>
        <v>#VALUE!</v>
      </c>
      <c r="AO70" s="3" t="e">
        <f>[2]หน้าผ้า!DU79</f>
        <v>#VALUE!</v>
      </c>
      <c r="AP70" s="3" t="e">
        <f>[2]หน้าผ้า!DP79</f>
        <v>#VALUE!</v>
      </c>
      <c r="AQ70" s="3">
        <f>[2]หน้าผ้า!DW79</f>
        <v>0</v>
      </c>
      <c r="AR70" s="3">
        <f>[2]หน้าผ้า!DX79</f>
        <v>0</v>
      </c>
      <c r="AS70" s="3">
        <f>[2]หน้าผ้า!DY79</f>
        <v>0</v>
      </c>
      <c r="AT70" s="3">
        <f>[2]หน้าผ้า!DZ79</f>
        <v>0</v>
      </c>
      <c r="AU70" s="3">
        <f>[2]หน้าผ้า!EA79</f>
        <v>0</v>
      </c>
      <c r="AV70" s="1">
        <f>[2]หน้าผ้า!EB79</f>
        <v>0</v>
      </c>
      <c r="AW70" s="2" t="str">
        <f>[2]หน้าผ้า!EC79</f>
        <v>งานเคลือบ+พิมพ์</v>
      </c>
      <c r="AX70" s="2" t="str">
        <f>[2]หน้าผ้า!ED79</f>
        <v xml:space="preserve"> /</v>
      </c>
      <c r="AY70" s="2">
        <f>[2]หน้าผ้า!AG79</f>
        <v>0</v>
      </c>
      <c r="AZ70" s="2">
        <f>[2]หน้าผ้า!EG79</f>
        <v>0</v>
      </c>
      <c r="BA70" s="2">
        <f>[2]หน้าผ้า!EH79</f>
        <v>0</v>
      </c>
      <c r="BB70" s="2">
        <f>[2]หน้าผ้า!EI79</f>
        <v>0</v>
      </c>
      <c r="BC70" s="1" t="str">
        <f>[2]หน้าผ้า!BZ79</f>
        <v>WRWT25850/WRWT25850</v>
      </c>
      <c r="BD70" s="56">
        <f>[2]หน้าผ้า!CA79</f>
        <v>0</v>
      </c>
    </row>
    <row r="71" spans="1:56" ht="27.75" customHeight="1" x14ac:dyDescent="0.45">
      <c r="A71" s="3">
        <f>[2]หน้าผ้า!C80</f>
        <v>45782</v>
      </c>
      <c r="B71" s="14" t="str">
        <f>[2]หน้าผ้า!B80</f>
        <v>MK68-000609</v>
      </c>
      <c r="C71" s="9" t="str">
        <f>[2]หน้าผ้า!E80</f>
        <v>บจก.เอสพีเอ็ม อาหารสัตว์</v>
      </c>
      <c r="D71" s="13" t="str">
        <f>[2]หน้าผ้า!F80</f>
        <v xml:space="preserve">SW 441 </v>
      </c>
      <c r="E71" s="9">
        <f>[2]หน้าผ้า!G80</f>
        <v>20</v>
      </c>
      <c r="F71" s="9">
        <f>[2]หน้าผ้า!H80</f>
        <v>38</v>
      </c>
      <c r="G71" s="9" t="str">
        <f>[2]หน้าผ้า!I80</f>
        <v>ขาว</v>
      </c>
      <c r="H71" s="9" t="str">
        <f>[2]หน้าผ้า!J80</f>
        <v>ใส</v>
      </c>
      <c r="I71" s="9">
        <f>[2]หน้าผ้า!L80</f>
        <v>100</v>
      </c>
      <c r="J71" s="9" t="str">
        <f>[2]หน้าผ้า!M80</f>
        <v>±</v>
      </c>
      <c r="K71" s="9">
        <f>[2]หน้าผ้า!N80</f>
        <v>5</v>
      </c>
      <c r="L71" s="9" t="str">
        <f>[2]หน้าผ้า!R80</f>
        <v>บิด</v>
      </c>
      <c r="M71" s="10" t="str">
        <f>[2]หน้าผ้า!T80</f>
        <v>ไม่สวมถุงใน</v>
      </c>
      <c r="N71" s="9">
        <f>[2]หน้าผ้า!U80</f>
        <v>0</v>
      </c>
      <c r="O71" s="9">
        <f>[2]หน้าผ้า!V80</f>
        <v>0</v>
      </c>
      <c r="P71" s="10">
        <f>[2]หน้าผ้า!AB80</f>
        <v>0</v>
      </c>
      <c r="Q71" s="10">
        <f>[2]หน้าผ้า!AC80</f>
        <v>0</v>
      </c>
      <c r="R71" s="10">
        <f>[2]หน้าผ้า!AD80</f>
        <v>0</v>
      </c>
      <c r="S71" s="9" t="str">
        <f>[2]หน้าผ้า!Z80</f>
        <v>500กระสอบแบน</v>
      </c>
      <c r="T71" s="12">
        <f>[2]หน้าผ้า!X80</f>
        <v>45909</v>
      </c>
      <c r="U71" s="11">
        <f>[2]หน้าผ้า!AA80</f>
        <v>5000</v>
      </c>
      <c r="V71" s="10">
        <f>[2]หน้าผ้า!AJ80</f>
        <v>4473</v>
      </c>
      <c r="W71" s="10">
        <f>[2]หน้าผ้า!AL80</f>
        <v>527</v>
      </c>
      <c r="X71" s="10">
        <f>[2]หน้าผ้า!AM80</f>
        <v>5200</v>
      </c>
      <c r="Y71" s="10">
        <f>[2]หน้าผ้า!AN80</f>
        <v>0</v>
      </c>
      <c r="Z71" s="9" t="str">
        <f>[2]หน้าผ้า!AO80</f>
        <v>WSWT2025800SM</v>
      </c>
      <c r="AA71" s="8">
        <f>[2]หน้าผ้า!AQ80</f>
        <v>0</v>
      </c>
      <c r="AB71" s="8">
        <f>[2]หน้าผ้า!AR80</f>
        <v>0</v>
      </c>
      <c r="AC71" s="8">
        <f>[2]หน้าผ้า!AS80</f>
        <v>0</v>
      </c>
      <c r="AD71" s="8">
        <f>[2]หน้าผ้า!AT80</f>
        <v>0</v>
      </c>
      <c r="AE71" s="8">
        <f>[2]หน้าผ้า!AU80</f>
        <v>0</v>
      </c>
      <c r="AF71" s="8">
        <f>[2]หน้าผ้า!AI80</f>
        <v>0</v>
      </c>
      <c r="AG71" s="1" t="str">
        <f>[3]หน้าผ้า!DC83</f>
        <v>ยังไม่ได้พิมพ์</v>
      </c>
      <c r="AH71" s="1" t="str">
        <f>[2]หน้าผ้า!DL80</f>
        <v>P6</v>
      </c>
      <c r="AI71" s="1">
        <f>[2]หน้าผ้า!DM80</f>
        <v>4</v>
      </c>
      <c r="AJ71" s="3">
        <f>[2]หน้าผ้า!DN80</f>
        <v>45909</v>
      </c>
      <c r="AK71" s="3">
        <f>[2]หน้าผ้า!DQ80</f>
        <v>45905</v>
      </c>
      <c r="AL71" s="3">
        <f>[2]หน้าผ้า!DR80</f>
        <v>45898</v>
      </c>
      <c r="AM71" s="3">
        <f>[2]หน้าผ้า!DS80</f>
        <v>45906</v>
      </c>
      <c r="AN71" s="3">
        <f>[2]หน้าผ้า!DT80</f>
        <v>45907</v>
      </c>
      <c r="AO71" s="3">
        <f>[2]หน้าผ้า!DU80</f>
        <v>45908</v>
      </c>
      <c r="AP71" s="3">
        <f>[2]หน้าผ้า!DP80</f>
        <v>45904</v>
      </c>
      <c r="AQ71" s="3">
        <f>[2]หน้าผ้า!DW80</f>
        <v>0</v>
      </c>
      <c r="AR71" s="3">
        <f>[2]หน้าผ้า!DX80</f>
        <v>0</v>
      </c>
      <c r="AS71" s="3">
        <f>[2]หน้าผ้า!DY80</f>
        <v>0</v>
      </c>
      <c r="AT71" s="3">
        <f>[2]หน้าผ้า!DZ80</f>
        <v>0</v>
      </c>
      <c r="AU71" s="3">
        <f>[2]หน้าผ้า!EA80</f>
        <v>0</v>
      </c>
      <c r="AV71" s="1">
        <f>[2]หน้าผ้า!EB80</f>
        <v>0</v>
      </c>
      <c r="AW71" s="2" t="str">
        <f>[2]หน้าผ้า!EC80</f>
        <v>งานเคลือบ+พิมพ์</v>
      </c>
      <c r="AX71" s="2" t="str">
        <f>[2]หน้าผ้า!ED80</f>
        <v xml:space="preserve"> /</v>
      </c>
      <c r="AY71" s="2">
        <f>[2]หน้าผ้า!AG80</f>
        <v>0</v>
      </c>
      <c r="AZ71" s="2">
        <f>[2]หน้าผ้า!EG80</f>
        <v>0</v>
      </c>
      <c r="BA71" s="2">
        <f>[2]หน้าผ้า!EH80</f>
        <v>0</v>
      </c>
      <c r="BB71" s="2">
        <f>[2]หน้าผ้า!EI80</f>
        <v>0</v>
      </c>
      <c r="BC71" s="1" t="str">
        <f>[2]หน้าผ้า!BZ80</f>
        <v>WRWT25850/WRWT25850</v>
      </c>
      <c r="BD71" s="56">
        <f>[2]หน้าผ้า!CA80</f>
        <v>0</v>
      </c>
    </row>
    <row r="72" spans="1:56" ht="27.75" customHeight="1" x14ac:dyDescent="0.45">
      <c r="A72" s="3">
        <f>[2]หน้าผ้า!C81</f>
        <v>45902</v>
      </c>
      <c r="B72" s="14" t="str">
        <f>[2]หน้าผ้า!B81</f>
        <v>MK68-001071</v>
      </c>
      <c r="C72" s="9" t="str">
        <f>[2]หน้าผ้า!E81</f>
        <v>บจก.วีซีเอฟ</v>
      </c>
      <c r="D72" s="13" t="str">
        <f>[2]หน้าผ้า!F81</f>
        <v>VC100</v>
      </c>
      <c r="E72" s="9">
        <f>[2]หน้าผ้า!G81</f>
        <v>20</v>
      </c>
      <c r="F72" s="9">
        <f>[2]หน้าผ้า!H81</f>
        <v>37</v>
      </c>
      <c r="G72" s="9" t="str">
        <f>[2]หน้าผ้า!I81</f>
        <v>ขาว</v>
      </c>
      <c r="H72" s="9" t="str">
        <f>[2]หน้าผ้า!J81</f>
        <v>ใส</v>
      </c>
      <c r="I72" s="9">
        <f>[2]หน้าผ้า!L81</f>
        <v>100</v>
      </c>
      <c r="J72" s="9" t="str">
        <f>[2]หน้าผ้า!M81</f>
        <v>±</v>
      </c>
      <c r="K72" s="9">
        <f>[2]หน้าผ้า!N81</f>
        <v>5</v>
      </c>
      <c r="L72" s="9" t="str">
        <f>[2]หน้าผ้า!R81</f>
        <v>บิด</v>
      </c>
      <c r="M72" s="10" t="str">
        <f>[2]หน้าผ้า!T81</f>
        <v>ไม่สวมถุงใน</v>
      </c>
      <c r="N72" s="9">
        <f>[2]หน้าผ้า!U81</f>
        <v>0</v>
      </c>
      <c r="O72" s="9">
        <f>[2]หน้าผ้า!V81</f>
        <v>0</v>
      </c>
      <c r="P72" s="10">
        <f>[2]หน้าผ้า!AB81</f>
        <v>0</v>
      </c>
      <c r="Q72" s="10">
        <f>[2]หน้าผ้า!AC81</f>
        <v>0</v>
      </c>
      <c r="R72" s="10">
        <f>[2]หน้าผ้า!AD81</f>
        <v>0</v>
      </c>
      <c r="S72" s="9" t="str">
        <f>[2]หน้าผ้า!Z81</f>
        <v>500กระสอบแบน</v>
      </c>
      <c r="T72" s="12">
        <f>[2]หน้าผ้า!X81</f>
        <v>45906</v>
      </c>
      <c r="U72" s="11">
        <f>[2]หน้าผ้า!AA81</f>
        <v>10000</v>
      </c>
      <c r="V72" s="10">
        <f>[2]หน้าผ้า!AJ81</f>
        <v>5000</v>
      </c>
      <c r="W72" s="10">
        <f>[2]หน้าผ้า!AL81</f>
        <v>5000</v>
      </c>
      <c r="X72" s="10">
        <f>[2]หน้าผ้า!AM81</f>
        <v>10908</v>
      </c>
      <c r="Y72" s="10">
        <f>[2]หน้าผ้า!AN81</f>
        <v>0</v>
      </c>
      <c r="Z72" s="9" t="str">
        <f>[2]หน้าผ้า!AO81</f>
        <v>WSWT2025800SM</v>
      </c>
      <c r="AA72" s="8">
        <f>[2]หน้าผ้า!AQ81</f>
        <v>0</v>
      </c>
      <c r="AB72" s="8">
        <f>[2]หน้าผ้า!AR81</f>
        <v>0</v>
      </c>
      <c r="AC72" s="8">
        <f>[2]หน้าผ้า!AS81</f>
        <v>0</v>
      </c>
      <c r="AD72" s="8">
        <f>[2]หน้าผ้า!AT81</f>
        <v>0</v>
      </c>
      <c r="AE72" s="8">
        <f>[2]หน้าผ้า!AU81</f>
        <v>0</v>
      </c>
      <c r="AF72" s="8">
        <f>[2]หน้าผ้า!AI81</f>
        <v>0</v>
      </c>
      <c r="AG72" s="1" t="str">
        <f>[3]หน้าผ้า!DC84</f>
        <v>ยังไม่ได้พิมพ์</v>
      </c>
      <c r="AH72" s="1" t="str">
        <f>[2]หน้าผ้า!DL81</f>
        <v>P6</v>
      </c>
      <c r="AI72" s="1">
        <f>[2]หน้าผ้า!DM81</f>
        <v>4</v>
      </c>
      <c r="AJ72" s="3">
        <f>[2]หน้าผ้า!DN81</f>
        <v>45906</v>
      </c>
      <c r="AK72" s="3">
        <f>[2]หน้าผ้า!DQ81</f>
        <v>45902</v>
      </c>
      <c r="AL72" s="3">
        <f>[2]หน้าผ้า!DR81</f>
        <v>45895</v>
      </c>
      <c r="AM72" s="3">
        <f>[2]หน้าผ้า!DS81</f>
        <v>45903</v>
      </c>
      <c r="AN72" s="3">
        <f>[2]หน้าผ้า!DT81</f>
        <v>45904</v>
      </c>
      <c r="AO72" s="3">
        <f>[2]หน้าผ้า!DU81</f>
        <v>45905</v>
      </c>
      <c r="AP72" s="3">
        <f>[2]หน้าผ้า!DP81</f>
        <v>45901</v>
      </c>
      <c r="AQ72" s="3">
        <f>[2]หน้าผ้า!DW81</f>
        <v>0</v>
      </c>
      <c r="AR72" s="3">
        <f>[2]หน้าผ้า!DX81</f>
        <v>0</v>
      </c>
      <c r="AS72" s="3">
        <f>[2]หน้าผ้า!DY81</f>
        <v>0</v>
      </c>
      <c r="AT72" s="3">
        <f>[2]หน้าผ้า!DZ81</f>
        <v>0</v>
      </c>
      <c r="AU72" s="3">
        <f>[2]หน้าผ้า!EA81</f>
        <v>0</v>
      </c>
      <c r="AV72" s="1">
        <f>[2]หน้าผ้า!EB81</f>
        <v>0</v>
      </c>
      <c r="AW72" s="2" t="str">
        <f>[2]หน้าผ้า!EC81</f>
        <v>งานเคลือบ+พิมพ์</v>
      </c>
      <c r="AX72" s="2" t="str">
        <f>[2]หน้าผ้า!ED81</f>
        <v xml:space="preserve"> /</v>
      </c>
      <c r="AY72" s="2">
        <f>[2]หน้าผ้า!AG81</f>
        <v>0</v>
      </c>
      <c r="AZ72" s="2">
        <f>[2]หน้าผ้า!EG81</f>
        <v>0</v>
      </c>
      <c r="BA72" s="2">
        <f>[2]หน้าผ้า!EH81</f>
        <v>0</v>
      </c>
      <c r="BB72" s="2">
        <f>[2]หน้าผ้า!EI81</f>
        <v>0</v>
      </c>
      <c r="BC72" s="1" t="str">
        <f>[2]หน้าผ้า!BZ81</f>
        <v>WRWT25850/WRWT25850</v>
      </c>
      <c r="BD72" s="56">
        <f>[2]หน้าผ้า!CA81</f>
        <v>0</v>
      </c>
    </row>
    <row r="73" spans="1:56" ht="27.75" customHeight="1" x14ac:dyDescent="0.45">
      <c r="A73" s="3">
        <f>[2]หน้าผ้า!C82</f>
        <v>45902</v>
      </c>
      <c r="B73" s="14" t="str">
        <f>[2]หน้าผ้า!B82</f>
        <v>MK68-001069</v>
      </c>
      <c r="C73" s="9" t="str">
        <f>[2]หน้าผ้า!E82</f>
        <v>บจก.วีซีเอฟ</v>
      </c>
      <c r="D73" s="13" t="str">
        <f>[2]หน้าผ้า!F82</f>
        <v>VC120</v>
      </c>
      <c r="E73" s="9">
        <f>[2]หน้าผ้า!G82</f>
        <v>20</v>
      </c>
      <c r="F73" s="9">
        <f>[2]หน้าผ้า!H82</f>
        <v>37</v>
      </c>
      <c r="G73" s="9" t="str">
        <f>[2]หน้าผ้า!I82</f>
        <v>ขาว</v>
      </c>
      <c r="H73" s="9" t="str">
        <f>[2]หน้าผ้า!J82</f>
        <v>ใส</v>
      </c>
      <c r="I73" s="9">
        <f>[2]หน้าผ้า!L82</f>
        <v>100</v>
      </c>
      <c r="J73" s="9" t="str">
        <f>[2]หน้าผ้า!M82</f>
        <v>±</v>
      </c>
      <c r="K73" s="9">
        <f>[2]หน้าผ้า!N82</f>
        <v>5</v>
      </c>
      <c r="L73" s="9" t="str">
        <f>[2]หน้าผ้า!R82</f>
        <v>บิด</v>
      </c>
      <c r="M73" s="10" t="str">
        <f>[2]หน้าผ้า!T82</f>
        <v>ไม่สวมถุงใน</v>
      </c>
      <c r="N73" s="9">
        <f>[2]หน้าผ้า!U82</f>
        <v>0</v>
      </c>
      <c r="O73" s="9">
        <f>[2]หน้าผ้า!V82</f>
        <v>0</v>
      </c>
      <c r="P73" s="10">
        <f>[2]หน้าผ้า!AB82</f>
        <v>0</v>
      </c>
      <c r="Q73" s="10">
        <f>[2]หน้าผ้า!AC82</f>
        <v>0</v>
      </c>
      <c r="R73" s="10">
        <f>[2]หน้าผ้า!AD82</f>
        <v>0</v>
      </c>
      <c r="S73" s="9" t="str">
        <f>[2]หน้าผ้า!Z82</f>
        <v>500กระสอบแบน</v>
      </c>
      <c r="T73" s="12">
        <f>[2]หน้าผ้า!X82</f>
        <v>45906</v>
      </c>
      <c r="U73" s="11">
        <f>[2]หน้าผ้า!AA82</f>
        <v>10000</v>
      </c>
      <c r="V73" s="10">
        <f>[2]หน้าผ้า!AJ82</f>
        <v>0</v>
      </c>
      <c r="W73" s="10">
        <f>[2]หน้าผ้า!AL82</f>
        <v>10000</v>
      </c>
      <c r="X73" s="10">
        <f>[2]หน้าผ้า!AM82</f>
        <v>0</v>
      </c>
      <c r="Y73" s="10">
        <f>[2]หน้าผ้า!AN82</f>
        <v>10500</v>
      </c>
      <c r="Z73" s="9" t="str">
        <f>[2]หน้าผ้า!AO82</f>
        <v>WSWT2025800SM</v>
      </c>
      <c r="AA73" s="8">
        <f>[2]หน้าผ้า!AQ82</f>
        <v>10756.900000000001</v>
      </c>
      <c r="AB73" s="8">
        <f>[2]หน้าผ้า!AR82</f>
        <v>10756.900000000001</v>
      </c>
      <c r="AC73" s="8">
        <f>[2]หน้าผ้า!AS82</f>
        <v>0</v>
      </c>
      <c r="AD73" s="8">
        <f>[2]หน้าผ้า!AT82</f>
        <v>10756.900000000001</v>
      </c>
      <c r="AE73" s="8">
        <f>[2]หน้าผ้า!AU82</f>
        <v>0</v>
      </c>
      <c r="AF73" s="8">
        <f>[2]หน้าผ้า!AI82</f>
        <v>0</v>
      </c>
      <c r="AG73" s="1" t="str">
        <f>[3]หน้าผ้า!DC85</f>
        <v>ยังไม่ได้พิมพ์</v>
      </c>
      <c r="AH73" s="1" t="str">
        <f>[2]หน้าผ้า!DL82</f>
        <v>P6</v>
      </c>
      <c r="AI73" s="1">
        <f>[2]หน้าผ้า!DM82</f>
        <v>4</v>
      </c>
      <c r="AJ73" s="3">
        <f>[2]หน้าผ้า!DN82</f>
        <v>45906</v>
      </c>
      <c r="AK73" s="3">
        <f>[2]หน้าผ้า!DQ82</f>
        <v>45902</v>
      </c>
      <c r="AL73" s="3">
        <f>[2]หน้าผ้า!DR82</f>
        <v>45895</v>
      </c>
      <c r="AM73" s="3">
        <f>[2]หน้าผ้า!DS82</f>
        <v>45903</v>
      </c>
      <c r="AN73" s="3">
        <f>[2]หน้าผ้า!DT82</f>
        <v>45904</v>
      </c>
      <c r="AO73" s="3">
        <f>[2]หน้าผ้า!DU82</f>
        <v>45905</v>
      </c>
      <c r="AP73" s="3">
        <f>[2]หน้าผ้า!DP82</f>
        <v>45901</v>
      </c>
      <c r="AQ73" s="3">
        <f>[2]หน้าผ้า!DW82</f>
        <v>0</v>
      </c>
      <c r="AR73" s="3">
        <f>[2]หน้าผ้า!DX82</f>
        <v>0</v>
      </c>
      <c r="AS73" s="3">
        <f>[2]หน้าผ้า!DY82</f>
        <v>0</v>
      </c>
      <c r="AT73" s="3">
        <f>[2]หน้าผ้า!DZ82</f>
        <v>0</v>
      </c>
      <c r="AU73" s="3">
        <f>[2]หน้าผ้า!EA82</f>
        <v>0</v>
      </c>
      <c r="AV73" s="1">
        <f>[2]หน้าผ้า!EB82</f>
        <v>0</v>
      </c>
      <c r="AW73" s="2" t="str">
        <f>[2]หน้าผ้า!EC82</f>
        <v>งานเคลือบ+พิมพ์</v>
      </c>
      <c r="AX73" s="2" t="str">
        <f>[2]หน้าผ้า!ED82</f>
        <v xml:space="preserve"> /</v>
      </c>
      <c r="AY73" s="2">
        <f>[2]หน้าผ้า!AG82</f>
        <v>0</v>
      </c>
      <c r="AZ73" s="2">
        <f>[2]หน้าผ้า!EG82</f>
        <v>0</v>
      </c>
      <c r="BA73" s="2">
        <f>[2]หน้าผ้า!EH82</f>
        <v>0</v>
      </c>
      <c r="BB73" s="2">
        <f>[2]หน้าผ้า!EI82</f>
        <v>0</v>
      </c>
      <c r="BC73" s="1" t="str">
        <f>[2]หน้าผ้า!BZ82</f>
        <v>WRWT25850/WRWT25850</v>
      </c>
      <c r="BD73" s="56">
        <f>[2]หน้าผ้า!CA82</f>
        <v>0</v>
      </c>
    </row>
    <row r="74" spans="1:56" ht="27.75" customHeight="1" x14ac:dyDescent="0.45">
      <c r="A74" s="3">
        <f>[2]หน้าผ้า!C83</f>
        <v>45902</v>
      </c>
      <c r="B74" s="14" t="str">
        <f>[2]หน้าผ้า!B83</f>
        <v>MK68-001071</v>
      </c>
      <c r="C74" s="9" t="str">
        <f>[2]หน้าผ้า!E83</f>
        <v>บจก.วีซีเอฟ</v>
      </c>
      <c r="D74" s="13" t="str">
        <f>[2]หน้าผ้า!F83</f>
        <v>VC100</v>
      </c>
      <c r="E74" s="9">
        <f>[2]หน้าผ้า!G83</f>
        <v>20</v>
      </c>
      <c r="F74" s="9">
        <f>[2]หน้าผ้า!H83</f>
        <v>37</v>
      </c>
      <c r="G74" s="9" t="str">
        <f>[2]หน้าผ้า!I83</f>
        <v>ขาว</v>
      </c>
      <c r="H74" s="9" t="str">
        <f>[2]หน้าผ้า!J83</f>
        <v>ใส</v>
      </c>
      <c r="I74" s="9">
        <f>[2]หน้าผ้า!L83</f>
        <v>100</v>
      </c>
      <c r="J74" s="9" t="str">
        <f>[2]หน้าผ้า!M83</f>
        <v>±</v>
      </c>
      <c r="K74" s="9">
        <f>[2]หน้าผ้า!N83</f>
        <v>5</v>
      </c>
      <c r="L74" s="9" t="str">
        <f>[2]หน้าผ้า!R83</f>
        <v>บิด</v>
      </c>
      <c r="M74" s="10" t="str">
        <f>[2]หน้าผ้า!T83</f>
        <v>ไม่สวมถุงใน</v>
      </c>
      <c r="N74" s="9">
        <f>[2]หน้าผ้า!U83</f>
        <v>0</v>
      </c>
      <c r="O74" s="9">
        <f>[2]หน้าผ้า!V83</f>
        <v>0</v>
      </c>
      <c r="P74" s="10">
        <f>[2]หน้าผ้า!AB83</f>
        <v>0</v>
      </c>
      <c r="Q74" s="10">
        <f>[2]หน้าผ้า!AC83</f>
        <v>0</v>
      </c>
      <c r="R74" s="10">
        <f>[2]หน้าผ้า!AD83</f>
        <v>0</v>
      </c>
      <c r="S74" s="9" t="str">
        <f>[2]หน้าผ้า!Z83</f>
        <v>500กระสอบแบน</v>
      </c>
      <c r="T74" s="12">
        <f>[2]หน้าผ้า!X83</f>
        <v>45930</v>
      </c>
      <c r="U74" s="11">
        <f>[2]หน้าผ้า!AA83</f>
        <v>20000</v>
      </c>
      <c r="V74" s="10">
        <f>[2]หน้าผ้า!AJ83</f>
        <v>0</v>
      </c>
      <c r="W74" s="10">
        <f>[2]หน้าผ้า!AL83</f>
        <v>20000</v>
      </c>
      <c r="X74" s="10">
        <f>[2]หน้าผ้า!AM83</f>
        <v>0</v>
      </c>
      <c r="Y74" s="10">
        <f>[2]หน้าผ้า!AN83</f>
        <v>21000</v>
      </c>
      <c r="Z74" s="9" t="str">
        <f>[2]หน้าผ้า!AO83</f>
        <v>WSWT2025800SM</v>
      </c>
      <c r="AA74" s="8">
        <f>[2]หน้าผ้า!AQ83</f>
        <v>21513.800000000003</v>
      </c>
      <c r="AB74" s="8">
        <f>[2]หน้าผ้า!AR83</f>
        <v>21513.800000000003</v>
      </c>
      <c r="AC74" s="8">
        <f>[2]หน้าผ้า!AS83</f>
        <v>0</v>
      </c>
      <c r="AD74" s="8">
        <f>[2]หน้าผ้า!AT83</f>
        <v>0</v>
      </c>
      <c r="AE74" s="8">
        <f>[2]หน้าผ้า!AU83</f>
        <v>21513.800000000003</v>
      </c>
      <c r="AF74" s="8">
        <f>[2]หน้าผ้า!AI83</f>
        <v>0</v>
      </c>
      <c r="AG74" s="1" t="str">
        <f>[3]หน้าผ้า!DC86</f>
        <v>ยังไม่ได้พิมพ์</v>
      </c>
      <c r="AH74" s="1" t="str">
        <f>[2]หน้าผ้า!DL83</f>
        <v>P6</v>
      </c>
      <c r="AI74" s="1">
        <f>[2]หน้าผ้า!DM83</f>
        <v>4</v>
      </c>
      <c r="AJ74" s="3">
        <f>[2]หน้าผ้า!DN83</f>
        <v>45930</v>
      </c>
      <c r="AK74" s="3">
        <f>[2]หน้าผ้า!DQ83</f>
        <v>45926</v>
      </c>
      <c r="AL74" s="3">
        <f>[2]หน้าผ้า!DR83</f>
        <v>45919</v>
      </c>
      <c r="AM74" s="3">
        <f>[2]หน้าผ้า!DS83</f>
        <v>45927</v>
      </c>
      <c r="AN74" s="3">
        <f>[2]หน้าผ้า!DT83</f>
        <v>45928</v>
      </c>
      <c r="AO74" s="3">
        <f>[2]หน้าผ้า!DU83</f>
        <v>45929</v>
      </c>
      <c r="AP74" s="3">
        <f>[2]หน้าผ้า!DP83</f>
        <v>45925</v>
      </c>
      <c r="AQ74" s="3">
        <f>[2]หน้าผ้า!DW83</f>
        <v>0</v>
      </c>
      <c r="AR74" s="3">
        <f>[2]หน้าผ้า!DX83</f>
        <v>0</v>
      </c>
      <c r="AS74" s="3">
        <f>[2]หน้าผ้า!DY83</f>
        <v>0</v>
      </c>
      <c r="AT74" s="3">
        <f>[2]หน้าผ้า!DZ83</f>
        <v>0</v>
      </c>
      <c r="AU74" s="3">
        <f>[2]หน้าผ้า!EA83</f>
        <v>0</v>
      </c>
      <c r="AV74" s="1">
        <f>[2]หน้าผ้า!EB83</f>
        <v>0</v>
      </c>
      <c r="AW74" s="2" t="str">
        <f>[2]หน้าผ้า!EC83</f>
        <v>งานเคลือบ+พิมพ์</v>
      </c>
      <c r="AX74" s="2" t="str">
        <f>[2]หน้าผ้า!ED83</f>
        <v xml:space="preserve"> /</v>
      </c>
      <c r="AY74" s="2">
        <f>[2]หน้าผ้า!AG83</f>
        <v>0</v>
      </c>
      <c r="AZ74" s="2">
        <f>[2]หน้าผ้า!EG83</f>
        <v>0</v>
      </c>
      <c r="BA74" s="2">
        <f>[2]หน้าผ้า!EH83</f>
        <v>0</v>
      </c>
      <c r="BB74" s="2">
        <f>[2]หน้าผ้า!EI83</f>
        <v>0</v>
      </c>
      <c r="BC74" s="1" t="str">
        <f>[2]หน้าผ้า!BZ83</f>
        <v>WRWT25850/WRWT25850</v>
      </c>
      <c r="BD74" s="56">
        <f>[2]หน้าผ้า!CA83</f>
        <v>0</v>
      </c>
    </row>
    <row r="75" spans="1:56" ht="27.75" customHeight="1" x14ac:dyDescent="0.45">
      <c r="A75" s="3">
        <f>[2]หน้าผ้า!C84</f>
        <v>45902</v>
      </c>
      <c r="B75" s="14" t="str">
        <f>[2]หน้าผ้า!B84</f>
        <v>MK68-001069</v>
      </c>
      <c r="C75" s="9" t="str">
        <f>[2]หน้าผ้า!E84</f>
        <v>บจก.วีซีเอฟ</v>
      </c>
      <c r="D75" s="13" t="str">
        <f>[2]หน้าผ้า!F84</f>
        <v>VC120</v>
      </c>
      <c r="E75" s="9">
        <f>[2]หน้าผ้า!G84</f>
        <v>20</v>
      </c>
      <c r="F75" s="9">
        <f>[2]หน้าผ้า!H84</f>
        <v>37</v>
      </c>
      <c r="G75" s="9" t="str">
        <f>[2]หน้าผ้า!I84</f>
        <v>ขาว</v>
      </c>
      <c r="H75" s="9" t="str">
        <f>[2]หน้าผ้า!J84</f>
        <v>ใส</v>
      </c>
      <c r="I75" s="9">
        <f>[2]หน้าผ้า!L84</f>
        <v>100</v>
      </c>
      <c r="J75" s="9" t="str">
        <f>[2]หน้าผ้า!M84</f>
        <v>±</v>
      </c>
      <c r="K75" s="9">
        <f>[2]หน้าผ้า!N84</f>
        <v>5</v>
      </c>
      <c r="L75" s="9" t="str">
        <f>[2]หน้าผ้า!R84</f>
        <v>บิด</v>
      </c>
      <c r="M75" s="10" t="str">
        <f>[2]หน้าผ้า!T84</f>
        <v>ไม่สวมถุงใน</v>
      </c>
      <c r="N75" s="9">
        <f>[2]หน้าผ้า!U84</f>
        <v>0</v>
      </c>
      <c r="O75" s="9">
        <f>[2]หน้าผ้า!V84</f>
        <v>0</v>
      </c>
      <c r="P75" s="10">
        <f>[2]หน้าผ้า!AB84</f>
        <v>0</v>
      </c>
      <c r="Q75" s="10">
        <f>[2]หน้าผ้า!AC84</f>
        <v>0</v>
      </c>
      <c r="R75" s="10">
        <f>[2]หน้าผ้า!AD84</f>
        <v>0</v>
      </c>
      <c r="S75" s="9" t="str">
        <f>[2]หน้าผ้า!Z84</f>
        <v>500กระสอบแบน</v>
      </c>
      <c r="T75" s="12">
        <f>[2]หน้าผ้า!X84</f>
        <v>45930</v>
      </c>
      <c r="U75" s="11">
        <f>[2]หน้าผ้า!AA84</f>
        <v>20000</v>
      </c>
      <c r="V75" s="10">
        <f>[2]หน้าผ้า!AJ84</f>
        <v>0</v>
      </c>
      <c r="W75" s="10">
        <f>[2]หน้าผ้า!AL84</f>
        <v>20000</v>
      </c>
      <c r="X75" s="10">
        <f>[2]หน้าผ้า!AM84</f>
        <v>0</v>
      </c>
      <c r="Y75" s="10">
        <f>[2]หน้าผ้า!AN84</f>
        <v>21000</v>
      </c>
      <c r="Z75" s="9" t="str">
        <f>[2]หน้าผ้า!AO84</f>
        <v>WSWT2025800SM</v>
      </c>
      <c r="AA75" s="8">
        <f>[2]หน้าผ้า!AQ84</f>
        <v>21513.800000000003</v>
      </c>
      <c r="AB75" s="8">
        <f>[2]หน้าผ้า!AR84</f>
        <v>21513.800000000003</v>
      </c>
      <c r="AC75" s="8">
        <f>[2]หน้าผ้า!AS84</f>
        <v>0</v>
      </c>
      <c r="AD75" s="8">
        <f>[2]หน้าผ้า!AT84</f>
        <v>0</v>
      </c>
      <c r="AE75" s="8">
        <f>[2]หน้าผ้า!AU84</f>
        <v>21513.800000000003</v>
      </c>
      <c r="AF75" s="8">
        <f>[2]หน้าผ้า!AI84</f>
        <v>0</v>
      </c>
      <c r="AG75" s="1" t="str">
        <f>[3]หน้าผ้า!DC87</f>
        <v>ยังไม่ได้พิมพ์</v>
      </c>
      <c r="AH75" s="1" t="str">
        <f>[2]หน้าผ้า!DL84</f>
        <v>P6</v>
      </c>
      <c r="AI75" s="1">
        <f>[2]หน้าผ้า!DM84</f>
        <v>4</v>
      </c>
      <c r="AJ75" s="3">
        <f>[2]หน้าผ้า!DN84</f>
        <v>45930</v>
      </c>
      <c r="AK75" s="3">
        <f>[2]หน้าผ้า!DQ84</f>
        <v>45926</v>
      </c>
      <c r="AL75" s="3">
        <f>[2]หน้าผ้า!DR84</f>
        <v>45919</v>
      </c>
      <c r="AM75" s="3">
        <f>[2]หน้าผ้า!DS84</f>
        <v>45927</v>
      </c>
      <c r="AN75" s="3">
        <f>[2]หน้าผ้า!DT84</f>
        <v>45928</v>
      </c>
      <c r="AO75" s="3">
        <f>[2]หน้าผ้า!DU84</f>
        <v>45929</v>
      </c>
      <c r="AP75" s="3">
        <f>[2]หน้าผ้า!DP84</f>
        <v>45925</v>
      </c>
      <c r="AQ75" s="3">
        <f>[2]หน้าผ้า!DW84</f>
        <v>0</v>
      </c>
      <c r="AR75" s="3">
        <f>[2]หน้าผ้า!DX84</f>
        <v>0</v>
      </c>
      <c r="AS75" s="3">
        <f>[2]หน้าผ้า!DY84</f>
        <v>0</v>
      </c>
      <c r="AT75" s="3">
        <f>[2]หน้าผ้า!DZ84</f>
        <v>0</v>
      </c>
      <c r="AU75" s="3">
        <f>[2]หน้าผ้า!EA84</f>
        <v>0</v>
      </c>
      <c r="AV75" s="1">
        <f>[2]หน้าผ้า!EB84</f>
        <v>0</v>
      </c>
      <c r="AW75" s="2" t="str">
        <f>[2]หน้าผ้า!EC84</f>
        <v>งานเคลือบ+พิมพ์</v>
      </c>
      <c r="AX75" s="2" t="str">
        <f>[2]หน้าผ้า!ED84</f>
        <v xml:space="preserve"> /</v>
      </c>
      <c r="AY75" s="2">
        <f>[2]หน้าผ้า!AG84</f>
        <v>0</v>
      </c>
      <c r="AZ75" s="2">
        <f>[2]หน้าผ้า!EG84</f>
        <v>0</v>
      </c>
      <c r="BA75" s="2">
        <f>[2]หน้าผ้า!EH84</f>
        <v>0</v>
      </c>
      <c r="BB75" s="2">
        <f>[2]หน้าผ้า!EI84</f>
        <v>0</v>
      </c>
      <c r="BC75" s="1" t="str">
        <f>[2]หน้าผ้า!BZ84</f>
        <v>WRWT25850/WRWT25850</v>
      </c>
      <c r="BD75" s="56">
        <f>[2]หน้าผ้า!CA84</f>
        <v>0</v>
      </c>
    </row>
    <row r="76" spans="1:56" ht="27.75" customHeight="1" x14ac:dyDescent="0.45">
      <c r="A76" s="3">
        <f>[2]หน้าผ้า!C85</f>
        <v>45902</v>
      </c>
      <c r="B76" s="14" t="str">
        <f>[2]หน้าผ้า!B85</f>
        <v>MK68-001071</v>
      </c>
      <c r="C76" s="9" t="str">
        <f>[2]หน้าผ้า!E85</f>
        <v>บจก.วีซีเอฟ</v>
      </c>
      <c r="D76" s="13" t="str">
        <f>[2]หน้าผ้า!F85</f>
        <v>VC181</v>
      </c>
      <c r="E76" s="9">
        <f>[2]หน้าผ้า!G85</f>
        <v>20</v>
      </c>
      <c r="F76" s="9">
        <f>[2]หน้าผ้า!H85</f>
        <v>37</v>
      </c>
      <c r="G76" s="9" t="str">
        <f>[2]หน้าผ้า!I85</f>
        <v>ขาว</v>
      </c>
      <c r="H76" s="9" t="str">
        <f>[2]หน้าผ้า!J85</f>
        <v>ใส</v>
      </c>
      <c r="I76" s="9">
        <f>[2]หน้าผ้า!L85</f>
        <v>100</v>
      </c>
      <c r="J76" s="9" t="str">
        <f>[2]หน้าผ้า!M85</f>
        <v>±</v>
      </c>
      <c r="K76" s="9">
        <f>[2]หน้าผ้า!N85</f>
        <v>5</v>
      </c>
      <c r="L76" s="9" t="str">
        <f>[2]หน้าผ้า!R85</f>
        <v>บิด</v>
      </c>
      <c r="M76" s="10" t="str">
        <f>[2]หน้าผ้า!T85</f>
        <v>ไม่สวมถุงใน</v>
      </c>
      <c r="N76" s="9">
        <f>[2]หน้าผ้า!U85</f>
        <v>0</v>
      </c>
      <c r="O76" s="9">
        <f>[2]หน้าผ้า!V85</f>
        <v>0</v>
      </c>
      <c r="P76" s="10">
        <f>[2]หน้าผ้า!AB85</f>
        <v>0</v>
      </c>
      <c r="Q76" s="10">
        <f>[2]หน้าผ้า!AC85</f>
        <v>0</v>
      </c>
      <c r="R76" s="10">
        <f>[2]หน้าผ้า!AD85</f>
        <v>0</v>
      </c>
      <c r="S76" s="9" t="str">
        <f>[2]หน้าผ้า!Z85</f>
        <v>500กระสอบแบน</v>
      </c>
      <c r="T76" s="12">
        <f>[2]หน้าผ้า!X85</f>
        <v>45930</v>
      </c>
      <c r="U76" s="11">
        <f>[2]หน้าผ้า!AA85</f>
        <v>20000</v>
      </c>
      <c r="V76" s="10">
        <f>[2]หน้าผ้า!AJ85</f>
        <v>0</v>
      </c>
      <c r="W76" s="10">
        <f>[2]หน้าผ้า!AL85</f>
        <v>20000</v>
      </c>
      <c r="X76" s="10">
        <f>[2]หน้าผ้า!AM85</f>
        <v>0</v>
      </c>
      <c r="Y76" s="10">
        <f>[2]หน้าผ้า!AN85</f>
        <v>21000</v>
      </c>
      <c r="Z76" s="9" t="str">
        <f>[2]หน้าผ้า!AO85</f>
        <v>WSWT2025800SM</v>
      </c>
      <c r="AA76" s="8">
        <f>[2]หน้าผ้า!AQ85</f>
        <v>21513.800000000003</v>
      </c>
      <c r="AB76" s="8">
        <f>[2]หน้าผ้า!AR85</f>
        <v>21513.800000000003</v>
      </c>
      <c r="AC76" s="8">
        <f>[2]หน้าผ้า!AS85</f>
        <v>0</v>
      </c>
      <c r="AD76" s="8">
        <f>[2]หน้าผ้า!AT85</f>
        <v>0</v>
      </c>
      <c r="AE76" s="8">
        <f>[2]หน้าผ้า!AU85</f>
        <v>21513.800000000003</v>
      </c>
      <c r="AF76" s="8">
        <f>[2]หน้าผ้า!AI85</f>
        <v>0</v>
      </c>
      <c r="AG76" s="1" t="str">
        <f>[3]หน้าผ้า!DC88</f>
        <v>ยังไม่ได้พิมพ์</v>
      </c>
      <c r="AH76" s="1" t="str">
        <f>[2]หน้าผ้า!DL85</f>
        <v>P6</v>
      </c>
      <c r="AI76" s="1">
        <f>[2]หน้าผ้า!DM85</f>
        <v>4</v>
      </c>
      <c r="AJ76" s="3">
        <f>[2]หน้าผ้า!DN85</f>
        <v>45930</v>
      </c>
      <c r="AK76" s="3">
        <f>[2]หน้าผ้า!DQ85</f>
        <v>45926</v>
      </c>
      <c r="AL76" s="3">
        <f>[2]หน้าผ้า!DR85</f>
        <v>45919</v>
      </c>
      <c r="AM76" s="3">
        <f>[2]หน้าผ้า!DS85</f>
        <v>45927</v>
      </c>
      <c r="AN76" s="3">
        <f>[2]หน้าผ้า!DT85</f>
        <v>45928</v>
      </c>
      <c r="AO76" s="3">
        <f>[2]หน้าผ้า!DU85</f>
        <v>45929</v>
      </c>
      <c r="AP76" s="3">
        <f>[2]หน้าผ้า!DP85</f>
        <v>45925</v>
      </c>
      <c r="AQ76" s="3">
        <f>[2]หน้าผ้า!DW85</f>
        <v>0</v>
      </c>
      <c r="AR76" s="3">
        <f>[2]หน้าผ้า!DX85</f>
        <v>0</v>
      </c>
      <c r="AS76" s="3">
        <f>[2]หน้าผ้า!DY85</f>
        <v>0</v>
      </c>
      <c r="AT76" s="3">
        <f>[2]หน้าผ้า!DZ85</f>
        <v>0</v>
      </c>
      <c r="AU76" s="3">
        <f>[2]หน้าผ้า!EA85</f>
        <v>0</v>
      </c>
      <c r="AV76" s="1">
        <f>[2]หน้าผ้า!EB85</f>
        <v>0</v>
      </c>
      <c r="AW76" s="2" t="str">
        <f>[2]หน้าผ้า!EC85</f>
        <v>งานเคลือบ+พิมพ์</v>
      </c>
      <c r="AX76" s="2" t="str">
        <f>[2]หน้าผ้า!ED85</f>
        <v xml:space="preserve"> /</v>
      </c>
      <c r="AY76" s="2">
        <f>[2]หน้าผ้า!AG85</f>
        <v>0</v>
      </c>
      <c r="AZ76" s="2">
        <f>[2]หน้าผ้า!EG85</f>
        <v>0</v>
      </c>
      <c r="BA76" s="2">
        <f>[2]หน้าผ้า!EH85</f>
        <v>0</v>
      </c>
      <c r="BB76" s="2">
        <f>[2]หน้าผ้า!EI85</f>
        <v>0</v>
      </c>
      <c r="BC76" s="1" t="str">
        <f>[2]หน้าผ้า!BZ85</f>
        <v>WRWT25850/WRWT25850</v>
      </c>
      <c r="BD76" s="56">
        <f>[2]หน้าผ้า!CA85</f>
        <v>0</v>
      </c>
    </row>
    <row r="77" spans="1:56" ht="27.75" customHeight="1" x14ac:dyDescent="0.45">
      <c r="A77" s="3">
        <f>[2]หน้าผ้า!C86</f>
        <v>45902</v>
      </c>
      <c r="B77" s="14" t="str">
        <f>[2]หน้าผ้า!B86</f>
        <v>MK68-001071</v>
      </c>
      <c r="C77" s="9" t="str">
        <f>[2]หน้าผ้า!E86</f>
        <v>บจก.วีซีเอฟ</v>
      </c>
      <c r="D77" s="13" t="str">
        <f>[2]หน้าผ้า!F86</f>
        <v>VC108</v>
      </c>
      <c r="E77" s="9">
        <f>[2]หน้าผ้า!G86</f>
        <v>20</v>
      </c>
      <c r="F77" s="9">
        <f>[2]หน้าผ้า!H86</f>
        <v>37</v>
      </c>
      <c r="G77" s="9" t="str">
        <f>[2]หน้าผ้า!I86</f>
        <v>ขาว</v>
      </c>
      <c r="H77" s="9" t="str">
        <f>[2]หน้าผ้า!J86</f>
        <v>ใส</v>
      </c>
      <c r="I77" s="9">
        <f>[2]หน้าผ้า!L86</f>
        <v>100</v>
      </c>
      <c r="J77" s="9" t="str">
        <f>[2]หน้าผ้า!M86</f>
        <v>±</v>
      </c>
      <c r="K77" s="9">
        <f>[2]หน้าผ้า!N86</f>
        <v>5</v>
      </c>
      <c r="L77" s="9" t="str">
        <f>[2]หน้าผ้า!R86</f>
        <v>บิด</v>
      </c>
      <c r="M77" s="10" t="str">
        <f>[2]หน้าผ้า!T86</f>
        <v>ไม่สวมถุงใน</v>
      </c>
      <c r="N77" s="9">
        <f>[2]หน้าผ้า!U86</f>
        <v>0</v>
      </c>
      <c r="O77" s="9">
        <f>[2]หน้าผ้า!V86</f>
        <v>0</v>
      </c>
      <c r="P77" s="10">
        <f>[2]หน้าผ้า!AB86</f>
        <v>0</v>
      </c>
      <c r="Q77" s="10">
        <f>[2]หน้าผ้า!AC86</f>
        <v>0</v>
      </c>
      <c r="R77" s="10">
        <f>[2]หน้าผ้า!AD86</f>
        <v>0</v>
      </c>
      <c r="S77" s="9" t="str">
        <f>[2]หน้าผ้า!Z86</f>
        <v>500กระสอบแบน</v>
      </c>
      <c r="T77" s="12">
        <f>[2]หน้าผ้า!X86</f>
        <v>45930</v>
      </c>
      <c r="U77" s="11">
        <f>[2]หน้าผ้า!AA86</f>
        <v>10000</v>
      </c>
      <c r="V77" s="10">
        <f>[2]หน้าผ้า!AJ86</f>
        <v>0</v>
      </c>
      <c r="W77" s="10">
        <f>[2]หน้าผ้า!AL86</f>
        <v>10000</v>
      </c>
      <c r="X77" s="10">
        <f>[2]หน้าผ้า!AM86</f>
        <v>0</v>
      </c>
      <c r="Y77" s="10">
        <f>[2]หน้าผ้า!AN86</f>
        <v>10500</v>
      </c>
      <c r="Z77" s="9" t="str">
        <f>[2]หน้าผ้า!AO86</f>
        <v>WSWT2025800SM</v>
      </c>
      <c r="AA77" s="8">
        <f>[2]หน้าผ้า!AQ86</f>
        <v>10756.900000000001</v>
      </c>
      <c r="AB77" s="8">
        <f>[2]หน้าผ้า!AR86</f>
        <v>10756.900000000001</v>
      </c>
      <c r="AC77" s="8">
        <f>[2]หน้าผ้า!AS86</f>
        <v>0</v>
      </c>
      <c r="AD77" s="8">
        <f>[2]หน้าผ้า!AT86</f>
        <v>0</v>
      </c>
      <c r="AE77" s="8">
        <f>[2]หน้าผ้า!AU86</f>
        <v>10756.900000000001</v>
      </c>
      <c r="AF77" s="8">
        <f>[2]หน้าผ้า!AI86</f>
        <v>0</v>
      </c>
      <c r="AG77" s="1" t="str">
        <f>[3]หน้าผ้า!DC89</f>
        <v>ยังไม่ได้พิมพ์</v>
      </c>
      <c r="AH77" s="1" t="str">
        <f>[2]หน้าผ้า!DL86</f>
        <v>P6</v>
      </c>
      <c r="AI77" s="1">
        <f>[2]หน้าผ้า!DM86</f>
        <v>4</v>
      </c>
      <c r="AJ77" s="3">
        <f>[2]หน้าผ้า!DN86</f>
        <v>45930</v>
      </c>
      <c r="AK77" s="3">
        <f>[2]หน้าผ้า!DQ86</f>
        <v>45926</v>
      </c>
      <c r="AL77" s="3">
        <f>[2]หน้าผ้า!DR86</f>
        <v>45919</v>
      </c>
      <c r="AM77" s="3">
        <f>[2]หน้าผ้า!DS86</f>
        <v>45927</v>
      </c>
      <c r="AN77" s="3">
        <f>[2]หน้าผ้า!DT86</f>
        <v>45928</v>
      </c>
      <c r="AO77" s="3">
        <f>[2]หน้าผ้า!DU86</f>
        <v>45929</v>
      </c>
      <c r="AP77" s="3">
        <f>[2]หน้าผ้า!DP86</f>
        <v>45925</v>
      </c>
      <c r="AQ77" s="3">
        <f>[2]หน้าผ้า!DW86</f>
        <v>0</v>
      </c>
      <c r="AR77" s="3">
        <f>[2]หน้าผ้า!DX86</f>
        <v>0</v>
      </c>
      <c r="AS77" s="3">
        <f>[2]หน้าผ้า!DY86</f>
        <v>0</v>
      </c>
      <c r="AT77" s="3">
        <f>[2]หน้าผ้า!DZ86</f>
        <v>0</v>
      </c>
      <c r="AU77" s="3">
        <f>[2]หน้าผ้า!EA86</f>
        <v>0</v>
      </c>
      <c r="AV77" s="1">
        <f>[2]หน้าผ้า!EB86</f>
        <v>0</v>
      </c>
      <c r="AW77" s="2" t="str">
        <f>[2]หน้าผ้า!EC86</f>
        <v>งานเคลือบ+พิมพ์</v>
      </c>
      <c r="AX77" s="2" t="str">
        <f>[2]หน้าผ้า!ED86</f>
        <v xml:space="preserve"> /</v>
      </c>
      <c r="AY77" s="2">
        <f>[2]หน้าผ้า!AG86</f>
        <v>0</v>
      </c>
      <c r="AZ77" s="2">
        <f>[2]หน้าผ้า!EG86</f>
        <v>0</v>
      </c>
      <c r="BA77" s="2">
        <f>[2]หน้าผ้า!EH86</f>
        <v>0</v>
      </c>
      <c r="BB77" s="2">
        <f>[2]หน้าผ้า!EI86</f>
        <v>0</v>
      </c>
      <c r="BC77" s="1" t="str">
        <f>[2]หน้าผ้า!BZ86</f>
        <v>WRWT25850/WRWT25850</v>
      </c>
      <c r="BD77" s="56">
        <f>[2]หน้าผ้า!CA86</f>
        <v>0</v>
      </c>
    </row>
    <row r="78" spans="1:56" ht="27.75" customHeight="1" x14ac:dyDescent="0.45">
      <c r="A78" s="3">
        <f>[2]หน้าผ้า!C87</f>
        <v>45902</v>
      </c>
      <c r="B78" s="14" t="str">
        <f>[2]หน้าผ้า!B87</f>
        <v>MK68-001069</v>
      </c>
      <c r="C78" s="9" t="str">
        <f>[2]หน้าผ้า!E87</f>
        <v>บจก.วีซีเอฟ</v>
      </c>
      <c r="D78" s="13" t="str">
        <f>[2]หน้าผ้า!F87</f>
        <v>VC193</v>
      </c>
      <c r="E78" s="9">
        <f>[2]หน้าผ้า!G87</f>
        <v>20</v>
      </c>
      <c r="F78" s="9">
        <f>[2]หน้าผ้า!H87</f>
        <v>37</v>
      </c>
      <c r="G78" s="9" t="str">
        <f>[2]หน้าผ้า!I87</f>
        <v>ขาว</v>
      </c>
      <c r="H78" s="9" t="str">
        <f>[2]หน้าผ้า!J87</f>
        <v>ใส</v>
      </c>
      <c r="I78" s="9">
        <f>[2]หน้าผ้า!L87</f>
        <v>100</v>
      </c>
      <c r="J78" s="9" t="str">
        <f>[2]หน้าผ้า!M87</f>
        <v>±</v>
      </c>
      <c r="K78" s="9">
        <f>[2]หน้าผ้า!N87</f>
        <v>5</v>
      </c>
      <c r="L78" s="9" t="str">
        <f>[2]หน้าผ้า!R87</f>
        <v>บิด</v>
      </c>
      <c r="M78" s="10" t="str">
        <f>[2]หน้าผ้า!T87</f>
        <v>ไม่สวมถุงใน</v>
      </c>
      <c r="N78" s="9">
        <f>[2]หน้าผ้า!U87</f>
        <v>0</v>
      </c>
      <c r="O78" s="9">
        <f>[2]หน้าผ้า!V87</f>
        <v>0</v>
      </c>
      <c r="P78" s="10">
        <f>[2]หน้าผ้า!AB87</f>
        <v>0</v>
      </c>
      <c r="Q78" s="10">
        <f>[2]หน้าผ้า!AC87</f>
        <v>0</v>
      </c>
      <c r="R78" s="10">
        <f>[2]หน้าผ้า!AD87</f>
        <v>0</v>
      </c>
      <c r="S78" s="9" t="str">
        <f>[2]หน้าผ้า!Z87</f>
        <v>500กระสอบแบน</v>
      </c>
      <c r="T78" s="12">
        <f>[2]หน้าผ้า!X87</f>
        <v>45930</v>
      </c>
      <c r="U78" s="11">
        <f>[2]หน้าผ้า!AA87</f>
        <v>10000</v>
      </c>
      <c r="V78" s="10">
        <f>[2]หน้าผ้า!AJ87</f>
        <v>0</v>
      </c>
      <c r="W78" s="10">
        <f>[2]หน้าผ้า!AL87</f>
        <v>10000</v>
      </c>
      <c r="X78" s="10">
        <f>[2]หน้าผ้า!AM87</f>
        <v>0</v>
      </c>
      <c r="Y78" s="10">
        <f>[2]หน้าผ้า!AN87</f>
        <v>10500</v>
      </c>
      <c r="Z78" s="9" t="str">
        <f>[2]หน้าผ้า!AO87</f>
        <v>WSWT2025800SM</v>
      </c>
      <c r="AA78" s="8">
        <f>[2]หน้าผ้า!AQ87</f>
        <v>10756.900000000001</v>
      </c>
      <c r="AB78" s="8">
        <f>[2]หน้าผ้า!AR87</f>
        <v>10756.900000000001</v>
      </c>
      <c r="AC78" s="8">
        <f>[2]หน้าผ้า!AS87</f>
        <v>0</v>
      </c>
      <c r="AD78" s="8">
        <f>[2]หน้าผ้า!AT87</f>
        <v>0</v>
      </c>
      <c r="AE78" s="8">
        <f>[2]หน้าผ้า!AU87</f>
        <v>10756.900000000001</v>
      </c>
      <c r="AF78" s="8">
        <f>[2]หน้าผ้า!AI87</f>
        <v>0</v>
      </c>
      <c r="AG78" s="1" t="str">
        <f>[3]หน้าผ้า!DC90</f>
        <v>ยังไม่ได้พิมพ์</v>
      </c>
      <c r="AH78" s="1" t="str">
        <f>[2]หน้าผ้า!DL87</f>
        <v>P6</v>
      </c>
      <c r="AI78" s="1">
        <f>[2]หน้าผ้า!DM87</f>
        <v>4</v>
      </c>
      <c r="AJ78" s="3">
        <f>[2]หน้าผ้า!DN87</f>
        <v>45930</v>
      </c>
      <c r="AK78" s="3">
        <f>[2]หน้าผ้า!DQ87</f>
        <v>45926</v>
      </c>
      <c r="AL78" s="3">
        <f>[2]หน้าผ้า!DR87</f>
        <v>45919</v>
      </c>
      <c r="AM78" s="3">
        <f>[2]หน้าผ้า!DS87</f>
        <v>45927</v>
      </c>
      <c r="AN78" s="3">
        <f>[2]หน้าผ้า!DT87</f>
        <v>45928</v>
      </c>
      <c r="AO78" s="3">
        <f>[2]หน้าผ้า!DU87</f>
        <v>45929</v>
      </c>
      <c r="AP78" s="3">
        <f>[2]หน้าผ้า!DP87</f>
        <v>45925</v>
      </c>
      <c r="AQ78" s="3">
        <f>[2]หน้าผ้า!DW87</f>
        <v>0</v>
      </c>
      <c r="AR78" s="3">
        <f>[2]หน้าผ้า!DX87</f>
        <v>0</v>
      </c>
      <c r="AS78" s="3">
        <f>[2]หน้าผ้า!DY87</f>
        <v>0</v>
      </c>
      <c r="AT78" s="3">
        <f>[2]หน้าผ้า!DZ87</f>
        <v>0</v>
      </c>
      <c r="AU78" s="3">
        <f>[2]หน้าผ้า!EA87</f>
        <v>0</v>
      </c>
      <c r="AV78" s="1">
        <f>[2]หน้าผ้า!EB87</f>
        <v>0</v>
      </c>
      <c r="AW78" s="2" t="str">
        <f>[2]หน้าผ้า!EC87</f>
        <v>งานเคลือบ+พิมพ์</v>
      </c>
      <c r="AX78" s="2" t="str">
        <f>[2]หน้าผ้า!ED87</f>
        <v xml:space="preserve"> /</v>
      </c>
      <c r="AY78" s="2">
        <f>[2]หน้าผ้า!AG87</f>
        <v>0</v>
      </c>
      <c r="AZ78" s="2">
        <f>[2]หน้าผ้า!EG87</f>
        <v>0</v>
      </c>
      <c r="BA78" s="2">
        <f>[2]หน้าผ้า!EH87</f>
        <v>0</v>
      </c>
      <c r="BB78" s="2">
        <f>[2]หน้าผ้า!EI87</f>
        <v>0</v>
      </c>
      <c r="BC78" s="1" t="str">
        <f>[2]หน้าผ้า!BZ87</f>
        <v>WRWT25850/WRWT25850</v>
      </c>
      <c r="BD78" s="56">
        <f>[2]หน้าผ้า!CA87</f>
        <v>0</v>
      </c>
    </row>
    <row r="79" spans="1:56" ht="27.75" customHeight="1" x14ac:dyDescent="0.45">
      <c r="A79" s="3">
        <f>[2]หน้าผ้า!C88</f>
        <v>45902</v>
      </c>
      <c r="B79" s="14" t="str">
        <f>[2]หน้าผ้า!B88</f>
        <v>MK68-001070</v>
      </c>
      <c r="C79" s="9" t="str">
        <f>[2]หน้าผ้า!E88</f>
        <v>บจก.วีซีเอฟ</v>
      </c>
      <c r="D79" s="13" t="str">
        <f>[2]หน้าผ้า!F88</f>
        <v>JET555</v>
      </c>
      <c r="E79" s="9">
        <f>[2]หน้าผ้า!G88</f>
        <v>20</v>
      </c>
      <c r="F79" s="9">
        <f>[2]หน้าผ้า!H88</f>
        <v>37</v>
      </c>
      <c r="G79" s="9" t="str">
        <f>[2]หน้าผ้า!I88</f>
        <v>ขาว</v>
      </c>
      <c r="H79" s="9" t="str">
        <f>[2]หน้าผ้า!J88</f>
        <v>ใส</v>
      </c>
      <c r="I79" s="9">
        <f>[2]หน้าผ้า!L88</f>
        <v>100</v>
      </c>
      <c r="J79" s="9" t="str">
        <f>[2]หน้าผ้า!M88</f>
        <v>±</v>
      </c>
      <c r="K79" s="9">
        <f>[2]หน้าผ้า!N88</f>
        <v>5</v>
      </c>
      <c r="L79" s="9" t="str">
        <f>[2]หน้าผ้า!R88</f>
        <v>บิด</v>
      </c>
      <c r="M79" s="10" t="str">
        <f>[2]หน้าผ้า!T88</f>
        <v>ไม่สวมถุงใน</v>
      </c>
      <c r="N79" s="9">
        <f>[2]หน้าผ้า!U88</f>
        <v>0</v>
      </c>
      <c r="O79" s="9">
        <f>[2]หน้าผ้า!V88</f>
        <v>0</v>
      </c>
      <c r="P79" s="10">
        <f>[2]หน้าผ้า!AB88</f>
        <v>0</v>
      </c>
      <c r="Q79" s="10">
        <f>[2]หน้าผ้า!AC88</f>
        <v>0</v>
      </c>
      <c r="R79" s="10">
        <f>[2]หน้าผ้า!AD88</f>
        <v>0</v>
      </c>
      <c r="S79" s="9" t="str">
        <f>[2]หน้าผ้า!Z88</f>
        <v>500กระสอบแบน</v>
      </c>
      <c r="T79" s="12">
        <f>[2]หน้าผ้า!X88</f>
        <v>45930</v>
      </c>
      <c r="U79" s="11">
        <f>[2]หน้าผ้า!AA88</f>
        <v>10000</v>
      </c>
      <c r="V79" s="10">
        <f>[2]หน้าผ้า!AJ88</f>
        <v>0</v>
      </c>
      <c r="W79" s="10">
        <f>[2]หน้าผ้า!AL88</f>
        <v>10000</v>
      </c>
      <c r="X79" s="10">
        <f>[2]หน้าผ้า!AM88</f>
        <v>0</v>
      </c>
      <c r="Y79" s="10">
        <f>[2]หน้าผ้า!AN88</f>
        <v>10500</v>
      </c>
      <c r="Z79" s="9" t="str">
        <f>[2]หน้าผ้า!AO88</f>
        <v>WSWT2025800SM</v>
      </c>
      <c r="AA79" s="8">
        <f>[2]หน้าผ้า!AQ88</f>
        <v>10756.900000000001</v>
      </c>
      <c r="AB79" s="8">
        <f>[2]หน้าผ้า!AR88</f>
        <v>5732</v>
      </c>
      <c r="AC79" s="8">
        <f>[2]หน้าผ้า!AS88</f>
        <v>5024.9000000000015</v>
      </c>
      <c r="AD79" s="8">
        <f>[2]หน้าผ้า!AT88</f>
        <v>0</v>
      </c>
      <c r="AE79" s="8">
        <f>[2]หน้าผ้า!AU88</f>
        <v>10756.900000000001</v>
      </c>
      <c r="AF79" s="8">
        <f>[2]หน้าผ้า!AI88</f>
        <v>0</v>
      </c>
      <c r="AG79" s="1" t="str">
        <f>[3]หน้าผ้า!DC91</f>
        <v>รอตัด</v>
      </c>
      <c r="AH79" s="1" t="str">
        <f>[2]หน้าผ้า!DL88</f>
        <v>P6</v>
      </c>
      <c r="AI79" s="1">
        <f>[2]หน้าผ้า!DM88</f>
        <v>4</v>
      </c>
      <c r="AJ79" s="3">
        <f>[2]หน้าผ้า!DN88</f>
        <v>45930</v>
      </c>
      <c r="AK79" s="3">
        <f>[2]หน้าผ้า!DQ88</f>
        <v>45926</v>
      </c>
      <c r="AL79" s="3">
        <f>[2]หน้าผ้า!DR88</f>
        <v>45919</v>
      </c>
      <c r="AM79" s="3">
        <f>[2]หน้าผ้า!DS88</f>
        <v>45927</v>
      </c>
      <c r="AN79" s="3">
        <f>[2]หน้าผ้า!DT88</f>
        <v>45928</v>
      </c>
      <c r="AO79" s="3">
        <f>[2]หน้าผ้า!DU88</f>
        <v>45929</v>
      </c>
      <c r="AP79" s="3">
        <f>[2]หน้าผ้า!DP88</f>
        <v>45925</v>
      </c>
      <c r="AQ79" s="3">
        <f>[2]หน้าผ้า!DW88</f>
        <v>0</v>
      </c>
      <c r="AR79" s="3">
        <f>[2]หน้าผ้า!DX88</f>
        <v>0</v>
      </c>
      <c r="AS79" s="3">
        <f>[2]หน้าผ้า!DY88</f>
        <v>0</v>
      </c>
      <c r="AT79" s="3">
        <f>[2]หน้าผ้า!DZ88</f>
        <v>0</v>
      </c>
      <c r="AU79" s="3">
        <f>[2]หน้าผ้า!EA88</f>
        <v>0</v>
      </c>
      <c r="AV79" s="1">
        <f>[2]หน้าผ้า!EB88</f>
        <v>0</v>
      </c>
      <c r="AW79" s="2" t="str">
        <f>[2]หน้าผ้า!EC88</f>
        <v>งานเคลือบ+พิมพ์</v>
      </c>
      <c r="AX79" s="2" t="str">
        <f>[2]หน้าผ้า!ED88</f>
        <v xml:space="preserve"> /</v>
      </c>
      <c r="AY79" s="2">
        <f>[2]หน้าผ้า!AG88</f>
        <v>0</v>
      </c>
      <c r="AZ79" s="2">
        <f>[2]หน้าผ้า!EG88</f>
        <v>0</v>
      </c>
      <c r="BA79" s="2">
        <f>[2]หน้าผ้า!EH88</f>
        <v>0</v>
      </c>
      <c r="BB79" s="2">
        <f>[2]หน้าผ้า!EI88</f>
        <v>0</v>
      </c>
      <c r="BC79" s="1" t="str">
        <f>[2]หน้าผ้า!BZ88</f>
        <v>WRWT25850/WRWT25850</v>
      </c>
      <c r="BD79" s="56">
        <f>[2]หน้าผ้า!CA88</f>
        <v>379.6591111111112</v>
      </c>
    </row>
    <row r="80" spans="1:56" ht="27.75" customHeight="1" x14ac:dyDescent="0.45">
      <c r="A80" s="3">
        <f>[2]หน้าผ้า!C89</f>
        <v>45902</v>
      </c>
      <c r="B80" s="14" t="str">
        <f>[2]หน้าผ้า!B89</f>
        <v>MK68-001070</v>
      </c>
      <c r="C80" s="9" t="str">
        <f>[2]หน้าผ้า!E89</f>
        <v>บจก.วีซีเอฟ</v>
      </c>
      <c r="D80" s="13" t="str">
        <f>[2]หน้าผ้า!F89</f>
        <v>ไลด์ฟีด 405</v>
      </c>
      <c r="E80" s="9">
        <f>[2]หน้าผ้า!G89</f>
        <v>20</v>
      </c>
      <c r="F80" s="9">
        <f>[2]หน้าผ้า!H89</f>
        <v>37</v>
      </c>
      <c r="G80" s="9" t="str">
        <f>[2]หน้าผ้า!I89</f>
        <v>ขาว</v>
      </c>
      <c r="H80" s="9" t="str">
        <f>[2]หน้าผ้า!J89</f>
        <v>ใส</v>
      </c>
      <c r="I80" s="9">
        <f>[2]หน้าผ้า!L89</f>
        <v>100</v>
      </c>
      <c r="J80" s="9" t="str">
        <f>[2]หน้าผ้า!M89</f>
        <v>±</v>
      </c>
      <c r="K80" s="9">
        <f>[2]หน้าผ้า!N89</f>
        <v>5</v>
      </c>
      <c r="L80" s="9" t="str">
        <f>[2]หน้าผ้า!R89</f>
        <v>บิด</v>
      </c>
      <c r="M80" s="10" t="str">
        <f>[2]หน้าผ้า!T89</f>
        <v>ไม่สวมถุงใน</v>
      </c>
      <c r="N80" s="9">
        <f>[2]หน้าผ้า!U89</f>
        <v>0</v>
      </c>
      <c r="O80" s="9">
        <f>[2]หน้าผ้า!V89</f>
        <v>0</v>
      </c>
      <c r="P80" s="10">
        <f>[2]หน้าผ้า!AB89</f>
        <v>0</v>
      </c>
      <c r="Q80" s="10">
        <f>[2]หน้าผ้า!AC89</f>
        <v>0</v>
      </c>
      <c r="R80" s="10">
        <f>[2]หน้าผ้า!AD89</f>
        <v>0</v>
      </c>
      <c r="S80" s="9" t="str">
        <f>[2]หน้าผ้า!Z89</f>
        <v>500กระสอบแบน</v>
      </c>
      <c r="T80" s="12">
        <f>[2]หน้าผ้า!X89</f>
        <v>45930</v>
      </c>
      <c r="U80" s="11">
        <f>[2]หน้าผ้า!AA89</f>
        <v>5000</v>
      </c>
      <c r="V80" s="10">
        <f>[2]หน้าผ้า!AJ89</f>
        <v>0</v>
      </c>
      <c r="W80" s="10">
        <f>[2]หน้าผ้า!AL89</f>
        <v>5000</v>
      </c>
      <c r="X80" s="10">
        <f>[2]หน้าผ้า!AM89</f>
        <v>0</v>
      </c>
      <c r="Y80" s="10">
        <f>[2]หน้าผ้า!AN89</f>
        <v>5250</v>
      </c>
      <c r="Z80" s="9" t="str">
        <f>[2]หน้าผ้า!AO89</f>
        <v>WSWT2025800SM</v>
      </c>
      <c r="AA80" s="8">
        <f>[2]หน้าผ้า!AQ89</f>
        <v>5378.4500000000007</v>
      </c>
      <c r="AB80" s="8">
        <f>[2]หน้าผ้า!AR89</f>
        <v>0</v>
      </c>
      <c r="AC80" s="8">
        <f>[2]หน้าผ้า!AS89</f>
        <v>5378.4500000000007</v>
      </c>
      <c r="AD80" s="8">
        <f>[2]หน้าผ้า!AT89</f>
        <v>0</v>
      </c>
      <c r="AE80" s="8">
        <f>[2]หน้าผ้า!AU89</f>
        <v>5378.4500000000007</v>
      </c>
      <c r="AF80" s="8">
        <f>[2]หน้าผ้า!AI89</f>
        <v>0</v>
      </c>
      <c r="AG80" s="1" t="str">
        <f>[3]หน้าผ้า!DC92</f>
        <v>ยังไม่ได้พิมพ์</v>
      </c>
      <c r="AH80" s="1" t="str">
        <f>[2]หน้าผ้า!DL89</f>
        <v>P6</v>
      </c>
      <c r="AI80" s="1">
        <f>[2]หน้าผ้า!DM89</f>
        <v>4</v>
      </c>
      <c r="AJ80" s="3">
        <f>[2]หน้าผ้า!DN89</f>
        <v>45930</v>
      </c>
      <c r="AK80" s="3">
        <f>[2]หน้าผ้า!DQ89</f>
        <v>45926</v>
      </c>
      <c r="AL80" s="3">
        <f>[2]หน้าผ้า!DR89</f>
        <v>45919</v>
      </c>
      <c r="AM80" s="3">
        <f>[2]หน้าผ้า!DS89</f>
        <v>45927</v>
      </c>
      <c r="AN80" s="3">
        <f>[2]หน้าผ้า!DT89</f>
        <v>45928</v>
      </c>
      <c r="AO80" s="3">
        <f>[2]หน้าผ้า!DU89</f>
        <v>45929</v>
      </c>
      <c r="AP80" s="3">
        <f>[2]หน้าผ้า!DP89</f>
        <v>45925</v>
      </c>
      <c r="AQ80" s="3">
        <f>[2]หน้าผ้า!DW89</f>
        <v>0</v>
      </c>
      <c r="AR80" s="3">
        <f>[2]หน้าผ้า!DX89</f>
        <v>0</v>
      </c>
      <c r="AS80" s="3">
        <f>[2]หน้าผ้า!DY89</f>
        <v>0</v>
      </c>
      <c r="AT80" s="3">
        <f>[2]หน้าผ้า!DZ89</f>
        <v>0</v>
      </c>
      <c r="AU80" s="3">
        <f>[2]หน้าผ้า!EA89</f>
        <v>0</v>
      </c>
      <c r="AV80" s="1">
        <f>[2]หน้าผ้า!EB89</f>
        <v>0</v>
      </c>
      <c r="AW80" s="2" t="str">
        <f>[2]หน้าผ้า!EC89</f>
        <v>งานเคลือบ+พิมพ์</v>
      </c>
      <c r="AX80" s="2" t="str">
        <f>[2]หน้าผ้า!ED89</f>
        <v xml:space="preserve"> /</v>
      </c>
      <c r="AY80" s="2">
        <f>[2]หน้าผ้า!AG89</f>
        <v>0</v>
      </c>
      <c r="AZ80" s="2">
        <f>[2]หน้าผ้า!EG89</f>
        <v>0</v>
      </c>
      <c r="BA80" s="2">
        <f>[2]หน้าผ้า!EH89</f>
        <v>0</v>
      </c>
      <c r="BB80" s="2">
        <f>[2]หน้าผ้า!EI89</f>
        <v>0</v>
      </c>
      <c r="BC80" s="1" t="str">
        <f>[2]หน้าผ้า!BZ89</f>
        <v>WRWT25850/WRWT25850</v>
      </c>
      <c r="BD80" s="56">
        <f>[2]หน้าผ้า!CA89</f>
        <v>406.37177777777782</v>
      </c>
    </row>
    <row r="81" spans="1:56" ht="27.75" customHeight="1" x14ac:dyDescent="0.45">
      <c r="A81" s="3">
        <f>[2]หน้าผ้า!C90</f>
        <v>45902</v>
      </c>
      <c r="B81" s="14" t="str">
        <f>[2]หน้าผ้า!B90</f>
        <v>MK68-001070</v>
      </c>
      <c r="C81" s="9" t="str">
        <f>[2]หน้าผ้า!E90</f>
        <v>บจก.วีซีเอฟ</v>
      </c>
      <c r="D81" s="13" t="str">
        <f>[2]หน้าผ้า!F90</f>
        <v>SPEED PLUS 405ENG</v>
      </c>
      <c r="E81" s="9">
        <f>[2]หน้าผ้า!G90</f>
        <v>20</v>
      </c>
      <c r="F81" s="9">
        <f>[2]หน้าผ้า!H90</f>
        <v>37</v>
      </c>
      <c r="G81" s="9" t="str">
        <f>[2]หน้าผ้า!I90</f>
        <v>ขาว</v>
      </c>
      <c r="H81" s="9" t="str">
        <f>[2]หน้าผ้า!J90</f>
        <v>ใส</v>
      </c>
      <c r="I81" s="9">
        <f>[2]หน้าผ้า!L90</f>
        <v>100</v>
      </c>
      <c r="J81" s="9" t="str">
        <f>[2]หน้าผ้า!M90</f>
        <v>±</v>
      </c>
      <c r="K81" s="9">
        <f>[2]หน้าผ้า!N90</f>
        <v>5</v>
      </c>
      <c r="L81" s="9" t="str">
        <f>[2]หน้าผ้า!R90</f>
        <v>ไม่</v>
      </c>
      <c r="M81" s="10" t="str">
        <f>[2]หน้าผ้า!T90</f>
        <v>ไม่สวมถุงใน</v>
      </c>
      <c r="N81" s="9">
        <f>[2]หน้าผ้า!U90</f>
        <v>0</v>
      </c>
      <c r="O81" s="9">
        <f>[2]หน้าผ้า!V90</f>
        <v>0</v>
      </c>
      <c r="P81" s="10">
        <f>[2]หน้าผ้า!AB90</f>
        <v>0</v>
      </c>
      <c r="Q81" s="10">
        <f>[2]หน้าผ้า!AC90</f>
        <v>0</v>
      </c>
      <c r="R81" s="10">
        <f>[2]หน้าผ้า!AD90</f>
        <v>0</v>
      </c>
      <c r="S81" s="9" t="str">
        <f>[2]หน้าผ้า!Z90</f>
        <v>500กระสอบแบน</v>
      </c>
      <c r="T81" s="12">
        <f>[2]หน้าผ้า!X90</f>
        <v>45930</v>
      </c>
      <c r="U81" s="11">
        <f>[2]หน้าผ้า!AA90</f>
        <v>5000</v>
      </c>
      <c r="V81" s="10">
        <f>[2]หน้าผ้า!AJ90</f>
        <v>0</v>
      </c>
      <c r="W81" s="10">
        <f>[2]หน้าผ้า!AL90</f>
        <v>5000</v>
      </c>
      <c r="X81" s="10">
        <f>[2]หน้าผ้า!AM90</f>
        <v>0</v>
      </c>
      <c r="Y81" s="10">
        <f>[2]หน้าผ้า!AN90</f>
        <v>5250</v>
      </c>
      <c r="Z81" s="9" t="str">
        <f>[2]หน้าผ้า!AO90</f>
        <v>WSWT2025800SM</v>
      </c>
      <c r="AA81" s="8">
        <f>[2]หน้าผ้า!AQ90</f>
        <v>5378.4500000000007</v>
      </c>
      <c r="AB81" s="8">
        <f>[2]หน้าผ้า!AR90</f>
        <v>0</v>
      </c>
      <c r="AC81" s="8">
        <f>[2]หน้าผ้า!AS90</f>
        <v>5378.4500000000007</v>
      </c>
      <c r="AD81" s="8">
        <f>[2]หน้าผ้า!AT90</f>
        <v>0</v>
      </c>
      <c r="AE81" s="8">
        <f>[2]หน้าผ้า!AU90</f>
        <v>5378.4500000000007</v>
      </c>
      <c r="AF81" s="8">
        <f>[2]หน้าผ้า!AI90</f>
        <v>0</v>
      </c>
      <c r="AG81" s="1" t="str">
        <f>[3]หน้าผ้า!DC93</f>
        <v>ยังไม่ได้พิมพ์</v>
      </c>
      <c r="AH81" s="1" t="str">
        <f>[2]หน้าผ้า!DL90</f>
        <v>P6</v>
      </c>
      <c r="AI81" s="1">
        <f>[2]หน้าผ้า!DM90</f>
        <v>4</v>
      </c>
      <c r="AJ81" s="3">
        <f>[2]หน้าผ้า!DN90</f>
        <v>45930</v>
      </c>
      <c r="AK81" s="3">
        <f>[2]หน้าผ้า!DQ90</f>
        <v>45926</v>
      </c>
      <c r="AL81" s="3">
        <f>[2]หน้าผ้า!DR90</f>
        <v>45919</v>
      </c>
      <c r="AM81" s="3">
        <f>[2]หน้าผ้า!DS90</f>
        <v>45927</v>
      </c>
      <c r="AN81" s="3">
        <f>[2]หน้าผ้า!DT90</f>
        <v>45928</v>
      </c>
      <c r="AO81" s="3">
        <f>[2]หน้าผ้า!DU90</f>
        <v>45929</v>
      </c>
      <c r="AP81" s="3">
        <f>[2]หน้าผ้า!DP90</f>
        <v>45925</v>
      </c>
      <c r="AQ81" s="3">
        <f>[2]หน้าผ้า!DW90</f>
        <v>0</v>
      </c>
      <c r="AR81" s="3">
        <f>[2]หน้าผ้า!DX90</f>
        <v>0</v>
      </c>
      <c r="AS81" s="3">
        <f>[2]หน้าผ้า!DY90</f>
        <v>0</v>
      </c>
      <c r="AT81" s="3">
        <f>[2]หน้าผ้า!DZ90</f>
        <v>0</v>
      </c>
      <c r="AU81" s="3">
        <f>[2]หน้าผ้า!EA90</f>
        <v>0</v>
      </c>
      <c r="AV81" s="1">
        <f>[2]หน้าผ้า!EB90</f>
        <v>0</v>
      </c>
      <c r="AW81" s="2" t="str">
        <f>[2]หน้าผ้า!EC90</f>
        <v>งานเคลือบ+พิมพ์</v>
      </c>
      <c r="AX81" s="2" t="str">
        <f>[2]หน้าผ้า!ED90</f>
        <v xml:space="preserve"> /</v>
      </c>
      <c r="AY81" s="2">
        <f>[2]หน้าผ้า!AG90</f>
        <v>0</v>
      </c>
      <c r="AZ81" s="2">
        <f>[2]หน้าผ้า!EG90</f>
        <v>0</v>
      </c>
      <c r="BA81" s="2">
        <f>[2]หน้าผ้า!EH90</f>
        <v>0</v>
      </c>
      <c r="BB81" s="2">
        <f>[2]หน้าผ้า!EI90</f>
        <v>0</v>
      </c>
      <c r="BC81" s="1" t="str">
        <f>[2]หน้าผ้า!BZ90</f>
        <v>WRWT25850/WRWT25850</v>
      </c>
      <c r="BD81" s="56">
        <f>[2]หน้าผ้า!CA90</f>
        <v>406.37177777777782</v>
      </c>
    </row>
    <row r="82" spans="1:56" ht="27.75" customHeight="1" x14ac:dyDescent="0.45">
      <c r="A82" s="3">
        <f>[2]หน้าผ้า!C91</f>
        <v>45873</v>
      </c>
      <c r="B82" s="14" t="str">
        <f>[2]หน้าผ้า!B91</f>
        <v>MK68-000961</v>
      </c>
      <c r="C82" s="9" t="str">
        <f>[2]หน้าผ้า!E91</f>
        <v>บจก.เอพีเอ็ม อะโกร</v>
      </c>
      <c r="D82" s="13" t="str">
        <f>[2]หน้าผ้า!F91</f>
        <v>U-FEED U2(เอส)</v>
      </c>
      <c r="E82" s="9">
        <f>[2]หน้าผ้า!G91</f>
        <v>20</v>
      </c>
      <c r="F82" s="9">
        <f>[2]หน้าผ้า!H91</f>
        <v>38</v>
      </c>
      <c r="G82" s="9" t="str">
        <f>[2]หน้าผ้า!I91</f>
        <v>ขาว</v>
      </c>
      <c r="H82" s="9" t="str">
        <f>[2]หน้าผ้า!J91</f>
        <v>ใส</v>
      </c>
      <c r="I82" s="9">
        <f>[2]หน้าผ้า!L91</f>
        <v>100</v>
      </c>
      <c r="J82" s="9" t="str">
        <f>[2]หน้าผ้า!M91</f>
        <v>±</v>
      </c>
      <c r="K82" s="9">
        <f>[2]หน้าผ้า!N91</f>
        <v>5</v>
      </c>
      <c r="L82" s="9" t="str">
        <f>[2]หน้าผ้า!R91</f>
        <v>บิด</v>
      </c>
      <c r="M82" s="10" t="str">
        <f>[2]หน้าผ้า!T91</f>
        <v>ไม่สวมถุงใน</v>
      </c>
      <c r="N82" s="9">
        <f>[2]หน้าผ้า!U91</f>
        <v>0</v>
      </c>
      <c r="O82" s="9">
        <f>[2]หน้าผ้า!V91</f>
        <v>0</v>
      </c>
      <c r="P82" s="10">
        <f>[2]หน้าผ้า!AB91</f>
        <v>0</v>
      </c>
      <c r="Q82" s="10">
        <f>[2]หน้าผ้า!AC91</f>
        <v>0</v>
      </c>
      <c r="R82" s="10">
        <f>[2]หน้าผ้า!AD91</f>
        <v>0</v>
      </c>
      <c r="S82" s="9" t="str">
        <f>[2]หน้าผ้า!Z91</f>
        <v>500กระสอบแบน</v>
      </c>
      <c r="T82" s="12">
        <f>[2]หน้าผ้า!X91</f>
        <v>45922</v>
      </c>
      <c r="U82" s="11">
        <f>[2]หน้าผ้า!AA91</f>
        <v>4000</v>
      </c>
      <c r="V82" s="10">
        <f>[2]หน้าผ้า!AJ91</f>
        <v>0</v>
      </c>
      <c r="W82" s="10">
        <f>[2]หน้าผ้า!AL91</f>
        <v>4000</v>
      </c>
      <c r="X82" s="10">
        <f>[2]หน้าผ้า!AM91</f>
        <v>4130</v>
      </c>
      <c r="Y82" s="10">
        <f>[2]หน้าผ้า!AN91</f>
        <v>0</v>
      </c>
      <c r="Z82" s="9" t="str">
        <f>[2]หน้าผ้า!AO91</f>
        <v>WSWT2025800SM</v>
      </c>
      <c r="AA82" s="8">
        <f>[2]หน้าผ้า!AQ91</f>
        <v>0</v>
      </c>
      <c r="AB82" s="8">
        <f>[2]หน้าผ้า!AR91</f>
        <v>0</v>
      </c>
      <c r="AC82" s="8">
        <f>[2]หน้าผ้า!AS91</f>
        <v>0</v>
      </c>
      <c r="AD82" s="8">
        <f>[2]หน้าผ้า!AT91</f>
        <v>0</v>
      </c>
      <c r="AE82" s="8">
        <f>[2]หน้าผ้า!AU91</f>
        <v>0</v>
      </c>
      <c r="AF82" s="8" t="str">
        <f>[2]หน้าผ้า!AI91</f>
        <v>ห้ามเกิน-ขาดได้5%</v>
      </c>
      <c r="AG82" s="1" t="str">
        <f>[3]หน้าผ้า!DC94</f>
        <v>ยังไม่ได้พิมพ์</v>
      </c>
      <c r="AH82" s="1" t="str">
        <f>[2]หน้าผ้า!DL91</f>
        <v>P6</v>
      </c>
      <c r="AI82" s="1">
        <f>[2]หน้าผ้า!DM91</f>
        <v>4</v>
      </c>
      <c r="AJ82" s="3">
        <f>[2]หน้าผ้า!DN91</f>
        <v>45922</v>
      </c>
      <c r="AK82" s="3">
        <f>[2]หน้าผ้า!DQ91</f>
        <v>45918</v>
      </c>
      <c r="AL82" s="3">
        <f>[2]หน้าผ้า!DR91</f>
        <v>45911</v>
      </c>
      <c r="AM82" s="3">
        <f>[2]หน้าผ้า!DS91</f>
        <v>45919</v>
      </c>
      <c r="AN82" s="3">
        <f>[2]หน้าผ้า!DT91</f>
        <v>45920</v>
      </c>
      <c r="AO82" s="3">
        <f>[2]หน้าผ้า!DU91</f>
        <v>45921</v>
      </c>
      <c r="AP82" s="3">
        <f>[2]หน้าผ้า!DP91</f>
        <v>45917</v>
      </c>
      <c r="AQ82" s="3">
        <f>[2]หน้าผ้า!DW91</f>
        <v>0</v>
      </c>
      <c r="AR82" s="3">
        <f>[2]หน้าผ้า!DX91</f>
        <v>0</v>
      </c>
      <c r="AS82" s="3">
        <f>[2]หน้าผ้า!DY91</f>
        <v>0</v>
      </c>
      <c r="AT82" s="3">
        <f>[2]หน้าผ้า!DZ91</f>
        <v>0</v>
      </c>
      <c r="AU82" s="3">
        <f>[2]หน้าผ้า!EA91</f>
        <v>0</v>
      </c>
      <c r="AV82" s="1">
        <f>[2]หน้าผ้า!EB91</f>
        <v>0</v>
      </c>
      <c r="AW82" s="2" t="str">
        <f>[2]หน้าผ้า!EC91</f>
        <v>งานเคลือบ+พิมพ์</v>
      </c>
      <c r="AX82" s="2" t="str">
        <f>[2]หน้าผ้า!ED91</f>
        <v xml:space="preserve"> /</v>
      </c>
      <c r="AY82" s="2">
        <f>[2]หน้าผ้า!AG91</f>
        <v>0</v>
      </c>
      <c r="AZ82" s="2">
        <f>[2]หน้าผ้า!EG91</f>
        <v>0</v>
      </c>
      <c r="BA82" s="2">
        <f>[2]หน้าผ้า!EH91</f>
        <v>0</v>
      </c>
      <c r="BB82" s="2">
        <f>[2]หน้าผ้า!EI91</f>
        <v>0</v>
      </c>
      <c r="BC82" s="1" t="str">
        <f>[2]หน้าผ้า!BZ91</f>
        <v>WRWT25850/WRWT25850</v>
      </c>
      <c r="BD82" s="56">
        <f>[2]หน้าผ้า!CA91</f>
        <v>0</v>
      </c>
    </row>
    <row r="83" spans="1:56" ht="27.75" customHeight="1" x14ac:dyDescent="0.45">
      <c r="A83" s="3">
        <f>[2]หน้าผ้า!C92</f>
        <v>45892</v>
      </c>
      <c r="B83" s="14" t="str">
        <f>[2]หน้าผ้า!B92</f>
        <v>MK68-001029</v>
      </c>
      <c r="C83" s="9" t="str">
        <f>[2]หน้าผ้า!E92</f>
        <v>บจก.เอสพีเอ็ม อาหารสัตว์</v>
      </c>
      <c r="D83" s="13" t="str">
        <f>[2]หน้าผ้า!F92</f>
        <v>SPM 312</v>
      </c>
      <c r="E83" s="9">
        <f>[2]หน้าผ้า!G92</f>
        <v>20</v>
      </c>
      <c r="F83" s="9">
        <f>[2]หน้าผ้า!H92</f>
        <v>37</v>
      </c>
      <c r="G83" s="9" t="str">
        <f>[2]หน้าผ้า!I92</f>
        <v>ขาว</v>
      </c>
      <c r="H83" s="9" t="str">
        <f>[2]หน้าผ้า!J92</f>
        <v>ด้าน</v>
      </c>
      <c r="I83" s="9">
        <f>[2]หน้าผ้า!L92</f>
        <v>97</v>
      </c>
      <c r="J83" s="9" t="str">
        <f>[2]หน้าผ้า!M92</f>
        <v>±</v>
      </c>
      <c r="K83" s="9">
        <f>[2]หน้าผ้า!N92</f>
        <v>5</v>
      </c>
      <c r="L83" s="9" t="str">
        <f>[2]หน้าผ้า!R92</f>
        <v>บิด</v>
      </c>
      <c r="M83" s="10" t="str">
        <f>[2]หน้าผ้า!T92</f>
        <v>ไม่สวมถุงใน</v>
      </c>
      <c r="N83" s="9">
        <f>[2]หน้าผ้า!U92</f>
        <v>0</v>
      </c>
      <c r="O83" s="9">
        <f>[2]หน้าผ้า!V92</f>
        <v>0</v>
      </c>
      <c r="P83" s="10">
        <f>[2]หน้าผ้า!AB92</f>
        <v>0</v>
      </c>
      <c r="Q83" s="10">
        <f>[2]หน้าผ้า!AC92</f>
        <v>0</v>
      </c>
      <c r="R83" s="10">
        <f>[2]หน้าผ้า!AD92</f>
        <v>0</v>
      </c>
      <c r="S83" s="9" t="str">
        <f>[2]หน้าผ้า!Z92</f>
        <v>500กระสอบแบน</v>
      </c>
      <c r="T83" s="12">
        <f>[2]หน้าผ้า!X92</f>
        <v>45930</v>
      </c>
      <c r="U83" s="11">
        <f>[2]หน้าผ้า!AA92</f>
        <v>3000</v>
      </c>
      <c r="V83" s="10">
        <f>[2]หน้าผ้า!AJ92</f>
        <v>0</v>
      </c>
      <c r="W83" s="10">
        <f>[2]หน้าผ้า!AL92</f>
        <v>3000</v>
      </c>
      <c r="X83" s="10">
        <f>[2]หน้าผ้า!AM92</f>
        <v>0</v>
      </c>
      <c r="Y83" s="10">
        <f>[2]หน้าผ้า!AN92</f>
        <v>3150</v>
      </c>
      <c r="Z83" s="9" t="str">
        <f>[2]หน้าผ้า!AO92</f>
        <v>WSWT2025800SM</v>
      </c>
      <c r="AA83" s="8">
        <f>[2]หน้าผ้า!AQ92</f>
        <v>3227.07</v>
      </c>
      <c r="AB83" s="8">
        <f>[2]หน้าผ้า!AR92</f>
        <v>3227.07</v>
      </c>
      <c r="AC83" s="8">
        <f>[2]หน้าผ้า!AS92</f>
        <v>0</v>
      </c>
      <c r="AD83" s="8">
        <f>[2]หน้าผ้า!AT92</f>
        <v>3227.07</v>
      </c>
      <c r="AE83" s="8">
        <f>[2]หน้าผ้า!AU92</f>
        <v>0</v>
      </c>
      <c r="AF83" s="8">
        <f>[2]หน้าผ้า!AI92</f>
        <v>0</v>
      </c>
      <c r="AG83" s="1" t="str">
        <f>[3]หน้าผ้า!DC95</f>
        <v>ยังไม่ได้พิมพ์</v>
      </c>
      <c r="AH83" s="1" t="str">
        <f>[2]หน้าผ้า!DL92</f>
        <v>P6</v>
      </c>
      <c r="AI83" s="1">
        <f>[2]หน้าผ้า!DM92</f>
        <v>4</v>
      </c>
      <c r="AJ83" s="3">
        <f>[2]หน้าผ้า!DN92</f>
        <v>45930</v>
      </c>
      <c r="AK83" s="3">
        <f>[2]หน้าผ้า!DQ92</f>
        <v>45926</v>
      </c>
      <c r="AL83" s="3">
        <f>[2]หน้าผ้า!DR92</f>
        <v>45919</v>
      </c>
      <c r="AM83" s="3">
        <f>[2]หน้าผ้า!DS92</f>
        <v>45927</v>
      </c>
      <c r="AN83" s="3">
        <f>[2]หน้าผ้า!DT92</f>
        <v>45928</v>
      </c>
      <c r="AO83" s="3">
        <f>[2]หน้าผ้า!DU92</f>
        <v>45929</v>
      </c>
      <c r="AP83" s="3">
        <f>[2]หน้าผ้า!DP92</f>
        <v>45925</v>
      </c>
      <c r="AQ83" s="3">
        <f>[2]หน้าผ้า!DW92</f>
        <v>0</v>
      </c>
      <c r="AR83" s="3">
        <f>[2]หน้าผ้า!DX92</f>
        <v>0</v>
      </c>
      <c r="AS83" s="3">
        <f>[2]หน้าผ้า!DY92</f>
        <v>0</v>
      </c>
      <c r="AT83" s="3">
        <f>[2]หน้าผ้า!DZ92</f>
        <v>0</v>
      </c>
      <c r="AU83" s="3">
        <f>[2]หน้าผ้า!EA92</f>
        <v>0</v>
      </c>
      <c r="AV83" s="1">
        <f>[2]หน้าผ้า!EB92</f>
        <v>0</v>
      </c>
      <c r="AW83" s="2" t="str">
        <f>[2]หน้าผ้า!EC92</f>
        <v>งานเคลือบ+พิมพ์</v>
      </c>
      <c r="AX83" s="2" t="str">
        <f>[2]หน้าผ้า!ED92</f>
        <v>รอART</v>
      </c>
      <c r="AY83" s="2">
        <f>[2]หน้าผ้า!AG92</f>
        <v>0</v>
      </c>
      <c r="AZ83" s="2">
        <f>[2]หน้าผ้า!EG92</f>
        <v>0</v>
      </c>
      <c r="BA83" s="2">
        <f>[2]หน้าผ้า!EH92</f>
        <v>0</v>
      </c>
      <c r="BB83" s="2">
        <f>[2]หน้าผ้า!EI92</f>
        <v>0</v>
      </c>
      <c r="BC83" s="1" t="str">
        <f>[2]หน้าผ้า!BZ92</f>
        <v>WRWT25850/WRWT25850</v>
      </c>
      <c r="BD83" s="56">
        <f>[2]หน้าผ้า!CA92</f>
        <v>0</v>
      </c>
    </row>
    <row r="84" spans="1:56" ht="27.75" customHeight="1" x14ac:dyDescent="0.45">
      <c r="A84" s="3">
        <f>[2]หน้าผ้า!C93</f>
        <v>45891</v>
      </c>
      <c r="B84" s="14" t="str">
        <f>[2]หน้าผ้า!B93</f>
        <v>MK68-001033</v>
      </c>
      <c r="C84" s="9" t="str">
        <f>[2]หน้าผ้า!E93</f>
        <v>บจก.เอสพีเอ็ม อาหารสัตว์</v>
      </c>
      <c r="D84" s="13" t="str">
        <f>[2]หน้าผ้า!F93</f>
        <v>นาโน 03</v>
      </c>
      <c r="E84" s="9">
        <f>[2]หน้าผ้า!G93</f>
        <v>20</v>
      </c>
      <c r="F84" s="9">
        <f>[2]หน้าผ้า!H93</f>
        <v>38</v>
      </c>
      <c r="G84" s="9" t="str">
        <f>[2]หน้าผ้า!I93</f>
        <v>ขาว</v>
      </c>
      <c r="H84" s="9" t="str">
        <f>[2]หน้าผ้า!J93</f>
        <v>ด้าน</v>
      </c>
      <c r="I84" s="9">
        <f>[2]หน้าผ้า!L93</f>
        <v>100</v>
      </c>
      <c r="J84" s="9" t="str">
        <f>[2]หน้าผ้า!M93</f>
        <v>±</v>
      </c>
      <c r="K84" s="9">
        <f>[2]หน้าผ้า!N93</f>
        <v>5</v>
      </c>
      <c r="L84" s="9" t="str">
        <f>[2]หน้าผ้า!R93</f>
        <v>บิด</v>
      </c>
      <c r="M84" s="10" t="str">
        <f>[2]หน้าผ้า!T93</f>
        <v>ไม่สวมถุงใน</v>
      </c>
      <c r="N84" s="9">
        <f>[2]หน้าผ้า!U93</f>
        <v>0</v>
      </c>
      <c r="O84" s="9">
        <f>[2]หน้าผ้า!V93</f>
        <v>0</v>
      </c>
      <c r="P84" s="10">
        <f>[2]หน้าผ้า!AB93</f>
        <v>0</v>
      </c>
      <c r="Q84" s="10">
        <f>[2]หน้าผ้า!AC93</f>
        <v>0</v>
      </c>
      <c r="R84" s="10">
        <f>[2]หน้าผ้า!AD93</f>
        <v>0</v>
      </c>
      <c r="S84" s="9" t="str">
        <f>[2]หน้าผ้า!Z93</f>
        <v>500กระสอบแบน</v>
      </c>
      <c r="T84" s="12">
        <f>[2]หน้าผ้า!X93</f>
        <v>45930</v>
      </c>
      <c r="U84" s="11">
        <f>[2]หน้าผ้า!AA93</f>
        <v>9000</v>
      </c>
      <c r="V84" s="10">
        <f>[2]หน้าผ้า!AJ93</f>
        <v>0</v>
      </c>
      <c r="W84" s="10">
        <f>[2]หน้าผ้า!AL93</f>
        <v>9000</v>
      </c>
      <c r="X84" s="10">
        <f>[2]หน้าผ้า!AM93</f>
        <v>0</v>
      </c>
      <c r="Y84" s="10">
        <f>[2]หน้าผ้า!AN93</f>
        <v>9450</v>
      </c>
      <c r="Z84" s="9" t="str">
        <f>[2]หน้าผ้า!AO93</f>
        <v>WSWT2025800SM</v>
      </c>
      <c r="AA84" s="8">
        <f>[2]หน้าผ้า!AQ93</f>
        <v>9932.67</v>
      </c>
      <c r="AB84" s="8">
        <f>[2]หน้าผ้า!AR93</f>
        <v>0</v>
      </c>
      <c r="AC84" s="8">
        <f>[2]หน้าผ้า!AS93</f>
        <v>9932.67</v>
      </c>
      <c r="AD84" s="8">
        <f>[2]หน้าผ้า!AT93</f>
        <v>0</v>
      </c>
      <c r="AE84" s="8">
        <f>[2]หน้าผ้า!AU93</f>
        <v>9932.67</v>
      </c>
      <c r="AF84" s="8">
        <f>[2]หน้าผ้า!AI93</f>
        <v>0</v>
      </c>
      <c r="AG84" s="1" t="str">
        <f>[3]หน้าผ้า!DC96</f>
        <v>รอแบบ</v>
      </c>
      <c r="AH84" s="1" t="str">
        <f>[2]หน้าผ้า!DL93</f>
        <v>P6</v>
      </c>
      <c r="AI84" s="1">
        <f>[2]หน้าผ้า!DM93</f>
        <v>5</v>
      </c>
      <c r="AJ84" s="3">
        <f>[2]หน้าผ้า!DN93</f>
        <v>45930</v>
      </c>
      <c r="AK84" s="3">
        <f>[2]หน้าผ้า!DQ93</f>
        <v>45925</v>
      </c>
      <c r="AL84" s="3">
        <f>[2]หน้าผ้า!DR93</f>
        <v>45918</v>
      </c>
      <c r="AM84" s="3">
        <f>[2]หน้าผ้า!DS93</f>
        <v>45926</v>
      </c>
      <c r="AN84" s="3">
        <f>[2]หน้าผ้า!DT93</f>
        <v>45927</v>
      </c>
      <c r="AO84" s="3">
        <f>[2]หน้าผ้า!DU93</f>
        <v>45928</v>
      </c>
      <c r="AP84" s="3">
        <f>[2]หน้าผ้า!DP93</f>
        <v>45925</v>
      </c>
      <c r="AQ84" s="3">
        <f>[2]หน้าผ้า!DW93</f>
        <v>0</v>
      </c>
      <c r="AR84" s="3">
        <f>[2]หน้าผ้า!DX93</f>
        <v>0</v>
      </c>
      <c r="AS84" s="3">
        <f>[2]หน้าผ้า!DY93</f>
        <v>0</v>
      </c>
      <c r="AT84" s="3">
        <f>[2]หน้าผ้า!DZ93</f>
        <v>0</v>
      </c>
      <c r="AU84" s="3">
        <f>[2]หน้าผ้า!EA93</f>
        <v>0</v>
      </c>
      <c r="AV84" s="1">
        <f>[2]หน้าผ้า!EB93</f>
        <v>0</v>
      </c>
      <c r="AW84" s="2" t="str">
        <f>[2]หน้าผ้า!EC93</f>
        <v>งานเคลือบ+พิมพ์</v>
      </c>
      <c r="AX84" s="2" t="str">
        <f>[2]หน้าผ้า!ED93</f>
        <v xml:space="preserve"> /</v>
      </c>
      <c r="AY84" s="2">
        <f>[2]หน้าผ้า!AG93</f>
        <v>0</v>
      </c>
      <c r="AZ84" s="2">
        <f>[2]หน้าผ้า!EG93</f>
        <v>0</v>
      </c>
      <c r="BA84" s="2">
        <f>[2]หน้าผ้า!EH93</f>
        <v>0</v>
      </c>
      <c r="BB84" s="2">
        <f>[2]หน้าผ้า!EI93</f>
        <v>0</v>
      </c>
      <c r="BC84" s="1" t="str">
        <f>[2]หน้าผ้า!BZ93</f>
        <v>WRWT25850/WRWT25850</v>
      </c>
      <c r="BD84" s="56">
        <f>[2]หน้าผ้า!CA93</f>
        <v>750.46839999999997</v>
      </c>
    </row>
    <row r="85" spans="1:56" ht="27.75" customHeight="1" x14ac:dyDescent="0.45">
      <c r="A85" s="3">
        <f>[2]หน้าผ้า!C94</f>
        <v>45891</v>
      </c>
      <c r="B85" s="14" t="str">
        <f>[2]หน้าผ้า!B94</f>
        <v>MK68-001034</v>
      </c>
      <c r="C85" s="9" t="str">
        <f>[2]หน้าผ้า!E94</f>
        <v>บจก.เอสพีเอ็ม อาหารสัตว์</v>
      </c>
      <c r="D85" s="13" t="str">
        <f>[2]หน้าผ้า!F94</f>
        <v>นาโน 01</v>
      </c>
      <c r="E85" s="9">
        <f>[2]หน้าผ้า!G94</f>
        <v>20</v>
      </c>
      <c r="F85" s="9">
        <f>[2]หน้าผ้า!H94</f>
        <v>38</v>
      </c>
      <c r="G85" s="9" t="str">
        <f>[2]หน้าผ้า!I94</f>
        <v>ขาว</v>
      </c>
      <c r="H85" s="9" t="str">
        <f>[2]หน้าผ้า!J94</f>
        <v>ด้าน</v>
      </c>
      <c r="I85" s="9">
        <f>[2]หน้าผ้า!L94</f>
        <v>100</v>
      </c>
      <c r="J85" s="9" t="str">
        <f>[2]หน้าผ้า!M94</f>
        <v>±</v>
      </c>
      <c r="K85" s="9">
        <f>[2]หน้าผ้า!N94</f>
        <v>5</v>
      </c>
      <c r="L85" s="9" t="str">
        <f>[2]หน้าผ้า!R94</f>
        <v>บิด</v>
      </c>
      <c r="M85" s="10" t="str">
        <f>[2]หน้าผ้า!T94</f>
        <v>ไม่สวมถุงใน</v>
      </c>
      <c r="N85" s="9">
        <f>[2]หน้าผ้า!U94</f>
        <v>0</v>
      </c>
      <c r="O85" s="9">
        <f>[2]หน้าผ้า!V94</f>
        <v>0</v>
      </c>
      <c r="P85" s="10">
        <f>[2]หน้าผ้า!AB94</f>
        <v>0</v>
      </c>
      <c r="Q85" s="10">
        <f>[2]หน้าผ้า!AC94</f>
        <v>0</v>
      </c>
      <c r="R85" s="10">
        <f>[2]หน้าผ้า!AD94</f>
        <v>0</v>
      </c>
      <c r="S85" s="9" t="str">
        <f>[2]หน้าผ้า!Z94</f>
        <v>500กระสอบแบน</v>
      </c>
      <c r="T85" s="12">
        <f>[2]หน้าผ้า!X94</f>
        <v>45930</v>
      </c>
      <c r="U85" s="11">
        <f>[2]หน้าผ้า!AA94</f>
        <v>4000</v>
      </c>
      <c r="V85" s="10">
        <f>[2]หน้าผ้า!AJ94</f>
        <v>0</v>
      </c>
      <c r="W85" s="10">
        <f>[2]หน้าผ้า!AL94</f>
        <v>4000</v>
      </c>
      <c r="X85" s="10">
        <f>[2]หน้าผ้า!AM94</f>
        <v>0</v>
      </c>
      <c r="Y85" s="10">
        <f>[2]หน้าผ้า!AN94</f>
        <v>4200</v>
      </c>
      <c r="Z85" s="9" t="str">
        <f>[2]หน้าผ้า!AO94</f>
        <v>WSWT2025800SM</v>
      </c>
      <c r="AA85" s="8">
        <f>[2]หน้าผ้า!AQ94</f>
        <v>4414.5199999999995</v>
      </c>
      <c r="AB85" s="8">
        <f>[2]หน้าผ้า!AR94</f>
        <v>0</v>
      </c>
      <c r="AC85" s="8">
        <f>[2]หน้าผ้า!AS94</f>
        <v>4414.5199999999995</v>
      </c>
      <c r="AD85" s="8">
        <f>[2]หน้าผ้า!AT94</f>
        <v>0</v>
      </c>
      <c r="AE85" s="8">
        <f>[2]หน้าผ้า!AU94</f>
        <v>4414.5199999999995</v>
      </c>
      <c r="AF85" s="8">
        <f>[2]หน้าผ้า!AI94</f>
        <v>0</v>
      </c>
      <c r="AG85" s="1" t="str">
        <f>[3]หน้าผ้า!DC97</f>
        <v>รอแบบ</v>
      </c>
      <c r="AH85" s="1" t="str">
        <f>[2]หน้าผ้า!DL94</f>
        <v>P6</v>
      </c>
      <c r="AI85" s="1">
        <f>[2]หน้าผ้า!DM94</f>
        <v>5</v>
      </c>
      <c r="AJ85" s="3">
        <f>[2]หน้าผ้า!DN94</f>
        <v>45930</v>
      </c>
      <c r="AK85" s="3">
        <f>[2]หน้าผ้า!DQ94</f>
        <v>45925</v>
      </c>
      <c r="AL85" s="3">
        <f>[2]หน้าผ้า!DR94</f>
        <v>45918</v>
      </c>
      <c r="AM85" s="3">
        <f>[2]หน้าผ้า!DS94</f>
        <v>45926</v>
      </c>
      <c r="AN85" s="3">
        <f>[2]หน้าผ้า!DT94</f>
        <v>45927</v>
      </c>
      <c r="AO85" s="3">
        <f>[2]หน้าผ้า!DU94</f>
        <v>45928</v>
      </c>
      <c r="AP85" s="3">
        <f>[2]หน้าผ้า!DP94</f>
        <v>45925</v>
      </c>
      <c r="AQ85" s="3">
        <f>[2]หน้าผ้า!DW94</f>
        <v>0</v>
      </c>
      <c r="AR85" s="3">
        <f>[2]หน้าผ้า!DX94</f>
        <v>0</v>
      </c>
      <c r="AS85" s="3">
        <f>[2]หน้าผ้า!DY94</f>
        <v>0</v>
      </c>
      <c r="AT85" s="3">
        <f>[2]หน้าผ้า!DZ94</f>
        <v>0</v>
      </c>
      <c r="AU85" s="3">
        <f>[2]หน้าผ้า!EA94</f>
        <v>0</v>
      </c>
      <c r="AV85" s="1">
        <f>[2]หน้าผ้า!EB94</f>
        <v>0</v>
      </c>
      <c r="AW85" s="2" t="str">
        <f>[2]หน้าผ้า!EC94</f>
        <v>งานเคลือบ+พิมพ์</v>
      </c>
      <c r="AX85" s="2" t="str">
        <f>[2]หน้าผ้า!ED94</f>
        <v xml:space="preserve"> /</v>
      </c>
      <c r="AY85" s="2">
        <f>[2]หน้าผ้า!AG94</f>
        <v>0</v>
      </c>
      <c r="AZ85" s="2">
        <f>[2]หน้าผ้า!EG94</f>
        <v>0</v>
      </c>
      <c r="BA85" s="2">
        <f>[2]หน้าผ้า!EH94</f>
        <v>0</v>
      </c>
      <c r="BB85" s="2">
        <f>[2]หน้าผ้า!EI94</f>
        <v>0</v>
      </c>
      <c r="BC85" s="1" t="str">
        <f>[2]หน้าผ้า!BZ94</f>
        <v>WRWT25850/WRWT25850</v>
      </c>
      <c r="BD85" s="56">
        <f>[2]หน้าผ้า!CA94</f>
        <v>333.54151111111111</v>
      </c>
    </row>
    <row r="86" spans="1:56" ht="27.75" customHeight="1" x14ac:dyDescent="0.45">
      <c r="A86" s="3">
        <f>[2]หน้าผ้า!C95</f>
        <v>45891</v>
      </c>
      <c r="B86" s="14" t="str">
        <f>[2]หน้าผ้า!B95</f>
        <v>MK68-001035</v>
      </c>
      <c r="C86" s="9" t="str">
        <f>[2]หน้าผ้า!E95</f>
        <v>บจก.เอสพีเอ็ม อาหารสัตว์</v>
      </c>
      <c r="D86" s="13" t="str">
        <f>[2]หน้าผ้า!F95</f>
        <v>นาโน 02</v>
      </c>
      <c r="E86" s="9">
        <f>[2]หน้าผ้า!G95</f>
        <v>20</v>
      </c>
      <c r="F86" s="9">
        <f>[2]หน้าผ้า!H95</f>
        <v>38</v>
      </c>
      <c r="G86" s="9" t="str">
        <f>[2]หน้าผ้า!I95</f>
        <v>ขาว</v>
      </c>
      <c r="H86" s="9" t="str">
        <f>[2]หน้าผ้า!J95</f>
        <v>ด้าน</v>
      </c>
      <c r="I86" s="9">
        <f>[2]หน้าผ้า!L95</f>
        <v>100</v>
      </c>
      <c r="J86" s="9" t="str">
        <f>[2]หน้าผ้า!M95</f>
        <v>±</v>
      </c>
      <c r="K86" s="9">
        <f>[2]หน้าผ้า!N95</f>
        <v>5</v>
      </c>
      <c r="L86" s="9" t="str">
        <f>[2]หน้าผ้า!R95</f>
        <v>บิด</v>
      </c>
      <c r="M86" s="10" t="str">
        <f>[2]หน้าผ้า!T95</f>
        <v>ไม่สวมถุงใน</v>
      </c>
      <c r="N86" s="9">
        <f>[2]หน้าผ้า!U95</f>
        <v>0</v>
      </c>
      <c r="O86" s="9">
        <f>[2]หน้าผ้า!V95</f>
        <v>0</v>
      </c>
      <c r="P86" s="10">
        <f>[2]หน้าผ้า!AB95</f>
        <v>0</v>
      </c>
      <c r="Q86" s="10">
        <f>[2]หน้าผ้า!AC95</f>
        <v>0</v>
      </c>
      <c r="R86" s="10">
        <f>[2]หน้าผ้า!AD95</f>
        <v>0</v>
      </c>
      <c r="S86" s="9" t="str">
        <f>[2]หน้าผ้า!Z95</f>
        <v>500กระสอบแบน</v>
      </c>
      <c r="T86" s="12">
        <f>[2]หน้าผ้า!X95</f>
        <v>45930</v>
      </c>
      <c r="U86" s="11">
        <f>[2]หน้าผ้า!AA95</f>
        <v>9000</v>
      </c>
      <c r="V86" s="10">
        <f>[2]หน้าผ้า!AJ95</f>
        <v>0</v>
      </c>
      <c r="W86" s="10">
        <f>[2]หน้าผ้า!AL95</f>
        <v>9000</v>
      </c>
      <c r="X86" s="10">
        <f>[2]หน้าผ้า!AM95</f>
        <v>0</v>
      </c>
      <c r="Y86" s="10">
        <f>[2]หน้าผ้า!AN95</f>
        <v>9450</v>
      </c>
      <c r="Z86" s="9" t="str">
        <f>[2]หน้าผ้า!AO95</f>
        <v>WSWT2025800SM</v>
      </c>
      <c r="AA86" s="8">
        <f>[2]หน้าผ้า!AQ95</f>
        <v>9932.67</v>
      </c>
      <c r="AB86" s="8">
        <f>[2]หน้าผ้า!AR95</f>
        <v>0</v>
      </c>
      <c r="AC86" s="8">
        <f>[2]หน้าผ้า!AS95</f>
        <v>9932.67</v>
      </c>
      <c r="AD86" s="8">
        <f>[2]หน้าผ้า!AT95</f>
        <v>0</v>
      </c>
      <c r="AE86" s="8">
        <f>[2]หน้าผ้า!AU95</f>
        <v>9932.67</v>
      </c>
      <c r="AF86" s="8">
        <f>[2]หน้าผ้า!AI95</f>
        <v>0</v>
      </c>
      <c r="AG86" s="1" t="str">
        <f>[3]หน้าผ้า!DC98</f>
        <v>รอแบบ</v>
      </c>
      <c r="AH86" s="1" t="str">
        <f>[2]หน้าผ้า!DL95</f>
        <v>P6</v>
      </c>
      <c r="AI86" s="1">
        <f>[2]หน้าผ้า!DM95</f>
        <v>5</v>
      </c>
      <c r="AJ86" s="3">
        <f>[2]หน้าผ้า!DN95</f>
        <v>45930</v>
      </c>
      <c r="AK86" s="3">
        <f>[2]หน้าผ้า!DQ95</f>
        <v>45925</v>
      </c>
      <c r="AL86" s="3">
        <f>[2]หน้าผ้า!DR95</f>
        <v>45918</v>
      </c>
      <c r="AM86" s="3">
        <f>[2]หน้าผ้า!DS95</f>
        <v>45926</v>
      </c>
      <c r="AN86" s="3">
        <f>[2]หน้าผ้า!DT95</f>
        <v>45927</v>
      </c>
      <c r="AO86" s="3">
        <f>[2]หน้าผ้า!DU95</f>
        <v>45928</v>
      </c>
      <c r="AP86" s="3">
        <f>[2]หน้าผ้า!DP95</f>
        <v>45925</v>
      </c>
      <c r="AQ86" s="3">
        <f>[2]หน้าผ้า!DW95</f>
        <v>0</v>
      </c>
      <c r="AR86" s="3">
        <f>[2]หน้าผ้า!DX95</f>
        <v>0</v>
      </c>
      <c r="AS86" s="3">
        <f>[2]หน้าผ้า!DY95</f>
        <v>0</v>
      </c>
      <c r="AT86" s="3">
        <f>[2]หน้าผ้า!DZ95</f>
        <v>0</v>
      </c>
      <c r="AU86" s="3">
        <f>[2]หน้าผ้า!EA95</f>
        <v>0</v>
      </c>
      <c r="AV86" s="1">
        <f>[2]หน้าผ้า!EB95</f>
        <v>0</v>
      </c>
      <c r="AW86" s="2" t="str">
        <f>[2]หน้าผ้า!EC95</f>
        <v>งานเคลือบ+พิมพ์</v>
      </c>
      <c r="AX86" s="2" t="str">
        <f>[2]หน้าผ้า!ED95</f>
        <v xml:space="preserve"> /</v>
      </c>
      <c r="AY86" s="2">
        <f>[2]หน้าผ้า!AG95</f>
        <v>0</v>
      </c>
      <c r="AZ86" s="2">
        <f>[2]หน้าผ้า!EG95</f>
        <v>0</v>
      </c>
      <c r="BA86" s="2">
        <f>[2]หน้าผ้า!EH95</f>
        <v>0</v>
      </c>
      <c r="BB86" s="2">
        <f>[2]หน้าผ้า!EI95</f>
        <v>0</v>
      </c>
      <c r="BC86" s="1" t="str">
        <f>[2]หน้าผ้า!BZ95</f>
        <v>WRWT25850/WRWT25850</v>
      </c>
      <c r="BD86" s="56">
        <f>[2]หน้าผ้า!CA95</f>
        <v>750.46839999999997</v>
      </c>
    </row>
    <row r="87" spans="1:56" ht="27.75" customHeight="1" x14ac:dyDescent="0.45">
      <c r="A87" s="3" t="str">
        <f>[2]หน้าผ้า!C96</f>
        <v>ประมาณการ</v>
      </c>
      <c r="B87" s="14" t="str">
        <f>[2]หน้าผ้า!B96</f>
        <v>ประมาณการ</v>
      </c>
      <c r="C87" s="9" t="str">
        <f>[2]หน้าผ้า!E96</f>
        <v>บจก.อินเทคค์ โกลบอล</v>
      </c>
      <c r="D87" s="13" t="str">
        <f>[2]หน้าผ้า!F96</f>
        <v>รอแบบ</v>
      </c>
      <c r="E87" s="9">
        <f>[2]หน้าผ้า!G96</f>
        <v>20</v>
      </c>
      <c r="F87" s="9">
        <f>[2]หน้าผ้า!H96</f>
        <v>36</v>
      </c>
      <c r="G87" s="9" t="str">
        <f>[2]หน้าผ้า!I96</f>
        <v>ขาว</v>
      </c>
      <c r="H87" s="9" t="str">
        <f>[2]หน้าผ้า!J96</f>
        <v>ด้าน</v>
      </c>
      <c r="I87" s="9">
        <f>[2]หน้าผ้า!L96</f>
        <v>100</v>
      </c>
      <c r="J87" s="9" t="str">
        <f>[2]หน้าผ้า!M96</f>
        <v>±</v>
      </c>
      <c r="K87" s="9">
        <f>[2]หน้าผ้า!N96</f>
        <v>5</v>
      </c>
      <c r="L87" s="9" t="str">
        <f>[2]หน้าผ้า!R96</f>
        <v>จับจีบ</v>
      </c>
      <c r="M87" s="10" t="str">
        <f>[2]หน้าผ้า!T96</f>
        <v>ไม่สวมถุงใน</v>
      </c>
      <c r="N87" s="9">
        <f>[2]หน้าผ้า!U96</f>
        <v>0</v>
      </c>
      <c r="O87" s="9">
        <f>[2]หน้าผ้า!V96</f>
        <v>0</v>
      </c>
      <c r="P87" s="10">
        <f>[2]หน้าผ้า!AB96</f>
        <v>0</v>
      </c>
      <c r="Q87" s="10">
        <f>[2]หน้าผ้า!AC96</f>
        <v>0</v>
      </c>
      <c r="R87" s="10">
        <f>[2]หน้าผ้า!AD96</f>
        <v>0</v>
      </c>
      <c r="S87" s="9" t="str">
        <f>[2]หน้าผ้า!Z96</f>
        <v>มัด80 ใช้สายรัด</v>
      </c>
      <c r="T87" s="12">
        <f>[2]หน้าผ้า!X96</f>
        <v>45930</v>
      </c>
      <c r="U87" s="11">
        <f>[2]หน้าผ้า!AA96</f>
        <v>100000</v>
      </c>
      <c r="V87" s="10">
        <f>[2]หน้าผ้า!AJ96</f>
        <v>0</v>
      </c>
      <c r="W87" s="10">
        <f>[2]หน้าผ้า!AL96</f>
        <v>100000</v>
      </c>
      <c r="X87" s="10">
        <f>[2]หน้าผ้า!AM96</f>
        <v>0</v>
      </c>
      <c r="Y87" s="10">
        <f>[2]หน้าผ้า!AN96</f>
        <v>105000</v>
      </c>
      <c r="Z87" s="9" t="str">
        <f>[2]หน้าผ้า!AO96</f>
        <v>WSWT2025800SM</v>
      </c>
      <c r="AA87" s="8">
        <f>[2]หน้าผ้า!AQ96</f>
        <v>104775.00000000001</v>
      </c>
      <c r="AB87" s="8">
        <f>[2]หน้าผ้า!AR96</f>
        <v>0</v>
      </c>
      <c r="AC87" s="8">
        <f>[2]หน้าผ้า!AS96</f>
        <v>104775.00000000001</v>
      </c>
      <c r="AD87" s="8">
        <f>[2]หน้าผ้า!AT96</f>
        <v>0</v>
      </c>
      <c r="AE87" s="8">
        <f>[2]หน้าผ้า!AU96</f>
        <v>104775.00000000001</v>
      </c>
      <c r="AF87" s="8">
        <f>[2]หน้าผ้า!AI96</f>
        <v>0</v>
      </c>
      <c r="AG87" s="1" t="str">
        <f>[3]หน้าผ้า!DC99</f>
        <v>พร้อมส่ง</v>
      </c>
      <c r="AH87" s="1" t="str">
        <f>[2]หน้าผ้า!DL96</f>
        <v>P6</v>
      </c>
      <c r="AI87" s="1">
        <f>[2]หน้าผ้า!DM96</f>
        <v>4</v>
      </c>
      <c r="AJ87" s="3">
        <f>[2]หน้าผ้า!DN96</f>
        <v>45930</v>
      </c>
      <c r="AK87" s="3">
        <f>[2]หน้าผ้า!DQ96</f>
        <v>45926</v>
      </c>
      <c r="AL87" s="3">
        <f>[2]หน้าผ้า!DR96</f>
        <v>45919</v>
      </c>
      <c r="AM87" s="3">
        <f>[2]หน้าผ้า!DS96</f>
        <v>45927</v>
      </c>
      <c r="AN87" s="3">
        <f>[2]หน้าผ้า!DT96</f>
        <v>45928</v>
      </c>
      <c r="AO87" s="3">
        <f>[2]หน้าผ้า!DU96</f>
        <v>45929</v>
      </c>
      <c r="AP87" s="3">
        <f>[2]หน้าผ้า!DP96</f>
        <v>45925</v>
      </c>
      <c r="AQ87" s="3">
        <f>[2]หน้าผ้า!DW96</f>
        <v>0</v>
      </c>
      <c r="AR87" s="3">
        <f>[2]หน้าผ้า!DX96</f>
        <v>0</v>
      </c>
      <c r="AS87" s="3">
        <f>[2]หน้าผ้า!DY96</f>
        <v>0</v>
      </c>
      <c r="AT87" s="3">
        <f>[2]หน้าผ้า!DZ96</f>
        <v>0</v>
      </c>
      <c r="AU87" s="3">
        <f>[2]หน้าผ้า!EA96</f>
        <v>0</v>
      </c>
      <c r="AV87" s="1">
        <f>[2]หน้าผ้า!EB96</f>
        <v>0</v>
      </c>
      <c r="AW87" s="2" t="str">
        <f>[2]หน้าผ้า!EC96</f>
        <v>งานเคลือบ+พิมพ์</v>
      </c>
      <c r="AX87" s="2" t="str">
        <f>[2]หน้าผ้า!ED96</f>
        <v>รอART</v>
      </c>
      <c r="AY87" s="2">
        <f>[2]หน้าผ้า!AG96</f>
        <v>0</v>
      </c>
      <c r="AZ87" s="2">
        <f>[2]หน้าผ้า!EG96</f>
        <v>0</v>
      </c>
      <c r="BA87" s="2">
        <f>[2]หน้าผ้า!EH96</f>
        <v>0</v>
      </c>
      <c r="BB87" s="2">
        <f>[2]หน้าผ้า!EI96</f>
        <v>0</v>
      </c>
      <c r="BC87" s="1" t="str">
        <f>[2]หน้าผ้า!BZ96</f>
        <v>WRWT25850/WRWT25850</v>
      </c>
      <c r="BD87" s="56">
        <f>[2]หน้าผ้า!CA96</f>
        <v>7916.333333333333</v>
      </c>
    </row>
    <row r="88" spans="1:56" ht="27.75" customHeight="1" x14ac:dyDescent="0.45">
      <c r="A88" s="3" t="str">
        <f>[2]หน้าผ้า!C97</f>
        <v>ประมาณการ</v>
      </c>
      <c r="B88" s="14" t="str">
        <f>[2]หน้าผ้า!B97</f>
        <v>ประมาณการ</v>
      </c>
      <c r="C88" s="9" t="str">
        <f>[2]หน้าผ้า!E97</f>
        <v>บจก.เอสพีเอ็ม อาหารสัตว์</v>
      </c>
      <c r="D88" s="13" t="str">
        <f>[2]หน้าผ้า!F97</f>
        <v>รอแบบ</v>
      </c>
      <c r="E88" s="9">
        <f>[2]หน้าผ้า!G97</f>
        <v>20</v>
      </c>
      <c r="F88" s="9">
        <f>[2]หน้าผ้า!H97</f>
        <v>38</v>
      </c>
      <c r="G88" s="9" t="str">
        <f>[2]หน้าผ้า!I97</f>
        <v>ขาว</v>
      </c>
      <c r="H88" s="9" t="str">
        <f>[2]หน้าผ้า!J97</f>
        <v>ใส</v>
      </c>
      <c r="I88" s="9">
        <f>[2]หน้าผ้า!L97</f>
        <v>100</v>
      </c>
      <c r="J88" s="9" t="str">
        <f>[2]หน้าผ้า!M97</f>
        <v>±</v>
      </c>
      <c r="K88" s="9">
        <f>[2]หน้าผ้า!N97</f>
        <v>5</v>
      </c>
      <c r="L88" s="9" t="str">
        <f>[2]หน้าผ้า!R97</f>
        <v>บิด</v>
      </c>
      <c r="M88" s="10" t="str">
        <f>[2]หน้าผ้า!T97</f>
        <v>ไม่สวมถุงใน</v>
      </c>
      <c r="N88" s="9">
        <f>[2]หน้าผ้า!U97</f>
        <v>0</v>
      </c>
      <c r="O88" s="9">
        <f>[2]หน้าผ้า!V97</f>
        <v>0</v>
      </c>
      <c r="P88" s="10">
        <f>[2]หน้าผ้า!AB97</f>
        <v>0</v>
      </c>
      <c r="Q88" s="10">
        <f>[2]หน้าผ้า!AC97</f>
        <v>0</v>
      </c>
      <c r="R88" s="10">
        <f>[2]หน้าผ้า!AD97</f>
        <v>0</v>
      </c>
      <c r="S88" s="9" t="str">
        <f>[2]หน้าผ้า!Z97</f>
        <v>500กระสอบแบน</v>
      </c>
      <c r="T88" s="12">
        <f>[2]หน้าผ้า!X97</f>
        <v>45930</v>
      </c>
      <c r="U88" s="11">
        <f>[2]หน้าผ้า!AA97</f>
        <v>20000</v>
      </c>
      <c r="V88" s="10">
        <f>[2]หน้าผ้า!AJ97</f>
        <v>0</v>
      </c>
      <c r="W88" s="10">
        <f>[2]หน้าผ้า!AL97</f>
        <v>20000</v>
      </c>
      <c r="X88" s="10">
        <f>[2]หน้าผ้า!AM97</f>
        <v>0</v>
      </c>
      <c r="Y88" s="10">
        <f>[2]หน้าผ้า!AN97</f>
        <v>21000</v>
      </c>
      <c r="Z88" s="9" t="str">
        <f>[2]หน้าผ้า!AO97</f>
        <v>WSWT2025800SM</v>
      </c>
      <c r="AA88" s="8">
        <f>[2]หน้าผ้า!AQ97</f>
        <v>22072.6</v>
      </c>
      <c r="AB88" s="8">
        <f>[2]หน้าผ้า!AR97</f>
        <v>0</v>
      </c>
      <c r="AC88" s="8">
        <f>[2]หน้าผ้า!AS97</f>
        <v>22072.6</v>
      </c>
      <c r="AD88" s="8">
        <f>[2]หน้าผ้า!AT97</f>
        <v>0</v>
      </c>
      <c r="AE88" s="8">
        <f>[2]หน้าผ้า!AU97</f>
        <v>22072.6</v>
      </c>
      <c r="AF88" s="8">
        <f>[2]หน้าผ้า!AI97</f>
        <v>0</v>
      </c>
      <c r="AG88" s="1" t="str">
        <f>[3]หน้าผ้า!DC100</f>
        <v>ยังไม่ได้พิมพ์</v>
      </c>
      <c r="AH88" s="1" t="str">
        <f>[2]หน้าผ้า!DL97</f>
        <v>P6</v>
      </c>
      <c r="AI88" s="1">
        <f>[2]หน้าผ้า!DM97</f>
        <v>4</v>
      </c>
      <c r="AJ88" s="3">
        <f>[2]หน้าผ้า!DN97</f>
        <v>45930</v>
      </c>
      <c r="AK88" s="3">
        <f>[2]หน้าผ้า!DQ97</f>
        <v>45926</v>
      </c>
      <c r="AL88" s="3">
        <f>[2]หน้าผ้า!DR97</f>
        <v>45919</v>
      </c>
      <c r="AM88" s="3">
        <f>[2]หน้าผ้า!DS97</f>
        <v>45927</v>
      </c>
      <c r="AN88" s="3">
        <f>[2]หน้าผ้า!DT97</f>
        <v>45928</v>
      </c>
      <c r="AO88" s="3">
        <f>[2]หน้าผ้า!DU97</f>
        <v>45929</v>
      </c>
      <c r="AP88" s="3">
        <f>[2]หน้าผ้า!DP97</f>
        <v>45925</v>
      </c>
      <c r="AQ88" s="3">
        <f>[2]หน้าผ้า!DW97</f>
        <v>0</v>
      </c>
      <c r="AR88" s="3">
        <f>[2]หน้าผ้า!DX97</f>
        <v>0</v>
      </c>
      <c r="AS88" s="3">
        <f>[2]หน้าผ้า!DY97</f>
        <v>0</v>
      </c>
      <c r="AT88" s="3">
        <f>[2]หน้าผ้า!DZ97</f>
        <v>0</v>
      </c>
      <c r="AU88" s="3">
        <f>[2]หน้าผ้า!EA97</f>
        <v>0</v>
      </c>
      <c r="AV88" s="1">
        <f>[2]หน้าผ้า!EB97</f>
        <v>0</v>
      </c>
      <c r="AW88" s="2" t="str">
        <f>[2]หน้าผ้า!EC97</f>
        <v>งานเคลือบ+พิมพ์</v>
      </c>
      <c r="AX88" s="2" t="str">
        <f>[2]หน้าผ้า!ED97</f>
        <v>รอART</v>
      </c>
      <c r="AY88" s="2">
        <f>[2]หน้าผ้า!AG97</f>
        <v>0</v>
      </c>
      <c r="AZ88" s="2">
        <f>[2]หน้าผ้า!EG97</f>
        <v>0</v>
      </c>
      <c r="BA88" s="2">
        <f>[2]หน้าผ้า!EH97</f>
        <v>0</v>
      </c>
      <c r="BB88" s="2">
        <f>[2]หน้าผ้า!EI97</f>
        <v>0</v>
      </c>
      <c r="BC88" s="1" t="str">
        <f>[2]หน้าผ้า!BZ97</f>
        <v>WRWT25850/WRWT25850</v>
      </c>
      <c r="BD88" s="56">
        <f>[2]หน้าผ้า!CA97</f>
        <v>1667.7075555555555</v>
      </c>
    </row>
    <row r="89" spans="1:56" ht="27.75" customHeight="1" x14ac:dyDescent="0.45">
      <c r="A89" s="3" t="str">
        <f>[2]หน้าผ้า!C98</f>
        <v>ประมาณการ</v>
      </c>
      <c r="B89" s="14" t="str">
        <f>[2]หน้าผ้า!B98</f>
        <v>ประมาณการ</v>
      </c>
      <c r="C89" s="9" t="str">
        <f>[2]หน้าผ้า!E98</f>
        <v>บจก.ไทยธรรมดี</v>
      </c>
      <c r="D89" s="13" t="str">
        <f>[2]หน้าผ้า!F98</f>
        <v>รอแบบ</v>
      </c>
      <c r="E89" s="9">
        <f>[2]หน้าผ้า!G98</f>
        <v>20</v>
      </c>
      <c r="F89" s="9">
        <f>[2]หน้าผ้า!H98</f>
        <v>37</v>
      </c>
      <c r="G89" s="9" t="str">
        <f>[2]หน้าผ้า!I98</f>
        <v>ขาว</v>
      </c>
      <c r="H89" s="9" t="str">
        <f>[2]หน้าผ้า!J98</f>
        <v>ด้าน</v>
      </c>
      <c r="I89" s="9">
        <f>[2]หน้าผ้า!L98</f>
        <v>97</v>
      </c>
      <c r="J89" s="9" t="str">
        <f>[2]หน้าผ้า!M98</f>
        <v>±</v>
      </c>
      <c r="K89" s="9">
        <f>[2]หน้าผ้า!N98</f>
        <v>5</v>
      </c>
      <c r="L89" s="9" t="str">
        <f>[2]หน้าผ้า!R98</f>
        <v>บิด</v>
      </c>
      <c r="M89" s="10" t="str">
        <f>[2]หน้าผ้า!T98</f>
        <v>ไม่สวมถุงใน</v>
      </c>
      <c r="N89" s="9">
        <f>[2]หน้าผ้า!U98</f>
        <v>0</v>
      </c>
      <c r="O89" s="9">
        <f>[2]หน้าผ้า!V98</f>
        <v>0</v>
      </c>
      <c r="P89" s="10">
        <f>[2]หน้าผ้า!AB98</f>
        <v>0</v>
      </c>
      <c r="Q89" s="10">
        <f>[2]หน้าผ้า!AC98</f>
        <v>0</v>
      </c>
      <c r="R89" s="10">
        <f>[2]หน้าผ้า!AD98</f>
        <v>0</v>
      </c>
      <c r="S89" s="9" t="str">
        <f>[2]หน้าผ้า!Z98</f>
        <v>500กระสอบ</v>
      </c>
      <c r="T89" s="12">
        <f>[2]หน้าผ้า!X98</f>
        <v>45930</v>
      </c>
      <c r="U89" s="11">
        <f>[2]หน้าผ้า!AA98</f>
        <v>20000</v>
      </c>
      <c r="V89" s="10">
        <f>[2]หน้าผ้า!AJ98</f>
        <v>0</v>
      </c>
      <c r="W89" s="10">
        <f>[2]หน้าผ้า!AL98</f>
        <v>20000</v>
      </c>
      <c r="X89" s="10">
        <f>[2]หน้าผ้า!AM98</f>
        <v>0</v>
      </c>
      <c r="Y89" s="10">
        <f>[2]หน้าผ้า!AN98</f>
        <v>21000</v>
      </c>
      <c r="Z89" s="9" t="str">
        <f>[2]หน้าผ้า!AO98</f>
        <v>WSWT2025800SM</v>
      </c>
      <c r="AA89" s="8">
        <f>[2]หน้าผ้า!AQ98</f>
        <v>21513.800000000003</v>
      </c>
      <c r="AB89" s="8">
        <f>[2]หน้าผ้า!AR98</f>
        <v>0</v>
      </c>
      <c r="AC89" s="8">
        <f>[2]หน้าผ้า!AS98</f>
        <v>21513.800000000003</v>
      </c>
      <c r="AD89" s="8">
        <f>[2]หน้าผ้า!AT98</f>
        <v>0</v>
      </c>
      <c r="AE89" s="8">
        <f>[2]หน้าผ้า!AU98</f>
        <v>21513.800000000003</v>
      </c>
      <c r="AF89" s="8">
        <f>[2]หน้าผ้า!AI98</f>
        <v>0</v>
      </c>
      <c r="AG89" s="1" t="str">
        <f>[3]หน้าผ้า!DC101</f>
        <v>ยังไม่ได้พิมพ์</v>
      </c>
      <c r="AH89" s="1" t="str">
        <f>[2]หน้าผ้า!DL98</f>
        <v>P6</v>
      </c>
      <c r="AI89" s="1">
        <f>[2]หน้าผ้า!DM98</f>
        <v>4</v>
      </c>
      <c r="AJ89" s="3">
        <f>[2]หน้าผ้า!DN98</f>
        <v>45930</v>
      </c>
      <c r="AK89" s="3">
        <f>[2]หน้าผ้า!DQ98</f>
        <v>45926</v>
      </c>
      <c r="AL89" s="3">
        <f>[2]หน้าผ้า!DR98</f>
        <v>45919</v>
      </c>
      <c r="AM89" s="3">
        <f>[2]หน้าผ้า!DS98</f>
        <v>45927</v>
      </c>
      <c r="AN89" s="3">
        <f>[2]หน้าผ้า!DT98</f>
        <v>45928</v>
      </c>
      <c r="AO89" s="3">
        <f>[2]หน้าผ้า!DU98</f>
        <v>45929</v>
      </c>
      <c r="AP89" s="3">
        <f>[2]หน้าผ้า!DP98</f>
        <v>45925</v>
      </c>
      <c r="AQ89" s="3">
        <f>[2]หน้าผ้า!DW98</f>
        <v>0</v>
      </c>
      <c r="AR89" s="3">
        <f>[2]หน้าผ้า!DX98</f>
        <v>0</v>
      </c>
      <c r="AS89" s="3">
        <f>[2]หน้าผ้า!DY98</f>
        <v>0</v>
      </c>
      <c r="AT89" s="3">
        <f>[2]หน้าผ้า!DZ98</f>
        <v>0</v>
      </c>
      <c r="AU89" s="3">
        <f>[2]หน้าผ้า!EA98</f>
        <v>0</v>
      </c>
      <c r="AV89" s="1">
        <f>[2]หน้าผ้า!EB98</f>
        <v>0</v>
      </c>
      <c r="AW89" s="2" t="str">
        <f>[2]หน้าผ้า!EC98</f>
        <v>งานเคลือบ+พิมพ์</v>
      </c>
      <c r="AX89" s="2" t="str">
        <f>[2]หน้าผ้า!ED98</f>
        <v>รอART</v>
      </c>
      <c r="AY89" s="2">
        <f>[2]หน้าผ้า!AG98</f>
        <v>0</v>
      </c>
      <c r="AZ89" s="2">
        <f>[2]หน้าผ้า!EG98</f>
        <v>0</v>
      </c>
      <c r="BA89" s="2">
        <f>[2]หน้าผ้า!EH98</f>
        <v>0</v>
      </c>
      <c r="BB89" s="2">
        <f>[2]หน้าผ้า!EI98</f>
        <v>0</v>
      </c>
      <c r="BC89" s="1" t="str">
        <f>[2]หน้าผ้า!BZ98</f>
        <v>WRWT25850/WRWT25850</v>
      </c>
      <c r="BD89" s="56">
        <f>[2]หน้าผ้า!CA98</f>
        <v>1625.4871111111113</v>
      </c>
    </row>
    <row r="90" spans="1:56" ht="27.75" customHeight="1" x14ac:dyDescent="0.45">
      <c r="A90" s="3">
        <f>[2]หน้าผ้า!C99</f>
        <v>45887</v>
      </c>
      <c r="B90" s="14" t="str">
        <f>[2]หน้าผ้า!B99</f>
        <v>MK68-001007</v>
      </c>
      <c r="C90" s="9" t="str">
        <f>[2]หน้าผ้า!E99</f>
        <v>บจก.อินเทคค์ โกลบอล</v>
      </c>
      <c r="D90" s="13" t="str">
        <f>[2]หน้าผ้า!F99</f>
        <v>เพอเฟคค์ 916</v>
      </c>
      <c r="E90" s="9">
        <f>[2]หน้าผ้า!G99</f>
        <v>20</v>
      </c>
      <c r="F90" s="9">
        <f>[2]หน้าผ้า!H99</f>
        <v>36</v>
      </c>
      <c r="G90" s="9" t="str">
        <f>[2]หน้าผ้า!I99</f>
        <v>ขาว</v>
      </c>
      <c r="H90" s="9" t="str">
        <f>[2]หน้าผ้า!J99</f>
        <v>ด้าน</v>
      </c>
      <c r="I90" s="9">
        <f>[2]หน้าผ้า!L99</f>
        <v>100</v>
      </c>
      <c r="J90" s="9" t="str">
        <f>[2]หน้าผ้า!M99</f>
        <v>±</v>
      </c>
      <c r="K90" s="9">
        <f>[2]หน้าผ้า!N99</f>
        <v>5</v>
      </c>
      <c r="L90" s="9" t="str">
        <f>[2]หน้าผ้า!R99</f>
        <v>จับจีบ</v>
      </c>
      <c r="M90" s="10" t="str">
        <f>[2]หน้าผ้า!T99</f>
        <v>ไม่สวมถุงใน</v>
      </c>
      <c r="N90" s="9">
        <f>[2]หน้าผ้า!U99</f>
        <v>0</v>
      </c>
      <c r="O90" s="9">
        <f>[2]หน้าผ้า!V99</f>
        <v>0</v>
      </c>
      <c r="P90" s="10">
        <f>[2]หน้าผ้า!AB99</f>
        <v>0</v>
      </c>
      <c r="Q90" s="10">
        <f>[2]หน้าผ้า!AC99</f>
        <v>0</v>
      </c>
      <c r="R90" s="10">
        <f>[2]หน้าผ้า!AD99</f>
        <v>0</v>
      </c>
      <c r="S90" s="9" t="str">
        <f>[2]หน้าผ้า!Z99</f>
        <v>มัด80 ใช้สายรัด</v>
      </c>
      <c r="T90" s="12" t="str">
        <f>[2]หน้าผ้า!X99</f>
        <v>รอแจ้ง</v>
      </c>
      <c r="U90" s="11">
        <f>[2]หน้าผ้า!AA99</f>
        <v>104</v>
      </c>
      <c r="V90" s="10">
        <f>[2]หน้าผ้า!AJ99</f>
        <v>0</v>
      </c>
      <c r="W90" s="10">
        <f>[2]หน้าผ้า!AL99</f>
        <v>104</v>
      </c>
      <c r="X90" s="10">
        <f>[2]หน้าผ้า!AM99</f>
        <v>11230</v>
      </c>
      <c r="Y90" s="10">
        <f>[2]หน้าผ้า!AN99</f>
        <v>0</v>
      </c>
      <c r="Z90" s="9" t="str">
        <f>[2]หน้าผ้า!AO99</f>
        <v>WSWT2025800SM</v>
      </c>
      <c r="AA90" s="8">
        <f>[2]หน้าผ้า!AQ99</f>
        <v>0</v>
      </c>
      <c r="AB90" s="8">
        <f>[2]หน้าผ้า!AR99</f>
        <v>0</v>
      </c>
      <c r="AC90" s="8">
        <f>[2]หน้าผ้า!AS99</f>
        <v>0</v>
      </c>
      <c r="AD90" s="8">
        <f>[2]หน้าผ้า!AT99</f>
        <v>0</v>
      </c>
      <c r="AE90" s="8">
        <f>[2]หน้าผ้า!AU99</f>
        <v>0</v>
      </c>
      <c r="AF90" s="8">
        <f>[2]หน้าผ้า!AI99</f>
        <v>0</v>
      </c>
      <c r="AG90" s="1" t="str">
        <f>[3]หน้าผ้า!DC102</f>
        <v>ยังไม่ได้พิมพ์</v>
      </c>
      <c r="AH90" s="1" t="str">
        <f>[2]หน้าผ้า!DL99</f>
        <v>P6</v>
      </c>
      <c r="AI90" s="1">
        <f>[2]หน้าผ้า!DM99</f>
        <v>4</v>
      </c>
      <c r="AJ90" s="3" t="str">
        <f>[2]หน้าผ้า!DN99</f>
        <v>รอแจ้ง</v>
      </c>
      <c r="AK90" s="3" t="e">
        <f>[2]หน้าผ้า!DQ99</f>
        <v>#VALUE!</v>
      </c>
      <c r="AL90" s="3" t="e">
        <f>[2]หน้าผ้า!DR99</f>
        <v>#VALUE!</v>
      </c>
      <c r="AM90" s="3" t="e">
        <f>[2]หน้าผ้า!DS99</f>
        <v>#VALUE!</v>
      </c>
      <c r="AN90" s="3" t="e">
        <f>[2]หน้าผ้า!DT99</f>
        <v>#VALUE!</v>
      </c>
      <c r="AO90" s="3" t="e">
        <f>[2]หน้าผ้า!DU99</f>
        <v>#VALUE!</v>
      </c>
      <c r="AP90" s="3" t="e">
        <f>[2]หน้าผ้า!DP99</f>
        <v>#VALUE!</v>
      </c>
      <c r="AQ90" s="3">
        <f>[2]หน้าผ้า!DW99</f>
        <v>0</v>
      </c>
      <c r="AR90" s="3">
        <f>[2]หน้าผ้า!DX99</f>
        <v>0</v>
      </c>
      <c r="AS90" s="3">
        <f>[2]หน้าผ้า!DY99</f>
        <v>0</v>
      </c>
      <c r="AT90" s="3">
        <f>[2]หน้าผ้า!DZ99</f>
        <v>0</v>
      </c>
      <c r="AU90" s="3">
        <f>[2]หน้าผ้า!EA99</f>
        <v>0</v>
      </c>
      <c r="AV90" s="1">
        <f>[2]หน้าผ้า!EB99</f>
        <v>0</v>
      </c>
      <c r="AW90" s="2" t="str">
        <f>[2]หน้าผ้า!EC99</f>
        <v>งานเคลือบ+พิมพ์</v>
      </c>
      <c r="AX90" s="2" t="str">
        <f>[2]หน้าผ้า!ED99</f>
        <v xml:space="preserve"> / </v>
      </c>
      <c r="AY90" s="2">
        <f>[2]หน้าผ้า!AG99</f>
        <v>0</v>
      </c>
      <c r="AZ90" s="2">
        <f>[2]หน้าผ้า!EG99</f>
        <v>0</v>
      </c>
      <c r="BA90" s="2">
        <f>[2]หน้าผ้า!EH99</f>
        <v>0</v>
      </c>
      <c r="BB90" s="2">
        <f>[2]หน้าผ้า!EI99</f>
        <v>0</v>
      </c>
      <c r="BC90" s="1" t="str">
        <f>[2]หน้าผ้า!BZ99</f>
        <v>WRWT25850/WRWT25850</v>
      </c>
      <c r="BD90" s="56">
        <f>[2]หน้าผ้า!CA99</f>
        <v>0</v>
      </c>
    </row>
    <row r="91" spans="1:56" ht="27.75" customHeight="1" x14ac:dyDescent="0.45">
      <c r="A91" s="3">
        <f>[2]หน้าผ้า!C100</f>
        <v>45896</v>
      </c>
      <c r="B91" s="14" t="str">
        <f>[2]หน้าผ้า!B100</f>
        <v>MK68-001039</v>
      </c>
      <c r="C91" s="9" t="str">
        <f>[2]หน้าผ้า!E100</f>
        <v>บจก.เอสพีเอ็ม อาหารสัตว์</v>
      </c>
      <c r="D91" s="13" t="str">
        <f>[2]หน้าผ้า!F100</f>
        <v>U-GOAT14</v>
      </c>
      <c r="E91" s="9">
        <f>[2]หน้าผ้า!G100</f>
        <v>20</v>
      </c>
      <c r="F91" s="9">
        <f>[2]หน้าผ้า!H100</f>
        <v>38</v>
      </c>
      <c r="G91" s="9" t="str">
        <f>[2]หน้าผ้า!I100</f>
        <v>ขาว</v>
      </c>
      <c r="H91" s="9" t="str">
        <f>[2]หน้าผ้า!J100</f>
        <v>ใส</v>
      </c>
      <c r="I91" s="9">
        <f>[2]หน้าผ้า!L100</f>
        <v>100</v>
      </c>
      <c r="J91" s="9" t="str">
        <f>[2]หน้าผ้า!M100</f>
        <v>±</v>
      </c>
      <c r="K91" s="9">
        <f>[2]หน้าผ้า!N100</f>
        <v>5</v>
      </c>
      <c r="L91" s="9" t="str">
        <f>[2]หน้าผ้า!R100</f>
        <v>บิด</v>
      </c>
      <c r="M91" s="10" t="str">
        <f>[2]หน้าผ้า!T100</f>
        <v>ไม่สวมถุงใน</v>
      </c>
      <c r="N91" s="9">
        <f>[2]หน้าผ้า!U100</f>
        <v>0</v>
      </c>
      <c r="O91" s="9">
        <f>[2]หน้าผ้า!V100</f>
        <v>0</v>
      </c>
      <c r="P91" s="10">
        <f>[2]หน้าผ้า!AB100</f>
        <v>0</v>
      </c>
      <c r="Q91" s="10">
        <f>[2]หน้าผ้า!AC100</f>
        <v>0</v>
      </c>
      <c r="R91" s="10">
        <f>[2]หน้าผ้า!AD100</f>
        <v>0</v>
      </c>
      <c r="S91" s="9" t="str">
        <f>[2]หน้าผ้า!Z100</f>
        <v>500กระสอบแบน</v>
      </c>
      <c r="T91" s="12" t="str">
        <f>[2]หน้าผ้า!X100</f>
        <v>รอแจ้ง</v>
      </c>
      <c r="U91" s="11">
        <f>[2]หน้าผ้า!AA100</f>
        <v>3000</v>
      </c>
      <c r="V91" s="10">
        <f>[2]หน้าผ้า!AJ100</f>
        <v>0</v>
      </c>
      <c r="W91" s="10">
        <f>[2]หน้าผ้า!AL100</f>
        <v>3000</v>
      </c>
      <c r="X91" s="10">
        <f>[2]หน้าผ้า!AM100</f>
        <v>0</v>
      </c>
      <c r="Y91" s="10">
        <f>[2]หน้าผ้า!AN100</f>
        <v>3150</v>
      </c>
      <c r="Z91" s="9" t="str">
        <f>[2]หน้าผ้า!AO100</f>
        <v>WSWT2025800SM</v>
      </c>
      <c r="AA91" s="8">
        <f>[2]หน้าผ้า!AQ100</f>
        <v>3310.89</v>
      </c>
      <c r="AB91" s="8">
        <f>[2]หน้าผ้า!AR100</f>
        <v>0</v>
      </c>
      <c r="AC91" s="8">
        <f>[2]หน้าผ้า!AS100</f>
        <v>3310.89</v>
      </c>
      <c r="AD91" s="8">
        <f>[2]หน้าผ้า!AT100</f>
        <v>0</v>
      </c>
      <c r="AE91" s="8">
        <f>[2]หน้าผ้า!AU100</f>
        <v>3310.89</v>
      </c>
      <c r="AF91" s="8">
        <f>[2]หน้าผ้า!AI100</f>
        <v>0</v>
      </c>
      <c r="AG91" s="1" t="str">
        <f>[3]หน้าผ้า!DC103</f>
        <v>พร้อมส่ง</v>
      </c>
      <c r="AH91" s="1" t="str">
        <f>[2]หน้าผ้า!DL100</f>
        <v>P6</v>
      </c>
      <c r="AI91" s="1">
        <f>[2]หน้าผ้า!DM100</f>
        <v>5</v>
      </c>
      <c r="AJ91" s="3" t="str">
        <f>[2]หน้าผ้า!DN100</f>
        <v>รอแจ้ง</v>
      </c>
      <c r="AK91" s="3" t="e">
        <f>[2]หน้าผ้า!DQ100</f>
        <v>#VALUE!</v>
      </c>
      <c r="AL91" s="3" t="e">
        <f>[2]หน้าผ้า!DR100</f>
        <v>#VALUE!</v>
      </c>
      <c r="AM91" s="3" t="e">
        <f>[2]หน้าผ้า!DS100</f>
        <v>#VALUE!</v>
      </c>
      <c r="AN91" s="3" t="e">
        <f>[2]หน้าผ้า!DT100</f>
        <v>#VALUE!</v>
      </c>
      <c r="AO91" s="3" t="e">
        <f>[2]หน้าผ้า!DU100</f>
        <v>#VALUE!</v>
      </c>
      <c r="AP91" s="3" t="e">
        <f>[2]หน้าผ้า!DP100</f>
        <v>#VALUE!</v>
      </c>
      <c r="AQ91" s="3">
        <f>[2]หน้าผ้า!DW100</f>
        <v>0</v>
      </c>
      <c r="AR91" s="3">
        <f>[2]หน้าผ้า!DX100</f>
        <v>0</v>
      </c>
      <c r="AS91" s="3">
        <f>[2]หน้าผ้า!DY100</f>
        <v>0</v>
      </c>
      <c r="AT91" s="3">
        <f>[2]หน้าผ้า!DZ100</f>
        <v>0</v>
      </c>
      <c r="AU91" s="3">
        <f>[2]หน้าผ้า!EA100</f>
        <v>0</v>
      </c>
      <c r="AV91" s="1">
        <f>[2]หน้าผ้า!EB100</f>
        <v>0</v>
      </c>
      <c r="AW91" s="2" t="str">
        <f>[2]หน้าผ้า!EC100</f>
        <v>งานเคลือบ+พิมพ์</v>
      </c>
      <c r="AX91" s="2" t="str">
        <f>[2]หน้าผ้า!ED100</f>
        <v xml:space="preserve"> /</v>
      </c>
      <c r="AY91" s="2">
        <f>[2]หน้าผ้า!AG100</f>
        <v>0</v>
      </c>
      <c r="AZ91" s="2">
        <f>[2]หน้าผ้า!EG100</f>
        <v>0</v>
      </c>
      <c r="BA91" s="2">
        <f>[2]หน้าผ้า!EH100</f>
        <v>0</v>
      </c>
      <c r="BB91" s="2">
        <f>[2]หน้าผ้า!EI100</f>
        <v>0</v>
      </c>
      <c r="BC91" s="1" t="str">
        <f>[2]หน้าผ้า!BZ100</f>
        <v>WRWT25850/WRWT25850</v>
      </c>
      <c r="BD91" s="56">
        <f>[2]หน้าผ้า!CA100</f>
        <v>250.15613333333337</v>
      </c>
    </row>
    <row r="92" spans="1:56" ht="27.75" customHeight="1" x14ac:dyDescent="0.45">
      <c r="A92" s="3">
        <f>[2]หน้าผ้า!C101</f>
        <v>45896</v>
      </c>
      <c r="B92" s="14" t="str">
        <f>[2]หน้าผ้า!B101</f>
        <v>MK68-001040</v>
      </c>
      <c r="C92" s="9" t="str">
        <f>[2]หน้าผ้า!E101</f>
        <v>บจก.เอสพีเอ็ม อาหารสัตว์</v>
      </c>
      <c r="D92" s="13" t="str">
        <f>[2]หน้าผ้า!F101</f>
        <v>ฟิล กู๊ด พี4</v>
      </c>
      <c r="E92" s="9">
        <f>[2]หน้าผ้า!G101</f>
        <v>20</v>
      </c>
      <c r="F92" s="9">
        <f>[2]หน้าผ้า!H101</f>
        <v>38</v>
      </c>
      <c r="G92" s="9" t="str">
        <f>[2]หน้าผ้า!I101</f>
        <v>ขาว</v>
      </c>
      <c r="H92" s="9" t="str">
        <f>[2]หน้าผ้า!J101</f>
        <v>ใส</v>
      </c>
      <c r="I92" s="9">
        <f>[2]หน้าผ้า!L101</f>
        <v>100</v>
      </c>
      <c r="J92" s="9" t="str">
        <f>[2]หน้าผ้า!M101</f>
        <v>±</v>
      </c>
      <c r="K92" s="9">
        <f>[2]หน้าผ้า!N101</f>
        <v>5</v>
      </c>
      <c r="L92" s="9" t="str">
        <f>[2]หน้าผ้า!R101</f>
        <v>บิด</v>
      </c>
      <c r="M92" s="10" t="str">
        <f>[2]หน้าผ้า!T101</f>
        <v>ไม่สวมถุงใน</v>
      </c>
      <c r="N92" s="9">
        <f>[2]หน้าผ้า!U101</f>
        <v>0</v>
      </c>
      <c r="O92" s="9">
        <f>[2]หน้าผ้า!V101</f>
        <v>0</v>
      </c>
      <c r="P92" s="10">
        <f>[2]หน้าผ้า!AB101</f>
        <v>0</v>
      </c>
      <c r="Q92" s="10">
        <f>[2]หน้าผ้า!AC101</f>
        <v>0</v>
      </c>
      <c r="R92" s="10">
        <f>[2]หน้าผ้า!AD101</f>
        <v>0</v>
      </c>
      <c r="S92" s="9" t="str">
        <f>[2]หน้าผ้า!Z101</f>
        <v>500กระสอบแบน</v>
      </c>
      <c r="T92" s="12" t="str">
        <f>[2]หน้าผ้า!X101</f>
        <v>รอแจ้ง</v>
      </c>
      <c r="U92" s="11">
        <f>[2]หน้าผ้า!AA101</f>
        <v>8000</v>
      </c>
      <c r="V92" s="10">
        <f>[2]หน้าผ้า!AJ101</f>
        <v>0</v>
      </c>
      <c r="W92" s="10">
        <f>[2]หน้าผ้า!AL101</f>
        <v>8000</v>
      </c>
      <c r="X92" s="10">
        <f>[2]หน้าผ้า!AM101</f>
        <v>0</v>
      </c>
      <c r="Y92" s="10">
        <f>[2]หน้าผ้า!AN101</f>
        <v>8400</v>
      </c>
      <c r="Z92" s="9" t="str">
        <f>[2]หน้าผ้า!AO101</f>
        <v>WSWT2025800SM</v>
      </c>
      <c r="AA92" s="8">
        <f>[2]หน้าผ้า!AQ101</f>
        <v>8829.0399999999991</v>
      </c>
      <c r="AB92" s="8">
        <f>[2]หน้าผ้า!AR101</f>
        <v>0</v>
      </c>
      <c r="AC92" s="8">
        <f>[2]หน้าผ้า!AS101</f>
        <v>8829.0399999999991</v>
      </c>
      <c r="AD92" s="8">
        <f>[2]หน้าผ้า!AT101</f>
        <v>0</v>
      </c>
      <c r="AE92" s="8">
        <f>[2]หน้าผ้า!AU101</f>
        <v>8829.0399999999991</v>
      </c>
      <c r="AF92" s="8">
        <f>[2]หน้าผ้า!AI101</f>
        <v>0</v>
      </c>
      <c r="AG92" s="1" t="str">
        <f>[3]หน้าผ้า!DC104</f>
        <v>พร้อมส่ง</v>
      </c>
      <c r="AH92" s="1" t="str">
        <f>[2]หน้าผ้า!DL101</f>
        <v>P6</v>
      </c>
      <c r="AI92" s="1">
        <f>[2]หน้าผ้า!DM101</f>
        <v>5</v>
      </c>
      <c r="AJ92" s="3" t="str">
        <f>[2]หน้าผ้า!DN101</f>
        <v>รอแจ้ง</v>
      </c>
      <c r="AK92" s="3" t="e">
        <f>[2]หน้าผ้า!DQ101</f>
        <v>#VALUE!</v>
      </c>
      <c r="AL92" s="3" t="e">
        <f>[2]หน้าผ้า!DR101</f>
        <v>#VALUE!</v>
      </c>
      <c r="AM92" s="3" t="e">
        <f>[2]หน้าผ้า!DS101</f>
        <v>#VALUE!</v>
      </c>
      <c r="AN92" s="3" t="e">
        <f>[2]หน้าผ้า!DT101</f>
        <v>#VALUE!</v>
      </c>
      <c r="AO92" s="3" t="e">
        <f>[2]หน้าผ้า!DU101</f>
        <v>#VALUE!</v>
      </c>
      <c r="AP92" s="3" t="e">
        <f>[2]หน้าผ้า!DP101</f>
        <v>#VALUE!</v>
      </c>
      <c r="AQ92" s="3">
        <f>[2]หน้าผ้า!DW101</f>
        <v>0</v>
      </c>
      <c r="AR92" s="3">
        <f>[2]หน้าผ้า!DX101</f>
        <v>0</v>
      </c>
      <c r="AS92" s="3">
        <f>[2]หน้าผ้า!DY101</f>
        <v>0</v>
      </c>
      <c r="AT92" s="3">
        <f>[2]หน้าผ้า!DZ101</f>
        <v>0</v>
      </c>
      <c r="AU92" s="3">
        <f>[2]หน้าผ้า!EA101</f>
        <v>0</v>
      </c>
      <c r="AV92" s="1">
        <f>[2]หน้าผ้า!EB101</f>
        <v>0</v>
      </c>
      <c r="AW92" s="2" t="str">
        <f>[2]หน้าผ้า!EC101</f>
        <v>งานเคลือบ+พิมพ์</v>
      </c>
      <c r="AX92" s="2" t="str">
        <f>[2]หน้าผ้า!ED101</f>
        <v xml:space="preserve"> /</v>
      </c>
      <c r="AY92" s="2">
        <f>[2]หน้าผ้า!AG101</f>
        <v>0</v>
      </c>
      <c r="AZ92" s="2">
        <f>[2]หน้าผ้า!EG101</f>
        <v>0</v>
      </c>
      <c r="BA92" s="2">
        <f>[2]หน้าผ้า!EH101</f>
        <v>0</v>
      </c>
      <c r="BB92" s="2">
        <f>[2]หน้าผ้า!EI101</f>
        <v>0</v>
      </c>
      <c r="BC92" s="1" t="str">
        <f>[2]หน้าผ้า!BZ101</f>
        <v>WRWT25850/WRWT25850</v>
      </c>
      <c r="BD92" s="56">
        <f>[2]หน้าผ้า!CA101</f>
        <v>667.08302222222221</v>
      </c>
    </row>
    <row r="93" spans="1:56" ht="27.75" customHeight="1" x14ac:dyDescent="0.45">
      <c r="A93" s="3">
        <f>[2]หน้าผ้า!C102</f>
        <v>45892</v>
      </c>
      <c r="B93" s="14" t="str">
        <f>[2]หน้าผ้า!B102</f>
        <v>MK68-001027</v>
      </c>
      <c r="C93" s="9" t="str">
        <f>[2]หน้าผ้า!E102</f>
        <v>บจก.เอสพีเอ็ม อาหารสัตว์</v>
      </c>
      <c r="D93" s="13" t="str">
        <f>[2]หน้าผ้า!F102</f>
        <v>นีโอ 05</v>
      </c>
      <c r="E93" s="9">
        <f>[2]หน้าผ้า!G102</f>
        <v>20</v>
      </c>
      <c r="F93" s="9">
        <f>[2]หน้าผ้า!H102</f>
        <v>38</v>
      </c>
      <c r="G93" s="9" t="str">
        <f>[2]หน้าผ้า!I102</f>
        <v>ขาว</v>
      </c>
      <c r="H93" s="9" t="str">
        <f>[2]หน้าผ้า!J102</f>
        <v>ด้าน</v>
      </c>
      <c r="I93" s="9">
        <f>[2]หน้าผ้า!L102</f>
        <v>100</v>
      </c>
      <c r="J93" s="9" t="str">
        <f>[2]หน้าผ้า!M102</f>
        <v>±</v>
      </c>
      <c r="K93" s="9">
        <f>[2]หน้าผ้า!N102</f>
        <v>5</v>
      </c>
      <c r="L93" s="9" t="str">
        <f>[2]หน้าผ้า!R102</f>
        <v>ไม่</v>
      </c>
      <c r="M93" s="10" t="str">
        <f>[2]หน้าผ้า!T102</f>
        <v>ไม่สวมถุงใน</v>
      </c>
      <c r="N93" s="9">
        <f>[2]หน้าผ้า!U102</f>
        <v>0</v>
      </c>
      <c r="O93" s="9">
        <f>[2]หน้าผ้า!V102</f>
        <v>0</v>
      </c>
      <c r="P93" s="10">
        <f>[2]หน้าผ้า!AB102</f>
        <v>0</v>
      </c>
      <c r="Q93" s="10">
        <f>[2]หน้าผ้า!AC102</f>
        <v>0</v>
      </c>
      <c r="R93" s="10">
        <f>[2]หน้าผ้า!AD102</f>
        <v>0</v>
      </c>
      <c r="S93" s="9" t="str">
        <f>[2]หน้าผ้า!Z102</f>
        <v>500กระสอบแบน</v>
      </c>
      <c r="T93" s="12" t="str">
        <f>[2]หน้าผ้า!X102</f>
        <v>รอแจ้ง</v>
      </c>
      <c r="U93" s="11">
        <f>[2]หน้าผ้า!AA102</f>
        <v>6000</v>
      </c>
      <c r="V93" s="10">
        <f>[2]หน้าผ้า!AJ102</f>
        <v>0</v>
      </c>
      <c r="W93" s="10">
        <f>[2]หน้าผ้า!AL102</f>
        <v>6000</v>
      </c>
      <c r="X93" s="10">
        <f>[2]หน้าผ้า!AM102</f>
        <v>0</v>
      </c>
      <c r="Y93" s="10">
        <f>[2]หน้าผ้า!AN102</f>
        <v>6300</v>
      </c>
      <c r="Z93" s="9" t="str">
        <f>[2]หน้าผ้า!AO102</f>
        <v>WSWT2025800SM</v>
      </c>
      <c r="AA93" s="8">
        <f>[2]หน้าผ้า!AQ102</f>
        <v>6621.78</v>
      </c>
      <c r="AB93" s="8">
        <f>[2]หน้าผ้า!AR102</f>
        <v>0</v>
      </c>
      <c r="AC93" s="8">
        <f>[2]หน้าผ้า!AS102</f>
        <v>6621.78</v>
      </c>
      <c r="AD93" s="8">
        <f>[2]หน้าผ้า!AT102</f>
        <v>0</v>
      </c>
      <c r="AE93" s="8">
        <f>[2]หน้าผ้า!AU102</f>
        <v>6621.78</v>
      </c>
      <c r="AF93" s="8">
        <f>[2]หน้าผ้า!AI102</f>
        <v>0</v>
      </c>
      <c r="AG93" s="1" t="str">
        <f>[3]หน้าผ้า!DC105</f>
        <v>ยังไม่ได้พิมพ์</v>
      </c>
      <c r="AH93" s="1" t="str">
        <f>[2]หน้าผ้า!DL102</f>
        <v>P6</v>
      </c>
      <c r="AI93" s="1">
        <f>[2]หน้าผ้า!DM102</f>
        <v>4</v>
      </c>
      <c r="AJ93" s="3" t="str">
        <f>[2]หน้าผ้า!DN102</f>
        <v>รอแจ้ง</v>
      </c>
      <c r="AK93" s="3" t="e">
        <f>[2]หน้าผ้า!DQ102</f>
        <v>#VALUE!</v>
      </c>
      <c r="AL93" s="3" t="e">
        <f>[2]หน้าผ้า!DR102</f>
        <v>#VALUE!</v>
      </c>
      <c r="AM93" s="3" t="e">
        <f>[2]หน้าผ้า!DS102</f>
        <v>#VALUE!</v>
      </c>
      <c r="AN93" s="3" t="e">
        <f>[2]หน้าผ้า!DT102</f>
        <v>#VALUE!</v>
      </c>
      <c r="AO93" s="3" t="e">
        <f>[2]หน้าผ้า!DU102</f>
        <v>#VALUE!</v>
      </c>
      <c r="AP93" s="3" t="e">
        <f>[2]หน้าผ้า!DP102</f>
        <v>#VALUE!</v>
      </c>
      <c r="AQ93" s="3">
        <f>[2]หน้าผ้า!DW102</f>
        <v>0</v>
      </c>
      <c r="AR93" s="3">
        <f>[2]หน้าผ้า!DX102</f>
        <v>0</v>
      </c>
      <c r="AS93" s="3">
        <f>[2]หน้าผ้า!DY102</f>
        <v>0</v>
      </c>
      <c r="AT93" s="3">
        <f>[2]หน้าผ้า!DZ102</f>
        <v>0</v>
      </c>
      <c r="AU93" s="3">
        <f>[2]หน้าผ้า!EA102</f>
        <v>0</v>
      </c>
      <c r="AV93" s="1">
        <f>[2]หน้าผ้า!EB102</f>
        <v>0</v>
      </c>
      <c r="AW93" s="2" t="str">
        <f>[2]หน้าผ้า!EC102</f>
        <v>งานเคลือบ+พิมพ์</v>
      </c>
      <c r="AX93" s="2" t="str">
        <f>[2]หน้าผ้า!ED102</f>
        <v xml:space="preserve"> /</v>
      </c>
      <c r="AY93" s="2">
        <f>[2]หน้าผ้า!AG102</f>
        <v>0</v>
      </c>
      <c r="AZ93" s="2">
        <f>[2]หน้าผ้า!EG102</f>
        <v>0</v>
      </c>
      <c r="BA93" s="2">
        <f>[2]หน้าผ้า!EH102</f>
        <v>0</v>
      </c>
      <c r="BB93" s="2">
        <f>[2]หน้าผ้า!EI102</f>
        <v>0</v>
      </c>
      <c r="BC93" s="1" t="str">
        <f>[2]หน้าผ้า!BZ102</f>
        <v>WRWT25850/WRWT25850</v>
      </c>
      <c r="BD93" s="56">
        <f>[2]หน้าผ้า!CA102</f>
        <v>500.31226666666674</v>
      </c>
    </row>
    <row r="94" spans="1:56" ht="27.75" customHeight="1" x14ac:dyDescent="0.45">
      <c r="A94" s="3">
        <f>[2]หน้าผ้า!C103</f>
        <v>45796</v>
      </c>
      <c r="B94" s="14" t="str">
        <f>[2]หน้าผ้า!B103</f>
        <v>MK68-000675</v>
      </c>
      <c r="C94" s="9" t="str">
        <f>[2]หน้าผ้า!E103</f>
        <v>บจก.อินเทคค์ โกลบอล</v>
      </c>
      <c r="D94" s="13" t="str">
        <f>[2]หน้าผ้า!F103</f>
        <v>เพอเฟคค์ 914</v>
      </c>
      <c r="E94" s="9">
        <f>[2]หน้าผ้า!G103</f>
        <v>20</v>
      </c>
      <c r="F94" s="9">
        <f>[2]หน้าผ้า!H103</f>
        <v>36</v>
      </c>
      <c r="G94" s="9" t="str">
        <f>[2]หน้าผ้า!I103</f>
        <v>ขาว</v>
      </c>
      <c r="H94" s="9" t="str">
        <f>[2]หน้าผ้า!J103</f>
        <v>ด้าน</v>
      </c>
      <c r="I94" s="9">
        <f>[2]หน้าผ้า!L103</f>
        <v>100</v>
      </c>
      <c r="J94" s="9" t="str">
        <f>[2]หน้าผ้า!M103</f>
        <v>±</v>
      </c>
      <c r="K94" s="9">
        <f>[2]หน้าผ้า!N103</f>
        <v>5</v>
      </c>
      <c r="L94" s="9" t="str">
        <f>[2]หน้าผ้า!R103</f>
        <v>จับจีบ</v>
      </c>
      <c r="M94" s="10" t="str">
        <f>[2]หน้าผ้า!T103</f>
        <v>ไม่สวมถุงใน</v>
      </c>
      <c r="N94" s="9">
        <f>[2]หน้าผ้า!U103</f>
        <v>0</v>
      </c>
      <c r="O94" s="9">
        <f>[2]หน้าผ้า!V103</f>
        <v>0</v>
      </c>
      <c r="P94" s="10">
        <f>[2]หน้าผ้า!AB103</f>
        <v>0</v>
      </c>
      <c r="Q94" s="10">
        <f>[2]หน้าผ้า!AC103</f>
        <v>0</v>
      </c>
      <c r="R94" s="10">
        <f>[2]หน้าผ้า!AD103</f>
        <v>0</v>
      </c>
      <c r="S94" s="9" t="str">
        <f>[2]หน้าผ้า!Z103</f>
        <v>มัด80 ใช้สายรัด</v>
      </c>
      <c r="T94" s="12" t="str">
        <f>[2]หน้าผ้า!X103</f>
        <v>รอแจ้ง</v>
      </c>
      <c r="U94" s="11">
        <f>[2]หน้าผ้า!AA103</f>
        <v>240</v>
      </c>
      <c r="V94" s="10">
        <f>[2]หน้าผ้า!AJ103</f>
        <v>0</v>
      </c>
      <c r="W94" s="10">
        <f>[2]หน้าผ้า!AL103</f>
        <v>240</v>
      </c>
      <c r="X94" s="10">
        <f>[2]หน้าผ้า!AM103</f>
        <v>0</v>
      </c>
      <c r="Y94" s="10">
        <f>[2]หน้าผ้า!AN103</f>
        <v>252</v>
      </c>
      <c r="Z94" s="9" t="str">
        <f>[2]หน้าผ้า!AO103</f>
        <v>WSWT2025800SM</v>
      </c>
      <c r="AA94" s="8">
        <f>[2]หน้าผ้า!AQ103</f>
        <v>251.46</v>
      </c>
      <c r="AB94" s="8">
        <f>[2]หน้าผ้า!AR103</f>
        <v>0</v>
      </c>
      <c r="AC94" s="8">
        <f>[2]หน้าผ้า!AS103</f>
        <v>251.46</v>
      </c>
      <c r="AD94" s="8">
        <f>[2]หน้าผ้า!AT103</f>
        <v>0</v>
      </c>
      <c r="AE94" s="8">
        <f>[2]หน้าผ้า!AU103</f>
        <v>251.46</v>
      </c>
      <c r="AF94" s="8">
        <f>[2]หน้าผ้า!AI103</f>
        <v>0</v>
      </c>
      <c r="AG94" s="1" t="str">
        <f>[3]หน้าผ้า!DC106</f>
        <v>รอแบบ</v>
      </c>
      <c r="AH94" s="1" t="str">
        <f>[2]หน้าผ้า!DL103</f>
        <v>P6</v>
      </c>
      <c r="AI94" s="1">
        <f>[2]หน้าผ้า!DM103</f>
        <v>4</v>
      </c>
      <c r="AJ94" s="3" t="str">
        <f>[2]หน้าผ้า!DN103</f>
        <v>รอแจ้ง</v>
      </c>
      <c r="AK94" s="3" t="e">
        <f>[2]หน้าผ้า!DQ103</f>
        <v>#VALUE!</v>
      </c>
      <c r="AL94" s="3" t="e">
        <f>[2]หน้าผ้า!DR103</f>
        <v>#VALUE!</v>
      </c>
      <c r="AM94" s="3" t="e">
        <f>[2]หน้าผ้า!DS103</f>
        <v>#VALUE!</v>
      </c>
      <c r="AN94" s="3" t="e">
        <f>[2]หน้าผ้า!DT103</f>
        <v>#VALUE!</v>
      </c>
      <c r="AO94" s="3" t="e">
        <f>[2]หน้าผ้า!DU103</f>
        <v>#VALUE!</v>
      </c>
      <c r="AP94" s="3" t="e">
        <f>[2]หน้าผ้า!DP103</f>
        <v>#VALUE!</v>
      </c>
      <c r="AQ94" s="3">
        <f>[2]หน้าผ้า!DW103</f>
        <v>0</v>
      </c>
      <c r="AR94" s="3">
        <f>[2]หน้าผ้า!DX103</f>
        <v>0</v>
      </c>
      <c r="AS94" s="3">
        <f>[2]หน้าผ้า!DY103</f>
        <v>0</v>
      </c>
      <c r="AT94" s="3">
        <f>[2]หน้าผ้า!DZ103</f>
        <v>0</v>
      </c>
      <c r="AU94" s="3">
        <f>[2]หน้าผ้า!EA103</f>
        <v>0</v>
      </c>
      <c r="AV94" s="1">
        <f>[2]หน้าผ้า!EB103</f>
        <v>0</v>
      </c>
      <c r="AW94" s="2" t="str">
        <f>[2]หน้าผ้า!EC103</f>
        <v>งานเคลือบ+พิมพ์</v>
      </c>
      <c r="AX94" s="2" t="str">
        <f>[2]หน้าผ้า!ED103</f>
        <v xml:space="preserve"> /</v>
      </c>
      <c r="AY94" s="2" t="str">
        <f>[2]หน้าผ้า!AG103</f>
        <v>2/6---6/6</v>
      </c>
      <c r="AZ94" s="2">
        <f>[2]หน้าผ้า!EG103</f>
        <v>0</v>
      </c>
      <c r="BA94" s="2">
        <f>[2]หน้าผ้า!EH103</f>
        <v>0</v>
      </c>
      <c r="BB94" s="2">
        <f>[2]หน้าผ้า!EI103</f>
        <v>0</v>
      </c>
      <c r="BC94" s="1" t="str">
        <f>[2]หน้าผ้า!BZ103</f>
        <v>WRWT25850/WRWT25850</v>
      </c>
      <c r="BD94" s="56">
        <f>[2]หน้าผ้า!CA103</f>
        <v>18.999199999999998</v>
      </c>
    </row>
    <row r="95" spans="1:56" ht="27.75" customHeight="1" x14ac:dyDescent="0.45">
      <c r="A95" s="3">
        <f>[2]หน้าผ้า!C104</f>
        <v>45876</v>
      </c>
      <c r="B95" s="14" t="str">
        <f>[2]หน้าผ้า!B104</f>
        <v>MK68-000983</v>
      </c>
      <c r="C95" s="9" t="str">
        <f>[2]หน้าผ้า!E104</f>
        <v>บจก.เอพีเอ็ม อะโกร</v>
      </c>
      <c r="D95" s="13" t="str">
        <f>[2]หน้าผ้า!F104</f>
        <v>ยูฟีด บี2</v>
      </c>
      <c r="E95" s="9">
        <f>[2]หน้าผ้า!G104</f>
        <v>20</v>
      </c>
      <c r="F95" s="9">
        <f>[2]หน้าผ้า!H104</f>
        <v>40</v>
      </c>
      <c r="G95" s="9" t="str">
        <f>[2]หน้าผ้า!I104</f>
        <v>ขาว</v>
      </c>
      <c r="H95" s="9" t="str">
        <f>[2]หน้าผ้า!J104</f>
        <v>ใส</v>
      </c>
      <c r="I95" s="9">
        <f>[2]หน้าผ้า!L104</f>
        <v>108</v>
      </c>
      <c r="J95" s="9" t="str">
        <f>[2]หน้าผ้า!M104</f>
        <v>±</v>
      </c>
      <c r="K95" s="9">
        <f>[2]หน้าผ้า!N104</f>
        <v>5</v>
      </c>
      <c r="L95" s="9" t="str">
        <f>[2]หน้าผ้า!R104</f>
        <v>บิด</v>
      </c>
      <c r="M95" s="10" t="str">
        <f>[2]หน้าผ้า!T104</f>
        <v>ไม่สวมถุงใน</v>
      </c>
      <c r="N95" s="9">
        <f>[2]หน้าผ้า!U104</f>
        <v>0</v>
      </c>
      <c r="O95" s="9">
        <f>[2]หน้าผ้า!V104</f>
        <v>0</v>
      </c>
      <c r="P95" s="10">
        <f>[2]หน้าผ้า!AB104</f>
        <v>0</v>
      </c>
      <c r="Q95" s="10">
        <f>[2]หน้าผ้า!AC104</f>
        <v>0</v>
      </c>
      <c r="R95" s="10">
        <f>[2]หน้าผ้า!AD104</f>
        <v>0</v>
      </c>
      <c r="S95" s="9" t="str">
        <f>[2]หน้าผ้า!Z104</f>
        <v>500กระสอบแบน</v>
      </c>
      <c r="T95" s="12" t="str">
        <f>[2]หน้าผ้า!X104</f>
        <v>รอแจ้ง</v>
      </c>
      <c r="U95" s="11">
        <f>[2]หน้าผ้า!AA104</f>
        <v>3000</v>
      </c>
      <c r="V95" s="10">
        <f>[2]หน้าผ้า!AJ104</f>
        <v>3075</v>
      </c>
      <c r="W95" s="10">
        <f>[2]หน้าผ้า!AL104</f>
        <v>0</v>
      </c>
      <c r="X95" s="10">
        <f>[2]หน้าผ้า!AM104</f>
        <v>0</v>
      </c>
      <c r="Y95" s="10">
        <f>[2]หน้าผ้า!AN104</f>
        <v>0</v>
      </c>
      <c r="Z95" s="9" t="str">
        <f>[2]หน้าผ้า!AO104</f>
        <v>WSWT2025800SM</v>
      </c>
      <c r="AA95" s="8">
        <f>[2]หน้าผ้า!AQ104</f>
        <v>0</v>
      </c>
      <c r="AB95" s="8">
        <f>[2]หน้าผ้า!AR104</f>
        <v>0</v>
      </c>
      <c r="AC95" s="8">
        <f>[2]หน้าผ้า!AS104</f>
        <v>0</v>
      </c>
      <c r="AD95" s="8">
        <f>[2]หน้าผ้า!AT104</f>
        <v>0</v>
      </c>
      <c r="AE95" s="8">
        <f>[2]หน้าผ้า!AU104</f>
        <v>0</v>
      </c>
      <c r="AF95" s="8">
        <f>[2]หน้าผ้า!AI104</f>
        <v>0</v>
      </c>
      <c r="AG95" s="1" t="str">
        <f>[3]หน้าผ้า!DC107</f>
        <v>พร้อมส่ง</v>
      </c>
      <c r="AH95" s="1" t="str">
        <f>[2]หน้าผ้า!DL104</f>
        <v>P6</v>
      </c>
      <c r="AI95" s="1">
        <f>[2]หน้าผ้า!DM104</f>
        <v>4</v>
      </c>
      <c r="AJ95" s="3" t="str">
        <f>[2]หน้าผ้า!DN104</f>
        <v>รอแจ้ง</v>
      </c>
      <c r="AK95" s="3" t="e">
        <f>[2]หน้าผ้า!DQ104</f>
        <v>#VALUE!</v>
      </c>
      <c r="AL95" s="3" t="e">
        <f>[2]หน้าผ้า!DR104</f>
        <v>#VALUE!</v>
      </c>
      <c r="AM95" s="3" t="e">
        <f>[2]หน้าผ้า!DS104</f>
        <v>#VALUE!</v>
      </c>
      <c r="AN95" s="3" t="e">
        <f>[2]หน้าผ้า!DT104</f>
        <v>#VALUE!</v>
      </c>
      <c r="AO95" s="3" t="e">
        <f>[2]หน้าผ้า!DU104</f>
        <v>#VALUE!</v>
      </c>
      <c r="AP95" s="3" t="e">
        <f>[2]หน้าผ้า!DP104</f>
        <v>#VALUE!</v>
      </c>
      <c r="AQ95" s="3">
        <f>[2]หน้าผ้า!DW104</f>
        <v>0</v>
      </c>
      <c r="AR95" s="3">
        <f>[2]หน้าผ้า!DX104</f>
        <v>0</v>
      </c>
      <c r="AS95" s="3">
        <f>[2]หน้าผ้า!DY104</f>
        <v>0</v>
      </c>
      <c r="AT95" s="3">
        <f>[2]หน้าผ้า!DZ104</f>
        <v>0</v>
      </c>
      <c r="AU95" s="3">
        <f>[2]หน้าผ้า!EA104</f>
        <v>0</v>
      </c>
      <c r="AV95" s="1">
        <f>[2]หน้าผ้า!EB104</f>
        <v>0</v>
      </c>
      <c r="AW95" s="2" t="str">
        <f>[2]หน้าผ้า!EC104</f>
        <v>งานเคลือบ+พิมพ์</v>
      </c>
      <c r="AX95" s="2" t="str">
        <f>[2]หน้าผ้า!ED104</f>
        <v xml:space="preserve"> /</v>
      </c>
      <c r="AY95" s="2">
        <f>[2]หน้าผ้า!AG104</f>
        <v>0</v>
      </c>
      <c r="AZ95" s="2">
        <f>[2]หน้าผ้า!EG104</f>
        <v>0</v>
      </c>
      <c r="BA95" s="2">
        <f>[2]หน้าผ้า!EH104</f>
        <v>0</v>
      </c>
      <c r="BB95" s="2">
        <f>[2]หน้าผ้า!EI104</f>
        <v>0</v>
      </c>
      <c r="BC95" s="1" t="str">
        <f>[2]หน้าผ้า!BZ104</f>
        <v>WRWT25850/WRWT25850</v>
      </c>
      <c r="BD95" s="56">
        <f>[2]หน้าผ้า!CA104</f>
        <v>0</v>
      </c>
    </row>
    <row r="96" spans="1:56" ht="27.75" customHeight="1" x14ac:dyDescent="0.45">
      <c r="A96" s="3">
        <f>[2]หน้าผ้า!C105</f>
        <v>45877</v>
      </c>
      <c r="B96" s="14" t="str">
        <f>[2]หน้าผ้า!B105</f>
        <v>MK68-000990</v>
      </c>
      <c r="C96" s="9" t="str">
        <f>[2]หน้าผ้า!E105</f>
        <v>บจก.เอสพีเอ็ม อาหารสัตว์</v>
      </c>
      <c r="D96" s="13" t="str">
        <f>[2]หน้าผ้า!F105</f>
        <v>SW 441 PLUS</v>
      </c>
      <c r="E96" s="9">
        <f>[2]หน้าผ้า!G105</f>
        <v>20</v>
      </c>
      <c r="F96" s="9">
        <f>[2]หน้าผ้า!H105</f>
        <v>38</v>
      </c>
      <c r="G96" s="9" t="str">
        <f>[2]หน้าผ้า!I105</f>
        <v>ขาว</v>
      </c>
      <c r="H96" s="9" t="str">
        <f>[2]หน้าผ้า!J105</f>
        <v>ใส</v>
      </c>
      <c r="I96" s="9">
        <f>[2]หน้าผ้า!L105</f>
        <v>100</v>
      </c>
      <c r="J96" s="9" t="str">
        <f>[2]หน้าผ้า!M105</f>
        <v>±</v>
      </c>
      <c r="K96" s="9">
        <f>[2]หน้าผ้า!N105</f>
        <v>5</v>
      </c>
      <c r="L96" s="9" t="str">
        <f>[2]หน้าผ้า!R105</f>
        <v>บิด</v>
      </c>
      <c r="M96" s="10" t="str">
        <f>[2]หน้าผ้า!T105</f>
        <v>ไม่สวมถุงใน</v>
      </c>
      <c r="N96" s="9">
        <f>[2]หน้าผ้า!U105</f>
        <v>0</v>
      </c>
      <c r="O96" s="9">
        <f>[2]หน้าผ้า!V105</f>
        <v>0</v>
      </c>
      <c r="P96" s="10">
        <f>[2]หน้าผ้า!AB105</f>
        <v>0</v>
      </c>
      <c r="Q96" s="10">
        <f>[2]หน้าผ้า!AC105</f>
        <v>0</v>
      </c>
      <c r="R96" s="10">
        <f>[2]หน้าผ้า!AD105</f>
        <v>0</v>
      </c>
      <c r="S96" s="9" t="str">
        <f>[2]หน้าผ้า!Z105</f>
        <v>500กระสอบแบน</v>
      </c>
      <c r="T96" s="12" t="str">
        <f>[2]หน้าผ้า!X105</f>
        <v>รอแจ้ง</v>
      </c>
      <c r="U96" s="11">
        <f>[2]หน้าผ้า!AA105</f>
        <v>7000</v>
      </c>
      <c r="V96" s="10">
        <f>[2]หน้าผ้า!AJ105</f>
        <v>0</v>
      </c>
      <c r="W96" s="10">
        <f>[2]หน้าผ้า!AL105</f>
        <v>7000</v>
      </c>
      <c r="X96" s="10">
        <f>[2]หน้าผ้า!AM105</f>
        <v>0</v>
      </c>
      <c r="Y96" s="10">
        <f>[2]หน้าผ้า!AN105</f>
        <v>7350</v>
      </c>
      <c r="Z96" s="9" t="str">
        <f>[2]หน้าผ้า!AO105</f>
        <v>WSWT2025800SM</v>
      </c>
      <c r="AA96" s="8">
        <f>[2]หน้าผ้า!AQ105</f>
        <v>7725.41</v>
      </c>
      <c r="AB96" s="8">
        <f>[2]หน้าผ้า!AR105</f>
        <v>0</v>
      </c>
      <c r="AC96" s="8">
        <f>[2]หน้าผ้า!AS105</f>
        <v>7725.41</v>
      </c>
      <c r="AD96" s="8">
        <f>[2]หน้าผ้า!AT105</f>
        <v>0</v>
      </c>
      <c r="AE96" s="8">
        <f>[2]หน้าผ้า!AU105</f>
        <v>7725.41</v>
      </c>
      <c r="AF96" s="8">
        <f>[2]หน้าผ้า!AI105</f>
        <v>0</v>
      </c>
      <c r="AG96" s="1" t="str">
        <f>[3]หน้าผ้า!DC108</f>
        <v>พร้อมส่ง</v>
      </c>
      <c r="AH96" s="1" t="str">
        <f>[2]หน้าผ้า!DL105</f>
        <v>P6</v>
      </c>
      <c r="AI96" s="1">
        <f>[2]หน้าผ้า!DM105</f>
        <v>4</v>
      </c>
      <c r="AJ96" s="3" t="str">
        <f>[2]หน้าผ้า!DN105</f>
        <v>รอแจ้ง</v>
      </c>
      <c r="AK96" s="3" t="e">
        <f>[2]หน้าผ้า!DQ105</f>
        <v>#VALUE!</v>
      </c>
      <c r="AL96" s="3" t="e">
        <f>[2]หน้าผ้า!DR105</f>
        <v>#VALUE!</v>
      </c>
      <c r="AM96" s="3" t="e">
        <f>[2]หน้าผ้า!DS105</f>
        <v>#VALUE!</v>
      </c>
      <c r="AN96" s="3" t="e">
        <f>[2]หน้าผ้า!DT105</f>
        <v>#VALUE!</v>
      </c>
      <c r="AO96" s="3" t="e">
        <f>[2]หน้าผ้า!DU105</f>
        <v>#VALUE!</v>
      </c>
      <c r="AP96" s="3" t="e">
        <f>[2]หน้าผ้า!DP105</f>
        <v>#VALUE!</v>
      </c>
      <c r="AQ96" s="3">
        <f>[2]หน้าผ้า!DW105</f>
        <v>0</v>
      </c>
      <c r="AR96" s="3">
        <f>[2]หน้าผ้า!DX105</f>
        <v>0</v>
      </c>
      <c r="AS96" s="3">
        <f>[2]หน้าผ้า!DY105</f>
        <v>0</v>
      </c>
      <c r="AT96" s="3">
        <f>[2]หน้าผ้า!DZ105</f>
        <v>0</v>
      </c>
      <c r="AU96" s="3">
        <f>[2]หน้าผ้า!EA105</f>
        <v>0</v>
      </c>
      <c r="AV96" s="1">
        <f>[2]หน้าผ้า!EB105</f>
        <v>0</v>
      </c>
      <c r="AW96" s="2" t="str">
        <f>[2]หน้าผ้า!EC105</f>
        <v>งานเคลือบ+พิมพ์</v>
      </c>
      <c r="AX96" s="2" t="str">
        <f>[2]หน้าผ้า!ED105</f>
        <v xml:space="preserve"> /</v>
      </c>
      <c r="AY96" s="2">
        <f>[2]หน้าผ้า!AG105</f>
        <v>0</v>
      </c>
      <c r="AZ96" s="2">
        <f>[2]หน้าผ้า!EG105</f>
        <v>0</v>
      </c>
      <c r="BA96" s="2">
        <f>[2]หน้าผ้า!EH105</f>
        <v>0</v>
      </c>
      <c r="BB96" s="2">
        <f>[2]หน้าผ้า!EI105</f>
        <v>0</v>
      </c>
      <c r="BC96" s="1" t="str">
        <f>[2]หน้าผ้า!BZ105</f>
        <v>WRWT25850/WRWT25850</v>
      </c>
      <c r="BD96" s="56">
        <f>[2]หน้าผ้า!CA105</f>
        <v>583.69764444444445</v>
      </c>
    </row>
    <row r="97" spans="1:56" ht="27.75" customHeight="1" x14ac:dyDescent="0.45">
      <c r="A97" s="3" t="str">
        <f>[2]หน้าผ้า!C106</f>
        <v>ประมาณการ</v>
      </c>
      <c r="B97" s="14" t="str">
        <f>[2]หน้าผ้า!B106</f>
        <v>ประมาณการ</v>
      </c>
      <c r="C97" s="9" t="str">
        <f>[2]หน้าผ้า!E106</f>
        <v>บจก.ซันฟีด</v>
      </c>
      <c r="D97" s="13" t="str">
        <f>[2]หน้าผ้า!F106</f>
        <v>รอแบบ</v>
      </c>
      <c r="E97" s="9">
        <f>[2]หน้าผ้า!G106</f>
        <v>20</v>
      </c>
      <c r="F97" s="9">
        <f>[2]หน้าผ้า!H106</f>
        <v>38</v>
      </c>
      <c r="G97" s="9" t="str">
        <f>[2]หน้าผ้า!I106</f>
        <v>ขาว</v>
      </c>
      <c r="H97" s="9" t="str">
        <f>[2]หน้าผ้า!J106</f>
        <v>ด้าน</v>
      </c>
      <c r="I97" s="9">
        <f>[2]หน้าผ้า!L106</f>
        <v>100</v>
      </c>
      <c r="J97" s="9" t="str">
        <f>[2]หน้าผ้า!M106</f>
        <v>+</v>
      </c>
      <c r="K97" s="9">
        <f>[2]หน้าผ้า!N106</f>
        <v>0</v>
      </c>
      <c r="L97" s="9" t="str">
        <f>[2]หน้าผ้า!R106</f>
        <v>บิด</v>
      </c>
      <c r="M97" s="10" t="str">
        <f>[2]หน้าผ้า!T106</f>
        <v>ไม่สวมถุงใน</v>
      </c>
      <c r="N97" s="9">
        <f>[2]หน้าผ้า!U106</f>
        <v>0</v>
      </c>
      <c r="O97" s="9">
        <f>[2]หน้าผ้า!V106</f>
        <v>0</v>
      </c>
      <c r="P97" s="10">
        <f>[2]หน้าผ้า!AB106</f>
        <v>0</v>
      </c>
      <c r="Q97" s="10">
        <f>[2]หน้าผ้า!AC106</f>
        <v>0</v>
      </c>
      <c r="R97" s="10">
        <f>[2]หน้าผ้า!AD106</f>
        <v>0</v>
      </c>
      <c r="S97" s="9" t="str">
        <f>[2]หน้าผ้า!Z106</f>
        <v xml:space="preserve">300กระสอบแบนเต็มใบ </v>
      </c>
      <c r="T97" s="12" t="str">
        <f>[2]หน้าผ้า!X106</f>
        <v>รอแจ้ง</v>
      </c>
      <c r="U97" s="11">
        <f>[2]หน้าผ้า!AA106</f>
        <v>100000</v>
      </c>
      <c r="V97" s="10">
        <f>[2]หน้าผ้า!AJ106</f>
        <v>0</v>
      </c>
      <c r="W97" s="10">
        <f>[2]หน้าผ้า!AL106</f>
        <v>100000</v>
      </c>
      <c r="X97" s="10">
        <f>[2]หน้าผ้า!AM106</f>
        <v>0</v>
      </c>
      <c r="Y97" s="10">
        <f>[2]หน้าผ้า!AN106</f>
        <v>105000</v>
      </c>
      <c r="Z97" s="9" t="str">
        <f>[2]หน้าผ้า!AO106</f>
        <v>WSWT2025800SM</v>
      </c>
      <c r="AA97" s="8">
        <f>[2]หน้าผ้า!AQ106</f>
        <v>110363</v>
      </c>
      <c r="AB97" s="8">
        <f>[2]หน้าผ้า!AR106</f>
        <v>0</v>
      </c>
      <c r="AC97" s="8">
        <f>[2]หน้าผ้า!AS106</f>
        <v>110363</v>
      </c>
      <c r="AD97" s="8">
        <f>[2]หน้าผ้า!AT106</f>
        <v>0</v>
      </c>
      <c r="AE97" s="8">
        <f>[2]หน้าผ้า!AU106</f>
        <v>110363</v>
      </c>
      <c r="AF97" s="8">
        <f>[2]หน้าผ้า!AI106</f>
        <v>0</v>
      </c>
      <c r="AG97" s="1" t="str">
        <f>[3]หน้าผ้า!DC109</f>
        <v>ยังไม่ได้พิมพ์</v>
      </c>
      <c r="AH97" s="1" t="str">
        <f>[2]หน้าผ้า!DL106</f>
        <v>P6</v>
      </c>
      <c r="AI97" s="1">
        <f>[2]หน้าผ้า!DM106</f>
        <v>4</v>
      </c>
      <c r="AJ97" s="3" t="str">
        <f>[2]หน้าผ้า!DN106</f>
        <v>รอแจ้ง</v>
      </c>
      <c r="AK97" s="3" t="e">
        <f>[2]หน้าผ้า!DQ106</f>
        <v>#VALUE!</v>
      </c>
      <c r="AL97" s="3" t="e">
        <f>[2]หน้าผ้า!DR106</f>
        <v>#VALUE!</v>
      </c>
      <c r="AM97" s="3" t="e">
        <f>[2]หน้าผ้า!DS106</f>
        <v>#VALUE!</v>
      </c>
      <c r="AN97" s="3" t="e">
        <f>[2]หน้าผ้า!DT106</f>
        <v>#VALUE!</v>
      </c>
      <c r="AO97" s="3" t="e">
        <f>[2]หน้าผ้า!DU106</f>
        <v>#VALUE!</v>
      </c>
      <c r="AP97" s="3" t="e">
        <f>[2]หน้าผ้า!DP106</f>
        <v>#VALUE!</v>
      </c>
      <c r="AQ97" s="3">
        <f>[2]หน้าผ้า!DW106</f>
        <v>0</v>
      </c>
      <c r="AR97" s="3">
        <f>[2]หน้าผ้า!DX106</f>
        <v>0</v>
      </c>
      <c r="AS97" s="3">
        <f>[2]หน้าผ้า!DY106</f>
        <v>0</v>
      </c>
      <c r="AT97" s="3">
        <f>[2]หน้าผ้า!DZ106</f>
        <v>0</v>
      </c>
      <c r="AU97" s="3">
        <f>[2]หน้าผ้า!EA106</f>
        <v>0</v>
      </c>
      <c r="AV97" s="1">
        <f>[2]หน้าผ้า!EB106</f>
        <v>0</v>
      </c>
      <c r="AW97" s="2" t="str">
        <f>[2]หน้าผ้า!EC106</f>
        <v>งานเคลือบ+พิมพ์</v>
      </c>
      <c r="AX97" s="2" t="str">
        <f>[2]หน้าผ้า!ED106</f>
        <v>รอART</v>
      </c>
      <c r="AY97" s="2">
        <f>[2]หน้าผ้า!AG106</f>
        <v>0</v>
      </c>
      <c r="AZ97" s="2">
        <f>[2]หน้าผ้า!EG106</f>
        <v>0</v>
      </c>
      <c r="BA97" s="2">
        <f>[2]หน้าผ้า!EH106</f>
        <v>0</v>
      </c>
      <c r="BB97" s="2">
        <f>[2]หน้าผ้า!EI106</f>
        <v>0</v>
      </c>
      <c r="BC97" s="1" t="str">
        <f>[2]หน้าผ้า!BZ106</f>
        <v>WRWT25850/WRWT25850</v>
      </c>
      <c r="BD97" s="56">
        <f>[2]หน้าผ้า!CA106</f>
        <v>8338.5377777777776</v>
      </c>
    </row>
    <row r="98" spans="1:56" ht="27.75" customHeight="1" x14ac:dyDescent="0.45">
      <c r="A98" s="3">
        <f>[2]หน้าผ้า!C107</f>
        <v>45825</v>
      </c>
      <c r="B98" s="14" t="str">
        <f>[2]หน้าผ้า!B107</f>
        <v>MK68-000801</v>
      </c>
      <c r="C98" s="9" t="str">
        <f>[2]หน้าผ้า!E107</f>
        <v>บจก.อินเทคค์ โกลบอล</v>
      </c>
      <c r="D98" s="13" t="str">
        <f>[2]หน้าผ้า!F107</f>
        <v>สุบรรณ 111</v>
      </c>
      <c r="E98" s="9">
        <f>[2]หน้าผ้า!G107</f>
        <v>20</v>
      </c>
      <c r="F98" s="9">
        <f>[2]หน้าผ้า!H107</f>
        <v>36</v>
      </c>
      <c r="G98" s="9" t="str">
        <f>[2]หน้าผ้า!I107</f>
        <v>ขาว</v>
      </c>
      <c r="H98" s="9" t="str">
        <f>[2]หน้าผ้า!J107</f>
        <v>ด้าน</v>
      </c>
      <c r="I98" s="9">
        <f>[2]หน้าผ้า!L107</f>
        <v>100</v>
      </c>
      <c r="J98" s="9" t="str">
        <f>[2]หน้าผ้า!M107</f>
        <v>±</v>
      </c>
      <c r="K98" s="9">
        <f>[2]หน้าผ้า!N107</f>
        <v>5</v>
      </c>
      <c r="L98" s="9" t="str">
        <f>[2]หน้าผ้า!R107</f>
        <v>จับจีบ3.5"</v>
      </c>
      <c r="M98" s="10" t="str">
        <f>[2]หน้าผ้า!T107</f>
        <v>ไม่สวมถุงใน</v>
      </c>
      <c r="N98" s="9">
        <f>[2]หน้าผ้า!U107</f>
        <v>0</v>
      </c>
      <c r="O98" s="9">
        <f>[2]หน้าผ้า!V107</f>
        <v>0</v>
      </c>
      <c r="P98" s="10">
        <f>[2]หน้าผ้า!AB107</f>
        <v>0</v>
      </c>
      <c r="Q98" s="10">
        <f>[2]หน้าผ้า!AC107</f>
        <v>0</v>
      </c>
      <c r="R98" s="10">
        <f>[2]หน้าผ้า!AD107</f>
        <v>0</v>
      </c>
      <c r="S98" s="9" t="str">
        <f>[2]หน้าผ้า!Z107</f>
        <v>มัด80 ใช้สายรัด</v>
      </c>
      <c r="T98" s="12" t="str">
        <f>[2]หน้าผ้า!X107</f>
        <v>รอแจ้ง</v>
      </c>
      <c r="U98" s="11">
        <f>[2]หน้าผ้า!AA107</f>
        <v>894</v>
      </c>
      <c r="V98" s="10">
        <f>[2]หน้าผ้า!AJ107</f>
        <v>525</v>
      </c>
      <c r="W98" s="10">
        <f>[2]หน้าผ้า!AL107</f>
        <v>369</v>
      </c>
      <c r="X98" s="10">
        <f>[2]หน้าผ้า!AM107</f>
        <v>6000</v>
      </c>
      <c r="Y98" s="10">
        <f>[2]หน้าผ้า!AN107</f>
        <v>0</v>
      </c>
      <c r="Z98" s="9" t="str">
        <f>[2]หน้าผ้า!AO107</f>
        <v>WSWT2025800SM</v>
      </c>
      <c r="AA98" s="8">
        <f>[2]หน้าผ้า!AQ107</f>
        <v>0</v>
      </c>
      <c r="AB98" s="8">
        <f>[2]หน้าผ้า!AR107</f>
        <v>0</v>
      </c>
      <c r="AC98" s="8">
        <f>[2]หน้าผ้า!AS107</f>
        <v>0</v>
      </c>
      <c r="AD98" s="8">
        <f>[2]หน้าผ้า!AT107</f>
        <v>0</v>
      </c>
      <c r="AE98" s="8">
        <f>[2]หน้าผ้า!AU107</f>
        <v>0</v>
      </c>
      <c r="AF98" s="8">
        <f>[2]หน้าผ้า!AI107</f>
        <v>0</v>
      </c>
      <c r="AG98" s="1" t="str">
        <f>[3]หน้าผ้า!DC110</f>
        <v>ยังไม่ได้พิมพ์</v>
      </c>
      <c r="AH98" s="1" t="str">
        <f>[2]หน้าผ้า!DL107</f>
        <v>P6</v>
      </c>
      <c r="AI98" s="1">
        <f>[2]หน้าผ้า!DM107</f>
        <v>4</v>
      </c>
      <c r="AJ98" s="3" t="str">
        <f>[2]หน้าผ้า!DN107</f>
        <v>รอแจ้ง</v>
      </c>
      <c r="AK98" s="3" t="e">
        <f>[2]หน้าผ้า!DQ107</f>
        <v>#VALUE!</v>
      </c>
      <c r="AL98" s="3" t="e">
        <f>[2]หน้าผ้า!DR107</f>
        <v>#VALUE!</v>
      </c>
      <c r="AM98" s="3" t="e">
        <f>[2]หน้าผ้า!DS107</f>
        <v>#VALUE!</v>
      </c>
      <c r="AN98" s="3" t="e">
        <f>[2]หน้าผ้า!DT107</f>
        <v>#VALUE!</v>
      </c>
      <c r="AO98" s="3" t="e">
        <f>[2]หน้าผ้า!DU107</f>
        <v>#VALUE!</v>
      </c>
      <c r="AP98" s="3" t="e">
        <f>[2]หน้าผ้า!DP107</f>
        <v>#VALUE!</v>
      </c>
      <c r="AQ98" s="3">
        <f>[2]หน้าผ้า!DW107</f>
        <v>0</v>
      </c>
      <c r="AR98" s="3">
        <f>[2]หน้าผ้า!DX107</f>
        <v>0</v>
      </c>
      <c r="AS98" s="3">
        <f>[2]หน้าผ้า!DY107</f>
        <v>0</v>
      </c>
      <c r="AT98" s="3">
        <f>[2]หน้าผ้า!DZ107</f>
        <v>0</v>
      </c>
      <c r="AU98" s="3">
        <f>[2]หน้าผ้า!EA107</f>
        <v>0</v>
      </c>
      <c r="AV98" s="1">
        <f>[2]หน้าผ้า!EB107</f>
        <v>0</v>
      </c>
      <c r="AW98" s="2" t="str">
        <f>[2]หน้าผ้า!EC107</f>
        <v>งานเคลือบ+พิมพ์</v>
      </c>
      <c r="AX98" s="2" t="str">
        <f>[2]หน้าผ้า!ED107</f>
        <v xml:space="preserve"> / </v>
      </c>
      <c r="AY98" s="2">
        <f>[2]หน้าผ้า!AG107</f>
        <v>0</v>
      </c>
      <c r="AZ98" s="2">
        <f>[2]หน้าผ้า!EG107</f>
        <v>0</v>
      </c>
      <c r="BA98" s="2">
        <f>[2]หน้าผ้า!EH107</f>
        <v>0</v>
      </c>
      <c r="BB98" s="2">
        <f>[2]หน้าผ้า!EI107</f>
        <v>0</v>
      </c>
      <c r="BC98" s="1" t="str">
        <f>[2]หน้าผ้า!BZ107</f>
        <v>WRWT25850/WRWT25850</v>
      </c>
      <c r="BD98" s="56">
        <f>[2]หน้าผ้า!CA107</f>
        <v>0</v>
      </c>
    </row>
    <row r="99" spans="1:56" ht="27.75" customHeight="1" x14ac:dyDescent="0.45">
      <c r="A99" s="3">
        <f>[2]หน้าผ้า!C108</f>
        <v>45796</v>
      </c>
      <c r="B99" s="14" t="str">
        <f>[2]หน้าผ้า!B108</f>
        <v>MK68-000673</v>
      </c>
      <c r="C99" s="9" t="str">
        <f>[2]หน้าผ้า!E108</f>
        <v>บจก.อินเทคค์ โกลบอล</v>
      </c>
      <c r="D99" s="13" t="str">
        <f>[2]หน้าผ้า!F108</f>
        <v>เพอเฟคค์ 902</v>
      </c>
      <c r="E99" s="9">
        <f>[2]หน้าผ้า!G108</f>
        <v>20</v>
      </c>
      <c r="F99" s="9">
        <f>[2]หน้าผ้า!H108</f>
        <v>36</v>
      </c>
      <c r="G99" s="9" t="str">
        <f>[2]หน้าผ้า!I108</f>
        <v>ขาว</v>
      </c>
      <c r="H99" s="9" t="str">
        <f>[2]หน้าผ้า!J108</f>
        <v>ด้าน</v>
      </c>
      <c r="I99" s="9">
        <f>[2]หน้าผ้า!L108</f>
        <v>100</v>
      </c>
      <c r="J99" s="9" t="str">
        <f>[2]หน้าผ้า!M108</f>
        <v>±</v>
      </c>
      <c r="K99" s="9">
        <f>[2]หน้าผ้า!N108</f>
        <v>5</v>
      </c>
      <c r="L99" s="9" t="str">
        <f>[2]หน้าผ้า!R108</f>
        <v>จับจีบ</v>
      </c>
      <c r="M99" s="10" t="str">
        <f>[2]หน้าผ้า!T108</f>
        <v>ไม่สวมถุงใน</v>
      </c>
      <c r="N99" s="9">
        <f>[2]หน้าผ้า!U108</f>
        <v>0</v>
      </c>
      <c r="O99" s="9">
        <f>[2]หน้าผ้า!V108</f>
        <v>0</v>
      </c>
      <c r="P99" s="10">
        <f>[2]หน้าผ้า!AB108</f>
        <v>0</v>
      </c>
      <c r="Q99" s="10">
        <f>[2]หน้าผ้า!AC108</f>
        <v>0</v>
      </c>
      <c r="R99" s="10">
        <f>[2]หน้าผ้า!AD108</f>
        <v>0</v>
      </c>
      <c r="S99" s="9" t="str">
        <f>[2]หน้าผ้า!Z108</f>
        <v>มัด80 ใช้สายรัด</v>
      </c>
      <c r="T99" s="12" t="str">
        <f>[2]หน้าผ้า!X108</f>
        <v>รอแจ้ง</v>
      </c>
      <c r="U99" s="11">
        <f>[2]หน้าผ้า!AA108</f>
        <v>302</v>
      </c>
      <c r="V99" s="10">
        <f>[2]หน้าผ้า!AJ108</f>
        <v>0</v>
      </c>
      <c r="W99" s="10">
        <f>[2]หน้าผ้า!AL108</f>
        <v>302</v>
      </c>
      <c r="X99" s="10">
        <f>[2]หน้าผ้า!AM108</f>
        <v>5300</v>
      </c>
      <c r="Y99" s="10">
        <f>[2]หน้าผ้า!AN108</f>
        <v>0</v>
      </c>
      <c r="Z99" s="9" t="str">
        <f>[2]หน้าผ้า!AO108</f>
        <v>WSWT2025800SM</v>
      </c>
      <c r="AA99" s="8">
        <f>[2]หน้าผ้า!AQ108</f>
        <v>0</v>
      </c>
      <c r="AB99" s="8">
        <f>[2]หน้าผ้า!AR108</f>
        <v>0</v>
      </c>
      <c r="AC99" s="8">
        <f>[2]หน้าผ้า!AS108</f>
        <v>0</v>
      </c>
      <c r="AD99" s="8">
        <f>[2]หน้าผ้า!AT108</f>
        <v>0</v>
      </c>
      <c r="AE99" s="8">
        <f>[2]หน้าผ้า!AU108</f>
        <v>0</v>
      </c>
      <c r="AF99" s="8">
        <f>[2]หน้าผ้า!AI108</f>
        <v>0</v>
      </c>
      <c r="AG99" s="1" t="str">
        <f>[3]หน้าผ้า!DC111</f>
        <v>พร้อมส่ง</v>
      </c>
      <c r="AH99" s="1" t="str">
        <f>[2]หน้าผ้า!DL108</f>
        <v>P6</v>
      </c>
      <c r="AI99" s="1">
        <f>[2]หน้าผ้า!DM108</f>
        <v>4</v>
      </c>
      <c r="AJ99" s="3" t="str">
        <f>[2]หน้าผ้า!DN108</f>
        <v>รอแจ้ง</v>
      </c>
      <c r="AK99" s="3" t="e">
        <f>[2]หน้าผ้า!DQ108</f>
        <v>#VALUE!</v>
      </c>
      <c r="AL99" s="3" t="e">
        <f>[2]หน้าผ้า!DR108</f>
        <v>#VALUE!</v>
      </c>
      <c r="AM99" s="3" t="e">
        <f>[2]หน้าผ้า!DS108</f>
        <v>#VALUE!</v>
      </c>
      <c r="AN99" s="3" t="e">
        <f>[2]หน้าผ้า!DT108</f>
        <v>#VALUE!</v>
      </c>
      <c r="AO99" s="3" t="e">
        <f>[2]หน้าผ้า!DU108</f>
        <v>#VALUE!</v>
      </c>
      <c r="AP99" s="3" t="e">
        <f>[2]หน้าผ้า!DP108</f>
        <v>#VALUE!</v>
      </c>
      <c r="AQ99" s="3">
        <f>[2]หน้าผ้า!DW108</f>
        <v>0</v>
      </c>
      <c r="AR99" s="3">
        <f>[2]หน้าผ้า!DX108</f>
        <v>0</v>
      </c>
      <c r="AS99" s="3">
        <f>[2]หน้าผ้า!DY108</f>
        <v>0</v>
      </c>
      <c r="AT99" s="3">
        <f>[2]หน้าผ้า!DZ108</f>
        <v>0</v>
      </c>
      <c r="AU99" s="3">
        <f>[2]หน้าผ้า!EA108</f>
        <v>0</v>
      </c>
      <c r="AV99" s="1">
        <f>[2]หน้าผ้า!EB108</f>
        <v>0</v>
      </c>
      <c r="AW99" s="2" t="str">
        <f>[2]หน้าผ้า!EC108</f>
        <v>งานเคลือบ+พิมพ์</v>
      </c>
      <c r="AX99" s="2" t="str">
        <f>[2]หน้าผ้า!ED108</f>
        <v xml:space="preserve"> /</v>
      </c>
      <c r="AY99" s="2">
        <f>[2]หน้าผ้า!AG108</f>
        <v>0</v>
      </c>
      <c r="AZ99" s="2">
        <f>[2]หน้าผ้า!EG108</f>
        <v>0</v>
      </c>
      <c r="BA99" s="2">
        <f>[2]หน้าผ้า!EH108</f>
        <v>0</v>
      </c>
      <c r="BB99" s="2">
        <f>[2]หน้าผ้า!EI108</f>
        <v>0</v>
      </c>
      <c r="BC99" s="1" t="str">
        <f>[2]หน้าผ้า!BZ108</f>
        <v>WRWT25850/WRWT25850</v>
      </c>
      <c r="BD99" s="56">
        <f>[2]หน้าผ้า!CA108</f>
        <v>0</v>
      </c>
    </row>
    <row r="100" spans="1:56" ht="27.75" customHeight="1" x14ac:dyDescent="0.45">
      <c r="A100" s="3">
        <f>[2]หน้าผ้า!C109</f>
        <v>45782</v>
      </c>
      <c r="B100" s="14" t="str">
        <f>[2]หน้าผ้า!B109</f>
        <v>MK68-000609</v>
      </c>
      <c r="C100" s="9" t="str">
        <f>[2]หน้าผ้า!E109</f>
        <v>บจก.เอสพีเอ็ม อาหารสัตว์</v>
      </c>
      <c r="D100" s="13" t="str">
        <f>[2]หน้าผ้า!F109</f>
        <v xml:space="preserve">SW 441 </v>
      </c>
      <c r="E100" s="9">
        <f>[2]หน้าผ้า!G109</f>
        <v>20</v>
      </c>
      <c r="F100" s="9">
        <f>[2]หน้าผ้า!H109</f>
        <v>38</v>
      </c>
      <c r="G100" s="9" t="str">
        <f>[2]หน้าผ้า!I109</f>
        <v>ขาว</v>
      </c>
      <c r="H100" s="9" t="str">
        <f>[2]หน้าผ้า!J109</f>
        <v>ใส</v>
      </c>
      <c r="I100" s="9">
        <f>[2]หน้าผ้า!L109</f>
        <v>100</v>
      </c>
      <c r="J100" s="9" t="str">
        <f>[2]หน้าผ้า!M109</f>
        <v>±</v>
      </c>
      <c r="K100" s="9">
        <f>[2]หน้าผ้า!N109</f>
        <v>5</v>
      </c>
      <c r="L100" s="9" t="str">
        <f>[2]หน้าผ้า!R109</f>
        <v>บิด</v>
      </c>
      <c r="M100" s="10" t="str">
        <f>[2]หน้าผ้า!T109</f>
        <v>ไม่สวมถุงใน</v>
      </c>
      <c r="N100" s="9">
        <f>[2]หน้าผ้า!U109</f>
        <v>0</v>
      </c>
      <c r="O100" s="9">
        <f>[2]หน้าผ้า!V109</f>
        <v>0</v>
      </c>
      <c r="P100" s="10">
        <f>[2]หน้าผ้า!AB109</f>
        <v>0</v>
      </c>
      <c r="Q100" s="10">
        <f>[2]หน้าผ้า!AC109</f>
        <v>0</v>
      </c>
      <c r="R100" s="10">
        <f>[2]หน้าผ้า!AD109</f>
        <v>0</v>
      </c>
      <c r="S100" s="9" t="str">
        <f>[2]หน้าผ้า!Z109</f>
        <v>500กระสอบแบน</v>
      </c>
      <c r="T100" s="12" t="str">
        <f>[2]หน้าผ้า!X109</f>
        <v>รอแจ้ง</v>
      </c>
      <c r="U100" s="11">
        <f>[2]หน้าผ้า!AA109</f>
        <v>5000</v>
      </c>
      <c r="V100" s="10">
        <f>[2]หน้าผ้า!AJ109</f>
        <v>0</v>
      </c>
      <c r="W100" s="10">
        <f>[2]หน้าผ้า!AL109</f>
        <v>5000</v>
      </c>
      <c r="X100" s="10">
        <f>[2]หน้าผ้า!AM109</f>
        <v>0</v>
      </c>
      <c r="Y100" s="10">
        <f>[2]หน้าผ้า!AN109</f>
        <v>5250</v>
      </c>
      <c r="Z100" s="9" t="str">
        <f>[2]หน้าผ้า!AO109</f>
        <v>WSWT2025800SM</v>
      </c>
      <c r="AA100" s="8">
        <f>[2]หน้าผ้า!AQ109</f>
        <v>5518.15</v>
      </c>
      <c r="AB100" s="8">
        <f>[2]หน้าผ้า!AR109</f>
        <v>0</v>
      </c>
      <c r="AC100" s="8">
        <f>[2]หน้าผ้า!AS109</f>
        <v>5518.15</v>
      </c>
      <c r="AD100" s="8">
        <f>[2]หน้าผ้า!AT109</f>
        <v>0</v>
      </c>
      <c r="AE100" s="8">
        <f>[2]หน้าผ้า!AU109</f>
        <v>5518.15</v>
      </c>
      <c r="AF100" s="8">
        <f>[2]หน้าผ้า!AI109</f>
        <v>0</v>
      </c>
      <c r="AG100" s="1" t="str">
        <f>[3]หน้าผ้า!DC112</f>
        <v>พร้อมส่ง</v>
      </c>
      <c r="AH100" s="1" t="str">
        <f>[2]หน้าผ้า!DL109</f>
        <v>P6</v>
      </c>
      <c r="AI100" s="1">
        <f>[2]หน้าผ้า!DM109</f>
        <v>4</v>
      </c>
      <c r="AJ100" s="3" t="str">
        <f>[2]หน้าผ้า!DN109</f>
        <v>รอแจ้ง</v>
      </c>
      <c r="AK100" s="3" t="e">
        <f>[2]หน้าผ้า!DQ109</f>
        <v>#VALUE!</v>
      </c>
      <c r="AL100" s="3" t="e">
        <f>[2]หน้าผ้า!DR109</f>
        <v>#VALUE!</v>
      </c>
      <c r="AM100" s="3" t="e">
        <f>[2]หน้าผ้า!DS109</f>
        <v>#VALUE!</v>
      </c>
      <c r="AN100" s="3" t="e">
        <f>[2]หน้าผ้า!DT109</f>
        <v>#VALUE!</v>
      </c>
      <c r="AO100" s="3" t="e">
        <f>[2]หน้าผ้า!DU109</f>
        <v>#VALUE!</v>
      </c>
      <c r="AP100" s="3" t="e">
        <f>[2]หน้าผ้า!DP109</f>
        <v>#VALUE!</v>
      </c>
      <c r="AQ100" s="3">
        <f>[2]หน้าผ้า!DW109</f>
        <v>0</v>
      </c>
      <c r="AR100" s="3">
        <f>[2]หน้าผ้า!DX109</f>
        <v>0</v>
      </c>
      <c r="AS100" s="3">
        <f>[2]หน้าผ้า!DY109</f>
        <v>0</v>
      </c>
      <c r="AT100" s="3">
        <f>[2]หน้าผ้า!DZ109</f>
        <v>0</v>
      </c>
      <c r="AU100" s="3">
        <f>[2]หน้าผ้า!EA109</f>
        <v>0</v>
      </c>
      <c r="AV100" s="1">
        <f>[2]หน้าผ้า!EB109</f>
        <v>0</v>
      </c>
      <c r="AW100" s="2" t="str">
        <f>[2]หน้าผ้า!EC109</f>
        <v>งานเคลือบ+พิมพ์</v>
      </c>
      <c r="AX100" s="2" t="str">
        <f>[2]หน้าผ้า!ED109</f>
        <v xml:space="preserve"> / </v>
      </c>
      <c r="AY100" s="2">
        <f>[2]หน้าผ้า!AG109</f>
        <v>0</v>
      </c>
      <c r="AZ100" s="2">
        <f>[2]หน้าผ้า!EG109</f>
        <v>0</v>
      </c>
      <c r="BA100" s="2">
        <f>[2]หน้าผ้า!EH109</f>
        <v>0</v>
      </c>
      <c r="BB100" s="2">
        <f>[2]หน้าผ้า!EI109</f>
        <v>0</v>
      </c>
      <c r="BC100" s="1" t="str">
        <f>[2]หน้าผ้า!BZ109</f>
        <v>WRWT25850/WRWT25850</v>
      </c>
      <c r="BD100" s="56">
        <f>[2]หน้าผ้า!CA109</f>
        <v>416.92688888888887</v>
      </c>
    </row>
    <row r="101" spans="1:56" ht="27.75" customHeight="1" x14ac:dyDescent="0.45">
      <c r="A101" s="3">
        <f>[2]หน้าผ้า!C110</f>
        <v>45798</v>
      </c>
      <c r="B101" s="14" t="str">
        <f>[2]หน้าผ้า!B110</f>
        <v>MK68-000693</v>
      </c>
      <c r="C101" s="9" t="str">
        <f>[2]หน้าผ้า!E110</f>
        <v>บจก.เอพีเอ็ม อะโกร</v>
      </c>
      <c r="D101" s="13" t="str">
        <f>[2]หน้าผ้า!F110</f>
        <v>ฟีล กู๊ด พี07</v>
      </c>
      <c r="E101" s="9">
        <f>[2]หน้าผ้า!G110</f>
        <v>20</v>
      </c>
      <c r="F101" s="9">
        <f>[2]หน้าผ้า!H110</f>
        <v>38</v>
      </c>
      <c r="G101" s="9" t="str">
        <f>[2]หน้าผ้า!I110</f>
        <v>ขาว</v>
      </c>
      <c r="H101" s="9" t="str">
        <f>[2]หน้าผ้า!J110</f>
        <v>ใส</v>
      </c>
      <c r="I101" s="9">
        <f>[2]หน้าผ้า!L110</f>
        <v>100</v>
      </c>
      <c r="J101" s="9" t="str">
        <f>[2]หน้าผ้า!M110</f>
        <v>±</v>
      </c>
      <c r="K101" s="9">
        <f>[2]หน้าผ้า!N110</f>
        <v>5</v>
      </c>
      <c r="L101" s="9" t="str">
        <f>[2]หน้าผ้า!R110</f>
        <v>บิด</v>
      </c>
      <c r="M101" s="10" t="str">
        <f>[2]หน้าผ้า!T110</f>
        <v>ไม่สวมถุงใน</v>
      </c>
      <c r="N101" s="9">
        <f>[2]หน้าผ้า!U110</f>
        <v>0</v>
      </c>
      <c r="O101" s="9">
        <f>[2]หน้าผ้า!V110</f>
        <v>0</v>
      </c>
      <c r="P101" s="10">
        <f>[2]หน้าผ้า!AB110</f>
        <v>0</v>
      </c>
      <c r="Q101" s="10">
        <f>[2]หน้าผ้า!AC110</f>
        <v>0</v>
      </c>
      <c r="R101" s="10">
        <f>[2]หน้าผ้า!AD110</f>
        <v>0</v>
      </c>
      <c r="S101" s="9" t="str">
        <f>[2]หน้าผ้า!Z110</f>
        <v>500กระสอบแบน</v>
      </c>
      <c r="T101" s="12" t="str">
        <f>[2]หน้าผ้า!X110</f>
        <v>รอแจ้ง</v>
      </c>
      <c r="U101" s="11">
        <f>[2]หน้าผ้า!AA110</f>
        <v>5000</v>
      </c>
      <c r="V101" s="10">
        <f>[2]หน้าผ้า!AJ110</f>
        <v>0</v>
      </c>
      <c r="W101" s="10">
        <f>[2]หน้าผ้า!AL110</f>
        <v>5000</v>
      </c>
      <c r="X101" s="10">
        <f>[2]หน้าผ้า!AM110</f>
        <v>0</v>
      </c>
      <c r="Y101" s="10">
        <f>[2]หน้าผ้า!AN110</f>
        <v>5250</v>
      </c>
      <c r="Z101" s="9" t="str">
        <f>[2]หน้าผ้า!AO110</f>
        <v>WSWT2025800SM</v>
      </c>
      <c r="AA101" s="8">
        <f>[2]หน้าผ้า!AQ110</f>
        <v>5518.15</v>
      </c>
      <c r="AB101" s="8">
        <f>[2]หน้าผ้า!AR110</f>
        <v>0</v>
      </c>
      <c r="AC101" s="8">
        <f>[2]หน้าผ้า!AS110</f>
        <v>5518.15</v>
      </c>
      <c r="AD101" s="8">
        <f>[2]หน้าผ้า!AT110</f>
        <v>0</v>
      </c>
      <c r="AE101" s="8">
        <f>[2]หน้าผ้า!AU110</f>
        <v>5518.15</v>
      </c>
      <c r="AF101" s="8">
        <f>[2]หน้าผ้า!AI110</f>
        <v>0</v>
      </c>
      <c r="AG101" s="1" t="str">
        <f>[3]หน้าผ้า!DC113</f>
        <v>รอตัด</v>
      </c>
      <c r="AH101" s="1" t="str">
        <f>[2]หน้าผ้า!DL110</f>
        <v>P6</v>
      </c>
      <c r="AI101" s="1">
        <f>[2]หน้าผ้า!DM110</f>
        <v>4</v>
      </c>
      <c r="AJ101" s="3" t="str">
        <f>[2]หน้าผ้า!DN110</f>
        <v>รอแจ้ง</v>
      </c>
      <c r="AK101" s="3" t="e">
        <f>[2]หน้าผ้า!DQ110</f>
        <v>#VALUE!</v>
      </c>
      <c r="AL101" s="3" t="e">
        <f>[2]หน้าผ้า!DR110</f>
        <v>#VALUE!</v>
      </c>
      <c r="AM101" s="3" t="e">
        <f>[2]หน้าผ้า!DS110</f>
        <v>#VALUE!</v>
      </c>
      <c r="AN101" s="3" t="e">
        <f>[2]หน้าผ้า!DT110</f>
        <v>#VALUE!</v>
      </c>
      <c r="AO101" s="3" t="e">
        <f>[2]หน้าผ้า!DU110</f>
        <v>#VALUE!</v>
      </c>
      <c r="AP101" s="3" t="e">
        <f>[2]หน้าผ้า!DP110</f>
        <v>#VALUE!</v>
      </c>
      <c r="AQ101" s="3">
        <f>[2]หน้าผ้า!DW110</f>
        <v>0</v>
      </c>
      <c r="AR101" s="3">
        <f>[2]หน้าผ้า!DX110</f>
        <v>0</v>
      </c>
      <c r="AS101" s="3">
        <f>[2]หน้าผ้า!DY110</f>
        <v>0</v>
      </c>
      <c r="AT101" s="3">
        <f>[2]หน้าผ้า!DZ110</f>
        <v>0</v>
      </c>
      <c r="AU101" s="3">
        <f>[2]หน้าผ้า!EA110</f>
        <v>0</v>
      </c>
      <c r="AV101" s="1">
        <f>[2]หน้าผ้า!EB110</f>
        <v>0</v>
      </c>
      <c r="AW101" s="2" t="str">
        <f>[2]หน้าผ้า!EC110</f>
        <v>งานเคลือบ+พิมพ์</v>
      </c>
      <c r="AX101" s="2" t="str">
        <f>[2]หน้าผ้า!ED110</f>
        <v xml:space="preserve"> / </v>
      </c>
      <c r="AY101" s="2">
        <f>[2]หน้าผ้า!AG110</f>
        <v>0</v>
      </c>
      <c r="AZ101" s="2">
        <f>[2]หน้าผ้า!EG110</f>
        <v>0</v>
      </c>
      <c r="BA101" s="2">
        <f>[2]หน้าผ้า!EH110</f>
        <v>0</v>
      </c>
      <c r="BB101" s="2">
        <f>[2]หน้าผ้า!EI110</f>
        <v>0</v>
      </c>
      <c r="BC101" s="1" t="str">
        <f>[2]หน้าผ้า!BZ110</f>
        <v>WRWT25850/WRWT25850</v>
      </c>
      <c r="BD101" s="56">
        <f>[2]หน้าผ้า!CA110</f>
        <v>416.92688888888887</v>
      </c>
    </row>
    <row r="102" spans="1:56" ht="27.75" customHeight="1" x14ac:dyDescent="0.45">
      <c r="A102" s="3">
        <f>[2]หน้าผ้า!C111</f>
        <v>45674</v>
      </c>
      <c r="B102" s="14" t="str">
        <f>[2]หน้าผ้า!B111</f>
        <v>MK68-000093</v>
      </c>
      <c r="C102" s="9" t="str">
        <f>[2]หน้าผ้า!E111</f>
        <v>บจก.อินเทคค์ โกลบอล</v>
      </c>
      <c r="D102" s="13" t="str">
        <f>[2]หน้าผ้า!F111</f>
        <v>เฟิร์สคลาส 902</v>
      </c>
      <c r="E102" s="9">
        <f>[2]หน้าผ้า!G111</f>
        <v>20</v>
      </c>
      <c r="F102" s="9">
        <f>[2]หน้าผ้า!H111</f>
        <v>35</v>
      </c>
      <c r="G102" s="9" t="str">
        <f>[2]หน้าผ้า!I111</f>
        <v>ขาว</v>
      </c>
      <c r="H102" s="9" t="str">
        <f>[2]หน้าผ้า!J111</f>
        <v>ด้าน</v>
      </c>
      <c r="I102" s="9">
        <f>[2]หน้าผ้า!L111</f>
        <v>97</v>
      </c>
      <c r="J102" s="9" t="str">
        <f>[2]หน้าผ้า!M111</f>
        <v>±</v>
      </c>
      <c r="K102" s="9">
        <f>[2]หน้าผ้า!N111</f>
        <v>5</v>
      </c>
      <c r="L102" s="9" t="str">
        <f>[2]หน้าผ้า!R111</f>
        <v>จับจีบ4"</v>
      </c>
      <c r="M102" s="10" t="str">
        <f>[2]หน้าผ้า!T111</f>
        <v>ไม่สวมถุงใน</v>
      </c>
      <c r="N102" s="9">
        <f>[2]หน้าผ้า!U111</f>
        <v>0</v>
      </c>
      <c r="O102" s="9">
        <f>[2]หน้าผ้า!V111</f>
        <v>0</v>
      </c>
      <c r="P102" s="10">
        <f>[2]หน้าผ้า!AB111</f>
        <v>0</v>
      </c>
      <c r="Q102" s="10">
        <f>[2]หน้าผ้า!AC111</f>
        <v>0</v>
      </c>
      <c r="R102" s="10">
        <f>[2]หน้าผ้า!AD111</f>
        <v>0</v>
      </c>
      <c r="S102" s="9" t="str">
        <f>[2]หน้าผ้า!Z111</f>
        <v>มัด80 ใช้สายรัด</v>
      </c>
      <c r="T102" s="12" t="str">
        <f>[2]หน้าผ้า!X111</f>
        <v>รอแจ้ง</v>
      </c>
      <c r="U102" s="11">
        <f>[2]หน้าผ้า!AA111</f>
        <v>152</v>
      </c>
      <c r="V102" s="10">
        <f>[2]หน้าผ้า!AJ111</f>
        <v>0</v>
      </c>
      <c r="W102" s="10">
        <f>[2]หน้าผ้า!AL111</f>
        <v>152</v>
      </c>
      <c r="X102" s="10">
        <f>[2]หน้าผ้า!AM111</f>
        <v>6000</v>
      </c>
      <c r="Y102" s="10">
        <f>[2]หน้าผ้า!AN111</f>
        <v>0</v>
      </c>
      <c r="Z102" s="9" t="str">
        <f>[2]หน้าผ้า!AO111</f>
        <v>WSWT2025800SM</v>
      </c>
      <c r="AA102" s="8">
        <f>[2]หน้าผ้า!AQ111</f>
        <v>0</v>
      </c>
      <c r="AB102" s="8">
        <f>[2]หน้าผ้า!AR111</f>
        <v>0</v>
      </c>
      <c r="AC102" s="8">
        <f>[2]หน้าผ้า!AS111</f>
        <v>0</v>
      </c>
      <c r="AD102" s="8">
        <f>[2]หน้าผ้า!AT111</f>
        <v>0</v>
      </c>
      <c r="AE102" s="8">
        <f>[2]หน้าผ้า!AU111</f>
        <v>0</v>
      </c>
      <c r="AF102" s="8">
        <f>[2]หน้าผ้า!AI111</f>
        <v>5987</v>
      </c>
      <c r="AG102" s="1" t="str">
        <f>[3]หน้าผ้า!DC114</f>
        <v>พร้อมส่ง</v>
      </c>
      <c r="AH102" s="1" t="str">
        <f>[2]หน้าผ้า!DL111</f>
        <v>P6</v>
      </c>
      <c r="AI102" s="1">
        <f>[2]หน้าผ้า!DM111</f>
        <v>4</v>
      </c>
      <c r="AJ102" s="3" t="str">
        <f>[2]หน้าผ้า!DN111</f>
        <v>รอแจ้ง</v>
      </c>
      <c r="AK102" s="3" t="e">
        <f>[2]หน้าผ้า!DQ111</f>
        <v>#VALUE!</v>
      </c>
      <c r="AL102" s="3" t="e">
        <f>[2]หน้าผ้า!DR111</f>
        <v>#VALUE!</v>
      </c>
      <c r="AM102" s="3" t="e">
        <f>[2]หน้าผ้า!DS111</f>
        <v>#VALUE!</v>
      </c>
      <c r="AN102" s="3" t="e">
        <f>[2]หน้าผ้า!DT111</f>
        <v>#VALUE!</v>
      </c>
      <c r="AO102" s="3" t="e">
        <f>[2]หน้าผ้า!DU111</f>
        <v>#VALUE!</v>
      </c>
      <c r="AP102" s="3" t="e">
        <f>[2]หน้าผ้า!DP111</f>
        <v>#VALUE!</v>
      </c>
      <c r="AQ102" s="3">
        <f>[2]หน้าผ้า!DW111</f>
        <v>0</v>
      </c>
      <c r="AR102" s="3">
        <f>[2]หน้าผ้า!DX111</f>
        <v>0</v>
      </c>
      <c r="AS102" s="3">
        <f>[2]หน้าผ้า!DY111</f>
        <v>0</v>
      </c>
      <c r="AT102" s="3">
        <f>[2]หน้าผ้า!DZ111</f>
        <v>0</v>
      </c>
      <c r="AU102" s="3">
        <f>[2]หน้าผ้า!EA111</f>
        <v>0</v>
      </c>
      <c r="AV102" s="1">
        <f>[2]หน้าผ้า!EB111</f>
        <v>0</v>
      </c>
      <c r="AW102" s="2" t="str">
        <f>[2]หน้าผ้า!EC111</f>
        <v>งานเคลือบ+พิมพ์</v>
      </c>
      <c r="AX102" s="2" t="str">
        <f>[2]หน้าผ้า!ED111</f>
        <v xml:space="preserve"> /</v>
      </c>
      <c r="AY102" s="2" t="str">
        <f>[2]หน้าผ้า!AG111</f>
        <v>ลบสี 5040</v>
      </c>
      <c r="AZ102" s="2">
        <f>[2]หน้าผ้า!EG111</f>
        <v>0</v>
      </c>
      <c r="BA102" s="2">
        <f>[2]หน้าผ้า!EH111</f>
        <v>0</v>
      </c>
      <c r="BB102" s="2">
        <f>[2]หน้าผ้า!EI111</f>
        <v>0</v>
      </c>
      <c r="BC102" s="1" t="str">
        <f>[2]หน้าผ้า!BZ111</f>
        <v>WRWT25850/WRWT25850</v>
      </c>
      <c r="BD102" s="56">
        <f>[2]หน้าผ้า!CA111</f>
        <v>0</v>
      </c>
    </row>
    <row r="103" spans="1:56" ht="27.75" customHeight="1" x14ac:dyDescent="0.45">
      <c r="A103" s="3">
        <f>[2]หน้าผ้า!C112</f>
        <v>45611</v>
      </c>
      <c r="B103" s="14" t="str">
        <f>[2]หน้าผ้า!B112</f>
        <v>MK67-001532</v>
      </c>
      <c r="C103" s="9" t="str">
        <f>[2]หน้าผ้า!E112</f>
        <v>บจก.อินเทคค์ โกลบอล</v>
      </c>
      <c r="D103" s="13" t="str">
        <f>[2]หน้าผ้า!F112</f>
        <v>เฟิร์สช้อย 903</v>
      </c>
      <c r="E103" s="9">
        <f>[2]หน้าผ้า!G112</f>
        <v>20</v>
      </c>
      <c r="F103" s="9">
        <f>[2]หน้าผ้า!H112</f>
        <v>36</v>
      </c>
      <c r="G103" s="9" t="str">
        <f>[2]หน้าผ้า!I112</f>
        <v>ขาว</v>
      </c>
      <c r="H103" s="9" t="str">
        <f>[2]หน้าผ้า!J112</f>
        <v>ด้าน</v>
      </c>
      <c r="I103" s="9">
        <f>[2]หน้าผ้า!L112</f>
        <v>100</v>
      </c>
      <c r="J103" s="9" t="str">
        <f>[2]หน้าผ้า!M112</f>
        <v>±</v>
      </c>
      <c r="K103" s="9">
        <f>[2]หน้าผ้า!N112</f>
        <v>5</v>
      </c>
      <c r="L103" s="9" t="str">
        <f>[2]หน้าผ้า!R112</f>
        <v>จับจีบ</v>
      </c>
      <c r="M103" s="10" t="str">
        <f>[2]หน้าผ้า!T112</f>
        <v>ไม่สวมถุงใน</v>
      </c>
      <c r="N103" s="9">
        <f>[2]หน้าผ้า!U112</f>
        <v>0</v>
      </c>
      <c r="O103" s="9">
        <f>[2]หน้าผ้า!V112</f>
        <v>0</v>
      </c>
      <c r="P103" s="10">
        <f>[2]หน้าผ้า!AB112</f>
        <v>0</v>
      </c>
      <c r="Q103" s="10">
        <f>[2]หน้าผ้า!AC112</f>
        <v>0</v>
      </c>
      <c r="R103" s="10">
        <f>[2]หน้าผ้า!AD112</f>
        <v>0</v>
      </c>
      <c r="S103" s="9" t="str">
        <f>[2]หน้าผ้า!Z112</f>
        <v>มัด80 ใช้สายรัด</v>
      </c>
      <c r="T103" s="12" t="str">
        <f>[2]หน้าผ้า!X112</f>
        <v>รอแจ้ง</v>
      </c>
      <c r="U103" s="11">
        <f>[2]หน้าผ้า!AA112</f>
        <v>117</v>
      </c>
      <c r="V103" s="10">
        <f>[2]หน้าผ้า!AJ112</f>
        <v>0</v>
      </c>
      <c r="W103" s="10">
        <f>[2]หน้าผ้า!AL112</f>
        <v>117</v>
      </c>
      <c r="X103" s="10">
        <f>[2]หน้าผ้า!AM112</f>
        <v>10065</v>
      </c>
      <c r="Y103" s="10">
        <f>[2]หน้าผ้า!AN112</f>
        <v>0</v>
      </c>
      <c r="Z103" s="9" t="str">
        <f>[2]หน้าผ้า!AO112</f>
        <v>WSWT2025800SM</v>
      </c>
      <c r="AA103" s="8">
        <f>[2]หน้าผ้า!AQ112</f>
        <v>0</v>
      </c>
      <c r="AB103" s="8">
        <f>[2]หน้าผ้า!AR112</f>
        <v>0</v>
      </c>
      <c r="AC103" s="8">
        <f>[2]หน้าผ้า!AS112</f>
        <v>0</v>
      </c>
      <c r="AD103" s="8">
        <f>[2]หน้าผ้า!AT112</f>
        <v>0</v>
      </c>
      <c r="AE103" s="8">
        <f>[2]หน้าผ้า!AU112</f>
        <v>0</v>
      </c>
      <c r="AF103" s="8">
        <f>[2]หน้าผ้า!AI112</f>
        <v>0</v>
      </c>
      <c r="AG103" s="1" t="str">
        <f>[3]หน้าผ้า!DC115</f>
        <v>รอตัด</v>
      </c>
      <c r="AH103" s="1" t="str">
        <f>[2]หน้าผ้า!DL112</f>
        <v>P6</v>
      </c>
      <c r="AI103" s="1">
        <f>[2]หน้าผ้า!DM112</f>
        <v>4</v>
      </c>
      <c r="AJ103" s="3" t="str">
        <f>[2]หน้าผ้า!DN112</f>
        <v>รอแจ้ง</v>
      </c>
      <c r="AK103" s="3" t="e">
        <f>[2]หน้าผ้า!DQ112</f>
        <v>#VALUE!</v>
      </c>
      <c r="AL103" s="3" t="e">
        <f>[2]หน้าผ้า!DR112</f>
        <v>#VALUE!</v>
      </c>
      <c r="AM103" s="3" t="e">
        <f>[2]หน้าผ้า!DS112</f>
        <v>#VALUE!</v>
      </c>
      <c r="AN103" s="3" t="e">
        <f>[2]หน้าผ้า!DT112</f>
        <v>#VALUE!</v>
      </c>
      <c r="AO103" s="3" t="e">
        <f>[2]หน้าผ้า!DU112</f>
        <v>#VALUE!</v>
      </c>
      <c r="AP103" s="3" t="e">
        <f>[2]หน้าผ้า!DP112</f>
        <v>#VALUE!</v>
      </c>
      <c r="AQ103" s="3">
        <f>[2]หน้าผ้า!DW112</f>
        <v>0</v>
      </c>
      <c r="AR103" s="3">
        <f>[2]หน้าผ้า!DX112</f>
        <v>0</v>
      </c>
      <c r="AS103" s="3">
        <f>[2]หน้าผ้า!DY112</f>
        <v>0</v>
      </c>
      <c r="AT103" s="3">
        <f>[2]หน้าผ้า!DZ112</f>
        <v>0</v>
      </c>
      <c r="AU103" s="3">
        <f>[2]หน้าผ้า!EA112</f>
        <v>0</v>
      </c>
      <c r="AV103" s="1">
        <f>[2]หน้าผ้า!EB112</f>
        <v>0</v>
      </c>
      <c r="AW103" s="2" t="str">
        <f>[2]หน้าผ้า!EC112</f>
        <v>งานเคลือบ+พิมพ์</v>
      </c>
      <c r="AX103" s="2" t="str">
        <f>[2]หน้าผ้า!ED112</f>
        <v xml:space="preserve"> /</v>
      </c>
      <c r="AY103" s="2">
        <f>[2]หน้าผ้า!AG112</f>
        <v>0</v>
      </c>
      <c r="AZ103" s="2">
        <f>[2]หน้าผ้า!EG112</f>
        <v>0</v>
      </c>
      <c r="BA103" s="2">
        <f>[2]หน้าผ้า!EH112</f>
        <v>0</v>
      </c>
      <c r="BB103" s="2">
        <f>[2]หน้าผ้า!EI112</f>
        <v>0</v>
      </c>
      <c r="BC103" s="1" t="str">
        <f>[2]หน้าผ้า!BZ112</f>
        <v>WRWT25850/WRWT25850</v>
      </c>
      <c r="BD103" s="56">
        <f>[2]หน้าผ้า!CA112</f>
        <v>0</v>
      </c>
    </row>
    <row r="104" spans="1:56" ht="27.75" customHeight="1" x14ac:dyDescent="0.45">
      <c r="A104" s="3">
        <f>[2]หน้าผ้า!C113</f>
        <v>45523</v>
      </c>
      <c r="B104" s="14" t="str">
        <f>[2]หน้าผ้า!B113</f>
        <v>MK67-001153</v>
      </c>
      <c r="C104" s="9" t="str">
        <f>[2]หน้าผ้า!E113</f>
        <v>บจก.อินเทคค์ โกลบอล</v>
      </c>
      <c r="D104" s="13" t="str">
        <f>[2]หน้าผ้า!F113</f>
        <v>สุบรรณ 777</v>
      </c>
      <c r="E104" s="9">
        <f>[2]หน้าผ้า!G113</f>
        <v>20</v>
      </c>
      <c r="F104" s="9">
        <f>[2]หน้าผ้า!H113</f>
        <v>36</v>
      </c>
      <c r="G104" s="9" t="str">
        <f>[2]หน้าผ้า!I113</f>
        <v>ขาว</v>
      </c>
      <c r="H104" s="9" t="str">
        <f>[2]หน้าผ้า!J113</f>
        <v>ด้าน</v>
      </c>
      <c r="I104" s="9">
        <f>[2]หน้าผ้า!L113</f>
        <v>100</v>
      </c>
      <c r="J104" s="9" t="str">
        <f>[2]หน้าผ้า!M113</f>
        <v>±</v>
      </c>
      <c r="K104" s="9">
        <f>[2]หน้าผ้า!N113</f>
        <v>5</v>
      </c>
      <c r="L104" s="9" t="str">
        <f>[2]หน้าผ้า!R113</f>
        <v>จับจีบ</v>
      </c>
      <c r="M104" s="10" t="str">
        <f>[2]หน้าผ้า!T113</f>
        <v>ไม่สวมถุงใน</v>
      </c>
      <c r="N104" s="9">
        <f>[2]หน้าผ้า!U113</f>
        <v>0</v>
      </c>
      <c r="O104" s="9">
        <f>[2]หน้าผ้า!V113</f>
        <v>0</v>
      </c>
      <c r="P104" s="10">
        <f>[2]หน้าผ้า!AB113</f>
        <v>0</v>
      </c>
      <c r="Q104" s="10">
        <f>[2]หน้าผ้า!AC113</f>
        <v>0</v>
      </c>
      <c r="R104" s="10">
        <f>[2]หน้าผ้า!AD113</f>
        <v>0</v>
      </c>
      <c r="S104" s="9" t="str">
        <f>[2]หน้าผ้า!Z113</f>
        <v>มัด80 ใช้สายรัด</v>
      </c>
      <c r="T104" s="12" t="str">
        <f>[2]หน้าผ้า!X113</f>
        <v>รอแจ้ง</v>
      </c>
      <c r="U104" s="11">
        <f>[2]หน้าผ้า!AA113</f>
        <v>1260</v>
      </c>
      <c r="V104" s="10">
        <f>[2]หน้าผ้า!AJ113</f>
        <v>0</v>
      </c>
      <c r="W104" s="10">
        <f>[2]หน้าผ้า!AL113</f>
        <v>1260</v>
      </c>
      <c r="X104" s="10">
        <f>[2]หน้าผ้า!AM113</f>
        <v>11095</v>
      </c>
      <c r="Y104" s="10">
        <f>[2]หน้าผ้า!AN113</f>
        <v>0</v>
      </c>
      <c r="Z104" s="9" t="str">
        <f>[2]หน้าผ้า!AO113</f>
        <v>WSWT2025800SM</v>
      </c>
      <c r="AA104" s="8">
        <f>[2]หน้าผ้า!AQ113</f>
        <v>0</v>
      </c>
      <c r="AB104" s="8">
        <f>[2]หน้าผ้า!AR113</f>
        <v>0</v>
      </c>
      <c r="AC104" s="8">
        <f>[2]หน้าผ้า!AS113</f>
        <v>0</v>
      </c>
      <c r="AD104" s="8">
        <f>[2]หน้าผ้า!AT113</f>
        <v>0</v>
      </c>
      <c r="AE104" s="8">
        <f>[2]หน้าผ้า!AU113</f>
        <v>0</v>
      </c>
      <c r="AF104" s="8">
        <f>[2]หน้าผ้า!AI113</f>
        <v>0</v>
      </c>
      <c r="AG104" s="1" t="str">
        <f>[3]หน้าผ้า!DC116</f>
        <v>รอตัด</v>
      </c>
      <c r="AH104" s="1" t="str">
        <f>[2]หน้าผ้า!DL113</f>
        <v>P6</v>
      </c>
      <c r="AI104" s="1">
        <f>[2]หน้าผ้า!DM113</f>
        <v>4</v>
      </c>
      <c r="AJ104" s="3" t="str">
        <f>[2]หน้าผ้า!DN113</f>
        <v>รอแจ้ง</v>
      </c>
      <c r="AK104" s="3" t="e">
        <f>[2]หน้าผ้า!DQ113</f>
        <v>#VALUE!</v>
      </c>
      <c r="AL104" s="3" t="e">
        <f>[2]หน้าผ้า!DR113</f>
        <v>#VALUE!</v>
      </c>
      <c r="AM104" s="3" t="e">
        <f>[2]หน้าผ้า!DS113</f>
        <v>#VALUE!</v>
      </c>
      <c r="AN104" s="3" t="e">
        <f>[2]หน้าผ้า!DT113</f>
        <v>#VALUE!</v>
      </c>
      <c r="AO104" s="3" t="e">
        <f>[2]หน้าผ้า!DU113</f>
        <v>#VALUE!</v>
      </c>
      <c r="AP104" s="3" t="e">
        <f>[2]หน้าผ้า!DP113</f>
        <v>#VALUE!</v>
      </c>
      <c r="AQ104" s="3">
        <f>[2]หน้าผ้า!DW113</f>
        <v>0</v>
      </c>
      <c r="AR104" s="3">
        <f>[2]หน้าผ้า!DX113</f>
        <v>0</v>
      </c>
      <c r="AS104" s="3">
        <f>[2]หน้าผ้า!DY113</f>
        <v>0</v>
      </c>
      <c r="AT104" s="3">
        <f>[2]หน้าผ้า!DZ113</f>
        <v>0</v>
      </c>
      <c r="AU104" s="3">
        <f>[2]หน้าผ้า!EA113</f>
        <v>0</v>
      </c>
      <c r="AV104" s="1">
        <f>[2]หน้าผ้า!EB113</f>
        <v>0</v>
      </c>
      <c r="AW104" s="2" t="str">
        <f>[2]หน้าผ้า!EC113</f>
        <v>งานเคลือบ+พิมพ์</v>
      </c>
      <c r="AX104" s="2" t="str">
        <f>[2]หน้าผ้า!ED113</f>
        <v xml:space="preserve"> /</v>
      </c>
      <c r="AY104" s="2">
        <f>[2]หน้าผ้า!AG113</f>
        <v>0</v>
      </c>
      <c r="AZ104" s="2">
        <f>[2]หน้าผ้า!EG113</f>
        <v>0</v>
      </c>
      <c r="BA104" s="2">
        <f>[2]หน้าผ้า!EH113</f>
        <v>0</v>
      </c>
      <c r="BB104" s="2">
        <f>[2]หน้าผ้า!EI113</f>
        <v>0</v>
      </c>
      <c r="BC104" s="1" t="str">
        <f>[2]หน้าผ้า!BZ113</f>
        <v>WRWT25850/WRWT25850</v>
      </c>
      <c r="BD104" s="56">
        <f>[2]หน้าผ้า!CA113</f>
        <v>0</v>
      </c>
    </row>
    <row r="105" spans="1:56" ht="27.75" customHeight="1" x14ac:dyDescent="0.45">
      <c r="A105" s="3">
        <f>[2]หน้าผ้า!C114</f>
        <v>45523</v>
      </c>
      <c r="B105" s="14" t="str">
        <f>[2]หน้าผ้า!B114</f>
        <v>MK67-001153</v>
      </c>
      <c r="C105" s="9" t="str">
        <f>[2]หน้าผ้า!E114</f>
        <v>บจก.อินเทคค์ โกลบอล</v>
      </c>
      <c r="D105" s="13" t="str">
        <f>[2]หน้าผ้า!F114</f>
        <v>สุบรรณ 666</v>
      </c>
      <c r="E105" s="9">
        <f>[2]หน้าผ้า!G114</f>
        <v>20</v>
      </c>
      <c r="F105" s="9">
        <f>[2]หน้าผ้า!H114</f>
        <v>36</v>
      </c>
      <c r="G105" s="9" t="str">
        <f>[2]หน้าผ้า!I114</f>
        <v>ขาว</v>
      </c>
      <c r="H105" s="9" t="str">
        <f>[2]หน้าผ้า!J114</f>
        <v>ด้าน</v>
      </c>
      <c r="I105" s="9">
        <f>[2]หน้าผ้า!L114</f>
        <v>100</v>
      </c>
      <c r="J105" s="9" t="str">
        <f>[2]หน้าผ้า!M114</f>
        <v>±</v>
      </c>
      <c r="K105" s="9">
        <f>[2]หน้าผ้า!N114</f>
        <v>5</v>
      </c>
      <c r="L105" s="9" t="str">
        <f>[2]หน้าผ้า!R114</f>
        <v>จับจีบ</v>
      </c>
      <c r="M105" s="10" t="str">
        <f>[2]หน้าผ้า!T114</f>
        <v>ไม่สวมถุงใน</v>
      </c>
      <c r="N105" s="9">
        <f>[2]หน้าผ้า!U114</f>
        <v>0</v>
      </c>
      <c r="O105" s="9">
        <f>[2]หน้าผ้า!V114</f>
        <v>0</v>
      </c>
      <c r="P105" s="10">
        <f>[2]หน้าผ้า!AB114</f>
        <v>0</v>
      </c>
      <c r="Q105" s="10">
        <f>[2]หน้าผ้า!AC114</f>
        <v>0</v>
      </c>
      <c r="R105" s="10">
        <f>[2]หน้าผ้า!AD114</f>
        <v>0</v>
      </c>
      <c r="S105" s="9" t="str">
        <f>[2]หน้าผ้า!Z114</f>
        <v>มัด80 ใช้สายรัด</v>
      </c>
      <c r="T105" s="12" t="str">
        <f>[2]หน้าผ้า!X114</f>
        <v>รอแจ้ง</v>
      </c>
      <c r="U105" s="11">
        <f>[2]หน้าผ้า!AA114</f>
        <v>89</v>
      </c>
      <c r="V105" s="10">
        <f>[2]หน้าผ้า!AJ114</f>
        <v>0</v>
      </c>
      <c r="W105" s="10">
        <f>[2]หน้าผ้า!AL114</f>
        <v>89</v>
      </c>
      <c r="X105" s="10">
        <f>[2]หน้าผ้า!AM114</f>
        <v>11180</v>
      </c>
      <c r="Y105" s="10">
        <f>[2]หน้าผ้า!AN114</f>
        <v>0</v>
      </c>
      <c r="Z105" s="9" t="str">
        <f>[2]หน้าผ้า!AO114</f>
        <v>WSWT2025800SM</v>
      </c>
      <c r="AA105" s="8">
        <f>[2]หน้าผ้า!AQ114</f>
        <v>0</v>
      </c>
      <c r="AB105" s="8">
        <f>[2]หน้าผ้า!AR114</f>
        <v>0</v>
      </c>
      <c r="AC105" s="8">
        <f>[2]หน้าผ้า!AS114</f>
        <v>0</v>
      </c>
      <c r="AD105" s="8">
        <f>[2]หน้าผ้า!AT114</f>
        <v>0</v>
      </c>
      <c r="AE105" s="8">
        <f>[2]หน้าผ้า!AU114</f>
        <v>0</v>
      </c>
      <c r="AF105" s="8">
        <f>[2]หน้าผ้า!AI114</f>
        <v>0</v>
      </c>
      <c r="AG105" s="1" t="str">
        <f>[3]หน้าผ้า!DC117</f>
        <v>พร้อมส่ง</v>
      </c>
      <c r="AH105" s="1" t="str">
        <f>[2]หน้าผ้า!DL114</f>
        <v>P6</v>
      </c>
      <c r="AI105" s="1">
        <f>[2]หน้าผ้า!DM114</f>
        <v>4</v>
      </c>
      <c r="AJ105" s="3" t="str">
        <f>[2]หน้าผ้า!DN114</f>
        <v>รอแจ้ง</v>
      </c>
      <c r="AK105" s="3" t="e">
        <f>[2]หน้าผ้า!DQ114</f>
        <v>#VALUE!</v>
      </c>
      <c r="AL105" s="3" t="e">
        <f>[2]หน้าผ้า!DR114</f>
        <v>#VALUE!</v>
      </c>
      <c r="AM105" s="3" t="e">
        <f>[2]หน้าผ้า!DS114</f>
        <v>#VALUE!</v>
      </c>
      <c r="AN105" s="3" t="e">
        <f>[2]หน้าผ้า!DT114</f>
        <v>#VALUE!</v>
      </c>
      <c r="AO105" s="3" t="e">
        <f>[2]หน้าผ้า!DU114</f>
        <v>#VALUE!</v>
      </c>
      <c r="AP105" s="3" t="e">
        <f>[2]หน้าผ้า!DP114</f>
        <v>#VALUE!</v>
      </c>
      <c r="AQ105" s="3">
        <f>[2]หน้าผ้า!DW114</f>
        <v>0</v>
      </c>
      <c r="AR105" s="3">
        <f>[2]หน้าผ้า!DX114</f>
        <v>0</v>
      </c>
      <c r="AS105" s="3">
        <f>[2]หน้าผ้า!DY114</f>
        <v>0</v>
      </c>
      <c r="AT105" s="3">
        <f>[2]หน้าผ้า!DZ114</f>
        <v>0</v>
      </c>
      <c r="AU105" s="3">
        <f>[2]หน้าผ้า!EA114</f>
        <v>0</v>
      </c>
      <c r="AV105" s="1">
        <f>[2]หน้าผ้า!EB114</f>
        <v>0</v>
      </c>
      <c r="AW105" s="2" t="str">
        <f>[2]หน้าผ้า!EC114</f>
        <v>งานเคลือบ+พิมพ์</v>
      </c>
      <c r="AX105" s="2" t="str">
        <f>[2]หน้าผ้า!ED114</f>
        <v xml:space="preserve"> /</v>
      </c>
      <c r="AY105" s="2">
        <f>[2]หน้าผ้า!AG114</f>
        <v>0</v>
      </c>
      <c r="AZ105" s="2">
        <f>[2]หน้าผ้า!EG114</f>
        <v>0</v>
      </c>
      <c r="BA105" s="2">
        <f>[2]หน้าผ้า!EH114</f>
        <v>0</v>
      </c>
      <c r="BB105" s="2">
        <f>[2]หน้าผ้า!EI114</f>
        <v>0</v>
      </c>
      <c r="BC105" s="1" t="str">
        <f>[2]หน้าผ้า!BZ114</f>
        <v>WRWT25850/WRWT25850</v>
      </c>
      <c r="BD105" s="56">
        <f>[2]หน้าผ้า!CA114</f>
        <v>0</v>
      </c>
    </row>
    <row r="106" spans="1:56" ht="27.75" customHeight="1" x14ac:dyDescent="0.45">
      <c r="A106" s="3">
        <f>[2]หน้าผ้า!C115</f>
        <v>45799</v>
      </c>
      <c r="B106" s="14" t="str">
        <f>[2]หน้าผ้า!B115</f>
        <v>MK68-000694</v>
      </c>
      <c r="C106" s="9" t="str">
        <f>[2]หน้าผ้า!E115</f>
        <v>บจก.เอ.เจ.ฟาร์ม่าแล็บ</v>
      </c>
      <c r="D106" s="13" t="str">
        <f>[2]หน้าผ้า!F115</f>
        <v>เบส-มิน</v>
      </c>
      <c r="E106" s="9">
        <f>[2]หน้าผ้า!G115</f>
        <v>20</v>
      </c>
      <c r="F106" s="9">
        <f>[2]หน้าผ้า!H115</f>
        <v>34</v>
      </c>
      <c r="G106" s="9" t="str">
        <f>[2]หน้าผ้า!I115</f>
        <v>ขาว</v>
      </c>
      <c r="H106" s="9" t="str">
        <f>[2]หน้าผ้า!J115</f>
        <v>ใส</v>
      </c>
      <c r="I106" s="9">
        <f>[2]หน้าผ้า!L115</f>
        <v>95</v>
      </c>
      <c r="J106" s="9" t="str">
        <f>[2]หน้าผ้า!M115</f>
        <v>±</v>
      </c>
      <c r="K106" s="9">
        <f>[2]หน้าผ้า!N115</f>
        <v>5</v>
      </c>
      <c r="L106" s="9" t="str">
        <f>[2]หน้าผ้า!R115</f>
        <v>จับจีบ</v>
      </c>
      <c r="M106" s="10" t="str">
        <f>[2]หน้าผ้า!T115</f>
        <v>ไม่สวมถุงใน</v>
      </c>
      <c r="N106" s="9">
        <f>[2]หน้าผ้า!U115</f>
        <v>0</v>
      </c>
      <c r="O106" s="9">
        <f>[2]หน้าผ้า!V115</f>
        <v>0</v>
      </c>
      <c r="P106" s="10">
        <f>[2]หน้าผ้า!AB115</f>
        <v>0</v>
      </c>
      <c r="Q106" s="10">
        <f>[2]หน้าผ้า!AC115</f>
        <v>0</v>
      </c>
      <c r="R106" s="10">
        <f>[2]หน้าผ้า!AD115</f>
        <v>0</v>
      </c>
      <c r="S106" s="9" t="str">
        <f>[2]หน้าผ้า!Z115</f>
        <v>500กระสอบ</v>
      </c>
      <c r="T106" s="12" t="str">
        <f>[2]หน้าผ้า!X115</f>
        <v>รอส่ง</v>
      </c>
      <c r="U106" s="11">
        <f>[2]หน้าผ้า!AA115</f>
        <v>4000</v>
      </c>
      <c r="V106" s="10">
        <f>[2]หน้าผ้า!AJ115</f>
        <v>2840</v>
      </c>
      <c r="W106" s="10">
        <f>[2]หน้าผ้า!AL115</f>
        <v>1160</v>
      </c>
      <c r="X106" s="10">
        <f>[2]หน้าผ้า!AM115</f>
        <v>8450</v>
      </c>
      <c r="Y106" s="10">
        <f>[2]หน้าผ้า!AN115</f>
        <v>0</v>
      </c>
      <c r="Z106" s="9" t="str">
        <f>[2]หน้าผ้า!AO115</f>
        <v>WSWT2025800SM</v>
      </c>
      <c r="AA106" s="8">
        <f>[2]หน้าผ้า!AQ115</f>
        <v>0</v>
      </c>
      <c r="AB106" s="8">
        <f>[2]หน้าผ้า!AR115</f>
        <v>0</v>
      </c>
      <c r="AC106" s="8">
        <f>[2]หน้าผ้า!AS115</f>
        <v>0</v>
      </c>
      <c r="AD106" s="8">
        <f>[2]หน้าผ้า!AT115</f>
        <v>0</v>
      </c>
      <c r="AE106" s="8">
        <f>[2]หน้าผ้า!AU115</f>
        <v>0</v>
      </c>
      <c r="AF106" s="8" t="str">
        <f>[2]หน้าผ้า!AI115</f>
        <v>ห้ามขาด-ห้ามเกิน</v>
      </c>
      <c r="AG106" s="1" t="str">
        <f>[3]หน้าผ้า!DC118</f>
        <v>พร้อมส่ง</v>
      </c>
      <c r="AH106" s="1" t="str">
        <f>[2]หน้าผ้า!DL115</f>
        <v>P6</v>
      </c>
      <c r="AI106" s="1">
        <f>[2]หน้าผ้า!DM115</f>
        <v>4</v>
      </c>
      <c r="AJ106" s="3" t="str">
        <f>[2]หน้าผ้า!DN115</f>
        <v>รอส่ง</v>
      </c>
      <c r="AK106" s="3" t="e">
        <f>[2]หน้าผ้า!DQ115</f>
        <v>#VALUE!</v>
      </c>
      <c r="AL106" s="3" t="e">
        <f>[2]หน้าผ้า!DR115</f>
        <v>#VALUE!</v>
      </c>
      <c r="AM106" s="3" t="e">
        <f>[2]หน้าผ้า!DS115</f>
        <v>#VALUE!</v>
      </c>
      <c r="AN106" s="3" t="e">
        <f>[2]หน้าผ้า!DT115</f>
        <v>#VALUE!</v>
      </c>
      <c r="AO106" s="3" t="e">
        <f>[2]หน้าผ้า!DU115</f>
        <v>#VALUE!</v>
      </c>
      <c r="AP106" s="3" t="e">
        <f>[2]หน้าผ้า!DP115</f>
        <v>#VALUE!</v>
      </c>
      <c r="AQ106" s="3">
        <f>[2]หน้าผ้า!DW115</f>
        <v>0</v>
      </c>
      <c r="AR106" s="3">
        <f>[2]หน้าผ้า!DX115</f>
        <v>0</v>
      </c>
      <c r="AS106" s="3">
        <f>[2]หน้าผ้า!DY115</f>
        <v>0</v>
      </c>
      <c r="AT106" s="3">
        <f>[2]หน้าผ้า!DZ115</f>
        <v>0</v>
      </c>
      <c r="AU106" s="3">
        <f>[2]หน้าผ้า!EA115</f>
        <v>0</v>
      </c>
      <c r="AV106" s="1">
        <f>[2]หน้าผ้า!EB115</f>
        <v>0</v>
      </c>
      <c r="AW106" s="2" t="str">
        <f>[2]หน้าผ้า!EC115</f>
        <v>งานเคลือบ+พิมพ์</v>
      </c>
      <c r="AX106" s="2" t="str">
        <f>[2]หน้าผ้า!ED115</f>
        <v xml:space="preserve"> /</v>
      </c>
      <c r="AY106" s="2">
        <f>[2]หน้าผ้า!AG115</f>
        <v>0</v>
      </c>
      <c r="AZ106" s="2">
        <f>[2]หน้าผ้า!EG115</f>
        <v>0</v>
      </c>
      <c r="BA106" s="2">
        <f>[2]หน้าผ้า!EH115</f>
        <v>0</v>
      </c>
      <c r="BB106" s="2">
        <f>[2]หน้าผ้า!EI115</f>
        <v>0</v>
      </c>
      <c r="BC106" s="1" t="str">
        <f>[2]หน้าผ้า!BZ115</f>
        <v>WRWT25850/WRWT25850</v>
      </c>
      <c r="BD106" s="56">
        <f>[2]หน้าผ้า!CA115</f>
        <v>0</v>
      </c>
    </row>
    <row r="107" spans="1:56" ht="27.75" customHeight="1" x14ac:dyDescent="0.45">
      <c r="A107" s="3">
        <f>[2]หน้าผ้า!C116</f>
        <v>45799</v>
      </c>
      <c r="B107" s="14" t="str">
        <f>[2]หน้าผ้า!B116</f>
        <v>MK68-000694</v>
      </c>
      <c r="C107" s="9" t="str">
        <f>[2]หน้าผ้า!E116</f>
        <v>บจก.เอ.เจ.ฟาร์ม่าแล็บ</v>
      </c>
      <c r="D107" s="13" t="str">
        <f>[2]หน้าผ้า!F116</f>
        <v>เวท-มิน</v>
      </c>
      <c r="E107" s="9">
        <f>[2]หน้าผ้า!G116</f>
        <v>20</v>
      </c>
      <c r="F107" s="9">
        <f>[2]หน้าผ้า!H116</f>
        <v>34</v>
      </c>
      <c r="G107" s="9" t="str">
        <f>[2]หน้าผ้า!I116</f>
        <v>ขาว</v>
      </c>
      <c r="H107" s="9" t="str">
        <f>[2]หน้าผ้า!J116</f>
        <v>ใส</v>
      </c>
      <c r="I107" s="9">
        <f>[2]หน้าผ้า!L116</f>
        <v>95</v>
      </c>
      <c r="J107" s="9" t="str">
        <f>[2]หน้าผ้า!M116</f>
        <v>±</v>
      </c>
      <c r="K107" s="9">
        <f>[2]หน้าผ้า!N116</f>
        <v>5</v>
      </c>
      <c r="L107" s="9" t="str">
        <f>[2]หน้าผ้า!R116</f>
        <v>จับจีบ</v>
      </c>
      <c r="M107" s="10" t="str">
        <f>[2]หน้าผ้า!T116</f>
        <v>ไม่สวมถุงใน</v>
      </c>
      <c r="N107" s="9">
        <f>[2]หน้าผ้า!U116</f>
        <v>0</v>
      </c>
      <c r="O107" s="9">
        <f>[2]หน้าผ้า!V116</f>
        <v>0</v>
      </c>
      <c r="P107" s="10">
        <f>[2]หน้าผ้า!AB116</f>
        <v>0</v>
      </c>
      <c r="Q107" s="10">
        <f>[2]หน้าผ้า!AC116</f>
        <v>0</v>
      </c>
      <c r="R107" s="10">
        <f>[2]หน้าผ้า!AD116</f>
        <v>0</v>
      </c>
      <c r="S107" s="9" t="str">
        <f>[2]หน้าผ้า!Z116</f>
        <v>500กระสอบ</v>
      </c>
      <c r="T107" s="12" t="str">
        <f>[2]หน้าผ้า!X116</f>
        <v>รอส่ง</v>
      </c>
      <c r="U107" s="11">
        <f>[2]หน้าผ้า!AA116</f>
        <v>4000</v>
      </c>
      <c r="V107" s="10">
        <f>[2]หน้าผ้า!AJ116</f>
        <v>2654</v>
      </c>
      <c r="W107" s="10">
        <f>[2]หน้าผ้า!AL116</f>
        <v>1346</v>
      </c>
      <c r="X107" s="10">
        <f>[2]หน้าผ้า!AM116</f>
        <v>4000</v>
      </c>
      <c r="Y107" s="10">
        <f>[2]หน้าผ้า!AN116</f>
        <v>0</v>
      </c>
      <c r="Z107" s="9" t="str">
        <f>[2]หน้าผ้า!AO116</f>
        <v>WSWT2025800SM</v>
      </c>
      <c r="AA107" s="8">
        <f>[2]หน้าผ้า!AQ116</f>
        <v>0</v>
      </c>
      <c r="AB107" s="8">
        <f>[2]หน้าผ้า!AR116</f>
        <v>0</v>
      </c>
      <c r="AC107" s="8">
        <f>[2]หน้าผ้า!AS116</f>
        <v>0</v>
      </c>
      <c r="AD107" s="8">
        <f>[2]หน้าผ้า!AT116</f>
        <v>0</v>
      </c>
      <c r="AE107" s="8">
        <f>[2]หน้าผ้า!AU116</f>
        <v>0</v>
      </c>
      <c r="AF107" s="8" t="str">
        <f>[2]หน้าผ้า!AI116</f>
        <v>ห้ามขาด-ห้ามเกิน</v>
      </c>
      <c r="AG107" s="1" t="str">
        <f>[3]หน้าผ้า!DC119</f>
        <v>พร้อมส่ง</v>
      </c>
      <c r="AH107" s="1" t="str">
        <f>[2]หน้าผ้า!DL116</f>
        <v>P6</v>
      </c>
      <c r="AI107" s="1">
        <f>[2]หน้าผ้า!DM116</f>
        <v>4</v>
      </c>
      <c r="AJ107" s="3" t="str">
        <f>[2]หน้าผ้า!DN116</f>
        <v>รอส่ง</v>
      </c>
      <c r="AK107" s="3" t="e">
        <f>[2]หน้าผ้า!DQ116</f>
        <v>#VALUE!</v>
      </c>
      <c r="AL107" s="3" t="e">
        <f>[2]หน้าผ้า!DR116</f>
        <v>#VALUE!</v>
      </c>
      <c r="AM107" s="3" t="e">
        <f>[2]หน้าผ้า!DS116</f>
        <v>#VALUE!</v>
      </c>
      <c r="AN107" s="3" t="e">
        <f>[2]หน้าผ้า!DT116</f>
        <v>#VALUE!</v>
      </c>
      <c r="AO107" s="3" t="e">
        <f>[2]หน้าผ้า!DU116</f>
        <v>#VALUE!</v>
      </c>
      <c r="AP107" s="3" t="e">
        <f>[2]หน้าผ้า!DP116</f>
        <v>#VALUE!</v>
      </c>
      <c r="AQ107" s="3">
        <f>[2]หน้าผ้า!DW116</f>
        <v>0</v>
      </c>
      <c r="AR107" s="3">
        <f>[2]หน้าผ้า!DX116</f>
        <v>0</v>
      </c>
      <c r="AS107" s="3">
        <f>[2]หน้าผ้า!DY116</f>
        <v>0</v>
      </c>
      <c r="AT107" s="3">
        <f>[2]หน้าผ้า!DZ116</f>
        <v>0</v>
      </c>
      <c r="AU107" s="3">
        <f>[2]หน้าผ้า!EA116</f>
        <v>0</v>
      </c>
      <c r="AV107" s="1">
        <f>[2]หน้าผ้า!EB116</f>
        <v>0</v>
      </c>
      <c r="AW107" s="2" t="str">
        <f>[2]หน้าผ้า!EC116</f>
        <v>งานเคลือบ+พิมพ์</v>
      </c>
      <c r="AX107" s="2" t="str">
        <f>[2]หน้าผ้า!ED116</f>
        <v xml:space="preserve"> /</v>
      </c>
      <c r="AY107" s="2">
        <f>[2]หน้าผ้า!AG116</f>
        <v>0</v>
      </c>
      <c r="AZ107" s="2">
        <f>[2]หน้าผ้า!EG116</f>
        <v>0</v>
      </c>
      <c r="BA107" s="2">
        <f>[2]หน้าผ้า!EH116</f>
        <v>0</v>
      </c>
      <c r="BB107" s="2">
        <f>[2]หน้าผ้า!EI116</f>
        <v>0</v>
      </c>
      <c r="BC107" s="1" t="str">
        <f>[2]หน้าผ้า!BZ116</f>
        <v>WRWT25850/WRWT25850</v>
      </c>
      <c r="BD107" s="56">
        <f>[2]หน้าผ้า!CA116</f>
        <v>0</v>
      </c>
    </row>
    <row r="108" spans="1:56" ht="27.75" customHeight="1" x14ac:dyDescent="0.45">
      <c r="A108" s="3">
        <f>[2]หน้าผ้า!C117</f>
        <v>45741</v>
      </c>
      <c r="B108" s="14" t="str">
        <f>[2]หน้าผ้า!B117</f>
        <v>MK68-000452</v>
      </c>
      <c r="C108" s="9" t="str">
        <f>[2]หน้าผ้า!E117</f>
        <v>บจก.เอพีเอ็ม อะโกร</v>
      </c>
      <c r="D108" s="13" t="str">
        <f>[2]หน้าผ้า!F117</f>
        <v>วี-ฟีด วี 07</v>
      </c>
      <c r="E108" s="9">
        <f>[2]หน้าผ้า!G117</f>
        <v>20</v>
      </c>
      <c r="F108" s="9">
        <f>[2]หน้าผ้า!H117</f>
        <v>38</v>
      </c>
      <c r="G108" s="9" t="str">
        <f>[2]หน้าผ้า!I117</f>
        <v>ขาว</v>
      </c>
      <c r="H108" s="9" t="str">
        <f>[2]หน้าผ้า!J117</f>
        <v>ใส</v>
      </c>
      <c r="I108" s="9">
        <f>[2]หน้าผ้า!L117</f>
        <v>100</v>
      </c>
      <c r="J108" s="9" t="str">
        <f>[2]หน้าผ้า!M117</f>
        <v>±</v>
      </c>
      <c r="K108" s="9">
        <f>[2]หน้าผ้า!N117</f>
        <v>5</v>
      </c>
      <c r="L108" s="9" t="str">
        <f>[2]หน้าผ้า!R117</f>
        <v>บิด</v>
      </c>
      <c r="M108" s="10" t="str">
        <f>[2]หน้าผ้า!T117</f>
        <v>ไม่สวมถุงใน</v>
      </c>
      <c r="N108" s="9">
        <f>[2]หน้าผ้า!U117</f>
        <v>0</v>
      </c>
      <c r="O108" s="9">
        <f>[2]หน้าผ้า!V117</f>
        <v>0</v>
      </c>
      <c r="P108" s="10">
        <f>[2]หน้าผ้า!AB117</f>
        <v>0</v>
      </c>
      <c r="Q108" s="10">
        <f>[2]หน้าผ้า!AC117</f>
        <v>0</v>
      </c>
      <c r="R108" s="10">
        <f>[2]หน้าผ้า!AD117</f>
        <v>0</v>
      </c>
      <c r="S108" s="9" t="str">
        <f>[2]หน้าผ้า!Z117</f>
        <v>500กระสอบแบน</v>
      </c>
      <c r="T108" s="12" t="str">
        <f>[2]หน้าผ้า!X117</f>
        <v>รอส่ง</v>
      </c>
      <c r="U108" s="11">
        <f>[2]หน้าผ้า!AA117</f>
        <v>4000</v>
      </c>
      <c r="V108" s="10">
        <f>[2]หน้าผ้า!AJ117</f>
        <v>3867</v>
      </c>
      <c r="W108" s="10">
        <f>[2]หน้าผ้า!AL117</f>
        <v>133</v>
      </c>
      <c r="X108" s="10">
        <f>[2]หน้าผ้า!AM117</f>
        <v>4200</v>
      </c>
      <c r="Y108" s="10">
        <f>[2]หน้าผ้า!AN117</f>
        <v>0</v>
      </c>
      <c r="Z108" s="9" t="str">
        <f>[2]หน้าผ้า!AO117</f>
        <v>WSWT2025800SM</v>
      </c>
      <c r="AA108" s="8">
        <f>[2]หน้าผ้า!AQ117</f>
        <v>0</v>
      </c>
      <c r="AB108" s="8">
        <f>[2]หน้าผ้า!AR117</f>
        <v>0</v>
      </c>
      <c r="AC108" s="8">
        <f>[2]หน้าผ้า!AS117</f>
        <v>0</v>
      </c>
      <c r="AD108" s="8">
        <f>[2]หน้าผ้า!AT117</f>
        <v>0</v>
      </c>
      <c r="AE108" s="8">
        <f>[2]หน้าผ้า!AU117</f>
        <v>0</v>
      </c>
      <c r="AF108" s="8">
        <f>[2]หน้าผ้า!AI117</f>
        <v>0</v>
      </c>
      <c r="AG108" s="1" t="str">
        <f>[3]หน้าผ้า!DC120</f>
        <v>พร้อมส่ง</v>
      </c>
      <c r="AH108" s="1" t="str">
        <f>[2]หน้าผ้า!DL117</f>
        <v>P6</v>
      </c>
      <c r="AI108" s="1">
        <f>[2]หน้าผ้า!DM117</f>
        <v>4</v>
      </c>
      <c r="AJ108" s="3" t="str">
        <f>[2]หน้าผ้า!DN117</f>
        <v>รอส่ง</v>
      </c>
      <c r="AK108" s="3" t="e">
        <f>[2]หน้าผ้า!DQ117</f>
        <v>#VALUE!</v>
      </c>
      <c r="AL108" s="3" t="e">
        <f>[2]หน้าผ้า!DR117</f>
        <v>#VALUE!</v>
      </c>
      <c r="AM108" s="3" t="e">
        <f>[2]หน้าผ้า!DS117</f>
        <v>#VALUE!</v>
      </c>
      <c r="AN108" s="3" t="e">
        <f>[2]หน้าผ้า!DT117</f>
        <v>#VALUE!</v>
      </c>
      <c r="AO108" s="3" t="e">
        <f>[2]หน้าผ้า!DU117</f>
        <v>#VALUE!</v>
      </c>
      <c r="AP108" s="3" t="e">
        <f>[2]หน้าผ้า!DP117</f>
        <v>#VALUE!</v>
      </c>
      <c r="AQ108" s="3">
        <f>[2]หน้าผ้า!DW117</f>
        <v>0</v>
      </c>
      <c r="AR108" s="3">
        <f>[2]หน้าผ้า!DX117</f>
        <v>0</v>
      </c>
      <c r="AS108" s="3">
        <f>[2]หน้าผ้า!DY117</f>
        <v>0</v>
      </c>
      <c r="AT108" s="3">
        <f>[2]หน้าผ้า!DZ117</f>
        <v>0</v>
      </c>
      <c r="AU108" s="3">
        <f>[2]หน้าผ้า!EA117</f>
        <v>0</v>
      </c>
      <c r="AV108" s="1">
        <f>[2]หน้าผ้า!EB117</f>
        <v>0</v>
      </c>
      <c r="AW108" s="2" t="str">
        <f>[2]หน้าผ้า!EC117</f>
        <v>งานเคลือบ+พิมพ์</v>
      </c>
      <c r="AX108" s="2" t="str">
        <f>[2]หน้าผ้า!ED117</f>
        <v xml:space="preserve"> /</v>
      </c>
      <c r="AY108" s="2" t="str">
        <f>[2]หน้าผ้า!AG117</f>
        <v>มีลบสี</v>
      </c>
      <c r="AZ108" s="2">
        <f>[2]หน้าผ้า!EG117</f>
        <v>0</v>
      </c>
      <c r="BA108" s="2">
        <f>[2]หน้าผ้า!EH117</f>
        <v>0</v>
      </c>
      <c r="BB108" s="2">
        <f>[2]หน้าผ้า!EI117</f>
        <v>0</v>
      </c>
      <c r="BC108" s="1" t="str">
        <f>[2]หน้าผ้า!BZ117</f>
        <v>WRWT25850/WRWT25850</v>
      </c>
      <c r="BD108" s="56">
        <f>[2]หน้าผ้า!CA117</f>
        <v>0</v>
      </c>
    </row>
    <row r="109" spans="1:56" ht="27.75" customHeight="1" x14ac:dyDescent="0.45">
      <c r="A109" s="3">
        <f>[2]หน้าผ้า!C118</f>
        <v>45720</v>
      </c>
      <c r="B109" s="14" t="str">
        <f>[2]หน้าผ้า!B118</f>
        <v>ใบรับคำสั่งซื้อ</v>
      </c>
      <c r="C109" s="9" t="str">
        <f>[2]หน้าผ้า!E118</f>
        <v>บจก.เอพีเอ็ม อะโกร</v>
      </c>
      <c r="D109" s="13" t="str">
        <f>[2]หน้าผ้า!F118</f>
        <v>นีโอ พี3(เอส)</v>
      </c>
      <c r="E109" s="9">
        <f>[2]หน้าผ้า!G118</f>
        <v>20</v>
      </c>
      <c r="F109" s="9">
        <f>[2]หน้าผ้า!H118</f>
        <v>38</v>
      </c>
      <c r="G109" s="9" t="str">
        <f>[2]หน้าผ้า!I118</f>
        <v>ขาว</v>
      </c>
      <c r="H109" s="9" t="str">
        <f>[2]หน้าผ้า!J118</f>
        <v>ด้าน</v>
      </c>
      <c r="I109" s="9">
        <f>[2]หน้าผ้า!L118</f>
        <v>100</v>
      </c>
      <c r="J109" s="9" t="str">
        <f>[2]หน้าผ้า!M118</f>
        <v>±</v>
      </c>
      <c r="K109" s="9">
        <f>[2]หน้าผ้า!N118</f>
        <v>5</v>
      </c>
      <c r="L109" s="9" t="str">
        <f>[2]หน้าผ้า!R118</f>
        <v>บิด</v>
      </c>
      <c r="M109" s="10" t="str">
        <f>[2]หน้าผ้า!T118</f>
        <v>ไม่สวมถุงใน</v>
      </c>
      <c r="N109" s="9">
        <f>[2]หน้าผ้า!U118</f>
        <v>0</v>
      </c>
      <c r="O109" s="9">
        <f>[2]หน้าผ้า!V118</f>
        <v>0</v>
      </c>
      <c r="P109" s="10">
        <f>[2]หน้าผ้า!AB118</f>
        <v>0</v>
      </c>
      <c r="Q109" s="10">
        <f>[2]หน้าผ้า!AC118</f>
        <v>0</v>
      </c>
      <c r="R109" s="10">
        <f>[2]หน้าผ้า!AD118</f>
        <v>0</v>
      </c>
      <c r="S109" s="9" t="str">
        <f>[2]หน้าผ้า!Z118</f>
        <v>500กระสอบแบน</v>
      </c>
      <c r="T109" s="12" t="str">
        <f>[2]หน้าผ้า!X118</f>
        <v>รอส่ง</v>
      </c>
      <c r="U109" s="11">
        <f>[2]หน้าผ้า!AA118</f>
        <v>4000</v>
      </c>
      <c r="V109" s="10">
        <f>[2]หน้าผ้า!AJ118</f>
        <v>4010</v>
      </c>
      <c r="W109" s="10">
        <f>[2]หน้าผ้า!AL118</f>
        <v>0</v>
      </c>
      <c r="X109" s="10">
        <f>[2]หน้าผ้า!AM118</f>
        <v>4470</v>
      </c>
      <c r="Y109" s="10">
        <f>[2]หน้าผ้า!AN118</f>
        <v>0</v>
      </c>
      <c r="Z109" s="9" t="str">
        <f>[2]หน้าผ้า!AO118</f>
        <v>WSWT2025800SM</v>
      </c>
      <c r="AA109" s="8">
        <f>[2]หน้าผ้า!AQ118</f>
        <v>0</v>
      </c>
      <c r="AB109" s="8">
        <f>[2]หน้าผ้า!AR118</f>
        <v>0</v>
      </c>
      <c r="AC109" s="8">
        <f>[2]หน้าผ้า!AS118</f>
        <v>0</v>
      </c>
      <c r="AD109" s="8">
        <f>[2]หน้าผ้า!AT118</f>
        <v>0</v>
      </c>
      <c r="AE109" s="8">
        <f>[2]หน้าผ้า!AU118</f>
        <v>0</v>
      </c>
      <c r="AF109" s="8">
        <f>[2]หน้าผ้า!AI118</f>
        <v>0</v>
      </c>
      <c r="AG109" s="1" t="str">
        <f>[3]หน้าผ้า!DC121</f>
        <v>พร้อมส่ง</v>
      </c>
      <c r="AH109" s="1" t="str">
        <f>[2]หน้าผ้า!DL118</f>
        <v>P6</v>
      </c>
      <c r="AI109" s="1">
        <f>[2]หน้าผ้า!DM118</f>
        <v>4</v>
      </c>
      <c r="AJ109" s="3" t="str">
        <f>[2]หน้าผ้า!DN118</f>
        <v>รอส่ง</v>
      </c>
      <c r="AK109" s="3" t="e">
        <f>[2]หน้าผ้า!DQ118</f>
        <v>#VALUE!</v>
      </c>
      <c r="AL109" s="3" t="e">
        <f>[2]หน้าผ้า!DR118</f>
        <v>#VALUE!</v>
      </c>
      <c r="AM109" s="3" t="e">
        <f>[2]หน้าผ้า!DS118</f>
        <v>#VALUE!</v>
      </c>
      <c r="AN109" s="3" t="e">
        <f>[2]หน้าผ้า!DT118</f>
        <v>#VALUE!</v>
      </c>
      <c r="AO109" s="3" t="e">
        <f>[2]หน้าผ้า!DU118</f>
        <v>#VALUE!</v>
      </c>
      <c r="AP109" s="3" t="e">
        <f>[2]หน้าผ้า!DP118</f>
        <v>#VALUE!</v>
      </c>
      <c r="AQ109" s="3">
        <f>[2]หน้าผ้า!DW118</f>
        <v>0</v>
      </c>
      <c r="AR109" s="3">
        <f>[2]หน้าผ้า!DX118</f>
        <v>0</v>
      </c>
      <c r="AS109" s="3">
        <f>[2]หน้าผ้า!DY118</f>
        <v>0</v>
      </c>
      <c r="AT109" s="3">
        <f>[2]หน้าผ้า!DZ118</f>
        <v>0</v>
      </c>
      <c r="AU109" s="3">
        <f>[2]หน้าผ้า!EA118</f>
        <v>0</v>
      </c>
      <c r="AV109" s="1">
        <f>[2]หน้าผ้า!EB118</f>
        <v>0</v>
      </c>
      <c r="AW109" s="2" t="str">
        <f>[2]หน้าผ้า!EC118</f>
        <v>งานเคลือบ+พิมพ์</v>
      </c>
      <c r="AX109" s="2" t="str">
        <f>[2]หน้าผ้า!ED118</f>
        <v xml:space="preserve"> /</v>
      </c>
      <c r="AY109" s="2">
        <f>[2]หน้าผ้า!AG118</f>
        <v>0</v>
      </c>
      <c r="AZ109" s="2">
        <f>[2]หน้าผ้า!EG118</f>
        <v>0</v>
      </c>
      <c r="BA109" s="2">
        <f>[2]หน้าผ้า!EH118</f>
        <v>0</v>
      </c>
      <c r="BB109" s="2">
        <f>[2]หน้าผ้า!EI118</f>
        <v>0</v>
      </c>
      <c r="BC109" s="1" t="str">
        <f>[2]หน้าผ้า!BZ118</f>
        <v>WRWT25850/WRWT25850</v>
      </c>
      <c r="BD109" s="56">
        <f>[2]หน้าผ้า!CA118</f>
        <v>0</v>
      </c>
    </row>
    <row r="110" spans="1:56" ht="27.75" customHeight="1" x14ac:dyDescent="0.45">
      <c r="A110" s="3">
        <f>[2]หน้าผ้า!C119</f>
        <v>45720</v>
      </c>
      <c r="B110" s="14" t="str">
        <f>[2]หน้าผ้า!B119</f>
        <v>ใบรับคำสั่งซื้อ</v>
      </c>
      <c r="C110" s="9" t="str">
        <f>[2]หน้าผ้า!E119</f>
        <v>บจก.เอพีเอ็ม อะโกร</v>
      </c>
      <c r="D110" s="13" t="str">
        <f>[2]หน้าผ้า!F119</f>
        <v>นีโอ พี4(เอส)</v>
      </c>
      <c r="E110" s="9">
        <f>[2]หน้าผ้า!G119</f>
        <v>20</v>
      </c>
      <c r="F110" s="9">
        <f>[2]หน้าผ้า!H119</f>
        <v>38</v>
      </c>
      <c r="G110" s="9" t="str">
        <f>[2]หน้าผ้า!I119</f>
        <v>ขาว</v>
      </c>
      <c r="H110" s="9" t="str">
        <f>[2]หน้าผ้า!J119</f>
        <v>ด้าน</v>
      </c>
      <c r="I110" s="9">
        <f>[2]หน้าผ้า!L119</f>
        <v>100</v>
      </c>
      <c r="J110" s="9" t="str">
        <f>[2]หน้าผ้า!M119</f>
        <v>±</v>
      </c>
      <c r="K110" s="9">
        <f>[2]หน้าผ้า!N119</f>
        <v>5</v>
      </c>
      <c r="L110" s="9" t="str">
        <f>[2]หน้าผ้า!R119</f>
        <v>บิด</v>
      </c>
      <c r="M110" s="10" t="str">
        <f>[2]หน้าผ้า!T119</f>
        <v>ไม่สวมถุงใน</v>
      </c>
      <c r="N110" s="9">
        <f>[2]หน้าผ้า!U119</f>
        <v>0</v>
      </c>
      <c r="O110" s="9">
        <f>[2]หน้าผ้า!V119</f>
        <v>0</v>
      </c>
      <c r="P110" s="10">
        <f>[2]หน้าผ้า!AB119</f>
        <v>0</v>
      </c>
      <c r="Q110" s="10">
        <f>[2]หน้าผ้า!AC119</f>
        <v>0</v>
      </c>
      <c r="R110" s="10">
        <f>[2]หน้าผ้า!AD119</f>
        <v>0</v>
      </c>
      <c r="S110" s="9" t="str">
        <f>[2]หน้าผ้า!Z119</f>
        <v>500กระสอบแบน</v>
      </c>
      <c r="T110" s="12" t="str">
        <f>[2]หน้าผ้า!X119</f>
        <v>รอส่ง</v>
      </c>
      <c r="U110" s="11">
        <f>[2]หน้าผ้า!AA119</f>
        <v>3000</v>
      </c>
      <c r="V110" s="10">
        <f>[2]หน้าผ้า!AJ119</f>
        <v>3065</v>
      </c>
      <c r="W110" s="10">
        <f>[2]หน้าผ้า!AL119</f>
        <v>0</v>
      </c>
      <c r="X110" s="10">
        <f>[2]หน้าผ้า!AM119</f>
        <v>3300</v>
      </c>
      <c r="Y110" s="10">
        <f>[2]หน้าผ้า!AN119</f>
        <v>0</v>
      </c>
      <c r="Z110" s="9" t="str">
        <f>[2]หน้าผ้า!AO119</f>
        <v>WSWT2025800SM</v>
      </c>
      <c r="AA110" s="8">
        <f>[2]หน้าผ้า!AQ119</f>
        <v>0</v>
      </c>
      <c r="AB110" s="8">
        <f>[2]หน้าผ้า!AR119</f>
        <v>0</v>
      </c>
      <c r="AC110" s="8">
        <f>[2]หน้าผ้า!AS119</f>
        <v>0</v>
      </c>
      <c r="AD110" s="8">
        <f>[2]หน้าผ้า!AT119</f>
        <v>0</v>
      </c>
      <c r="AE110" s="8">
        <f>[2]หน้าผ้า!AU119</f>
        <v>0</v>
      </c>
      <c r="AF110" s="8">
        <f>[2]หน้าผ้า!AI119</f>
        <v>0</v>
      </c>
      <c r="AG110" s="1" t="str">
        <f>[3]หน้าผ้า!DC122</f>
        <v>พร้อมส่ง</v>
      </c>
      <c r="AH110" s="1" t="str">
        <f>[2]หน้าผ้า!DL119</f>
        <v>P6</v>
      </c>
      <c r="AI110" s="1">
        <f>[2]หน้าผ้า!DM119</f>
        <v>4</v>
      </c>
      <c r="AJ110" s="3" t="str">
        <f>[2]หน้าผ้า!DN119</f>
        <v>รอส่ง</v>
      </c>
      <c r="AK110" s="3" t="e">
        <f>[2]หน้าผ้า!DQ119</f>
        <v>#VALUE!</v>
      </c>
      <c r="AL110" s="3" t="e">
        <f>[2]หน้าผ้า!DR119</f>
        <v>#VALUE!</v>
      </c>
      <c r="AM110" s="3" t="e">
        <f>[2]หน้าผ้า!DS119</f>
        <v>#VALUE!</v>
      </c>
      <c r="AN110" s="3" t="e">
        <f>[2]หน้าผ้า!DT119</f>
        <v>#VALUE!</v>
      </c>
      <c r="AO110" s="3" t="e">
        <f>[2]หน้าผ้า!DU119</f>
        <v>#VALUE!</v>
      </c>
      <c r="AP110" s="3" t="e">
        <f>[2]หน้าผ้า!DP119</f>
        <v>#VALUE!</v>
      </c>
      <c r="AQ110" s="3">
        <f>[2]หน้าผ้า!DW119</f>
        <v>0</v>
      </c>
      <c r="AR110" s="3">
        <f>[2]หน้าผ้า!DX119</f>
        <v>0</v>
      </c>
      <c r="AS110" s="3">
        <f>[2]หน้าผ้า!DY119</f>
        <v>0</v>
      </c>
      <c r="AT110" s="3">
        <f>[2]หน้าผ้า!DZ119</f>
        <v>0</v>
      </c>
      <c r="AU110" s="3">
        <f>[2]หน้าผ้า!EA119</f>
        <v>0</v>
      </c>
      <c r="AV110" s="1">
        <f>[2]หน้าผ้า!EB119</f>
        <v>0</v>
      </c>
      <c r="AW110" s="2" t="str">
        <f>[2]หน้าผ้า!EC119</f>
        <v>งานเคลือบ+พิมพ์</v>
      </c>
      <c r="AX110" s="2" t="str">
        <f>[2]หน้าผ้า!ED119</f>
        <v xml:space="preserve"> /</v>
      </c>
      <c r="AY110" s="2">
        <f>[2]หน้าผ้า!AG119</f>
        <v>0</v>
      </c>
      <c r="AZ110" s="2">
        <f>[2]หน้าผ้า!EG119</f>
        <v>0</v>
      </c>
      <c r="BA110" s="2">
        <f>[2]หน้าผ้า!EH119</f>
        <v>0</v>
      </c>
      <c r="BB110" s="2">
        <f>[2]หน้าผ้า!EI119</f>
        <v>0</v>
      </c>
      <c r="BC110" s="1" t="str">
        <f>[2]หน้าผ้า!BZ119</f>
        <v>WRWT25850/WRWT25850</v>
      </c>
      <c r="BD110" s="56">
        <f>[2]หน้าผ้า!CA119</f>
        <v>0</v>
      </c>
    </row>
    <row r="111" spans="1:56" ht="27.75" customHeight="1" x14ac:dyDescent="0.45">
      <c r="A111" s="3">
        <f>[2]หน้าผ้า!C120</f>
        <v>45541</v>
      </c>
      <c r="B111" s="14" t="str">
        <f>[2]หน้าผ้า!B120</f>
        <v>MK67-001236</v>
      </c>
      <c r="C111" s="9" t="str">
        <f>[2]หน้าผ้า!E120</f>
        <v>บจก.เอพีเอ็ม อะโกร</v>
      </c>
      <c r="D111" s="13" t="str">
        <f>[2]หน้าผ้า!F120</f>
        <v>ยูฟีด รวมไก่ วัว</v>
      </c>
      <c r="E111" s="9">
        <f>[2]หน้าผ้า!G120</f>
        <v>20</v>
      </c>
      <c r="F111" s="9">
        <f>[2]หน้าผ้า!H120</f>
        <v>40</v>
      </c>
      <c r="G111" s="9" t="str">
        <f>[2]หน้าผ้า!I120</f>
        <v>ขาว</v>
      </c>
      <c r="H111" s="9" t="str">
        <f>[2]หน้าผ้า!J120</f>
        <v>ด้าน</v>
      </c>
      <c r="I111" s="9">
        <f>[2]หน้าผ้า!L120</f>
        <v>108</v>
      </c>
      <c r="J111" s="9" t="str">
        <f>[2]หน้าผ้า!M120</f>
        <v>±</v>
      </c>
      <c r="K111" s="9">
        <f>[2]หน้าผ้า!N120</f>
        <v>5</v>
      </c>
      <c r="L111" s="9" t="str">
        <f>[2]หน้าผ้า!R120</f>
        <v>บิด</v>
      </c>
      <c r="M111" s="10" t="str">
        <f>[2]หน้าผ้า!T120</f>
        <v>ไม่สวมถุงใน</v>
      </c>
      <c r="N111" s="9">
        <f>[2]หน้าผ้า!U120</f>
        <v>0</v>
      </c>
      <c r="O111" s="9">
        <f>[2]หน้าผ้า!V120</f>
        <v>0</v>
      </c>
      <c r="P111" s="10">
        <f>[2]หน้าผ้า!AB120</f>
        <v>0</v>
      </c>
      <c r="Q111" s="10">
        <f>[2]หน้าผ้า!AC120</f>
        <v>0</v>
      </c>
      <c r="R111" s="10">
        <f>[2]หน้าผ้า!AD120</f>
        <v>0</v>
      </c>
      <c r="S111" s="9" t="str">
        <f>[2]หน้าผ้า!Z120</f>
        <v>500กระสอบแบน</v>
      </c>
      <c r="T111" s="12" t="str">
        <f>[2]หน้าผ้า!X120</f>
        <v>รอส่ง</v>
      </c>
      <c r="U111" s="11">
        <f>[2]หน้าผ้า!AA120</f>
        <v>3000</v>
      </c>
      <c r="V111" s="10">
        <f>[2]หน้าผ้า!AJ120</f>
        <v>3318</v>
      </c>
      <c r="W111" s="10">
        <f>[2]หน้าผ้า!AL120</f>
        <v>0</v>
      </c>
      <c r="X111" s="10">
        <f>[2]หน้าผ้า!AM120</f>
        <v>0</v>
      </c>
      <c r="Y111" s="10">
        <f>[2]หน้าผ้า!AN120</f>
        <v>0</v>
      </c>
      <c r="Z111" s="9" t="str">
        <f>[2]หน้าผ้า!AO120</f>
        <v>WSWT2025800SM</v>
      </c>
      <c r="AA111" s="8">
        <f>[2]หน้าผ้า!AQ120</f>
        <v>0</v>
      </c>
      <c r="AB111" s="8">
        <f>[2]หน้าผ้า!AR120</f>
        <v>0</v>
      </c>
      <c r="AC111" s="8">
        <f>[2]หน้าผ้า!AS120</f>
        <v>0</v>
      </c>
      <c r="AD111" s="8">
        <f>[2]หน้าผ้า!AT120</f>
        <v>0</v>
      </c>
      <c r="AE111" s="8">
        <f>[2]หน้าผ้า!AU120</f>
        <v>0</v>
      </c>
      <c r="AF111" s="8" t="str">
        <f>[2]หน้าผ้า!AI120</f>
        <v>ลูกค้าสั่งผิดเอาไปส่งเดือน10</v>
      </c>
      <c r="AG111" s="1" t="str">
        <f>[3]หน้าผ้า!DC123</f>
        <v>รอแบบ</v>
      </c>
      <c r="AH111" s="1" t="str">
        <f>[2]หน้าผ้า!DL120</f>
        <v>P6</v>
      </c>
      <c r="AI111" s="1">
        <f>[2]หน้าผ้า!DM120</f>
        <v>4</v>
      </c>
      <c r="AJ111" s="3" t="str">
        <f>[2]หน้าผ้า!DN120</f>
        <v>รอส่ง</v>
      </c>
      <c r="AK111" s="3" t="e">
        <f>[2]หน้าผ้า!DQ120</f>
        <v>#VALUE!</v>
      </c>
      <c r="AL111" s="3" t="e">
        <f>[2]หน้าผ้า!DR120</f>
        <v>#VALUE!</v>
      </c>
      <c r="AM111" s="3" t="e">
        <f>[2]หน้าผ้า!DS120</f>
        <v>#VALUE!</v>
      </c>
      <c r="AN111" s="3" t="e">
        <f>[2]หน้าผ้า!DT120</f>
        <v>#VALUE!</v>
      </c>
      <c r="AO111" s="3" t="e">
        <f>[2]หน้าผ้า!DU120</f>
        <v>#VALUE!</v>
      </c>
      <c r="AP111" s="3" t="e">
        <f>[2]หน้าผ้า!DP120</f>
        <v>#VALUE!</v>
      </c>
      <c r="AQ111" s="3">
        <f>[2]หน้าผ้า!DW120</f>
        <v>0</v>
      </c>
      <c r="AR111" s="3">
        <f>[2]หน้าผ้า!DX120</f>
        <v>0</v>
      </c>
      <c r="AS111" s="3">
        <f>[2]หน้าผ้า!DY120</f>
        <v>0</v>
      </c>
      <c r="AT111" s="3">
        <f>[2]หน้าผ้า!DZ120</f>
        <v>0</v>
      </c>
      <c r="AU111" s="3">
        <f>[2]หน้าผ้า!EA120</f>
        <v>0</v>
      </c>
      <c r="AV111" s="1">
        <f>[2]หน้าผ้า!EB120</f>
        <v>0</v>
      </c>
      <c r="AW111" s="2" t="str">
        <f>[2]หน้าผ้า!EC120</f>
        <v>งานเคลือบ+พิมพ์</v>
      </c>
      <c r="AX111" s="2">
        <f>[2]หน้าผ้า!ED120</f>
        <v>0</v>
      </c>
      <c r="AY111" s="2" t="str">
        <f>[2]หน้าผ้า!AG120</f>
        <v>ลูกค้าต้องการเคลือบใส แต่เปิดมาเคลือบด้าน</v>
      </c>
      <c r="AZ111" s="2">
        <f>[2]หน้าผ้า!EG120</f>
        <v>0</v>
      </c>
      <c r="BA111" s="2">
        <f>[2]หน้าผ้า!EH120</f>
        <v>0</v>
      </c>
      <c r="BB111" s="2">
        <f>[2]หน้าผ้า!EI120</f>
        <v>0</v>
      </c>
      <c r="BC111" s="1" t="str">
        <f>[2]หน้าผ้า!BZ120</f>
        <v>WRWT25850/WRWT25850</v>
      </c>
      <c r="BD111" s="56">
        <f>[2]หน้าผ้า!CA120</f>
        <v>0</v>
      </c>
    </row>
    <row r="112" spans="1:56" ht="27.75" customHeight="1" x14ac:dyDescent="0.45">
      <c r="A112" s="3">
        <f>[2]หน้าผ้า!C121</f>
        <v>45581</v>
      </c>
      <c r="B112" s="14" t="str">
        <f>[2]หน้าผ้า!B121</f>
        <v>MK67-001396</v>
      </c>
      <c r="C112" s="9" t="str">
        <f>[2]หน้าผ้า!E121</f>
        <v>บจก.เอพีเอ็ม อะโกร</v>
      </c>
      <c r="D112" s="13" t="str">
        <f>[2]หน้าผ้า!F121</f>
        <v>นีโอ พี4</v>
      </c>
      <c r="E112" s="9">
        <f>[2]หน้าผ้า!G121</f>
        <v>20</v>
      </c>
      <c r="F112" s="9">
        <f>[2]หน้าผ้า!H121</f>
        <v>38</v>
      </c>
      <c r="G112" s="9" t="str">
        <f>[2]หน้าผ้า!I121</f>
        <v>ขาว</v>
      </c>
      <c r="H112" s="9" t="str">
        <f>[2]หน้าผ้า!J121</f>
        <v>ด้าน</v>
      </c>
      <c r="I112" s="9">
        <f>[2]หน้าผ้า!L121</f>
        <v>100</v>
      </c>
      <c r="J112" s="9" t="str">
        <f>[2]หน้าผ้า!M121</f>
        <v>±</v>
      </c>
      <c r="K112" s="9">
        <f>[2]หน้าผ้า!N121</f>
        <v>5</v>
      </c>
      <c r="L112" s="9" t="str">
        <f>[2]หน้าผ้า!R121</f>
        <v>บิด</v>
      </c>
      <c r="M112" s="10" t="str">
        <f>[2]หน้าผ้า!T121</f>
        <v>ไม่สวมถุงใน</v>
      </c>
      <c r="N112" s="9">
        <f>[2]หน้าผ้า!U121</f>
        <v>0</v>
      </c>
      <c r="O112" s="9">
        <f>[2]หน้าผ้า!V121</f>
        <v>0</v>
      </c>
      <c r="P112" s="10">
        <f>[2]หน้าผ้า!AB121</f>
        <v>0</v>
      </c>
      <c r="Q112" s="10">
        <f>[2]หน้าผ้า!AC121</f>
        <v>0</v>
      </c>
      <c r="R112" s="10">
        <f>[2]หน้าผ้า!AD121</f>
        <v>0</v>
      </c>
      <c r="S112" s="9" t="str">
        <f>[2]หน้าผ้า!Z121</f>
        <v>500กระสอบแบน</v>
      </c>
      <c r="T112" s="12" t="str">
        <f>[2]หน้าผ้า!X121</f>
        <v>รอส่ง</v>
      </c>
      <c r="U112" s="11">
        <f>[2]หน้าผ้า!AA121</f>
        <v>3000</v>
      </c>
      <c r="V112" s="10">
        <f>[2]หน้าผ้า!AJ121</f>
        <v>3194</v>
      </c>
      <c r="W112" s="10">
        <f>[2]หน้าผ้า!AL121</f>
        <v>0</v>
      </c>
      <c r="X112" s="10">
        <f>[2]หน้าผ้า!AM121</f>
        <v>5632</v>
      </c>
      <c r="Y112" s="10">
        <f>[2]หน้าผ้า!AN121</f>
        <v>0</v>
      </c>
      <c r="Z112" s="9" t="str">
        <f>[2]หน้าผ้า!AO121</f>
        <v>WSWT2025800SM</v>
      </c>
      <c r="AA112" s="8">
        <f>[2]หน้าผ้า!AQ121</f>
        <v>0</v>
      </c>
      <c r="AB112" s="8">
        <f>[2]หน้าผ้า!AR121</f>
        <v>0</v>
      </c>
      <c r="AC112" s="8">
        <f>[2]หน้าผ้า!AS121</f>
        <v>0</v>
      </c>
      <c r="AD112" s="8">
        <f>[2]หน้าผ้า!AT121</f>
        <v>0</v>
      </c>
      <c r="AE112" s="8">
        <f>[2]หน้าผ้า!AU121</f>
        <v>0</v>
      </c>
      <c r="AF112" s="8">
        <f>[2]หน้าผ้า!AI121</f>
        <v>0</v>
      </c>
      <c r="AG112" s="1" t="str">
        <f>[3]หน้าผ้า!DC124</f>
        <v>พร้อมส่ง</v>
      </c>
      <c r="AH112" s="1" t="str">
        <f>[2]หน้าผ้า!DL121</f>
        <v>P6</v>
      </c>
      <c r="AI112" s="1">
        <f>[2]หน้าผ้า!DM121</f>
        <v>4</v>
      </c>
      <c r="AJ112" s="3" t="str">
        <f>[2]หน้าผ้า!DN121</f>
        <v>รอส่ง</v>
      </c>
      <c r="AK112" s="3" t="e">
        <f>[2]หน้าผ้า!DQ121</f>
        <v>#VALUE!</v>
      </c>
      <c r="AL112" s="3" t="e">
        <f>[2]หน้าผ้า!DR121</f>
        <v>#VALUE!</v>
      </c>
      <c r="AM112" s="3" t="e">
        <f>[2]หน้าผ้า!DS121</f>
        <v>#VALUE!</v>
      </c>
      <c r="AN112" s="3" t="e">
        <f>[2]หน้าผ้า!DT121</f>
        <v>#VALUE!</v>
      </c>
      <c r="AO112" s="3" t="e">
        <f>[2]หน้าผ้า!DU121</f>
        <v>#VALUE!</v>
      </c>
      <c r="AP112" s="3" t="e">
        <f>[2]หน้าผ้า!DP121</f>
        <v>#VALUE!</v>
      </c>
      <c r="AQ112" s="3">
        <f>[2]หน้าผ้า!DW121</f>
        <v>0</v>
      </c>
      <c r="AR112" s="3">
        <f>[2]หน้าผ้า!DX121</f>
        <v>0</v>
      </c>
      <c r="AS112" s="3">
        <f>[2]หน้าผ้า!DY121</f>
        <v>0</v>
      </c>
      <c r="AT112" s="3">
        <f>[2]หน้าผ้า!DZ121</f>
        <v>0</v>
      </c>
      <c r="AU112" s="3">
        <f>[2]หน้าผ้า!EA121</f>
        <v>0</v>
      </c>
      <c r="AV112" s="1">
        <f>[2]หน้าผ้า!EB121</f>
        <v>0</v>
      </c>
      <c r="AW112" s="2" t="str">
        <f>[2]หน้าผ้า!EC121</f>
        <v>งานเคลือบ+พิมพ์</v>
      </c>
      <c r="AX112" s="2" t="str">
        <f>[2]หน้าผ้า!ED121</f>
        <v xml:space="preserve"> /</v>
      </c>
      <c r="AY112" s="2">
        <f>[2]หน้าผ้า!AG121</f>
        <v>0</v>
      </c>
      <c r="AZ112" s="2">
        <f>[2]หน้าผ้า!EG121</f>
        <v>0</v>
      </c>
      <c r="BA112" s="2">
        <f>[2]หน้าผ้า!EH121</f>
        <v>0</v>
      </c>
      <c r="BB112" s="2">
        <f>[2]หน้าผ้า!EI121</f>
        <v>0</v>
      </c>
      <c r="BC112" s="1" t="str">
        <f>[2]หน้าผ้า!BZ121</f>
        <v>WRWT25850/WRWT25850</v>
      </c>
      <c r="BD112" s="56">
        <f>[2]หน้าผ้า!CA121</f>
        <v>0</v>
      </c>
    </row>
    <row r="113" spans="1:56" ht="27.75" customHeight="1" x14ac:dyDescent="0.45">
      <c r="A113" s="3">
        <f>[2]หน้าผ้า!C122</f>
        <v>0</v>
      </c>
      <c r="B113" s="14">
        <f>[2]หน้าผ้า!B122</f>
        <v>0</v>
      </c>
      <c r="C113" s="9">
        <f>[2]หน้าผ้า!E122</f>
        <v>0</v>
      </c>
      <c r="D113" s="13">
        <f>[2]หน้าผ้า!F122</f>
        <v>0</v>
      </c>
      <c r="E113" s="9">
        <f>[2]หน้าผ้า!G122</f>
        <v>20</v>
      </c>
      <c r="F113" s="9">
        <f>[2]หน้าผ้า!H122</f>
        <v>38</v>
      </c>
      <c r="G113" s="9">
        <f>[2]หน้าผ้า!I122</f>
        <v>0</v>
      </c>
      <c r="H113" s="9">
        <f>[2]หน้าผ้า!J122</f>
        <v>0</v>
      </c>
      <c r="I113" s="9">
        <f>[2]หน้าผ้า!L122</f>
        <v>84</v>
      </c>
      <c r="J113" s="9" t="str">
        <f>[2]หน้าผ้า!M122</f>
        <v>±</v>
      </c>
      <c r="K113" s="9">
        <f>[2]หน้าผ้า!N122</f>
        <v>5</v>
      </c>
      <c r="L113" s="9">
        <f>[2]หน้าผ้า!R122</f>
        <v>0</v>
      </c>
      <c r="M113" s="10">
        <f>[2]หน้าผ้า!T122</f>
        <v>0</v>
      </c>
      <c r="N113" s="9">
        <f>[2]หน้าผ้า!U122</f>
        <v>0</v>
      </c>
      <c r="O113" s="9">
        <f>[2]หน้าผ้า!V122</f>
        <v>0</v>
      </c>
      <c r="P113" s="10">
        <f>[2]หน้าผ้า!AB122</f>
        <v>0</v>
      </c>
      <c r="Q113" s="10">
        <f>[2]หน้าผ้า!AC122</f>
        <v>0</v>
      </c>
      <c r="R113" s="10">
        <f>[2]หน้าผ้า!AD122</f>
        <v>0</v>
      </c>
      <c r="S113" s="9">
        <f>[2]หน้าผ้า!Z122</f>
        <v>0</v>
      </c>
      <c r="T113" s="12">
        <f>[2]หน้าผ้า!X122</f>
        <v>0</v>
      </c>
      <c r="U113" s="11">
        <f>[2]หน้าผ้า!AA122</f>
        <v>0</v>
      </c>
      <c r="V113" s="10">
        <f>[2]หน้าผ้า!AJ122</f>
        <v>0</v>
      </c>
      <c r="W113" s="10">
        <f>[2]หน้าผ้า!AL122</f>
        <v>0</v>
      </c>
      <c r="X113" s="10">
        <f>[2]หน้าผ้า!AM122</f>
        <v>0</v>
      </c>
      <c r="Y113" s="10">
        <f>[2]หน้าผ้า!AN122</f>
        <v>0</v>
      </c>
      <c r="Z113" s="9" t="str">
        <f>[2]หน้าผ้า!AO122</f>
        <v>WSWT2025800SM</v>
      </c>
      <c r="AA113" s="8">
        <f>[2]หน้าผ้า!AQ122</f>
        <v>469035.06650000007</v>
      </c>
      <c r="AB113" s="8">
        <f>[2]หน้าผ้า!AR122</f>
        <v>105771.17000000001</v>
      </c>
      <c r="AC113" s="8">
        <f>[2]หน้าผ้า!AS122</f>
        <v>363263.89650000009</v>
      </c>
      <c r="AD113" s="8">
        <f>[2]หน้าผ้า!AT122</f>
        <v>13983.970000000001</v>
      </c>
      <c r="AE113" s="8">
        <f>[2]หน้าผ้า!AU122</f>
        <v>455051.09650000004</v>
      </c>
      <c r="AF113" s="8" t="str">
        <f>[2]หน้าผ้า!AI122</f>
        <v>ระบุในSD</v>
      </c>
      <c r="AG113" s="1" t="str">
        <f>[3]หน้าผ้า!DC125</f>
        <v>พร้อมส่ง</v>
      </c>
      <c r="AH113" s="1">
        <f>[2]หน้าผ้า!DL122</f>
        <v>0</v>
      </c>
      <c r="AI113" s="1" t="str">
        <f>[2]หน้าผ้า!DM122</f>
        <v>Lead time</v>
      </c>
      <c r="AJ113" s="3">
        <f>[2]หน้าผ้า!DN122</f>
        <v>0</v>
      </c>
      <c r="AK113" s="3">
        <f>[2]หน้าผ้า!DQ122</f>
        <v>0</v>
      </c>
      <c r="AL113" s="3">
        <f>[2]หน้าผ้า!DR122</f>
        <v>0</v>
      </c>
      <c r="AM113" s="3">
        <f>[2]หน้าผ้า!DS122</f>
        <v>0</v>
      </c>
      <c r="AN113" s="3">
        <f>[2]หน้าผ้า!DT122</f>
        <v>0</v>
      </c>
      <c r="AO113" s="3">
        <f>[2]หน้าผ้า!DU122</f>
        <v>0</v>
      </c>
      <c r="AP113" s="3">
        <f>[2]หน้าผ้า!DP122</f>
        <v>0</v>
      </c>
      <c r="AQ113" s="3">
        <f>[2]หน้าผ้า!DW122</f>
        <v>0</v>
      </c>
      <c r="AR113" s="3">
        <f>[2]หน้าผ้า!DX122</f>
        <v>0</v>
      </c>
      <c r="AS113" s="3">
        <f>[2]หน้าผ้า!DY122</f>
        <v>0</v>
      </c>
      <c r="AT113" s="3">
        <f>[2]หน้าผ้า!DZ122</f>
        <v>0</v>
      </c>
      <c r="AU113" s="3">
        <f>[2]หน้าผ้า!EA122</f>
        <v>0</v>
      </c>
      <c r="AV113" s="1">
        <f>[2]หน้าผ้า!EB122</f>
        <v>0</v>
      </c>
      <c r="AW113" s="2">
        <f>[2]หน้าผ้า!EC122</f>
        <v>0</v>
      </c>
      <c r="AX113" s="2">
        <f>[2]หน้าผ้า!ED122</f>
        <v>0</v>
      </c>
      <c r="AY113" s="2">
        <f>[2]หน้าผ้า!AG122</f>
        <v>0</v>
      </c>
      <c r="AZ113" s="2">
        <f>[2]หน้าผ้า!EG122</f>
        <v>0</v>
      </c>
      <c r="BA113" s="2">
        <f>[2]หน้าผ้า!EH122</f>
        <v>0</v>
      </c>
      <c r="BB113" s="2">
        <f>[2]หน้าผ้า!EI122</f>
        <v>0</v>
      </c>
      <c r="BC113" s="1" t="str">
        <f>[2]หน้าผ้า!BZ122</f>
        <v>WRWT25850/WRWT25850</v>
      </c>
      <c r="BD113" s="56">
        <f>[2]หน้าผ้า!CA122</f>
        <v>0</v>
      </c>
    </row>
    <row r="114" spans="1:56" ht="27.75" customHeight="1" x14ac:dyDescent="0.45">
      <c r="A114" s="3" t="str">
        <f>[2]หน้าผ้า!C123</f>
        <v>ประมาณการ</v>
      </c>
      <c r="B114" s="14" t="str">
        <f>[2]หน้าผ้า!B123</f>
        <v>ประมาณการ</v>
      </c>
      <c r="C114" s="9" t="str">
        <f>[2]หน้าผ้า!E123</f>
        <v>บจก.ซันฟีด</v>
      </c>
      <c r="D114" s="13" t="str">
        <f>[2]หน้าผ้า!F123</f>
        <v>รอแบบ</v>
      </c>
      <c r="E114" s="9">
        <f>[2]หน้าผ้า!G123</f>
        <v>20</v>
      </c>
      <c r="F114" s="9">
        <f>[2]หน้าผ้า!H123</f>
        <v>39</v>
      </c>
      <c r="G114" s="9" t="str">
        <f>[2]หน้าผ้า!I123</f>
        <v>ขาว</v>
      </c>
      <c r="H114" s="9">
        <f>[2]หน้าผ้า!J123</f>
        <v>0</v>
      </c>
      <c r="I114" s="9">
        <f>[2]หน้าผ้า!L123</f>
        <v>84</v>
      </c>
      <c r="J114" s="9" t="str">
        <f>[2]หน้าผ้า!M123</f>
        <v>+</v>
      </c>
      <c r="K114" s="9">
        <f>[2]หน้าผ้า!N123</f>
        <v>0</v>
      </c>
      <c r="L114" s="9" t="str">
        <f>[2]หน้าผ้า!R123</f>
        <v>บิด</v>
      </c>
      <c r="M114" s="10" t="str">
        <f>[2]หน้าผ้า!T123</f>
        <v>ไม่สวมถุงใน</v>
      </c>
      <c r="N114" s="9">
        <f>[2]หน้าผ้า!U123</f>
        <v>0</v>
      </c>
      <c r="O114" s="9">
        <f>[2]หน้าผ้า!V123</f>
        <v>0</v>
      </c>
      <c r="P114" s="10">
        <f>[2]หน้าผ้า!AB123</f>
        <v>0</v>
      </c>
      <c r="Q114" s="10">
        <f>[2]หน้าผ้า!AC123</f>
        <v>0</v>
      </c>
      <c r="R114" s="10">
        <f>[2]หน้าผ้า!AD123</f>
        <v>0</v>
      </c>
      <c r="S114" s="9" t="str">
        <f>[2]หน้าผ้า!Z123</f>
        <v xml:space="preserve">300กระสอบแบนเต็มใบ </v>
      </c>
      <c r="T114" s="12" t="str">
        <f>[2]หน้าผ้า!X123</f>
        <v>รอแจ้ง</v>
      </c>
      <c r="U114" s="11">
        <f>[2]หน้าผ้า!AA123</f>
        <v>100000</v>
      </c>
      <c r="V114" s="10">
        <f>[2]หน้าผ้า!AJ123</f>
        <v>0</v>
      </c>
      <c r="W114" s="10">
        <f>[2]หน้าผ้า!AL123</f>
        <v>100000</v>
      </c>
      <c r="X114" s="10">
        <f>[2]หน้าผ้า!AM123</f>
        <v>0</v>
      </c>
      <c r="Y114" s="10">
        <f>[2]หน้าผ้า!AN123</f>
        <v>105000</v>
      </c>
      <c r="Z114" s="9" t="str">
        <f>[2]หน้าผ้า!AO123</f>
        <v>WSWT2025850</v>
      </c>
      <c r="AA114" s="8">
        <f>[2]หน้าผ้า!AQ123</f>
        <v>113157.00000000001</v>
      </c>
      <c r="AB114" s="8">
        <f>[2]หน้าผ้า!AR123</f>
        <v>88878</v>
      </c>
      <c r="AC114" s="8">
        <f>[2]หน้าผ้า!AS123</f>
        <v>24279.000000000015</v>
      </c>
      <c r="AD114" s="8">
        <f>[2]หน้าผ้า!AT123</f>
        <v>0</v>
      </c>
      <c r="AE114" s="8">
        <f>[2]หน้าผ้า!AU123</f>
        <v>0</v>
      </c>
      <c r="AF114" s="8">
        <f>[2]หน้าผ้า!AI123</f>
        <v>0</v>
      </c>
      <c r="AG114" s="1" t="str">
        <f>[3]หน้าผ้า!DC126</f>
        <v>พร้อมส่ง</v>
      </c>
      <c r="AH114" s="1" t="str">
        <f>[2]หน้าผ้า!DL123</f>
        <v>P7</v>
      </c>
      <c r="AI114" s="1">
        <f>[2]หน้าผ้า!DM123</f>
        <v>2</v>
      </c>
      <c r="AJ114" s="3" t="str">
        <f>[2]หน้าผ้า!DN123</f>
        <v>รอแจ้ง</v>
      </c>
      <c r="AK114" s="3">
        <f>[2]หน้าผ้า!DQ123</f>
        <v>0</v>
      </c>
      <c r="AL114" s="3" t="e">
        <f>[2]หน้าผ้า!DR123</f>
        <v>#VALUE!</v>
      </c>
      <c r="AM114" s="3" t="e">
        <f>[2]หน้าผ้า!DS123</f>
        <v>#VALUE!</v>
      </c>
      <c r="AN114" s="3" t="e">
        <f>[2]หน้าผ้า!DT123</f>
        <v>#VALUE!</v>
      </c>
      <c r="AO114" s="3" t="e">
        <f>[2]หน้าผ้า!DU123</f>
        <v>#VALUE!</v>
      </c>
      <c r="AP114" s="3" t="e">
        <f>[2]หน้าผ้า!DP123</f>
        <v>#VALUE!</v>
      </c>
      <c r="AQ114" s="3">
        <f>[2]หน้าผ้า!DW123</f>
        <v>0</v>
      </c>
      <c r="AR114" s="3">
        <f>[2]หน้าผ้า!DX123</f>
        <v>0</v>
      </c>
      <c r="AS114" s="3">
        <f>[2]หน้าผ้า!DY123</f>
        <v>0</v>
      </c>
      <c r="AT114" s="3">
        <f>[2]หน้าผ้า!DZ123</f>
        <v>0</v>
      </c>
      <c r="AU114" s="3">
        <f>[2]หน้าผ้า!EA123</f>
        <v>0</v>
      </c>
      <c r="AV114" s="1">
        <f>[2]หน้าผ้า!EB123</f>
        <v>0</v>
      </c>
      <c r="AW114" s="2" t="str">
        <f>[2]หน้าผ้า!EC123</f>
        <v>งานพิมพ์</v>
      </c>
      <c r="AX114" s="2" t="str">
        <f>[2]หน้าผ้า!ED123</f>
        <v>รอART</v>
      </c>
      <c r="AY114" s="2">
        <f>[2]หน้าผ้า!AG123</f>
        <v>0</v>
      </c>
      <c r="AZ114" s="2">
        <f>[2]หน้าผ้า!EG123</f>
        <v>0</v>
      </c>
      <c r="BA114" s="2">
        <f>[2]หน้าผ้า!EH123</f>
        <v>0</v>
      </c>
      <c r="BB114" s="2">
        <f>[2]หน้าผ้า!EI123</f>
        <v>0</v>
      </c>
      <c r="BC114" s="1" t="str">
        <f>[2]หน้าผ้า!BZ123</f>
        <v>WRWT25850/WRWT25800</v>
      </c>
      <c r="BD114" s="56">
        <f>[2]หน้าผ้า!CA123</f>
        <v>1912.6456666666681</v>
      </c>
    </row>
    <row r="115" spans="1:56" ht="27.75" customHeight="1" x14ac:dyDescent="0.45">
      <c r="A115" s="3">
        <f>[2]หน้าผ้า!C124</f>
        <v>0</v>
      </c>
      <c r="B115" s="14">
        <f>[2]หน้าผ้า!B124</f>
        <v>0</v>
      </c>
      <c r="C115" s="9">
        <f>[2]หน้าผ้า!E124</f>
        <v>0</v>
      </c>
      <c r="D115" s="13">
        <f>[2]หน้าผ้า!F124</f>
        <v>0</v>
      </c>
      <c r="E115" s="9">
        <f>[2]หน้าผ้า!G124</f>
        <v>20</v>
      </c>
      <c r="F115" s="9">
        <f>[2]หน้าผ้า!H124</f>
        <v>38</v>
      </c>
      <c r="G115" s="9">
        <f>[2]หน้าผ้า!I124</f>
        <v>0</v>
      </c>
      <c r="H115" s="9">
        <f>[2]หน้าผ้า!J124</f>
        <v>0</v>
      </c>
      <c r="I115" s="9">
        <f>[2]หน้าผ้า!L124</f>
        <v>82</v>
      </c>
      <c r="J115" s="9" t="str">
        <f>[2]หน้าผ้า!M124</f>
        <v>+</v>
      </c>
      <c r="K115" s="9">
        <f>[2]หน้าผ้า!N124</f>
        <v>2</v>
      </c>
      <c r="L115" s="9">
        <f>[2]หน้าผ้า!R124</f>
        <v>0</v>
      </c>
      <c r="M115" s="10">
        <f>[2]หน้าผ้า!T124</f>
        <v>0</v>
      </c>
      <c r="N115" s="9">
        <f>[2]หน้าผ้า!U124</f>
        <v>0</v>
      </c>
      <c r="O115" s="9">
        <f>[2]หน้าผ้า!V124</f>
        <v>0</v>
      </c>
      <c r="P115" s="10">
        <f>[2]หน้าผ้า!AB124</f>
        <v>0</v>
      </c>
      <c r="Q115" s="10">
        <f>[2]หน้าผ้า!AC124</f>
        <v>0</v>
      </c>
      <c r="R115" s="10">
        <f>[2]หน้าผ้า!AD124</f>
        <v>0</v>
      </c>
      <c r="S115" s="9">
        <f>[2]หน้าผ้า!Z124</f>
        <v>0</v>
      </c>
      <c r="T115" s="12">
        <f>[2]หน้าผ้า!X124</f>
        <v>0</v>
      </c>
      <c r="U115" s="11">
        <f>[2]หน้าผ้า!AA124</f>
        <v>0</v>
      </c>
      <c r="V115" s="10">
        <f>[2]หน้าผ้า!AJ124</f>
        <v>0</v>
      </c>
      <c r="W115" s="10">
        <f>[2]หน้าผ้า!AL124</f>
        <v>0</v>
      </c>
      <c r="X115" s="10">
        <f>[2]หน้าผ้า!AM124</f>
        <v>0</v>
      </c>
      <c r="Y115" s="10">
        <f>[2]หน้าผ้า!AN124</f>
        <v>0</v>
      </c>
      <c r="Z115" s="9" t="str">
        <f>[2]หน้าผ้า!AO124</f>
        <v>WSWT2025850</v>
      </c>
      <c r="AA115" s="8">
        <f>[2]หน้าผ้า!AQ124</f>
        <v>113157.00000000001</v>
      </c>
      <c r="AB115" s="8">
        <f>[2]หน้าผ้า!AR124</f>
        <v>88878</v>
      </c>
      <c r="AC115" s="8">
        <f>[2]หน้าผ้า!AS124</f>
        <v>24279.000000000015</v>
      </c>
      <c r="AD115" s="8">
        <f>[2]หน้าผ้า!AT124</f>
        <v>0</v>
      </c>
      <c r="AE115" s="8">
        <f>[2]หน้าผ้า!AU124</f>
        <v>0</v>
      </c>
      <c r="AF115" s="8" t="str">
        <f>[2]หน้าผ้า!AI124</f>
        <v>ระบุในSD</v>
      </c>
      <c r="AG115" s="1" t="str">
        <f>[3]หน้าผ้า!DC127</f>
        <v>พร้อมส่ง</v>
      </c>
      <c r="AH115" s="1">
        <f>[2]หน้าผ้า!DL124</f>
        <v>0</v>
      </c>
      <c r="AI115" s="1" t="str">
        <f>[2]หน้าผ้า!DM124</f>
        <v>Lead time</v>
      </c>
      <c r="AJ115" s="3">
        <f>[2]หน้าผ้า!DN124</f>
        <v>0</v>
      </c>
      <c r="AK115" s="3">
        <f>[2]หน้าผ้า!DQ124</f>
        <v>0</v>
      </c>
      <c r="AL115" s="3">
        <f>[2]หน้าผ้า!DR124</f>
        <v>0</v>
      </c>
      <c r="AM115" s="3">
        <f>[2]หน้าผ้า!DS124</f>
        <v>0</v>
      </c>
      <c r="AN115" s="3">
        <f>[2]หน้าผ้า!DT124</f>
        <v>0</v>
      </c>
      <c r="AO115" s="3">
        <f>[2]หน้าผ้า!DU124</f>
        <v>0</v>
      </c>
      <c r="AP115" s="3">
        <f>[2]หน้าผ้า!DP124</f>
        <v>0</v>
      </c>
      <c r="AQ115" s="3">
        <f>[2]หน้าผ้า!DW124</f>
        <v>0</v>
      </c>
      <c r="AR115" s="3">
        <f>[2]หน้าผ้า!DX124</f>
        <v>0</v>
      </c>
      <c r="AS115" s="3">
        <f>[2]หน้าผ้า!DY124</f>
        <v>0</v>
      </c>
      <c r="AT115" s="3">
        <f>[2]หน้าผ้า!DZ124</f>
        <v>0</v>
      </c>
      <c r="AU115" s="3">
        <f>[2]หน้าผ้า!EA124</f>
        <v>0</v>
      </c>
      <c r="AV115" s="1">
        <f>[2]หน้าผ้า!EB124</f>
        <v>0</v>
      </c>
      <c r="AW115" s="2">
        <f>[2]หน้าผ้า!EC124</f>
        <v>0</v>
      </c>
      <c r="AX115" s="2">
        <f>[2]หน้าผ้า!ED124</f>
        <v>0</v>
      </c>
      <c r="AY115" s="2">
        <f>[2]หน้าผ้า!AG124</f>
        <v>0</v>
      </c>
      <c r="AZ115" s="2">
        <f>[2]หน้าผ้า!EG124</f>
        <v>0</v>
      </c>
      <c r="BA115" s="2">
        <f>[2]หน้าผ้า!EH124</f>
        <v>0</v>
      </c>
      <c r="BB115" s="2">
        <f>[2]หน้าผ้า!EI124</f>
        <v>0</v>
      </c>
      <c r="BC115" s="1" t="str">
        <f>[2]หน้าผ้า!BZ124</f>
        <v>WRWT200850/WRWT25800</v>
      </c>
      <c r="BD115" s="56">
        <f>[2]หน้าผ้า!CA124</f>
        <v>0</v>
      </c>
    </row>
    <row r="116" spans="1:56" ht="27.75" customHeight="1" x14ac:dyDescent="0.45">
      <c r="A116" s="3">
        <f>[2]หน้าผ้า!C125</f>
        <v>0</v>
      </c>
      <c r="B116" s="14">
        <f>[2]หน้าผ้า!B125</f>
        <v>0</v>
      </c>
      <c r="C116" s="9">
        <f>[2]หน้าผ้า!E125</f>
        <v>0</v>
      </c>
      <c r="D116" s="13">
        <f>[2]หน้าผ้า!F125</f>
        <v>0</v>
      </c>
      <c r="E116" s="9">
        <f>[2]หน้าผ้า!G125</f>
        <v>20</v>
      </c>
      <c r="F116" s="9">
        <f>[2]หน้าผ้า!H125</f>
        <v>37</v>
      </c>
      <c r="G116" s="9">
        <f>[2]หน้าผ้า!I125</f>
        <v>0</v>
      </c>
      <c r="H116" s="9">
        <f>[2]หน้าผ้า!J125</f>
        <v>0</v>
      </c>
      <c r="I116" s="9">
        <f>[2]หน้าผ้า!L125</f>
        <v>82</v>
      </c>
      <c r="J116" s="9" t="str">
        <f>[2]หน้าผ้า!M125</f>
        <v>±</v>
      </c>
      <c r="K116" s="9">
        <f>[2]หน้าผ้า!N125</f>
        <v>5</v>
      </c>
      <c r="L116" s="9">
        <f>[2]หน้าผ้า!R125</f>
        <v>0</v>
      </c>
      <c r="M116" s="10">
        <f>[2]หน้าผ้า!T125</f>
        <v>0</v>
      </c>
      <c r="N116" s="9">
        <f>[2]หน้าผ้า!U125</f>
        <v>0</v>
      </c>
      <c r="O116" s="9">
        <f>[2]หน้าผ้า!V125</f>
        <v>0</v>
      </c>
      <c r="P116" s="10">
        <f>[2]หน้าผ้า!AB125</f>
        <v>0</v>
      </c>
      <c r="Q116" s="10">
        <f>[2]หน้าผ้า!AC125</f>
        <v>0</v>
      </c>
      <c r="R116" s="10">
        <f>[2]หน้าผ้า!AD125</f>
        <v>0</v>
      </c>
      <c r="S116" s="9">
        <f>[2]หน้าผ้า!Z125</f>
        <v>0</v>
      </c>
      <c r="T116" s="12">
        <f>[2]หน้าผ้า!X125</f>
        <v>0</v>
      </c>
      <c r="U116" s="11">
        <f>[2]หน้าผ้า!AA125</f>
        <v>0</v>
      </c>
      <c r="V116" s="10">
        <f>[2]หน้าผ้า!AJ125</f>
        <v>0</v>
      </c>
      <c r="W116" s="10">
        <f>[2]หน้าผ้า!AL125</f>
        <v>0</v>
      </c>
      <c r="X116" s="10">
        <f>[2]หน้าผ้า!AM125</f>
        <v>0</v>
      </c>
      <c r="Y116" s="10">
        <f>[2]หน้าผ้า!AN125</f>
        <v>0</v>
      </c>
      <c r="Z116" s="9" t="str">
        <f>[2]หน้าผ้า!AO125</f>
        <v>WSWT2021750</v>
      </c>
      <c r="AA116" s="8" t="e">
        <f>[2]หน้าผ้า!AQ125</f>
        <v>#REF!</v>
      </c>
      <c r="AB116" s="8" t="e">
        <f>[2]หน้าผ้า!AR125</f>
        <v>#REF!</v>
      </c>
      <c r="AC116" s="8" t="e">
        <f>[2]หน้าผ้า!AS125</f>
        <v>#REF!</v>
      </c>
      <c r="AD116" s="8" t="e">
        <f>[2]หน้าผ้า!AT125</f>
        <v>#REF!</v>
      </c>
      <c r="AE116" s="8" t="e">
        <f>[2]หน้าผ้า!AU125</f>
        <v>#REF!</v>
      </c>
      <c r="AF116" s="8" t="str">
        <f>[2]หน้าผ้า!AI125</f>
        <v>ระบุในSD</v>
      </c>
      <c r="AG116" s="1" t="str">
        <f>[3]หน้าผ้า!DC128</f>
        <v>รอตัด</v>
      </c>
      <c r="AH116" s="1">
        <f>[2]หน้าผ้า!DL125</f>
        <v>0</v>
      </c>
      <c r="AI116" s="1" t="str">
        <f>[2]หน้าผ้า!DM125</f>
        <v>Lead time</v>
      </c>
      <c r="AJ116" s="3">
        <f>[2]หน้าผ้า!DN125</f>
        <v>0</v>
      </c>
      <c r="AK116" s="3">
        <f>[2]หน้าผ้า!DQ125</f>
        <v>0</v>
      </c>
      <c r="AL116" s="3">
        <f>[2]หน้าผ้า!DR125</f>
        <v>0</v>
      </c>
      <c r="AM116" s="3">
        <f>[2]หน้าผ้า!DS125</f>
        <v>0</v>
      </c>
      <c r="AN116" s="3">
        <f>[2]หน้าผ้า!DT125</f>
        <v>0</v>
      </c>
      <c r="AO116" s="3">
        <f>[2]หน้าผ้า!DU125</f>
        <v>0</v>
      </c>
      <c r="AP116" s="3">
        <f>[2]หน้าผ้า!DP125</f>
        <v>0</v>
      </c>
      <c r="AQ116" s="3">
        <f>[2]หน้าผ้า!DW125</f>
        <v>0</v>
      </c>
      <c r="AR116" s="3">
        <f>[2]หน้าผ้า!DX125</f>
        <v>0</v>
      </c>
      <c r="AS116" s="3">
        <f>[2]หน้าผ้า!DY125</f>
        <v>0</v>
      </c>
      <c r="AT116" s="3">
        <f>[2]หน้าผ้า!DZ125</f>
        <v>0</v>
      </c>
      <c r="AU116" s="3">
        <f>[2]หน้าผ้า!EA125</f>
        <v>0</v>
      </c>
      <c r="AV116" s="1">
        <f>[2]หน้าผ้า!EB125</f>
        <v>0</v>
      </c>
      <c r="AW116" s="2">
        <f>[2]หน้าผ้า!EC125</f>
        <v>0</v>
      </c>
      <c r="AX116" s="2">
        <f>[2]หน้าผ้า!ED125</f>
        <v>0</v>
      </c>
      <c r="AY116" s="2">
        <f>[2]หน้าผ้า!AG125</f>
        <v>0</v>
      </c>
      <c r="AZ116" s="2">
        <f>[2]หน้าผ้า!EG125</f>
        <v>0</v>
      </c>
      <c r="BA116" s="2">
        <f>[2]หน้าผ้า!EH125</f>
        <v>0</v>
      </c>
      <c r="BB116" s="2">
        <f>[2]หน้าผ้า!EI125</f>
        <v>0</v>
      </c>
      <c r="BC116" s="1" t="str">
        <f>[2]หน้าผ้า!BZ125</f>
        <v>WRWT200750/WRWT21750</v>
      </c>
      <c r="BD116" s="56">
        <f>[2]หน้าผ้า!CA125</f>
        <v>0</v>
      </c>
    </row>
    <row r="117" spans="1:56" ht="27.75" customHeight="1" x14ac:dyDescent="0.45">
      <c r="A117" s="3">
        <f>[2]หน้าผ้า!C126</f>
        <v>45896</v>
      </c>
      <c r="B117" s="14" t="str">
        <f>[2]หน้าผ้า!B126</f>
        <v>MK68-001046</v>
      </c>
      <c r="C117" s="9" t="str">
        <f>[2]หน้าผ้า!E126</f>
        <v>บจก.เคอรี่ฟลาวมิลล์</v>
      </c>
      <c r="D117" s="13" t="str">
        <f>[2]หน้าผ้า!F126</f>
        <v>แปดแต้มแดง 25กก.</v>
      </c>
      <c r="E117" s="9">
        <f>[2]หน้าผ้า!G126</f>
        <v>20</v>
      </c>
      <c r="F117" s="9">
        <f>[2]หน้าผ้า!H126</f>
        <v>32</v>
      </c>
      <c r="G117" s="9" t="str">
        <f>[2]หน้าผ้า!I126</f>
        <v>ขาว</v>
      </c>
      <c r="H117" s="9">
        <f>[2]หน้าผ้า!J126</f>
        <v>0</v>
      </c>
      <c r="I117" s="9">
        <f>[2]หน้าผ้า!L126</f>
        <v>72</v>
      </c>
      <c r="J117" s="9" t="str">
        <f>[2]หน้าผ้า!M126</f>
        <v>±</v>
      </c>
      <c r="K117" s="9">
        <f>[2]หน้าผ้า!N126</f>
        <v>5</v>
      </c>
      <c r="L117" s="9" t="str">
        <f>[2]หน้าผ้า!R126</f>
        <v>บิด</v>
      </c>
      <c r="M117" s="10" t="str">
        <f>[2]หน้าผ้า!T126</f>
        <v>ไม่สวมถุงใน</v>
      </c>
      <c r="N117" s="9">
        <f>[2]หน้าผ้า!U126</f>
        <v>0</v>
      </c>
      <c r="O117" s="9">
        <f>[2]หน้าผ้า!V126</f>
        <v>0</v>
      </c>
      <c r="P117" s="10">
        <f>[2]หน้าผ้า!AB126</f>
        <v>0</v>
      </c>
      <c r="Q117" s="10">
        <f>[2]หน้าผ้า!AC126</f>
        <v>0</v>
      </c>
      <c r="R117" s="10">
        <f>[2]หน้าผ้า!AD126</f>
        <v>0</v>
      </c>
      <c r="S117" s="9" t="str">
        <f>[2]หน้าผ้า!Z126</f>
        <v>ห่ออัดเบลแบน500</v>
      </c>
      <c r="T117" s="12">
        <f>[2]หน้าผ้า!X126</f>
        <v>45906</v>
      </c>
      <c r="U117" s="11">
        <f>[2]หน้าผ้า!AA126</f>
        <v>5000</v>
      </c>
      <c r="V117" s="10">
        <f>[2]หน้าผ้า!AJ126</f>
        <v>5000</v>
      </c>
      <c r="W117" s="10">
        <f>[2]หน้าผ้า!AL126</f>
        <v>0</v>
      </c>
      <c r="X117" s="10">
        <f>[2]หน้าผ้า!AM126</f>
        <v>5470</v>
      </c>
      <c r="Y117" s="10">
        <f>[2]หน้าผ้า!AN126</f>
        <v>0</v>
      </c>
      <c r="Z117" s="9" t="str">
        <f>[2]หน้าผ้า!AO126</f>
        <v>WSWT2025800</v>
      </c>
      <c r="AA117" s="8">
        <f>[2]หน้าผ้า!AQ126</f>
        <v>0</v>
      </c>
      <c r="AB117" s="8">
        <f>[2]หน้าผ้า!AR126</f>
        <v>0</v>
      </c>
      <c r="AC117" s="8">
        <f>[2]หน้าผ้า!AS126</f>
        <v>0</v>
      </c>
      <c r="AD117" s="8">
        <f>[2]หน้าผ้า!AT126</f>
        <v>0</v>
      </c>
      <c r="AE117" s="8">
        <f>[2]หน้าผ้า!AU126</f>
        <v>0</v>
      </c>
      <c r="AF117" s="8">
        <f>[2]หน้าผ้า!AI126</f>
        <v>0</v>
      </c>
      <c r="AG117" s="1" t="str">
        <f>[3]หน้าผ้า!DC129</f>
        <v>รอตัด</v>
      </c>
      <c r="AH117" s="1" t="str">
        <f>[2]หน้าผ้า!DL126</f>
        <v>P7</v>
      </c>
      <c r="AI117" s="1">
        <f>[2]หน้าผ้า!DM126</f>
        <v>2</v>
      </c>
      <c r="AJ117" s="3">
        <f>[2]หน้าผ้า!DN126</f>
        <v>45906</v>
      </c>
      <c r="AK117" s="3">
        <f>[2]หน้าผ้า!DQ126</f>
        <v>0</v>
      </c>
      <c r="AL117" s="3">
        <f>[2]หน้าผ้า!DR126</f>
        <v>45897</v>
      </c>
      <c r="AM117" s="3">
        <f>[2]หน้าผ้า!DS126</f>
        <v>45904</v>
      </c>
      <c r="AN117" s="3">
        <f>[2]หน้าผ้า!DT126</f>
        <v>45905</v>
      </c>
      <c r="AO117" s="3">
        <f>[2]หน้าผ้า!DU126</f>
        <v>45905</v>
      </c>
      <c r="AP117" s="3">
        <f>[2]หน้าผ้า!DP126</f>
        <v>45901</v>
      </c>
      <c r="AQ117" s="3">
        <f>[2]หน้าผ้า!DW126</f>
        <v>0</v>
      </c>
      <c r="AR117" s="3">
        <f>[2]หน้าผ้า!DX126</f>
        <v>0</v>
      </c>
      <c r="AS117" s="3">
        <f>[2]หน้าผ้า!DY126</f>
        <v>0</v>
      </c>
      <c r="AT117" s="3">
        <f>[2]หน้าผ้า!DZ126</f>
        <v>0</v>
      </c>
      <c r="AU117" s="3">
        <f>[2]หน้าผ้า!EA126</f>
        <v>0</v>
      </c>
      <c r="AV117" s="1">
        <f>[2]หน้าผ้า!EB126</f>
        <v>0</v>
      </c>
      <c r="AW117" s="2">
        <f>[2]หน้าผ้า!EC126</f>
        <v>0</v>
      </c>
      <c r="AX117" s="2">
        <f>[2]หน้าผ้า!ED126</f>
        <v>0</v>
      </c>
      <c r="AY117" s="2">
        <f>[2]หน้าผ้า!AG126</f>
        <v>0</v>
      </c>
      <c r="AZ117" s="2">
        <f>[2]หน้าผ้า!EG126</f>
        <v>0</v>
      </c>
      <c r="BA117" s="2">
        <f>[2]หน้าผ้า!EH126</f>
        <v>0</v>
      </c>
      <c r="BB117" s="2">
        <f>[2]หน้าผ้า!EI126</f>
        <v>0</v>
      </c>
      <c r="BC117" s="1" t="str">
        <f>[2]หน้าผ้า!BZ126</f>
        <v>WRWT25800/WRWT25800</v>
      </c>
      <c r="BD117" s="56">
        <f>[2]หน้าผ้า!CA126</f>
        <v>0</v>
      </c>
    </row>
    <row r="118" spans="1:56" ht="27.75" customHeight="1" x14ac:dyDescent="0.45">
      <c r="A118" s="3">
        <f>[2]หน้าผ้า!C127</f>
        <v>45896</v>
      </c>
      <c r="B118" s="14" t="str">
        <f>[2]หน้าผ้า!B127</f>
        <v>MK68-001046</v>
      </c>
      <c r="C118" s="9" t="str">
        <f>[2]หน้าผ้า!E127</f>
        <v>บจก.เคอรี่ฟลาวมิลล์</v>
      </c>
      <c r="D118" s="13" t="str">
        <f>[2]หน้าผ้า!F127</f>
        <v>ชามแดง 25กก.</v>
      </c>
      <c r="E118" s="9">
        <f>[2]หน้าผ้า!G127</f>
        <v>20</v>
      </c>
      <c r="F118" s="9">
        <f>[2]หน้าผ้า!H127</f>
        <v>32</v>
      </c>
      <c r="G118" s="9" t="str">
        <f>[2]หน้าผ้า!I127</f>
        <v>ขาว</v>
      </c>
      <c r="H118" s="9">
        <f>[2]หน้าผ้า!J127</f>
        <v>0</v>
      </c>
      <c r="I118" s="9">
        <f>[2]หน้าผ้า!L127</f>
        <v>72</v>
      </c>
      <c r="J118" s="9" t="str">
        <f>[2]หน้าผ้า!M127</f>
        <v>±</v>
      </c>
      <c r="K118" s="9">
        <f>[2]หน้าผ้า!N127</f>
        <v>5</v>
      </c>
      <c r="L118" s="9" t="str">
        <f>[2]หน้าผ้า!R127</f>
        <v>บิด</v>
      </c>
      <c r="M118" s="10" t="str">
        <f>[2]หน้าผ้า!T127</f>
        <v>ไม่สวมถุงใน</v>
      </c>
      <c r="N118" s="9">
        <f>[2]หน้าผ้า!U127</f>
        <v>0</v>
      </c>
      <c r="O118" s="9">
        <f>[2]หน้าผ้า!V127</f>
        <v>0</v>
      </c>
      <c r="P118" s="10">
        <f>[2]หน้าผ้า!AB127</f>
        <v>0</v>
      </c>
      <c r="Q118" s="10">
        <f>[2]หน้าผ้า!AC127</f>
        <v>0</v>
      </c>
      <c r="R118" s="10">
        <f>[2]หน้าผ้า!AD127</f>
        <v>0</v>
      </c>
      <c r="S118" s="9" t="str">
        <f>[2]หน้าผ้า!Z127</f>
        <v>ห่ออัดเบลแบน500</v>
      </c>
      <c r="T118" s="12">
        <f>[2]หน้าผ้า!X127</f>
        <v>45906</v>
      </c>
      <c r="U118" s="11">
        <f>[2]หน้าผ้า!AA127</f>
        <v>5000</v>
      </c>
      <c r="V118" s="10">
        <f>[2]หน้าผ้า!AJ127</f>
        <v>5000</v>
      </c>
      <c r="W118" s="10">
        <f>[2]หน้าผ้า!AL127</f>
        <v>0</v>
      </c>
      <c r="X118" s="10">
        <f>[2]หน้าผ้า!AM127</f>
        <v>5400</v>
      </c>
      <c r="Y118" s="10">
        <f>[2]หน้าผ้า!AN127</f>
        <v>0</v>
      </c>
      <c r="Z118" s="9" t="str">
        <f>[2]หน้าผ้า!AO127</f>
        <v>WSWT2025800</v>
      </c>
      <c r="AA118" s="8">
        <f>[2]หน้าผ้า!AQ127</f>
        <v>0</v>
      </c>
      <c r="AB118" s="8">
        <f>[2]หน้าผ้า!AR127</f>
        <v>0</v>
      </c>
      <c r="AC118" s="8">
        <f>[2]หน้าผ้า!AS127</f>
        <v>0</v>
      </c>
      <c r="AD118" s="8">
        <f>[2]หน้าผ้า!AT127</f>
        <v>0</v>
      </c>
      <c r="AE118" s="8">
        <f>[2]หน้าผ้า!AU127</f>
        <v>0</v>
      </c>
      <c r="AF118" s="8">
        <f>[2]หน้าผ้า!AI127</f>
        <v>0</v>
      </c>
      <c r="AG118" s="1" t="str">
        <f>[3]หน้าผ้า!DC130</f>
        <v>รอตัด</v>
      </c>
      <c r="AH118" s="1" t="str">
        <f>[2]หน้าผ้า!DL127</f>
        <v>P7</v>
      </c>
      <c r="AI118" s="1">
        <f>[2]หน้าผ้า!DM127</f>
        <v>2</v>
      </c>
      <c r="AJ118" s="3">
        <f>[2]หน้าผ้า!DN127</f>
        <v>45906</v>
      </c>
      <c r="AK118" s="3">
        <f>[2]หน้าผ้า!DQ127</f>
        <v>0</v>
      </c>
      <c r="AL118" s="3">
        <f>[2]หน้าผ้า!DR127</f>
        <v>45897</v>
      </c>
      <c r="AM118" s="3">
        <f>[2]หน้าผ้า!DS127</f>
        <v>45904</v>
      </c>
      <c r="AN118" s="3">
        <f>[2]หน้าผ้า!DT127</f>
        <v>45905</v>
      </c>
      <c r="AO118" s="3">
        <f>[2]หน้าผ้า!DU127</f>
        <v>45905</v>
      </c>
      <c r="AP118" s="3">
        <f>[2]หน้าผ้า!DP127</f>
        <v>45901</v>
      </c>
      <c r="AQ118" s="3">
        <f>[2]หน้าผ้า!DW127</f>
        <v>0</v>
      </c>
      <c r="AR118" s="3">
        <f>[2]หน้าผ้า!DX127</f>
        <v>0</v>
      </c>
      <c r="AS118" s="3">
        <f>[2]หน้าผ้า!DY127</f>
        <v>0</v>
      </c>
      <c r="AT118" s="3">
        <f>[2]หน้าผ้า!DZ127</f>
        <v>0</v>
      </c>
      <c r="AU118" s="3">
        <f>[2]หน้าผ้า!EA127</f>
        <v>0</v>
      </c>
      <c r="AV118" s="1">
        <f>[2]หน้าผ้า!EB127</f>
        <v>0</v>
      </c>
      <c r="AW118" s="2">
        <f>[2]หน้าผ้า!EC127</f>
        <v>0</v>
      </c>
      <c r="AX118" s="2">
        <f>[2]หน้าผ้า!ED127</f>
        <v>0</v>
      </c>
      <c r="AY118" s="2">
        <f>[2]หน้าผ้า!AG127</f>
        <v>0</v>
      </c>
      <c r="AZ118" s="2">
        <f>[2]หน้าผ้า!EG127</f>
        <v>0</v>
      </c>
      <c r="BA118" s="2">
        <f>[2]หน้าผ้า!EH127</f>
        <v>0</v>
      </c>
      <c r="BB118" s="2">
        <f>[2]หน้าผ้า!EI127</f>
        <v>0</v>
      </c>
      <c r="BC118" s="1" t="str">
        <f>[2]หน้าผ้า!BZ127</f>
        <v>WRWT25800/WRWT25800</v>
      </c>
      <c r="BD118" s="56">
        <f>[2]หน้าผ้า!CA127</f>
        <v>0</v>
      </c>
    </row>
    <row r="119" spans="1:56" ht="27.75" customHeight="1" x14ac:dyDescent="0.45">
      <c r="A119" s="3">
        <f>[2]หน้าผ้า!C128</f>
        <v>45892</v>
      </c>
      <c r="B119" s="14" t="str">
        <f>[2]หน้าผ้า!B128</f>
        <v>MK68-001025</v>
      </c>
      <c r="C119" s="9" t="str">
        <f>[2]หน้าผ้า!E128</f>
        <v>บจก.อินเทคค์ โกลบอล</v>
      </c>
      <c r="D119" s="13" t="str">
        <f>[2]หน้าผ้า!F128</f>
        <v>เพอเฟคค์ 663</v>
      </c>
      <c r="E119" s="9">
        <f>[2]หน้าผ้า!G128</f>
        <v>20</v>
      </c>
      <c r="F119" s="9">
        <f>[2]หน้าผ้า!H128</f>
        <v>36</v>
      </c>
      <c r="G119" s="9" t="str">
        <f>[2]หน้าผ้า!I128</f>
        <v>ขาว</v>
      </c>
      <c r="H119" s="9">
        <f>[2]หน้าผ้า!J128</f>
        <v>0</v>
      </c>
      <c r="I119" s="9">
        <f>[2]หน้าผ้า!L128</f>
        <v>78</v>
      </c>
      <c r="J119" s="9" t="str">
        <f>[2]หน้าผ้า!M128</f>
        <v>±</v>
      </c>
      <c r="K119" s="9">
        <f>[2]หน้าผ้า!N128</f>
        <v>5</v>
      </c>
      <c r="L119" s="9" t="str">
        <f>[2]หน้าผ้า!R128</f>
        <v>จับจีบ4"</v>
      </c>
      <c r="M119" s="10" t="str">
        <f>[2]หน้าผ้า!T128</f>
        <v>ไม่สวมถุงใน</v>
      </c>
      <c r="N119" s="9">
        <f>[2]หน้าผ้า!U128</f>
        <v>0</v>
      </c>
      <c r="O119" s="9">
        <f>[2]หน้าผ้า!V128</f>
        <v>0</v>
      </c>
      <c r="P119" s="10">
        <f>[2]หน้าผ้า!AB128</f>
        <v>0</v>
      </c>
      <c r="Q119" s="10">
        <f>[2]หน้าผ้า!AC128</f>
        <v>0</v>
      </c>
      <c r="R119" s="10">
        <f>[2]หน้าผ้า!AD128</f>
        <v>0</v>
      </c>
      <c r="S119" s="9" t="str">
        <f>[2]หน้าผ้า!Z128</f>
        <v>มัด80 ใช้สายรัด</v>
      </c>
      <c r="T119" s="12">
        <f>[2]หน้าผ้า!X128</f>
        <v>45908</v>
      </c>
      <c r="U119" s="11">
        <f>[2]หน้าผ้า!AA128</f>
        <v>10000</v>
      </c>
      <c r="V119" s="10">
        <f>[2]หน้าผ้า!AJ128</f>
        <v>1196</v>
      </c>
      <c r="W119" s="10">
        <f>[2]หน้าผ้า!AL128</f>
        <v>8804</v>
      </c>
      <c r="X119" s="10">
        <f>[2]หน้าผ้า!AM128</f>
        <v>10696</v>
      </c>
      <c r="Y119" s="10">
        <f>[2]หน้าผ้า!AN128</f>
        <v>0</v>
      </c>
      <c r="Z119" s="9" t="str">
        <f>[2]หน้าผ้า!AO128</f>
        <v>WSWT2025800</v>
      </c>
      <c r="AA119" s="8">
        <f>[2]หน้าผ้า!AQ128</f>
        <v>0</v>
      </c>
      <c r="AB119" s="8">
        <f>[2]หน้าผ้า!AR128</f>
        <v>0</v>
      </c>
      <c r="AC119" s="8">
        <f>[2]หน้าผ้า!AS128</f>
        <v>0</v>
      </c>
      <c r="AD119" s="8">
        <f>[2]หน้าผ้า!AT128</f>
        <v>0</v>
      </c>
      <c r="AE119" s="8">
        <f>[2]หน้าผ้า!AU128</f>
        <v>0</v>
      </c>
      <c r="AF119" s="8" t="str">
        <f>[2]หน้าผ้า!AI128</f>
        <v>ห้ามขาด-ห้ามเกิน</v>
      </c>
      <c r="AG119" s="1" t="str">
        <f>[3]หน้าผ้า!DC131</f>
        <v>รอตัด</v>
      </c>
      <c r="AH119" s="1" t="str">
        <f>[2]หน้าผ้า!DL128</f>
        <v>P7</v>
      </c>
      <c r="AI119" s="1">
        <f>[2]หน้าผ้า!DM128</f>
        <v>2</v>
      </c>
      <c r="AJ119" s="3">
        <f>[2]หน้าผ้า!DN128</f>
        <v>45908</v>
      </c>
      <c r="AK119" s="3">
        <f>[2]หน้าผ้า!DQ128</f>
        <v>0</v>
      </c>
      <c r="AL119" s="3">
        <f>[2]หน้าผ้า!DR128</f>
        <v>45899</v>
      </c>
      <c r="AM119" s="3">
        <f>[2]หน้าผ้า!DS128</f>
        <v>45906</v>
      </c>
      <c r="AN119" s="3">
        <f>[2]หน้าผ้า!DT128</f>
        <v>45907</v>
      </c>
      <c r="AO119" s="3">
        <f>[2]หน้าผ้า!DU128</f>
        <v>45907</v>
      </c>
      <c r="AP119" s="3">
        <f>[2]หน้าผ้า!DP128</f>
        <v>45903</v>
      </c>
      <c r="AQ119" s="3">
        <f>[2]หน้าผ้า!DW128</f>
        <v>0</v>
      </c>
      <c r="AR119" s="3">
        <f>[2]หน้าผ้า!DX128</f>
        <v>0</v>
      </c>
      <c r="AS119" s="3">
        <f>[2]หน้าผ้า!DY128</f>
        <v>0</v>
      </c>
      <c r="AT119" s="3">
        <f>[2]หน้าผ้า!DZ128</f>
        <v>0</v>
      </c>
      <c r="AU119" s="3">
        <f>[2]หน้าผ้า!EA128</f>
        <v>0</v>
      </c>
      <c r="AV119" s="1">
        <f>[2]หน้าผ้า!EB128</f>
        <v>0</v>
      </c>
      <c r="AW119" s="2" t="str">
        <f>[2]หน้าผ้า!EC128</f>
        <v>งานพิมพ์</v>
      </c>
      <c r="AX119" s="2" t="str">
        <f>[2]หน้าผ้า!ED128</f>
        <v xml:space="preserve"> /</v>
      </c>
      <c r="AY119" s="2">
        <f>[2]หน้าผ้า!AG128</f>
        <v>0</v>
      </c>
      <c r="AZ119" s="2">
        <f>[2]หน้าผ้า!EG128</f>
        <v>0</v>
      </c>
      <c r="BA119" s="2">
        <f>[2]หน้าผ้า!EH128</f>
        <v>0</v>
      </c>
      <c r="BB119" s="2">
        <f>[2]หน้าผ้า!EI128</f>
        <v>0</v>
      </c>
      <c r="BC119" s="1" t="str">
        <f>[2]หน้าผ้า!BZ128</f>
        <v>WRWT25800/WRWT25800</v>
      </c>
      <c r="BD119" s="56">
        <f>[2]หน้าผ้า!CA128</f>
        <v>0</v>
      </c>
    </row>
    <row r="120" spans="1:56" ht="27.75" customHeight="1" x14ac:dyDescent="0.45">
      <c r="A120" s="3">
        <f>[2]หน้าผ้า!C129</f>
        <v>45887</v>
      </c>
      <c r="B120" s="14" t="str">
        <f>[2]หน้าผ้า!B129</f>
        <v>MK68-001009</v>
      </c>
      <c r="C120" s="9" t="str">
        <f>[2]หน้าผ้า!E129</f>
        <v>บจก.อินเทคค์ โกลบอล</v>
      </c>
      <c r="D120" s="13" t="str">
        <f>[2]หน้าผ้า!F129</f>
        <v>เพอเฟคค 664</v>
      </c>
      <c r="E120" s="9">
        <f>[2]หน้าผ้า!G129</f>
        <v>20</v>
      </c>
      <c r="F120" s="9">
        <f>[2]หน้าผ้า!H129</f>
        <v>36</v>
      </c>
      <c r="G120" s="9" t="str">
        <f>[2]หน้าผ้า!I129</f>
        <v>ขาว</v>
      </c>
      <c r="H120" s="9">
        <f>[2]หน้าผ้า!J129</f>
        <v>0</v>
      </c>
      <c r="I120" s="9">
        <f>[2]หน้าผ้า!L129</f>
        <v>78</v>
      </c>
      <c r="J120" s="9" t="str">
        <f>[2]หน้าผ้า!M129</f>
        <v>±</v>
      </c>
      <c r="K120" s="9">
        <f>[2]หน้าผ้า!N129</f>
        <v>5</v>
      </c>
      <c r="L120" s="9" t="str">
        <f>[2]หน้าผ้า!R129</f>
        <v>จับจีบ4"</v>
      </c>
      <c r="M120" s="10" t="str">
        <f>[2]หน้าผ้า!T129</f>
        <v>ไม่สวมถุงใน</v>
      </c>
      <c r="N120" s="9">
        <f>[2]หน้าผ้า!U129</f>
        <v>0</v>
      </c>
      <c r="O120" s="9">
        <f>[2]หน้าผ้า!V129</f>
        <v>0</v>
      </c>
      <c r="P120" s="10">
        <f>[2]หน้าผ้า!AB129</f>
        <v>0</v>
      </c>
      <c r="Q120" s="10">
        <f>[2]หน้าผ้า!AC129</f>
        <v>0</v>
      </c>
      <c r="R120" s="10">
        <f>[2]หน้าผ้า!AD129</f>
        <v>0</v>
      </c>
      <c r="S120" s="9" t="str">
        <f>[2]หน้าผ้า!Z129</f>
        <v>มัด80 ใช้สายรัด</v>
      </c>
      <c r="T120" s="12">
        <f>[2]หน้าผ้า!X129</f>
        <v>45915</v>
      </c>
      <c r="U120" s="11">
        <f>[2]หน้าผ้า!AA129</f>
        <v>9153</v>
      </c>
      <c r="V120" s="10">
        <f>[2]หน้าผ้า!AJ129</f>
        <v>0</v>
      </c>
      <c r="W120" s="10">
        <f>[2]หน้าผ้า!AL129</f>
        <v>9153</v>
      </c>
      <c r="X120" s="10">
        <f>[2]หน้าผ้า!AM129</f>
        <v>18825</v>
      </c>
      <c r="Y120" s="10">
        <f>[2]หน้าผ้า!AN129</f>
        <v>0</v>
      </c>
      <c r="Z120" s="9" t="str">
        <f>[2]หน้าผ้า!AO129</f>
        <v>WSWT2025800</v>
      </c>
      <c r="AA120" s="8">
        <f>[2]หน้าผ้า!AQ129</f>
        <v>0</v>
      </c>
      <c r="AB120" s="8">
        <f>[2]หน้าผ้า!AR129</f>
        <v>0</v>
      </c>
      <c r="AC120" s="8">
        <f>[2]หน้าผ้า!AS129</f>
        <v>0</v>
      </c>
      <c r="AD120" s="8">
        <f>[2]หน้าผ้า!AT129</f>
        <v>0</v>
      </c>
      <c r="AE120" s="8">
        <f>[2]หน้าผ้า!AU129</f>
        <v>0</v>
      </c>
      <c r="AF120" s="8" t="str">
        <f>[2]หน้าผ้า!AI129</f>
        <v>ห้ามขาด-ห้ามเกิน</v>
      </c>
      <c r="AG120" s="1" t="str">
        <f>[3]หน้าผ้า!DC132</f>
        <v>รอตัด</v>
      </c>
      <c r="AH120" s="1" t="str">
        <f>[2]หน้าผ้า!DL129</f>
        <v>P7</v>
      </c>
      <c r="AI120" s="1">
        <f>[2]หน้าผ้า!DM129</f>
        <v>2</v>
      </c>
      <c r="AJ120" s="3">
        <f>[2]หน้าผ้า!DN129</f>
        <v>45915</v>
      </c>
      <c r="AK120" s="3">
        <f>[2]หน้าผ้า!DQ129</f>
        <v>0</v>
      </c>
      <c r="AL120" s="3">
        <f>[2]หน้าผ้า!DR129</f>
        <v>45906</v>
      </c>
      <c r="AM120" s="3">
        <f>[2]หน้าผ้า!DS129</f>
        <v>45913</v>
      </c>
      <c r="AN120" s="3">
        <f>[2]หน้าผ้า!DT129</f>
        <v>45914</v>
      </c>
      <c r="AO120" s="3">
        <f>[2]หน้าผ้า!DU129</f>
        <v>45914</v>
      </c>
      <c r="AP120" s="3">
        <f>[2]หน้าผ้า!DP129</f>
        <v>45910</v>
      </c>
      <c r="AQ120" s="3">
        <f>[2]หน้าผ้า!DW129</f>
        <v>0</v>
      </c>
      <c r="AR120" s="3">
        <f>[2]หน้าผ้า!DX129</f>
        <v>0</v>
      </c>
      <c r="AS120" s="3">
        <f>[2]หน้าผ้า!DY129</f>
        <v>0</v>
      </c>
      <c r="AT120" s="3">
        <f>[2]หน้าผ้า!DZ129</f>
        <v>0</v>
      </c>
      <c r="AU120" s="3">
        <f>[2]หน้าผ้า!EA129</f>
        <v>0</v>
      </c>
      <c r="AV120" s="1">
        <f>[2]หน้าผ้า!EB129</f>
        <v>0</v>
      </c>
      <c r="AW120" s="2" t="str">
        <f>[2]หน้าผ้า!EC129</f>
        <v>งานพิมพ์</v>
      </c>
      <c r="AX120" s="2" t="str">
        <f>[2]หน้าผ้า!ED129</f>
        <v xml:space="preserve"> /</v>
      </c>
      <c r="AY120" s="2" t="str">
        <f>[2]หน้าผ้า!AG129</f>
        <v>1/9 8/9 15/9 22/9</v>
      </c>
      <c r="AZ120" s="2">
        <f>[2]หน้าผ้า!EG129</f>
        <v>0</v>
      </c>
      <c r="BA120" s="2">
        <f>[2]หน้าผ้า!EH129</f>
        <v>0</v>
      </c>
      <c r="BB120" s="2">
        <f>[2]หน้าผ้า!EI129</f>
        <v>0</v>
      </c>
      <c r="BC120" s="1" t="str">
        <f>[2]หน้าผ้า!BZ129</f>
        <v>WRWT25800/WRWT25800</v>
      </c>
      <c r="BD120" s="56">
        <f>[2]หน้าผ้า!CA129</f>
        <v>0</v>
      </c>
    </row>
    <row r="121" spans="1:56" ht="27.75" customHeight="1" x14ac:dyDescent="0.45">
      <c r="A121" s="3">
        <f>[2]หน้าผ้า!C130</f>
        <v>45887</v>
      </c>
      <c r="B121" s="14" t="str">
        <f>[2]หน้าผ้า!B130</f>
        <v>MK68-001010</v>
      </c>
      <c r="C121" s="9" t="str">
        <f>[2]หน้าผ้า!E130</f>
        <v>บจก.อินเทคค์ โกลบอล</v>
      </c>
      <c r="D121" s="13" t="str">
        <f>[2]หน้าผ้า!F130</f>
        <v>เพอเฟคค์ 664HP</v>
      </c>
      <c r="E121" s="9">
        <f>[2]หน้าผ้า!G130</f>
        <v>20</v>
      </c>
      <c r="F121" s="9">
        <f>[2]หน้าผ้า!H130</f>
        <v>36</v>
      </c>
      <c r="G121" s="9" t="str">
        <f>[2]หน้าผ้า!I130</f>
        <v>ขาว</v>
      </c>
      <c r="H121" s="9">
        <f>[2]หน้าผ้า!J130</f>
        <v>0</v>
      </c>
      <c r="I121" s="9">
        <f>[2]หน้าผ้า!L130</f>
        <v>78</v>
      </c>
      <c r="J121" s="9" t="str">
        <f>[2]หน้าผ้า!M130</f>
        <v>±</v>
      </c>
      <c r="K121" s="9">
        <f>[2]หน้าผ้า!N130</f>
        <v>5</v>
      </c>
      <c r="L121" s="9" t="str">
        <f>[2]หน้าผ้า!R130</f>
        <v>จับจีบ4"</v>
      </c>
      <c r="M121" s="10" t="str">
        <f>[2]หน้าผ้า!T130</f>
        <v>ไม่สวมถุงใน</v>
      </c>
      <c r="N121" s="9">
        <f>[2]หน้าผ้า!U130</f>
        <v>0</v>
      </c>
      <c r="O121" s="9">
        <f>[2]หน้าผ้า!V130</f>
        <v>0</v>
      </c>
      <c r="P121" s="10">
        <f>[2]หน้าผ้า!AB130</f>
        <v>0</v>
      </c>
      <c r="Q121" s="10">
        <f>[2]หน้าผ้า!AC130</f>
        <v>0</v>
      </c>
      <c r="R121" s="10">
        <f>[2]หน้าผ้า!AD130</f>
        <v>0</v>
      </c>
      <c r="S121" s="9" t="str">
        <f>[2]หน้าผ้า!Z130</f>
        <v>มัด80 ใช้สายรัด</v>
      </c>
      <c r="T121" s="12">
        <f>[2]หน้าผ้า!X130</f>
        <v>45919</v>
      </c>
      <c r="U121" s="11">
        <f>[2]หน้าผ้า!AA130</f>
        <v>17360</v>
      </c>
      <c r="V121" s="10">
        <f>[2]หน้าผ้า!AJ130</f>
        <v>0</v>
      </c>
      <c r="W121" s="10">
        <f>[2]หน้าผ้า!AL130</f>
        <v>17360</v>
      </c>
      <c r="X121" s="10">
        <f>[2]หน้าผ้า!AM130</f>
        <v>40982</v>
      </c>
      <c r="Y121" s="10">
        <f>[2]หน้าผ้า!AN130</f>
        <v>0</v>
      </c>
      <c r="Z121" s="9" t="str">
        <f>[2]หน้าผ้า!AO130</f>
        <v>WSWT2025800</v>
      </c>
      <c r="AA121" s="8">
        <f>[2]หน้าผ้า!AQ130</f>
        <v>0</v>
      </c>
      <c r="AB121" s="8">
        <f>[2]หน้าผ้า!AR130</f>
        <v>0</v>
      </c>
      <c r="AC121" s="8">
        <f>[2]หน้าผ้า!AS130</f>
        <v>0</v>
      </c>
      <c r="AD121" s="8">
        <f>[2]หน้าผ้า!AT130</f>
        <v>0</v>
      </c>
      <c r="AE121" s="8">
        <f>[2]หน้าผ้า!AU130</f>
        <v>0</v>
      </c>
      <c r="AF121" s="8" t="str">
        <f>[2]หน้าผ้า!AI130</f>
        <v>ห้ามขาด-ห้ามเกิน</v>
      </c>
      <c r="AG121" s="1" t="str">
        <f>[3]หน้าผ้า!DC133</f>
        <v>ยังไม่ได้พิมพ์</v>
      </c>
      <c r="AH121" s="1" t="str">
        <f>[2]หน้าผ้า!DL130</f>
        <v>P7</v>
      </c>
      <c r="AI121" s="1">
        <f>[2]หน้าผ้า!DM130</f>
        <v>2</v>
      </c>
      <c r="AJ121" s="3">
        <f>[2]หน้าผ้า!DN130</f>
        <v>45919</v>
      </c>
      <c r="AK121" s="3">
        <f>[2]หน้าผ้า!DQ130</f>
        <v>0</v>
      </c>
      <c r="AL121" s="3">
        <f>[2]หน้าผ้า!DR130</f>
        <v>45910</v>
      </c>
      <c r="AM121" s="3">
        <f>[2]หน้าผ้า!DS130</f>
        <v>45917</v>
      </c>
      <c r="AN121" s="3">
        <f>[2]หน้าผ้า!DT130</f>
        <v>45918</v>
      </c>
      <c r="AO121" s="3">
        <f>[2]หน้าผ้า!DU130</f>
        <v>45918</v>
      </c>
      <c r="AP121" s="3">
        <f>[2]หน้าผ้า!DP130</f>
        <v>45914</v>
      </c>
      <c r="AQ121" s="3">
        <f>[2]หน้าผ้า!DW130</f>
        <v>0</v>
      </c>
      <c r="AR121" s="3">
        <f>[2]หน้าผ้า!DX130</f>
        <v>0</v>
      </c>
      <c r="AS121" s="3">
        <f>[2]หน้าผ้า!DY130</f>
        <v>0</v>
      </c>
      <c r="AT121" s="3">
        <f>[2]หน้าผ้า!DZ130</f>
        <v>0</v>
      </c>
      <c r="AU121" s="3">
        <f>[2]หน้าผ้า!EA130</f>
        <v>0</v>
      </c>
      <c r="AV121" s="1">
        <f>[2]หน้าผ้า!EB130</f>
        <v>0</v>
      </c>
      <c r="AW121" s="2" t="str">
        <f>[2]หน้าผ้า!EC130</f>
        <v>งานพิมพ์</v>
      </c>
      <c r="AX121" s="2" t="str">
        <f>[2]หน้าผ้า!ED130</f>
        <v xml:space="preserve"> /</v>
      </c>
      <c r="AY121" s="2" t="str">
        <f>[2]หน้าผ้า!AG130</f>
        <v>2/9 9/9 16/9 19/9 23/9 26/9</v>
      </c>
      <c r="AZ121" s="2">
        <f>[2]หน้าผ้า!EG130</f>
        <v>0</v>
      </c>
      <c r="BA121" s="2">
        <f>[2]หน้าผ้า!EH130</f>
        <v>0</v>
      </c>
      <c r="BB121" s="2">
        <f>[2]หน้าผ้า!EI130</f>
        <v>0</v>
      </c>
      <c r="BC121" s="1" t="str">
        <f>[2]หน้าผ้า!BZ130</f>
        <v>WRWT25800/WRWT25800</v>
      </c>
      <c r="BD121" s="56">
        <f>[2]หน้าผ้า!CA130</f>
        <v>0</v>
      </c>
    </row>
    <row r="122" spans="1:56" ht="27.75" customHeight="1" x14ac:dyDescent="0.45">
      <c r="A122" s="3">
        <f>[2]หน้าผ้า!C131</f>
        <v>45887</v>
      </c>
      <c r="B122" s="14" t="str">
        <f>[2]หน้าผ้า!B131</f>
        <v>MK68-001010</v>
      </c>
      <c r="C122" s="9" t="str">
        <f>[2]หน้าผ้า!E131</f>
        <v>บจก.อินเทคค์ โกลบอล</v>
      </c>
      <c r="D122" s="13" t="str">
        <f>[2]หน้าผ้า!F131</f>
        <v>เพอเฟคค์ 664HP</v>
      </c>
      <c r="E122" s="9">
        <f>[2]หน้าผ้า!G131</f>
        <v>20</v>
      </c>
      <c r="F122" s="9">
        <f>[2]หน้าผ้า!H131</f>
        <v>36</v>
      </c>
      <c r="G122" s="9" t="str">
        <f>[2]หน้าผ้า!I131</f>
        <v>ขาว</v>
      </c>
      <c r="H122" s="9">
        <f>[2]หน้าผ้า!J131</f>
        <v>0</v>
      </c>
      <c r="I122" s="9">
        <f>[2]หน้าผ้า!L131</f>
        <v>78</v>
      </c>
      <c r="J122" s="9" t="str">
        <f>[2]หน้าผ้า!M131</f>
        <v>±</v>
      </c>
      <c r="K122" s="9">
        <f>[2]หน้าผ้า!N131</f>
        <v>5</v>
      </c>
      <c r="L122" s="9" t="str">
        <f>[2]หน้าผ้า!R131</f>
        <v>จับจีบ4"</v>
      </c>
      <c r="M122" s="10" t="str">
        <f>[2]หน้าผ้า!T131</f>
        <v>ไม่สวมถุงใน</v>
      </c>
      <c r="N122" s="9">
        <f>[2]หน้าผ้า!U131</f>
        <v>0</v>
      </c>
      <c r="O122" s="9">
        <f>[2]หน้าผ้า!V131</f>
        <v>0</v>
      </c>
      <c r="P122" s="10">
        <f>[2]หน้าผ้า!AB131</f>
        <v>0</v>
      </c>
      <c r="Q122" s="10">
        <f>[2]หน้าผ้า!AC131</f>
        <v>0</v>
      </c>
      <c r="R122" s="10">
        <f>[2]หน้าผ้า!AD131</f>
        <v>0</v>
      </c>
      <c r="S122" s="9" t="str">
        <f>[2]หน้าผ้า!Z131</f>
        <v>มัด80 ใช้สายรัด</v>
      </c>
      <c r="T122" s="12">
        <f>[2]หน้าผ้า!X131</f>
        <v>45922</v>
      </c>
      <c r="U122" s="11">
        <f>[2]หน้าผ้า!AA131</f>
        <v>30000</v>
      </c>
      <c r="V122" s="10">
        <f>[2]หน้าผ้า!AJ131</f>
        <v>0</v>
      </c>
      <c r="W122" s="10">
        <f>[2]หน้าผ้า!AL131</f>
        <v>30000</v>
      </c>
      <c r="X122" s="10">
        <f>[2]หน้าผ้า!AM131</f>
        <v>31000</v>
      </c>
      <c r="Y122" s="10">
        <f>[2]หน้าผ้า!AN131</f>
        <v>0</v>
      </c>
      <c r="Z122" s="9" t="str">
        <f>[2]หน้าผ้า!AO131</f>
        <v>WSWT2025800</v>
      </c>
      <c r="AA122" s="8">
        <f>[2]หน้าผ้า!AQ131</f>
        <v>0</v>
      </c>
      <c r="AB122" s="8">
        <f>[2]หน้าผ้า!AR131</f>
        <v>0</v>
      </c>
      <c r="AC122" s="8">
        <f>[2]หน้าผ้า!AS131</f>
        <v>0</v>
      </c>
      <c r="AD122" s="8">
        <f>[2]หน้าผ้า!AT131</f>
        <v>0</v>
      </c>
      <c r="AE122" s="8">
        <f>[2]หน้าผ้า!AU131</f>
        <v>0</v>
      </c>
      <c r="AF122" s="8" t="str">
        <f>[2]หน้าผ้า!AI131</f>
        <v>ห้ามขาด-ห้ามเกิน</v>
      </c>
      <c r="AG122" s="1" t="str">
        <f>[3]หน้าผ้า!DC134</f>
        <v>รอแบบ</v>
      </c>
      <c r="AH122" s="1" t="str">
        <f>[2]หน้าผ้า!DL131</f>
        <v>P7</v>
      </c>
      <c r="AI122" s="1">
        <f>[2]หน้าผ้า!DM131</f>
        <v>2</v>
      </c>
      <c r="AJ122" s="3">
        <f>[2]หน้าผ้า!DN131</f>
        <v>45922</v>
      </c>
      <c r="AK122" s="3">
        <f>[2]หน้าผ้า!DQ131</f>
        <v>0</v>
      </c>
      <c r="AL122" s="3">
        <f>[2]หน้าผ้า!DR131</f>
        <v>45913</v>
      </c>
      <c r="AM122" s="3">
        <f>[2]หน้าผ้า!DS131</f>
        <v>45920</v>
      </c>
      <c r="AN122" s="3">
        <f>[2]หน้าผ้า!DT131</f>
        <v>45921</v>
      </c>
      <c r="AO122" s="3">
        <f>[2]หน้าผ้า!DU131</f>
        <v>45921</v>
      </c>
      <c r="AP122" s="3">
        <f>[2]หน้าผ้า!DP131</f>
        <v>45917</v>
      </c>
      <c r="AQ122" s="3">
        <f>[2]หน้าผ้า!DW131</f>
        <v>0</v>
      </c>
      <c r="AR122" s="3">
        <f>[2]หน้าผ้า!DX131</f>
        <v>0</v>
      </c>
      <c r="AS122" s="3">
        <f>[2]หน้าผ้า!DY131</f>
        <v>0</v>
      </c>
      <c r="AT122" s="3">
        <f>[2]หน้าผ้า!DZ131</f>
        <v>0</v>
      </c>
      <c r="AU122" s="3">
        <f>[2]หน้าผ้า!EA131</f>
        <v>0</v>
      </c>
      <c r="AV122" s="1">
        <f>[2]หน้าผ้า!EB131</f>
        <v>0</v>
      </c>
      <c r="AW122" s="2" t="str">
        <f>[2]หน้าผ้า!EC131</f>
        <v>งานพิมพ์</v>
      </c>
      <c r="AX122" s="2" t="str">
        <f>[2]หน้าผ้า!ED131</f>
        <v xml:space="preserve"> /</v>
      </c>
      <c r="AY122" s="2" t="str">
        <f>[2]หน้าผ้า!AG131</f>
        <v>2/9 9/9 16/9 19/9 23/9 26/9</v>
      </c>
      <c r="AZ122" s="2">
        <f>[2]หน้าผ้า!EG131</f>
        <v>0</v>
      </c>
      <c r="BA122" s="2">
        <f>[2]หน้าผ้า!EH131</f>
        <v>0</v>
      </c>
      <c r="BB122" s="2">
        <f>[2]หน้าผ้า!EI131</f>
        <v>0</v>
      </c>
      <c r="BC122" s="1" t="str">
        <f>[2]หน้าผ้า!BZ131</f>
        <v>WRWT25800/WRWT25800</v>
      </c>
      <c r="BD122" s="56">
        <f>[2]หน้าผ้า!CA131</f>
        <v>0</v>
      </c>
    </row>
    <row r="123" spans="1:56" ht="27.75" customHeight="1" x14ac:dyDescent="0.45">
      <c r="A123" s="3">
        <f>[2]หน้าผ้า!C132</f>
        <v>45887</v>
      </c>
      <c r="B123" s="14" t="str">
        <f>[2]หน้าผ้า!B132</f>
        <v>MK68-001010</v>
      </c>
      <c r="C123" s="9" t="str">
        <f>[2]หน้าผ้า!E132</f>
        <v>บจก.อินเทคค์ โกลบอล</v>
      </c>
      <c r="D123" s="13" t="str">
        <f>[2]หน้าผ้า!F132</f>
        <v>เพอเฟคค์ 664HP</v>
      </c>
      <c r="E123" s="9">
        <f>[2]หน้าผ้า!G132</f>
        <v>20</v>
      </c>
      <c r="F123" s="9">
        <f>[2]หน้าผ้า!H132</f>
        <v>36</v>
      </c>
      <c r="G123" s="9" t="str">
        <f>[2]หน้าผ้า!I132</f>
        <v>ขาว</v>
      </c>
      <c r="H123" s="9">
        <f>[2]หน้าผ้า!J132</f>
        <v>0</v>
      </c>
      <c r="I123" s="9">
        <f>[2]หน้าผ้า!L132</f>
        <v>78</v>
      </c>
      <c r="J123" s="9" t="str">
        <f>[2]หน้าผ้า!M132</f>
        <v>±</v>
      </c>
      <c r="K123" s="9">
        <f>[2]หน้าผ้า!N132</f>
        <v>5</v>
      </c>
      <c r="L123" s="9" t="str">
        <f>[2]หน้าผ้า!R132</f>
        <v>จับจีบ4"</v>
      </c>
      <c r="M123" s="10" t="str">
        <f>[2]หน้าผ้า!T132</f>
        <v>ไม่สวมถุงใน</v>
      </c>
      <c r="N123" s="9">
        <f>[2]หน้าผ้า!U132</f>
        <v>0</v>
      </c>
      <c r="O123" s="9">
        <f>[2]หน้าผ้า!V132</f>
        <v>0</v>
      </c>
      <c r="P123" s="10">
        <f>[2]หน้าผ้า!AB132</f>
        <v>0</v>
      </c>
      <c r="Q123" s="10">
        <f>[2]หน้าผ้า!AC132</f>
        <v>0</v>
      </c>
      <c r="R123" s="10">
        <f>[2]หน้าผ้า!AD132</f>
        <v>0</v>
      </c>
      <c r="S123" s="9" t="str">
        <f>[2]หน้าผ้า!Z132</f>
        <v>มัด80 ใช้สายรัด</v>
      </c>
      <c r="T123" s="12">
        <f>[2]หน้าผ้า!X132</f>
        <v>45926</v>
      </c>
      <c r="U123" s="11">
        <f>[2]หน้าผ้า!AA132</f>
        <v>20000</v>
      </c>
      <c r="V123" s="10">
        <f>[2]หน้าผ้า!AJ132</f>
        <v>0</v>
      </c>
      <c r="W123" s="10">
        <f>[2]หน้าผ้า!AL132</f>
        <v>20000</v>
      </c>
      <c r="X123" s="10">
        <f>[2]หน้าผ้า!AM132</f>
        <v>20056</v>
      </c>
      <c r="Y123" s="10">
        <f>[2]หน้าผ้า!AN132</f>
        <v>0</v>
      </c>
      <c r="Z123" s="9" t="str">
        <f>[2]หน้าผ้า!AO132</f>
        <v>WSWT2025800</v>
      </c>
      <c r="AA123" s="8">
        <f>[2]หน้าผ้า!AQ132</f>
        <v>0</v>
      </c>
      <c r="AB123" s="8">
        <f>[2]หน้าผ้า!AR132</f>
        <v>0</v>
      </c>
      <c r="AC123" s="8">
        <f>[2]หน้าผ้า!AS132</f>
        <v>0</v>
      </c>
      <c r="AD123" s="8">
        <f>[2]หน้าผ้า!AT132</f>
        <v>0</v>
      </c>
      <c r="AE123" s="8">
        <f>[2]หน้าผ้า!AU132</f>
        <v>0</v>
      </c>
      <c r="AF123" s="8" t="str">
        <f>[2]หน้าผ้า!AI132</f>
        <v>ห้ามขาด-ห้ามเกิน</v>
      </c>
      <c r="AG123" s="1" t="str">
        <f>[3]หน้าผ้า!DC135</f>
        <v>พร้อมส่ง</v>
      </c>
      <c r="AH123" s="1" t="str">
        <f>[2]หน้าผ้า!DL132</f>
        <v>P7</v>
      </c>
      <c r="AI123" s="1">
        <f>[2]หน้าผ้า!DM132</f>
        <v>2</v>
      </c>
      <c r="AJ123" s="3">
        <f>[2]หน้าผ้า!DN132</f>
        <v>45926</v>
      </c>
      <c r="AK123" s="3">
        <f>[2]หน้าผ้า!DQ132</f>
        <v>0</v>
      </c>
      <c r="AL123" s="3">
        <f>[2]หน้าผ้า!DR132</f>
        <v>45917</v>
      </c>
      <c r="AM123" s="3">
        <f>[2]หน้าผ้า!DS132</f>
        <v>45924</v>
      </c>
      <c r="AN123" s="3">
        <f>[2]หน้าผ้า!DT132</f>
        <v>45925</v>
      </c>
      <c r="AO123" s="3">
        <f>[2]หน้าผ้า!DU132</f>
        <v>45925</v>
      </c>
      <c r="AP123" s="3">
        <f>[2]หน้าผ้า!DP132</f>
        <v>45921</v>
      </c>
      <c r="AQ123" s="3">
        <f>[2]หน้าผ้า!DW132</f>
        <v>0</v>
      </c>
      <c r="AR123" s="3">
        <f>[2]หน้าผ้า!DX132</f>
        <v>0</v>
      </c>
      <c r="AS123" s="3">
        <f>[2]หน้าผ้า!DY132</f>
        <v>0</v>
      </c>
      <c r="AT123" s="3">
        <f>[2]หน้าผ้า!DZ132</f>
        <v>0</v>
      </c>
      <c r="AU123" s="3">
        <f>[2]หน้าผ้า!EA132</f>
        <v>0</v>
      </c>
      <c r="AV123" s="1">
        <f>[2]หน้าผ้า!EB132</f>
        <v>0</v>
      </c>
      <c r="AW123" s="2" t="str">
        <f>[2]หน้าผ้า!EC132</f>
        <v>งานพิมพ์</v>
      </c>
      <c r="AX123" s="2" t="str">
        <f>[2]หน้าผ้า!ED132</f>
        <v xml:space="preserve"> /</v>
      </c>
      <c r="AY123" s="2" t="str">
        <f>[2]หน้าผ้า!AG132</f>
        <v>2/9 9/9 16/9 19/9 23/9 26/9</v>
      </c>
      <c r="AZ123" s="2">
        <f>[2]หน้าผ้า!EG132</f>
        <v>0</v>
      </c>
      <c r="BA123" s="2">
        <f>[2]หน้าผ้า!EH132</f>
        <v>0</v>
      </c>
      <c r="BB123" s="2">
        <f>[2]หน้าผ้า!EI132</f>
        <v>0</v>
      </c>
      <c r="BC123" s="1" t="str">
        <f>[2]หน้าผ้า!BZ132</f>
        <v>WRWT25800/WRWT25800</v>
      </c>
      <c r="BD123" s="56">
        <f>[2]หน้าผ้า!CA132</f>
        <v>0</v>
      </c>
    </row>
    <row r="124" spans="1:56" ht="27.75" customHeight="1" x14ac:dyDescent="0.45">
      <c r="A124" s="3">
        <f>[2]หน้าผ้า!C133</f>
        <v>45905</v>
      </c>
      <c r="B124" s="14" t="str">
        <f>[2]หน้าผ้า!B133</f>
        <v>ใบรับคำสั่งซื้อ</v>
      </c>
      <c r="C124" s="9" t="str">
        <f>[2]หน้าผ้า!E133</f>
        <v>บจก.อินเทคค์ โกลบอล</v>
      </c>
      <c r="D124" s="13" t="str">
        <f>[2]หน้าผ้า!F133</f>
        <v>เพอเฟคค 664</v>
      </c>
      <c r="E124" s="9">
        <f>[2]หน้าผ้า!G133</f>
        <v>20</v>
      </c>
      <c r="F124" s="9">
        <f>[2]หน้าผ้า!H133</f>
        <v>36</v>
      </c>
      <c r="G124" s="9" t="str">
        <f>[2]หน้าผ้า!I133</f>
        <v>ขาว</v>
      </c>
      <c r="H124" s="9">
        <f>[2]หน้าผ้า!J133</f>
        <v>0</v>
      </c>
      <c r="I124" s="9">
        <f>[2]หน้าผ้า!L133</f>
        <v>78</v>
      </c>
      <c r="J124" s="9" t="str">
        <f>[2]หน้าผ้า!M133</f>
        <v>±</v>
      </c>
      <c r="K124" s="9">
        <f>[2]หน้าผ้า!N133</f>
        <v>5</v>
      </c>
      <c r="L124" s="9" t="str">
        <f>[2]หน้าผ้า!R133</f>
        <v>จับจีบ4"</v>
      </c>
      <c r="M124" s="10" t="str">
        <f>[2]หน้าผ้า!T133</f>
        <v>ไม่สวมถุงใน</v>
      </c>
      <c r="N124" s="9">
        <f>[2]หน้าผ้า!U133</f>
        <v>0</v>
      </c>
      <c r="O124" s="9">
        <f>[2]หน้าผ้า!V133</f>
        <v>0</v>
      </c>
      <c r="P124" s="10">
        <f>[2]หน้าผ้า!AB133</f>
        <v>0</v>
      </c>
      <c r="Q124" s="10">
        <f>[2]หน้าผ้า!AC133</f>
        <v>0</v>
      </c>
      <c r="R124" s="10">
        <f>[2]หน้าผ้า!AD133</f>
        <v>0</v>
      </c>
      <c r="S124" s="9" t="str">
        <f>[2]หน้าผ้า!Z133</f>
        <v>มัด80 ใช้สายรัด</v>
      </c>
      <c r="T124" s="12">
        <f>[2]หน้าผ้า!X133</f>
        <v>45918</v>
      </c>
      <c r="U124" s="11">
        <f>[2]หน้าผ้า!AA133</f>
        <v>30000</v>
      </c>
      <c r="V124" s="10">
        <f>[2]หน้าผ้า!AJ133</f>
        <v>0</v>
      </c>
      <c r="W124" s="10">
        <f>[2]หน้าผ้า!AL133</f>
        <v>30000</v>
      </c>
      <c r="X124" s="10">
        <f>[2]หน้าผ้า!AM133</f>
        <v>0</v>
      </c>
      <c r="Y124" s="10">
        <f>[2]หน้าผ้า!AN133</f>
        <v>31500</v>
      </c>
      <c r="Z124" s="9" t="str">
        <f>[2]หน้าผ้า!AO133</f>
        <v>WSWT2025800</v>
      </c>
      <c r="AA124" s="8">
        <f>[2]หน้าผ้า!AQ133</f>
        <v>31432.500000000004</v>
      </c>
      <c r="AB124" s="8">
        <f>[2]หน้าผ้า!AR133</f>
        <v>31432.500000000004</v>
      </c>
      <c r="AC124" s="8">
        <f>[2]หน้าผ้า!AS133</f>
        <v>0</v>
      </c>
      <c r="AD124" s="8">
        <f>[2]หน้าผ้า!AT133</f>
        <v>0</v>
      </c>
      <c r="AE124" s="8">
        <f>[2]หน้าผ้า!AU133</f>
        <v>0</v>
      </c>
      <c r="AF124" s="8" t="str">
        <f>[2]หน้าผ้า!AI133</f>
        <v>ห้ามขาด-ห้ามเกิน</v>
      </c>
      <c r="AG124" s="1" t="str">
        <f>[3]หน้าผ้า!DC136</f>
        <v>พร้อมส่ง</v>
      </c>
      <c r="AH124" s="1" t="str">
        <f>[2]หน้าผ้า!DL133</f>
        <v>P7</v>
      </c>
      <c r="AI124" s="1">
        <f>[2]หน้าผ้า!DM133</f>
        <v>2</v>
      </c>
      <c r="AJ124" s="3">
        <f>[2]หน้าผ้า!DN133</f>
        <v>45918</v>
      </c>
      <c r="AK124" s="3">
        <f>[2]หน้าผ้า!DQ133</f>
        <v>0</v>
      </c>
      <c r="AL124" s="3">
        <f>[2]หน้าผ้า!DR133</f>
        <v>45909</v>
      </c>
      <c r="AM124" s="3">
        <f>[2]หน้าผ้า!DS133</f>
        <v>45916</v>
      </c>
      <c r="AN124" s="3">
        <f>[2]หน้าผ้า!DT133</f>
        <v>45917</v>
      </c>
      <c r="AO124" s="3">
        <f>[2]หน้าผ้า!DU133</f>
        <v>45917</v>
      </c>
      <c r="AP124" s="3">
        <f>[2]หน้าผ้า!DP133</f>
        <v>45913</v>
      </c>
      <c r="AQ124" s="3">
        <f>[2]หน้าผ้า!DW133</f>
        <v>0</v>
      </c>
      <c r="AR124" s="3">
        <f>[2]หน้าผ้า!DX133</f>
        <v>0</v>
      </c>
      <c r="AS124" s="3">
        <f>[2]หน้าผ้า!DY133</f>
        <v>0</v>
      </c>
      <c r="AT124" s="3">
        <f>[2]หน้าผ้า!DZ133</f>
        <v>0</v>
      </c>
      <c r="AU124" s="3">
        <f>[2]หน้าผ้า!EA133</f>
        <v>0</v>
      </c>
      <c r="AV124" s="1">
        <f>[2]หน้าผ้า!EB133</f>
        <v>0</v>
      </c>
      <c r="AW124" s="2" t="str">
        <f>[2]หน้าผ้า!EC133</f>
        <v>งานพิมพ์</v>
      </c>
      <c r="AX124" s="2" t="str">
        <f>[2]หน้าผ้า!ED133</f>
        <v xml:space="preserve"> /</v>
      </c>
      <c r="AY124" s="2" t="str">
        <f>[2]หน้าผ้า!AG133</f>
        <v>18/9  22/9</v>
      </c>
      <c r="AZ124" s="2">
        <f>[2]หน้าผ้า!EG133</f>
        <v>0</v>
      </c>
      <c r="BA124" s="2">
        <f>[2]หน้าผ้า!EH133</f>
        <v>0</v>
      </c>
      <c r="BB124" s="2">
        <f>[2]หน้าผ้า!EI133</f>
        <v>0</v>
      </c>
      <c r="BC124" s="1" t="str">
        <f>[2]หน้าผ้า!BZ133</f>
        <v>WRWT25800/WRWT25800</v>
      </c>
      <c r="BD124" s="56">
        <f>[2]หน้าผ้า!CA133</f>
        <v>0</v>
      </c>
    </row>
    <row r="125" spans="1:56" ht="27.75" customHeight="1" x14ac:dyDescent="0.45">
      <c r="A125" s="3" t="str">
        <f>[2]หน้าผ้า!C134</f>
        <v>ประมาณการ</v>
      </c>
      <c r="B125" s="14" t="str">
        <f>[2]หน้าผ้า!B134</f>
        <v>ประมาณการ</v>
      </c>
      <c r="C125" s="9" t="str">
        <f>[2]หน้าผ้า!E134</f>
        <v>บจก.อินเทคค์ โกลบอล</v>
      </c>
      <c r="D125" s="13" t="str">
        <f>[2]หน้าผ้า!F134</f>
        <v>รอแบบ</v>
      </c>
      <c r="E125" s="9">
        <f>[2]หน้าผ้า!G134</f>
        <v>20</v>
      </c>
      <c r="F125" s="9">
        <f>[2]หน้าผ้า!H134</f>
        <v>36</v>
      </c>
      <c r="G125" s="9" t="str">
        <f>[2]หน้าผ้า!I134</f>
        <v>ขาว</v>
      </c>
      <c r="H125" s="9">
        <f>[2]หน้าผ้า!J134</f>
        <v>0</v>
      </c>
      <c r="I125" s="9">
        <f>[2]หน้าผ้า!L134</f>
        <v>78</v>
      </c>
      <c r="J125" s="9" t="str">
        <f>[2]หน้าผ้า!M134</f>
        <v>±</v>
      </c>
      <c r="K125" s="9">
        <f>[2]หน้าผ้า!N134</f>
        <v>5</v>
      </c>
      <c r="L125" s="9" t="str">
        <f>[2]หน้าผ้า!R134</f>
        <v>จับจีบ4"</v>
      </c>
      <c r="M125" s="10" t="str">
        <f>[2]หน้าผ้า!T134</f>
        <v>ไม่สวมถุงใน</v>
      </c>
      <c r="N125" s="9">
        <f>[2]หน้าผ้า!U134</f>
        <v>0</v>
      </c>
      <c r="O125" s="9">
        <f>[2]หน้าผ้า!V134</f>
        <v>0</v>
      </c>
      <c r="P125" s="10">
        <f>[2]หน้าผ้า!AB134</f>
        <v>0</v>
      </c>
      <c r="Q125" s="10">
        <f>[2]หน้าผ้า!AC134</f>
        <v>0</v>
      </c>
      <c r="R125" s="10">
        <f>[2]หน้าผ้า!AD134</f>
        <v>0</v>
      </c>
      <c r="S125" s="9" t="str">
        <f>[2]หน้าผ้า!Z134</f>
        <v>มัด80 ใช้สายรัด</v>
      </c>
      <c r="T125" s="12" t="str">
        <f>[2]หน้าผ้า!X134</f>
        <v>รอแจ้ง</v>
      </c>
      <c r="U125" s="11">
        <f>[2]หน้าผ้า!AA134</f>
        <v>290000</v>
      </c>
      <c r="V125" s="10">
        <f>[2]หน้าผ้า!AJ134</f>
        <v>0</v>
      </c>
      <c r="W125" s="10">
        <f>[2]หน้าผ้า!AL134</f>
        <v>290000</v>
      </c>
      <c r="X125" s="10">
        <f>[2]หน้าผ้า!AM134</f>
        <v>0</v>
      </c>
      <c r="Y125" s="10">
        <f>[2]หน้าผ้า!AN134</f>
        <v>304500</v>
      </c>
      <c r="Z125" s="9" t="str">
        <f>[2]หน้าผ้า!AO134</f>
        <v>WSWT2025800</v>
      </c>
      <c r="AA125" s="8">
        <f>[2]หน้าผ้า!AQ134</f>
        <v>303847.5</v>
      </c>
      <c r="AB125" s="8">
        <f>[2]หน้าผ้า!AR134</f>
        <v>59416</v>
      </c>
      <c r="AC125" s="8">
        <f>[2]หน้าผ้า!AS134</f>
        <v>244431.5</v>
      </c>
      <c r="AD125" s="8">
        <f>[2]หน้าผ้า!AT134</f>
        <v>0</v>
      </c>
      <c r="AE125" s="8">
        <f>[2]หน้าผ้า!AU134</f>
        <v>0</v>
      </c>
      <c r="AF125" s="8" t="str">
        <f>[2]หน้าผ้า!AI134</f>
        <v>ห้ามขาด-ห้ามเกิน</v>
      </c>
      <c r="AG125" s="1" t="str">
        <f>[3]หน้าผ้า!DC137</f>
        <v>พร้อมส่ง</v>
      </c>
      <c r="AH125" s="1" t="str">
        <f>[2]หน้าผ้า!DL134</f>
        <v>P7</v>
      </c>
      <c r="AI125" s="1">
        <f>[2]หน้าผ้า!DM134</f>
        <v>2</v>
      </c>
      <c r="AJ125" s="3" t="str">
        <f>[2]หน้าผ้า!DN134</f>
        <v>รอแจ้ง</v>
      </c>
      <c r="AK125" s="3">
        <f>[2]หน้าผ้า!DQ134</f>
        <v>0</v>
      </c>
      <c r="AL125" s="3" t="e">
        <f>[2]หน้าผ้า!DR134</f>
        <v>#VALUE!</v>
      </c>
      <c r="AM125" s="3" t="e">
        <f>[2]หน้าผ้า!DS134</f>
        <v>#VALUE!</v>
      </c>
      <c r="AN125" s="3" t="e">
        <f>[2]หน้าผ้า!DT134</f>
        <v>#VALUE!</v>
      </c>
      <c r="AO125" s="3" t="e">
        <f>[2]หน้าผ้า!DU134</f>
        <v>#VALUE!</v>
      </c>
      <c r="AP125" s="3" t="e">
        <f>[2]หน้าผ้า!DP134</f>
        <v>#VALUE!</v>
      </c>
      <c r="AQ125" s="3">
        <f>[2]หน้าผ้า!DW134</f>
        <v>0</v>
      </c>
      <c r="AR125" s="3">
        <f>[2]หน้าผ้า!DX134</f>
        <v>0</v>
      </c>
      <c r="AS125" s="3">
        <f>[2]หน้าผ้า!DY134</f>
        <v>0</v>
      </c>
      <c r="AT125" s="3">
        <f>[2]หน้าผ้า!DZ134</f>
        <v>0</v>
      </c>
      <c r="AU125" s="3">
        <f>[2]หน้าผ้า!EA134</f>
        <v>0</v>
      </c>
      <c r="AV125" s="1">
        <f>[2]หน้าผ้า!EB134</f>
        <v>0</v>
      </c>
      <c r="AW125" s="2" t="str">
        <f>[2]หน้าผ้า!EC134</f>
        <v>งานพิมพ์</v>
      </c>
      <c r="AX125" s="2" t="str">
        <f>[2]หน้าผ้า!ED134</f>
        <v xml:space="preserve"> /</v>
      </c>
      <c r="AY125" s="2">
        <f>[2]หน้าผ้า!AG134</f>
        <v>0</v>
      </c>
      <c r="AZ125" s="2">
        <f>[2]หน้าผ้า!EG134</f>
        <v>0</v>
      </c>
      <c r="BA125" s="2">
        <f>[2]หน้าผ้า!EH134</f>
        <v>0</v>
      </c>
      <c r="BB125" s="2">
        <f>[2]หน้าผ้า!EI134</f>
        <v>0</v>
      </c>
      <c r="BC125" s="1" t="str">
        <f>[2]หน้าผ้า!BZ134</f>
        <v>WRWT25800/WRWT25800</v>
      </c>
      <c r="BD125" s="56">
        <f>[2]หน้าผ้า!CA134</f>
        <v>18685.430222222225</v>
      </c>
    </row>
    <row r="126" spans="1:56" ht="27.75" customHeight="1" x14ac:dyDescent="0.45">
      <c r="A126" s="3">
        <f>[2]หน้าผ้า!C135</f>
        <v>0</v>
      </c>
      <c r="B126" s="14">
        <f>[2]หน้าผ้า!B135</f>
        <v>0</v>
      </c>
      <c r="C126" s="9">
        <f>[2]หน้าผ้า!E135</f>
        <v>0</v>
      </c>
      <c r="D126" s="13">
        <f>[2]หน้าผ้า!F135</f>
        <v>0</v>
      </c>
      <c r="E126" s="9">
        <f>[2]หน้าผ้า!G135</f>
        <v>20</v>
      </c>
      <c r="F126" s="9">
        <f>[2]หน้าผ้า!H135</f>
        <v>37</v>
      </c>
      <c r="G126" s="9">
        <f>[2]หน้าผ้า!I135</f>
        <v>0</v>
      </c>
      <c r="H126" s="9">
        <f>[2]หน้าผ้า!J135</f>
        <v>0</v>
      </c>
      <c r="I126" s="9">
        <f>[2]หน้าผ้า!L135</f>
        <v>80</v>
      </c>
      <c r="J126" s="9" t="str">
        <f>[2]หน้าผ้า!M135</f>
        <v>±</v>
      </c>
      <c r="K126" s="9">
        <f>[2]หน้าผ้า!N135</f>
        <v>3</v>
      </c>
      <c r="L126" s="9">
        <f>[2]หน้าผ้า!R135</f>
        <v>0</v>
      </c>
      <c r="M126" s="10">
        <f>[2]หน้าผ้า!T135</f>
        <v>0</v>
      </c>
      <c r="N126" s="9">
        <f>[2]หน้าผ้า!U135</f>
        <v>0</v>
      </c>
      <c r="O126" s="9">
        <f>[2]หน้าผ้า!V135</f>
        <v>0</v>
      </c>
      <c r="P126" s="10">
        <f>[2]หน้าผ้า!AB135</f>
        <v>0</v>
      </c>
      <c r="Q126" s="10">
        <f>[2]หน้าผ้า!AC135</f>
        <v>0</v>
      </c>
      <c r="R126" s="10">
        <f>[2]หน้าผ้า!AD135</f>
        <v>0</v>
      </c>
      <c r="S126" s="9">
        <f>[2]หน้าผ้า!Z135</f>
        <v>0</v>
      </c>
      <c r="T126" s="12">
        <f>[2]หน้าผ้า!X135</f>
        <v>0</v>
      </c>
      <c r="U126" s="11">
        <f>[2]หน้าผ้า!AA135</f>
        <v>0</v>
      </c>
      <c r="V126" s="10">
        <f>[2]หน้าผ้า!AJ135</f>
        <v>0</v>
      </c>
      <c r="W126" s="10">
        <f>[2]หน้าผ้า!AL135</f>
        <v>0</v>
      </c>
      <c r="X126" s="10">
        <f>[2]หน้าผ้า!AM135</f>
        <v>0</v>
      </c>
      <c r="Y126" s="10">
        <f>[2]หน้าผ้า!AN135</f>
        <v>0</v>
      </c>
      <c r="Z126" s="9" t="str">
        <f>[2]หน้าผ้า!AO135</f>
        <v>WSWT2025800</v>
      </c>
      <c r="AA126" s="8">
        <f>[2]หน้าผ้า!AQ135</f>
        <v>335280</v>
      </c>
      <c r="AB126" s="8">
        <f>[2]หน้าผ้า!AR135</f>
        <v>90848.5</v>
      </c>
      <c r="AC126" s="8">
        <f>[2]หน้าผ้า!AS135</f>
        <v>244431.5</v>
      </c>
      <c r="AD126" s="8">
        <f>[2]หน้าผ้า!AT135</f>
        <v>0</v>
      </c>
      <c r="AE126" s="8">
        <f>[2]หน้าผ้า!AU135</f>
        <v>0</v>
      </c>
      <c r="AF126" s="8" t="str">
        <f>[2]หน้าผ้า!AI135</f>
        <v>ระบุในSD</v>
      </c>
      <c r="AG126" s="1" t="str">
        <f>[3]หน้าผ้า!DC138</f>
        <v>พร้อมส่ง</v>
      </c>
      <c r="AH126" s="1">
        <f>[2]หน้าผ้า!DL135</f>
        <v>0</v>
      </c>
      <c r="AI126" s="1" t="str">
        <f>[2]หน้าผ้า!DM135</f>
        <v>Lead time</v>
      </c>
      <c r="AJ126" s="3">
        <f>[2]หน้าผ้า!DN135</f>
        <v>0</v>
      </c>
      <c r="AK126" s="3">
        <f>[2]หน้าผ้า!DQ135</f>
        <v>0</v>
      </c>
      <c r="AL126" s="3">
        <f>[2]หน้าผ้า!DR135</f>
        <v>0</v>
      </c>
      <c r="AM126" s="3">
        <f>[2]หน้าผ้า!DS135</f>
        <v>0</v>
      </c>
      <c r="AN126" s="3">
        <f>[2]หน้าผ้า!DT135</f>
        <v>0</v>
      </c>
      <c r="AO126" s="3">
        <f>[2]หน้าผ้า!DU135</f>
        <v>0</v>
      </c>
      <c r="AP126" s="3">
        <f>[2]หน้าผ้า!DP135</f>
        <v>0</v>
      </c>
      <c r="AQ126" s="3">
        <f>[2]หน้าผ้า!DW135</f>
        <v>0</v>
      </c>
      <c r="AR126" s="3">
        <f>[2]หน้าผ้า!DX135</f>
        <v>0</v>
      </c>
      <c r="AS126" s="3">
        <f>[2]หน้าผ้า!DY135</f>
        <v>0</v>
      </c>
      <c r="AT126" s="3">
        <f>[2]หน้าผ้า!DZ135</f>
        <v>0</v>
      </c>
      <c r="AU126" s="3">
        <f>[2]หน้าผ้า!EA135</f>
        <v>0</v>
      </c>
      <c r="AV126" s="1">
        <f>[2]หน้าผ้า!EB135</f>
        <v>0</v>
      </c>
      <c r="AW126" s="2">
        <f>[2]หน้าผ้า!EC135</f>
        <v>0</v>
      </c>
      <c r="AX126" s="2">
        <f>[2]หน้าผ้า!ED135</f>
        <v>0</v>
      </c>
      <c r="AY126" s="2">
        <f>[2]หน้าผ้า!AG135</f>
        <v>0</v>
      </c>
      <c r="AZ126" s="2">
        <f>[2]หน้าผ้า!EG135</f>
        <v>0</v>
      </c>
      <c r="BA126" s="2">
        <f>[2]หน้าผ้า!EH135</f>
        <v>0</v>
      </c>
      <c r="BB126" s="2">
        <f>[2]หน้าผ้า!EI135</f>
        <v>0</v>
      </c>
      <c r="BC126" s="1" t="str">
        <f>[2]หน้าผ้า!BZ135</f>
        <v>WRWT25800/WRWT25800</v>
      </c>
      <c r="BD126" s="56">
        <f>[2]หน้าผ้า!CA135</f>
        <v>0</v>
      </c>
    </row>
    <row r="127" spans="1:56" ht="27.75" customHeight="1" x14ac:dyDescent="0.45">
      <c r="A127" s="3">
        <f>[2]หน้าผ้า!C136</f>
        <v>0</v>
      </c>
      <c r="B127" s="14">
        <f>[2]หน้าผ้า!B136</f>
        <v>0</v>
      </c>
      <c r="C127" s="9">
        <f>[2]หน้าผ้า!E136</f>
        <v>0</v>
      </c>
      <c r="D127" s="13">
        <f>[2]หน้าผ้า!F136</f>
        <v>0</v>
      </c>
      <c r="E127" s="9">
        <f>[2]หน้าผ้า!G136</f>
        <v>20</v>
      </c>
      <c r="F127" s="9">
        <f>[2]หน้าผ้า!H136</f>
        <v>34</v>
      </c>
      <c r="G127" s="9">
        <f>[2]หน้าผ้า!I136</f>
        <v>0</v>
      </c>
      <c r="H127" s="9">
        <f>[2]หน้าผ้า!J136</f>
        <v>0</v>
      </c>
      <c r="I127" s="9">
        <f>[2]หน้าผ้า!L136</f>
        <v>98</v>
      </c>
      <c r="J127" s="9" t="str">
        <f>[2]หน้าผ้า!M136</f>
        <v>±</v>
      </c>
      <c r="K127" s="9">
        <f>[2]หน้าผ้า!N136</f>
        <v>5</v>
      </c>
      <c r="L127" s="9">
        <f>[2]หน้าผ้า!R136</f>
        <v>0</v>
      </c>
      <c r="M127" s="10">
        <f>[2]หน้าผ้า!T136</f>
        <v>0</v>
      </c>
      <c r="N127" s="9">
        <f>[2]หน้าผ้า!U136</f>
        <v>0</v>
      </c>
      <c r="O127" s="9">
        <f>[2]หน้าผ้า!V136</f>
        <v>0</v>
      </c>
      <c r="P127" s="10">
        <f>[2]หน้าผ้า!AB136</f>
        <v>0</v>
      </c>
      <c r="Q127" s="10">
        <f>[2]หน้าผ้า!AC136</f>
        <v>0</v>
      </c>
      <c r="R127" s="10">
        <f>[2]หน้าผ้า!AD136</f>
        <v>0</v>
      </c>
      <c r="S127" s="9">
        <f>[2]หน้าผ้า!Z136</f>
        <v>0</v>
      </c>
      <c r="T127" s="12">
        <f>[2]หน้าผ้า!X136</f>
        <v>0</v>
      </c>
      <c r="U127" s="11">
        <f>[2]หน้าผ้า!AA136</f>
        <v>0</v>
      </c>
      <c r="V127" s="10">
        <f>[2]หน้าผ้า!AJ136</f>
        <v>0</v>
      </c>
      <c r="W127" s="10">
        <f>[2]หน้าผ้า!AL136</f>
        <v>0</v>
      </c>
      <c r="X127" s="10">
        <f>[2]หน้าผ้า!AM136</f>
        <v>0</v>
      </c>
      <c r="Y127" s="10">
        <f>[2]หน้าผ้า!AN136</f>
        <v>0</v>
      </c>
      <c r="Z127" s="9" t="str">
        <f>[2]หน้าผ้า!AO136</f>
        <v>WSWT2021950UV</v>
      </c>
      <c r="AA127" s="8" t="e">
        <f>[2]หน้าผ้า!AQ136</f>
        <v>#REF!</v>
      </c>
      <c r="AB127" s="8" t="e">
        <f>[2]หน้าผ้า!AR136</f>
        <v>#REF!</v>
      </c>
      <c r="AC127" s="8" t="e">
        <f>[2]หน้าผ้า!AS136</f>
        <v>#REF!</v>
      </c>
      <c r="AD127" s="8" t="e">
        <f>[2]หน้าผ้า!AT136</f>
        <v>#REF!</v>
      </c>
      <c r="AE127" s="8" t="e">
        <f>[2]หน้าผ้า!AU136</f>
        <v>#REF!</v>
      </c>
      <c r="AF127" s="8" t="str">
        <f>[2]หน้าผ้า!AI136</f>
        <v>ระบุในSD</v>
      </c>
      <c r="AG127" s="1" t="str">
        <f>[3]หน้าผ้า!DC139</f>
        <v>พร้อมส่ง</v>
      </c>
      <c r="AH127" s="1">
        <f>[2]หน้าผ้า!DL136</f>
        <v>0</v>
      </c>
      <c r="AI127" s="1" t="str">
        <f>[2]หน้าผ้า!DM136</f>
        <v>Lead time</v>
      </c>
      <c r="AJ127" s="3">
        <f>[2]หน้าผ้า!DN136</f>
        <v>0</v>
      </c>
      <c r="AK127" s="3">
        <f>[2]หน้าผ้า!DQ136</f>
        <v>0</v>
      </c>
      <c r="AL127" s="3">
        <f>[2]หน้าผ้า!DR136</f>
        <v>0</v>
      </c>
      <c r="AM127" s="3">
        <f>[2]หน้าผ้า!DS136</f>
        <v>0</v>
      </c>
      <c r="AN127" s="3">
        <f>[2]หน้าผ้า!DT136</f>
        <v>0</v>
      </c>
      <c r="AO127" s="3">
        <f>[2]หน้าผ้า!DU136</f>
        <v>0</v>
      </c>
      <c r="AP127" s="3">
        <f>[2]หน้าผ้า!DP136</f>
        <v>0</v>
      </c>
      <c r="AQ127" s="3">
        <f>[2]หน้าผ้า!DW136</f>
        <v>0</v>
      </c>
      <c r="AR127" s="3">
        <f>[2]หน้าผ้า!DX136</f>
        <v>0</v>
      </c>
      <c r="AS127" s="3">
        <f>[2]หน้าผ้า!DY136</f>
        <v>0</v>
      </c>
      <c r="AT127" s="3">
        <f>[2]หน้าผ้า!DZ136</f>
        <v>0</v>
      </c>
      <c r="AU127" s="3">
        <f>[2]หน้าผ้า!EA136</f>
        <v>0</v>
      </c>
      <c r="AV127" s="1">
        <f>[2]หน้าผ้า!EB136</f>
        <v>0</v>
      </c>
      <c r="AW127" s="2">
        <f>[2]หน้าผ้า!EC136</f>
        <v>0</v>
      </c>
      <c r="AX127" s="2">
        <f>[2]หน้าผ้า!ED136</f>
        <v>0</v>
      </c>
      <c r="AY127" s="2">
        <f>[2]หน้าผ้า!AG136</f>
        <v>0</v>
      </c>
      <c r="AZ127" s="2">
        <f>[2]หน้าผ้า!EG136</f>
        <v>0</v>
      </c>
      <c r="BA127" s="2">
        <f>[2]หน้าผ้า!EH136</f>
        <v>0</v>
      </c>
      <c r="BB127" s="2">
        <f>[2]หน้าผ้า!EI136</f>
        <v>0</v>
      </c>
      <c r="BC127" s="1" t="str">
        <f>[2]หน้าผ้า!BZ136</f>
        <v>WRWT200950/WRWT21950</v>
      </c>
      <c r="BD127" s="56">
        <f>[2]หน้าผ้า!CA136</f>
        <v>0</v>
      </c>
    </row>
    <row r="128" spans="1:56" ht="27.75" customHeight="1" x14ac:dyDescent="0.45">
      <c r="A128" s="3">
        <f>[2]หน้าผ้า!C137</f>
        <v>0</v>
      </c>
      <c r="B128" s="14">
        <f>[2]หน้าผ้า!B137</f>
        <v>0</v>
      </c>
      <c r="C128" s="9">
        <f>[2]หน้าผ้า!E137</f>
        <v>0</v>
      </c>
      <c r="D128" s="13">
        <f>[2]หน้าผ้า!F137</f>
        <v>0</v>
      </c>
      <c r="E128" s="9">
        <f>[2]หน้าผ้า!G137</f>
        <v>20</v>
      </c>
      <c r="F128" s="9">
        <f>[2]หน้าผ้า!H137</f>
        <v>34</v>
      </c>
      <c r="G128" s="9">
        <f>[2]หน้าผ้า!I137</f>
        <v>0</v>
      </c>
      <c r="H128" s="9">
        <f>[2]หน้าผ้า!J137</f>
        <v>0</v>
      </c>
      <c r="I128" s="9">
        <f>[2]หน้าผ้า!L137</f>
        <v>95</v>
      </c>
      <c r="J128" s="9" t="str">
        <f>[2]หน้าผ้า!M137</f>
        <v>±</v>
      </c>
      <c r="K128" s="9">
        <f>[2]หน้าผ้า!N137</f>
        <v>5</v>
      </c>
      <c r="L128" s="9">
        <f>[2]หน้าผ้า!R137</f>
        <v>0</v>
      </c>
      <c r="M128" s="10">
        <f>[2]หน้าผ้า!T137</f>
        <v>0</v>
      </c>
      <c r="N128" s="9">
        <f>[2]หน้าผ้า!U137</f>
        <v>0</v>
      </c>
      <c r="O128" s="9">
        <f>[2]หน้าผ้า!V137</f>
        <v>0</v>
      </c>
      <c r="P128" s="10">
        <f>[2]หน้าผ้า!AB137</f>
        <v>0</v>
      </c>
      <c r="Q128" s="10">
        <f>[2]หน้าผ้า!AC137</f>
        <v>0</v>
      </c>
      <c r="R128" s="10">
        <f>[2]หน้าผ้า!AD137</f>
        <v>0</v>
      </c>
      <c r="S128" s="9">
        <f>[2]หน้าผ้า!Z137</f>
        <v>0</v>
      </c>
      <c r="T128" s="12">
        <f>[2]หน้าผ้า!X137</f>
        <v>0</v>
      </c>
      <c r="U128" s="11">
        <f>[2]หน้าผ้า!AA137</f>
        <v>0</v>
      </c>
      <c r="V128" s="10">
        <f>[2]หน้าผ้า!AJ137</f>
        <v>0</v>
      </c>
      <c r="W128" s="10">
        <f>[2]หน้าผ้า!AL137</f>
        <v>0</v>
      </c>
      <c r="X128" s="10">
        <f>[2]หน้าผ้า!AM137</f>
        <v>0</v>
      </c>
      <c r="Y128" s="10">
        <f>[2]หน้าผ้า!AN137</f>
        <v>0</v>
      </c>
      <c r="Z128" s="9" t="str">
        <f>[2]หน้าผ้า!AO137</f>
        <v>WSWT2021900UV</v>
      </c>
      <c r="AA128" s="8" t="e">
        <f>[2]หน้าผ้า!AQ137</f>
        <v>#REF!</v>
      </c>
      <c r="AB128" s="8" t="e">
        <f>[2]หน้าผ้า!AR137</f>
        <v>#REF!</v>
      </c>
      <c r="AC128" s="8" t="e">
        <f>[2]หน้าผ้า!AS137</f>
        <v>#REF!</v>
      </c>
      <c r="AD128" s="8" t="e">
        <f>[2]หน้าผ้า!AT137</f>
        <v>#REF!</v>
      </c>
      <c r="AE128" s="8" t="e">
        <f>[2]หน้าผ้า!AU137</f>
        <v>#REF!</v>
      </c>
      <c r="AF128" s="8" t="str">
        <f>[2]หน้าผ้า!AI137</f>
        <v>ระบุในSD</v>
      </c>
      <c r="AG128" s="1" t="str">
        <f>[3]หน้าผ้า!DC140</f>
        <v>พร้อมส่ง</v>
      </c>
      <c r="AH128" s="1">
        <f>[2]หน้าผ้า!DL137</f>
        <v>0</v>
      </c>
      <c r="AI128" s="1" t="str">
        <f>[2]หน้าผ้า!DM137</f>
        <v>Lead time</v>
      </c>
      <c r="AJ128" s="3">
        <f>[2]หน้าผ้า!DN137</f>
        <v>0</v>
      </c>
      <c r="AK128" s="3">
        <f>[2]หน้าผ้า!DQ137</f>
        <v>0</v>
      </c>
      <c r="AL128" s="3">
        <f>[2]หน้าผ้า!DR137</f>
        <v>0</v>
      </c>
      <c r="AM128" s="3">
        <f>[2]หน้าผ้า!DS137</f>
        <v>0</v>
      </c>
      <c r="AN128" s="3">
        <f>[2]หน้าผ้า!DT137</f>
        <v>0</v>
      </c>
      <c r="AO128" s="3">
        <f>[2]หน้าผ้า!DU137</f>
        <v>0</v>
      </c>
      <c r="AP128" s="3">
        <f>[2]หน้าผ้า!DP137</f>
        <v>0</v>
      </c>
      <c r="AQ128" s="3">
        <f>[2]หน้าผ้า!DW137</f>
        <v>0</v>
      </c>
      <c r="AR128" s="3">
        <f>[2]หน้าผ้า!DX137</f>
        <v>0</v>
      </c>
      <c r="AS128" s="3">
        <f>[2]หน้าผ้า!DY137</f>
        <v>0</v>
      </c>
      <c r="AT128" s="3">
        <f>[2]หน้าผ้า!DZ137</f>
        <v>0</v>
      </c>
      <c r="AU128" s="3">
        <f>[2]หน้าผ้า!EA137</f>
        <v>0</v>
      </c>
      <c r="AV128" s="1">
        <f>[2]หน้าผ้า!EB137</f>
        <v>0</v>
      </c>
      <c r="AW128" s="2">
        <f>[2]หน้าผ้า!EC137</f>
        <v>0</v>
      </c>
      <c r="AX128" s="2">
        <f>[2]หน้าผ้า!ED137</f>
        <v>0</v>
      </c>
      <c r="AY128" s="2">
        <f>[2]หน้าผ้า!AG137</f>
        <v>0</v>
      </c>
      <c r="AZ128" s="2">
        <f>[2]หน้าผ้า!EG137</f>
        <v>0</v>
      </c>
      <c r="BA128" s="2">
        <f>[2]หน้าผ้า!EH137</f>
        <v>0</v>
      </c>
      <c r="BB128" s="2">
        <f>[2]หน้าผ้า!EI137</f>
        <v>0</v>
      </c>
      <c r="BC128" s="1" t="str">
        <f>[2]หน้าผ้า!BZ137</f>
        <v>WRWT200900/WRWT21900</v>
      </c>
      <c r="BD128" s="56">
        <f>[2]หน้าผ้า!CA137</f>
        <v>0</v>
      </c>
    </row>
    <row r="129" spans="1:56" ht="27.75" customHeight="1" x14ac:dyDescent="0.45">
      <c r="A129" s="3">
        <f>[2]หน้าผ้า!C138</f>
        <v>0</v>
      </c>
      <c r="B129" s="14">
        <f>[2]หน้าผ้า!B138</f>
        <v>0</v>
      </c>
      <c r="C129" s="9">
        <f>[2]หน้าผ้า!E138</f>
        <v>0</v>
      </c>
      <c r="D129" s="13">
        <f>[2]หน้าผ้า!F138</f>
        <v>0</v>
      </c>
      <c r="E129" s="9">
        <f>[2]หน้าผ้า!G138</f>
        <v>20</v>
      </c>
      <c r="F129" s="9">
        <f>[2]หน้าผ้า!H138</f>
        <v>34</v>
      </c>
      <c r="G129" s="9">
        <f>[2]หน้าผ้า!I138</f>
        <v>0</v>
      </c>
      <c r="H129" s="9">
        <f>[2]หน้าผ้า!J138</f>
        <v>0</v>
      </c>
      <c r="I129" s="9">
        <f>[2]หน้าผ้า!L138</f>
        <v>80</v>
      </c>
      <c r="J129" s="9" t="str">
        <f>[2]หน้าผ้า!M138</f>
        <v>±</v>
      </c>
      <c r="K129" s="9">
        <f>[2]หน้าผ้า!N138</f>
        <v>5</v>
      </c>
      <c r="L129" s="9">
        <f>[2]หน้าผ้า!R138</f>
        <v>0</v>
      </c>
      <c r="M129" s="10">
        <f>[2]หน้าผ้า!T138</f>
        <v>0</v>
      </c>
      <c r="N129" s="9">
        <f>[2]หน้าผ้า!U138</f>
        <v>0</v>
      </c>
      <c r="O129" s="9">
        <f>[2]หน้าผ้า!V138</f>
        <v>0</v>
      </c>
      <c r="P129" s="10">
        <f>[2]หน้าผ้า!AB138</f>
        <v>0</v>
      </c>
      <c r="Q129" s="10">
        <f>[2]หน้าผ้า!AC138</f>
        <v>0</v>
      </c>
      <c r="R129" s="10">
        <f>[2]หน้าผ้า!AD138</f>
        <v>0</v>
      </c>
      <c r="S129" s="9">
        <f>[2]หน้าผ้า!Z138</f>
        <v>0</v>
      </c>
      <c r="T129" s="12">
        <f>[2]หน้าผ้า!X138</f>
        <v>0</v>
      </c>
      <c r="U129" s="11">
        <f>[2]หน้าผ้า!AA138</f>
        <v>0</v>
      </c>
      <c r="V129" s="10">
        <f>[2]หน้าผ้า!AJ138</f>
        <v>0</v>
      </c>
      <c r="W129" s="10">
        <f>[2]หน้าผ้า!AL138</f>
        <v>0</v>
      </c>
      <c r="X129" s="10">
        <f>[2]หน้าผ้า!AM138</f>
        <v>0</v>
      </c>
      <c r="Y129" s="10">
        <f>[2]หน้าผ้า!AN138</f>
        <v>0</v>
      </c>
      <c r="Z129" s="9" t="str">
        <f>[2]หน้าผ้า!AO138</f>
        <v>WSWT2021750UV</v>
      </c>
      <c r="AA129" s="8" t="e">
        <f>[2]หน้าผ้า!AQ138</f>
        <v>#REF!</v>
      </c>
      <c r="AB129" s="8" t="e">
        <f>[2]หน้าผ้า!AR138</f>
        <v>#REF!</v>
      </c>
      <c r="AC129" s="8" t="e">
        <f>[2]หน้าผ้า!AS138</f>
        <v>#REF!</v>
      </c>
      <c r="AD129" s="8" t="e">
        <f>[2]หน้าผ้า!AT138</f>
        <v>#REF!</v>
      </c>
      <c r="AE129" s="8" t="e">
        <f>[2]หน้าผ้า!AU138</f>
        <v>#REF!</v>
      </c>
      <c r="AF129" s="8" t="str">
        <f>[2]หน้าผ้า!AI138</f>
        <v>ระบุในSD</v>
      </c>
      <c r="AG129" s="1" t="str">
        <f>[3]หน้าผ้า!DC141</f>
        <v>พร้อมส่ง</v>
      </c>
      <c r="AH129" s="1">
        <f>[2]หน้าผ้า!DL138</f>
        <v>0</v>
      </c>
      <c r="AI129" s="1" t="str">
        <f>[2]หน้าผ้า!DM138</f>
        <v>Lead time</v>
      </c>
      <c r="AJ129" s="3">
        <f>[2]หน้าผ้า!DN138</f>
        <v>0</v>
      </c>
      <c r="AK129" s="3">
        <f>[2]หน้าผ้า!DQ138</f>
        <v>0</v>
      </c>
      <c r="AL129" s="3">
        <f>[2]หน้าผ้า!DR138</f>
        <v>0</v>
      </c>
      <c r="AM129" s="3">
        <f>[2]หน้าผ้า!DS138</f>
        <v>0</v>
      </c>
      <c r="AN129" s="3">
        <f>[2]หน้าผ้า!DT138</f>
        <v>0</v>
      </c>
      <c r="AO129" s="3">
        <f>[2]หน้าผ้า!DU138</f>
        <v>0</v>
      </c>
      <c r="AP129" s="3">
        <f>[2]หน้าผ้า!DP138</f>
        <v>0</v>
      </c>
      <c r="AQ129" s="3">
        <f>[2]หน้าผ้า!DW138</f>
        <v>0</v>
      </c>
      <c r="AR129" s="3">
        <f>[2]หน้าผ้า!DX138</f>
        <v>0</v>
      </c>
      <c r="AS129" s="3">
        <f>[2]หน้าผ้า!DY138</f>
        <v>0</v>
      </c>
      <c r="AT129" s="3">
        <f>[2]หน้าผ้า!DZ138</f>
        <v>0</v>
      </c>
      <c r="AU129" s="3">
        <f>[2]หน้าผ้า!EA138</f>
        <v>0</v>
      </c>
      <c r="AV129" s="1">
        <f>[2]หน้าผ้า!EB138</f>
        <v>0</v>
      </c>
      <c r="AW129" s="2">
        <f>[2]หน้าผ้า!EC138</f>
        <v>0</v>
      </c>
      <c r="AX129" s="2">
        <f>[2]หน้าผ้า!ED138</f>
        <v>0</v>
      </c>
      <c r="AY129" s="2">
        <f>[2]หน้าผ้า!AG138</f>
        <v>0</v>
      </c>
      <c r="AZ129" s="2">
        <f>[2]หน้าผ้า!EG138</f>
        <v>0</v>
      </c>
      <c r="BA129" s="2">
        <f>[2]หน้าผ้า!EH138</f>
        <v>0</v>
      </c>
      <c r="BB129" s="2">
        <f>[2]หน้าผ้า!EI138</f>
        <v>0</v>
      </c>
      <c r="BC129" s="1" t="str">
        <f>[2]หน้าผ้า!BZ138</f>
        <v>WRWT200750/WRWT21750</v>
      </c>
      <c r="BD129" s="56">
        <f>[2]หน้าผ้า!CA138</f>
        <v>0</v>
      </c>
    </row>
    <row r="130" spans="1:56" ht="27.75" customHeight="1" x14ac:dyDescent="0.45">
      <c r="A130" s="3">
        <f>[2]หน้าผ้า!C139</f>
        <v>0</v>
      </c>
      <c r="B130" s="14">
        <f>[2]หน้าผ้า!B139</f>
        <v>0</v>
      </c>
      <c r="C130" s="9">
        <f>[2]หน้าผ้า!E139</f>
        <v>0</v>
      </c>
      <c r="D130" s="13">
        <f>[2]หน้าผ้า!F139</f>
        <v>0</v>
      </c>
      <c r="E130" s="9">
        <f>[2]หน้าผ้า!G139</f>
        <v>20</v>
      </c>
      <c r="F130" s="9">
        <f>[2]หน้าผ้า!H139</f>
        <v>34</v>
      </c>
      <c r="G130" s="9">
        <f>[2]หน้าผ้า!I139</f>
        <v>0</v>
      </c>
      <c r="H130" s="9">
        <f>[2]หน้าผ้า!J139</f>
        <v>0</v>
      </c>
      <c r="I130" s="9">
        <f>[2]หน้าผ้า!L139</f>
        <v>80</v>
      </c>
      <c r="J130" s="9" t="str">
        <f>[2]หน้าผ้า!M139</f>
        <v>±</v>
      </c>
      <c r="K130" s="9">
        <f>[2]หน้าผ้า!N139</f>
        <v>5</v>
      </c>
      <c r="L130" s="9">
        <f>[2]หน้าผ้า!R139</f>
        <v>0</v>
      </c>
      <c r="M130" s="10">
        <f>[2]หน้าผ้า!T139</f>
        <v>0</v>
      </c>
      <c r="N130" s="9">
        <f>[2]หน้าผ้า!U139</f>
        <v>0</v>
      </c>
      <c r="O130" s="9">
        <f>[2]หน้าผ้า!V139</f>
        <v>0</v>
      </c>
      <c r="P130" s="10">
        <f>[2]หน้าผ้า!AB139</f>
        <v>0</v>
      </c>
      <c r="Q130" s="10">
        <f>[2]หน้าผ้า!AC139</f>
        <v>0</v>
      </c>
      <c r="R130" s="10">
        <f>[2]หน้าผ้า!AD139</f>
        <v>0</v>
      </c>
      <c r="S130" s="9">
        <f>[2]หน้าผ้า!Z139</f>
        <v>0</v>
      </c>
      <c r="T130" s="12">
        <f>[2]หน้าผ้า!X139</f>
        <v>0</v>
      </c>
      <c r="U130" s="11">
        <f>[2]หน้าผ้า!AA139</f>
        <v>0</v>
      </c>
      <c r="V130" s="10">
        <f>[2]หน้าผ้า!AJ139</f>
        <v>0</v>
      </c>
      <c r="W130" s="10">
        <f>[2]หน้าผ้า!AL139</f>
        <v>0</v>
      </c>
      <c r="X130" s="10">
        <f>[2]หน้าผ้า!AM139</f>
        <v>0</v>
      </c>
      <c r="Y130" s="10">
        <f>[2]หน้าผ้า!AN139</f>
        <v>0</v>
      </c>
      <c r="Z130" s="9" t="str">
        <f>[2]หน้าผ้า!AO139</f>
        <v>WSWT2021800UV</v>
      </c>
      <c r="AA130" s="8" t="e">
        <f>[2]หน้าผ้า!AQ139</f>
        <v>#REF!</v>
      </c>
      <c r="AB130" s="8" t="e">
        <f>[2]หน้าผ้า!AR139</f>
        <v>#REF!</v>
      </c>
      <c r="AC130" s="8" t="e">
        <f>[2]หน้าผ้า!AS139</f>
        <v>#REF!</v>
      </c>
      <c r="AD130" s="8" t="e">
        <f>[2]หน้าผ้า!AT139</f>
        <v>#REF!</v>
      </c>
      <c r="AE130" s="8" t="e">
        <f>[2]หน้าผ้า!AU139</f>
        <v>#REF!</v>
      </c>
      <c r="AF130" s="8" t="str">
        <f>[2]หน้าผ้า!AI139</f>
        <v>ระบุในSD</v>
      </c>
      <c r="AG130" s="1" t="str">
        <f>[3]หน้าผ้า!DC142</f>
        <v>พร้อมส่ง</v>
      </c>
      <c r="AH130" s="1">
        <f>[2]หน้าผ้า!DL139</f>
        <v>0</v>
      </c>
      <c r="AI130" s="1" t="str">
        <f>[2]หน้าผ้า!DM139</f>
        <v>Lead time</v>
      </c>
      <c r="AJ130" s="3">
        <f>[2]หน้าผ้า!DN139</f>
        <v>0</v>
      </c>
      <c r="AK130" s="3">
        <f>[2]หน้าผ้า!DQ139</f>
        <v>0</v>
      </c>
      <c r="AL130" s="3">
        <f>[2]หน้าผ้า!DR139</f>
        <v>0</v>
      </c>
      <c r="AM130" s="3">
        <f>[2]หน้าผ้า!DS139</f>
        <v>0</v>
      </c>
      <c r="AN130" s="3">
        <f>[2]หน้าผ้า!DT139</f>
        <v>0</v>
      </c>
      <c r="AO130" s="3">
        <f>[2]หน้าผ้า!DU139</f>
        <v>0</v>
      </c>
      <c r="AP130" s="3">
        <f>[2]หน้าผ้า!DP139</f>
        <v>0</v>
      </c>
      <c r="AQ130" s="3">
        <f>[2]หน้าผ้า!DW139</f>
        <v>0</v>
      </c>
      <c r="AR130" s="3">
        <f>[2]หน้าผ้า!DX139</f>
        <v>0</v>
      </c>
      <c r="AS130" s="3">
        <f>[2]หน้าผ้า!DY139</f>
        <v>0</v>
      </c>
      <c r="AT130" s="3">
        <f>[2]หน้าผ้า!DZ139</f>
        <v>0</v>
      </c>
      <c r="AU130" s="3">
        <f>[2]หน้าผ้า!EA139</f>
        <v>0</v>
      </c>
      <c r="AV130" s="1">
        <f>[2]หน้าผ้า!EB139</f>
        <v>0</v>
      </c>
      <c r="AW130" s="2">
        <f>[2]หน้าผ้า!EC139</f>
        <v>0</v>
      </c>
      <c r="AX130" s="2">
        <f>[2]หน้าผ้า!ED139</f>
        <v>0</v>
      </c>
      <c r="AY130" s="2">
        <f>[2]หน้าผ้า!AG139</f>
        <v>0</v>
      </c>
      <c r="AZ130" s="2">
        <f>[2]หน้าผ้า!EG139</f>
        <v>0</v>
      </c>
      <c r="BA130" s="2">
        <f>[2]หน้าผ้า!EH139</f>
        <v>0</v>
      </c>
      <c r="BB130" s="2">
        <f>[2]หน้าผ้า!EI139</f>
        <v>0</v>
      </c>
      <c r="BC130" s="1" t="str">
        <f>[2]หน้าผ้า!BZ139</f>
        <v>WRWT200800/WRWT21800</v>
      </c>
      <c r="BD130" s="56">
        <f>[2]หน้าผ้า!CA139</f>
        <v>0</v>
      </c>
    </row>
    <row r="131" spans="1:56" ht="27.75" customHeight="1" x14ac:dyDescent="0.45">
      <c r="A131" s="3">
        <f>[2]หน้าผ้า!C140</f>
        <v>0</v>
      </c>
      <c r="B131" s="14">
        <f>[2]หน้าผ้า!B140</f>
        <v>0</v>
      </c>
      <c r="C131" s="9">
        <f>[2]หน้าผ้า!E140</f>
        <v>0</v>
      </c>
      <c r="D131" s="13">
        <f>[2]หน้าผ้า!F140</f>
        <v>0</v>
      </c>
      <c r="E131" s="9">
        <f>[2]หน้าผ้า!G140</f>
        <v>20</v>
      </c>
      <c r="F131" s="9">
        <f>[2]หน้าผ้า!H140</f>
        <v>37</v>
      </c>
      <c r="G131" s="9" t="str">
        <f>[2]หน้าผ้า!I140</f>
        <v>ขาว</v>
      </c>
      <c r="H131" s="9">
        <f>[2]หน้าผ้า!J140</f>
        <v>0</v>
      </c>
      <c r="I131" s="9">
        <f>[2]หน้าผ้า!L140</f>
        <v>70</v>
      </c>
      <c r="J131" s="9" t="str">
        <f>[2]หน้าผ้า!M140</f>
        <v>±</v>
      </c>
      <c r="K131" s="9">
        <f>[2]หน้าผ้า!N140</f>
        <v>5</v>
      </c>
      <c r="L131" s="9">
        <f>[2]หน้าผ้า!R140</f>
        <v>0</v>
      </c>
      <c r="M131" s="10">
        <f>[2]หน้าผ้า!T140</f>
        <v>0</v>
      </c>
      <c r="N131" s="9">
        <f>[2]หน้าผ้า!U140</f>
        <v>0</v>
      </c>
      <c r="O131" s="9">
        <f>[2]หน้าผ้า!V140</f>
        <v>0</v>
      </c>
      <c r="P131" s="10">
        <f>[2]หน้าผ้า!AB140</f>
        <v>0</v>
      </c>
      <c r="Q131" s="10">
        <f>[2]หน้าผ้า!AC140</f>
        <v>0</v>
      </c>
      <c r="R131" s="10">
        <f>[2]หน้าผ้า!AD140</f>
        <v>0</v>
      </c>
      <c r="S131" s="9">
        <f>[2]หน้าผ้า!Z140</f>
        <v>0</v>
      </c>
      <c r="T131" s="12">
        <f>[2]หน้าผ้า!X140</f>
        <v>0</v>
      </c>
      <c r="U131" s="11">
        <f>[2]หน้าผ้า!AA140</f>
        <v>0</v>
      </c>
      <c r="V131" s="10">
        <f>[2]หน้าผ้า!AJ140</f>
        <v>0</v>
      </c>
      <c r="W131" s="10">
        <f>[2]หน้าผ้า!AL140</f>
        <v>0</v>
      </c>
      <c r="X131" s="10">
        <f>[2]หน้าผ้า!AM140</f>
        <v>0</v>
      </c>
      <c r="Y131" s="10">
        <f>[2]หน้าผ้า!AN140</f>
        <v>0</v>
      </c>
      <c r="Z131" s="9" t="str">
        <f>[2]หน้าผ้า!AO140</f>
        <v>WSWT2025700(1)</v>
      </c>
      <c r="AA131" s="8" t="e">
        <f>[2]หน้าผ้า!AQ140</f>
        <v>#REF!</v>
      </c>
      <c r="AB131" s="8" t="e">
        <f>[2]หน้าผ้า!AR140</f>
        <v>#REF!</v>
      </c>
      <c r="AC131" s="8" t="e">
        <f>[2]หน้าผ้า!AS140</f>
        <v>#REF!</v>
      </c>
      <c r="AD131" s="8" t="e">
        <f>[2]หน้าผ้า!AT140</f>
        <v>#REF!</v>
      </c>
      <c r="AE131" s="8" t="e">
        <f>[2]หน้าผ้า!AU140</f>
        <v>#REF!</v>
      </c>
      <c r="AF131" s="8" t="str">
        <f>[2]หน้าผ้า!AI140</f>
        <v>ระบุในSD</v>
      </c>
      <c r="AG131" s="1" t="str">
        <f>[3]หน้าผ้า!DC143</f>
        <v>พร้อมส่ง</v>
      </c>
      <c r="AH131" s="1">
        <f>[2]หน้าผ้า!DL140</f>
        <v>0</v>
      </c>
      <c r="AI131" s="1" t="str">
        <f>[2]หน้าผ้า!DM140</f>
        <v>Lead time</v>
      </c>
      <c r="AJ131" s="3">
        <f>[2]หน้าผ้า!DN140</f>
        <v>0</v>
      </c>
      <c r="AK131" s="3">
        <f>[2]หน้าผ้า!DQ140</f>
        <v>0</v>
      </c>
      <c r="AL131" s="3">
        <f>[2]หน้าผ้า!DR140</f>
        <v>0</v>
      </c>
      <c r="AM131" s="3">
        <f>[2]หน้าผ้า!DS140</f>
        <v>0</v>
      </c>
      <c r="AN131" s="3">
        <f>[2]หน้าผ้า!DT140</f>
        <v>0</v>
      </c>
      <c r="AO131" s="3">
        <f>[2]หน้าผ้า!DU140</f>
        <v>0</v>
      </c>
      <c r="AP131" s="3">
        <f>[2]หน้าผ้า!DP140</f>
        <v>0</v>
      </c>
      <c r="AQ131" s="3">
        <f>[2]หน้าผ้า!DW140</f>
        <v>0</v>
      </c>
      <c r="AR131" s="3">
        <f>[2]หน้าผ้า!DX140</f>
        <v>0</v>
      </c>
      <c r="AS131" s="3">
        <f>[2]หน้าผ้า!DY140</f>
        <v>0</v>
      </c>
      <c r="AT131" s="3">
        <f>[2]หน้าผ้า!DZ140</f>
        <v>0</v>
      </c>
      <c r="AU131" s="3">
        <f>[2]หน้าผ้า!EA140</f>
        <v>0</v>
      </c>
      <c r="AV131" s="1">
        <f>[2]หน้าผ้า!EB140</f>
        <v>0</v>
      </c>
      <c r="AW131" s="2">
        <f>[2]หน้าผ้า!EC140</f>
        <v>0</v>
      </c>
      <c r="AX131" s="2">
        <f>[2]หน้าผ้า!ED140</f>
        <v>0</v>
      </c>
      <c r="AY131" s="2">
        <f>[2]หน้าผ้า!AG140</f>
        <v>0</v>
      </c>
      <c r="AZ131" s="2">
        <f>[2]หน้าผ้า!EG140</f>
        <v>0</v>
      </c>
      <c r="BA131" s="2">
        <f>[2]หน้าผ้า!EH140</f>
        <v>0</v>
      </c>
      <c r="BB131" s="2">
        <f>[2]หน้าผ้า!EI140</f>
        <v>0</v>
      </c>
      <c r="BC131" s="1" t="str">
        <f>[2]หน้าผ้า!BZ140</f>
        <v>WRWT200800/WRWT25650</v>
      </c>
      <c r="BD131" s="56">
        <f>[2]หน้าผ้า!CA140</f>
        <v>0</v>
      </c>
    </row>
    <row r="132" spans="1:56" ht="27.75" customHeight="1" x14ac:dyDescent="0.45">
      <c r="A132" s="3">
        <f>[2]หน้าผ้า!C141</f>
        <v>0</v>
      </c>
      <c r="B132" s="14">
        <f>[2]หน้าผ้า!B141</f>
        <v>0</v>
      </c>
      <c r="C132" s="9">
        <f>[2]หน้าผ้า!E141</f>
        <v>0</v>
      </c>
      <c r="D132" s="13">
        <f>[2]หน้าผ้า!F141</f>
        <v>0</v>
      </c>
      <c r="E132" s="9">
        <f>[2]หน้าผ้า!G141</f>
        <v>20</v>
      </c>
      <c r="F132" s="9">
        <f>[2]หน้าผ้า!H141</f>
        <v>34</v>
      </c>
      <c r="G132" s="9">
        <f>[2]หน้าผ้า!I141</f>
        <v>0</v>
      </c>
      <c r="H132" s="9">
        <f>[2]หน้าผ้า!J141</f>
        <v>0</v>
      </c>
      <c r="I132" s="9">
        <f>[2]หน้าผ้า!L141</f>
        <v>85</v>
      </c>
      <c r="J132" s="9" t="str">
        <f>[2]หน้าผ้า!M141</f>
        <v>±</v>
      </c>
      <c r="K132" s="9">
        <f>[2]หน้าผ้า!N141</f>
        <v>5</v>
      </c>
      <c r="L132" s="9">
        <f>[2]หน้าผ้า!R141</f>
        <v>0</v>
      </c>
      <c r="M132" s="10">
        <f>[2]หน้าผ้า!T141</f>
        <v>0</v>
      </c>
      <c r="N132" s="9">
        <f>[2]หน้าผ้า!U141</f>
        <v>0</v>
      </c>
      <c r="O132" s="9">
        <f>[2]หน้าผ้า!V141</f>
        <v>0</v>
      </c>
      <c r="P132" s="10">
        <f>[2]หน้าผ้า!AB141</f>
        <v>0</v>
      </c>
      <c r="Q132" s="10">
        <f>[2]หน้าผ้า!AC141</f>
        <v>0</v>
      </c>
      <c r="R132" s="10">
        <f>[2]หน้าผ้า!AD141</f>
        <v>0</v>
      </c>
      <c r="S132" s="9">
        <f>[2]หน้าผ้า!Z141</f>
        <v>0</v>
      </c>
      <c r="T132" s="12">
        <f>[2]หน้าผ้า!X141</f>
        <v>0</v>
      </c>
      <c r="U132" s="11">
        <f>[2]หน้าผ้า!AA141</f>
        <v>0</v>
      </c>
      <c r="V132" s="10">
        <f>[2]หน้าผ้า!AJ141</f>
        <v>0</v>
      </c>
      <c r="W132" s="10">
        <f>[2]หน้าผ้า!AL141</f>
        <v>0</v>
      </c>
      <c r="X132" s="10">
        <f>[2]หน้าผ้า!AM141</f>
        <v>0</v>
      </c>
      <c r="Y132" s="10">
        <f>[2]หน้าผ้า!AN141</f>
        <v>0</v>
      </c>
      <c r="Z132" s="9" t="str">
        <f>[2]หน้าผ้า!AO141</f>
        <v>WSWT2021850UV</v>
      </c>
      <c r="AA132" s="8" t="e">
        <f>[2]หน้าผ้า!AQ141</f>
        <v>#REF!</v>
      </c>
      <c r="AB132" s="8" t="e">
        <f>[2]หน้าผ้า!AR141</f>
        <v>#REF!</v>
      </c>
      <c r="AC132" s="8" t="e">
        <f>[2]หน้าผ้า!AS141</f>
        <v>#REF!</v>
      </c>
      <c r="AD132" s="8" t="e">
        <f>[2]หน้าผ้า!AT141</f>
        <v>#REF!</v>
      </c>
      <c r="AE132" s="8" t="e">
        <f>[2]หน้าผ้า!AU141</f>
        <v>#REF!</v>
      </c>
      <c r="AF132" s="8" t="str">
        <f>[2]หน้าผ้า!AI141</f>
        <v>ระบุในSD</v>
      </c>
      <c r="AG132" s="1" t="str">
        <f>[3]หน้าผ้า!DC144</f>
        <v>ผ้าขาว</v>
      </c>
      <c r="AH132" s="1">
        <f>[2]หน้าผ้า!DL141</f>
        <v>0</v>
      </c>
      <c r="AI132" s="1">
        <f>[2]หน้าผ้า!DM141</f>
        <v>0</v>
      </c>
      <c r="AJ132" s="3">
        <f>[2]หน้าผ้า!DN141</f>
        <v>0</v>
      </c>
      <c r="AK132" s="3">
        <f>[2]หน้าผ้า!DQ141</f>
        <v>0</v>
      </c>
      <c r="AL132" s="3">
        <f>[2]หน้าผ้า!DR141</f>
        <v>0</v>
      </c>
      <c r="AM132" s="3">
        <f>[2]หน้าผ้า!DS141</f>
        <v>0</v>
      </c>
      <c r="AN132" s="3">
        <f>[2]หน้าผ้า!DT141</f>
        <v>0</v>
      </c>
      <c r="AO132" s="3">
        <f>[2]หน้าผ้า!DU141</f>
        <v>0</v>
      </c>
      <c r="AP132" s="3">
        <f>[2]หน้าผ้า!DP141</f>
        <v>0</v>
      </c>
      <c r="AQ132" s="3">
        <f>[2]หน้าผ้า!DW141</f>
        <v>0</v>
      </c>
      <c r="AR132" s="3">
        <f>[2]หน้าผ้า!DX141</f>
        <v>0</v>
      </c>
      <c r="AS132" s="3">
        <f>[2]หน้าผ้า!DY141</f>
        <v>0</v>
      </c>
      <c r="AT132" s="3">
        <f>[2]หน้าผ้า!DZ141</f>
        <v>0</v>
      </c>
      <c r="AU132" s="3">
        <f>[2]หน้าผ้า!EA141</f>
        <v>0</v>
      </c>
      <c r="AV132" s="1">
        <f>[2]หน้าผ้า!EB141</f>
        <v>0</v>
      </c>
      <c r="AW132" s="2">
        <f>[2]หน้าผ้า!EC141</f>
        <v>0</v>
      </c>
      <c r="AX132" s="2">
        <f>[2]หน้าผ้า!ED141</f>
        <v>0</v>
      </c>
      <c r="AY132" s="2">
        <f>[2]หน้าผ้า!AG141</f>
        <v>0</v>
      </c>
      <c r="AZ132" s="2">
        <f>[2]หน้าผ้า!EG141</f>
        <v>0</v>
      </c>
      <c r="BA132" s="2">
        <f>[2]หน้าผ้า!EH141</f>
        <v>0</v>
      </c>
      <c r="BB132" s="2">
        <f>[2]หน้าผ้า!EI141</f>
        <v>0</v>
      </c>
      <c r="BC132" s="1" t="str">
        <f>[2]หน้าผ้า!BZ141</f>
        <v>WRWT200850/WRWT21850</v>
      </c>
      <c r="BD132" s="56">
        <f>[2]หน้าผ้า!CA141</f>
        <v>0</v>
      </c>
    </row>
    <row r="133" spans="1:56" ht="27.75" customHeight="1" x14ac:dyDescent="0.45">
      <c r="A133" s="3">
        <f>[2]หน้าผ้า!C142</f>
        <v>0</v>
      </c>
      <c r="B133" s="14">
        <f>[2]หน้าผ้า!B142</f>
        <v>0</v>
      </c>
      <c r="C133" s="9">
        <f>[2]หน้าผ้า!E142</f>
        <v>0</v>
      </c>
      <c r="D133" s="13">
        <f>[2]หน้าผ้า!F142</f>
        <v>0</v>
      </c>
      <c r="E133" s="9">
        <f>[2]หน้าผ้า!G142</f>
        <v>20</v>
      </c>
      <c r="F133" s="9">
        <f>[2]หน้าผ้า!H142</f>
        <v>34</v>
      </c>
      <c r="G133" s="9">
        <f>[2]หน้าผ้า!I142</f>
        <v>0</v>
      </c>
      <c r="H133" s="9">
        <f>[2]หน้าผ้า!J142</f>
        <v>0</v>
      </c>
      <c r="I133" s="9">
        <f>[2]หน้าผ้า!L142</f>
        <v>80</v>
      </c>
      <c r="J133" s="9" t="str">
        <f>[2]หน้าผ้า!M142</f>
        <v>±</v>
      </c>
      <c r="K133" s="9">
        <f>[2]หน้าผ้า!N142</f>
        <v>5</v>
      </c>
      <c r="L133" s="9">
        <f>[2]หน้าผ้า!R142</f>
        <v>0</v>
      </c>
      <c r="M133" s="10">
        <f>[2]หน้าผ้า!T142</f>
        <v>0</v>
      </c>
      <c r="N133" s="9">
        <f>[2]หน้าผ้า!U142</f>
        <v>0</v>
      </c>
      <c r="O133" s="9">
        <f>[2]หน้าผ้า!V142</f>
        <v>0</v>
      </c>
      <c r="P133" s="10">
        <f>[2]หน้าผ้า!AB142</f>
        <v>0</v>
      </c>
      <c r="Q133" s="10">
        <f>[2]หน้าผ้า!AC142</f>
        <v>0</v>
      </c>
      <c r="R133" s="10">
        <f>[2]หน้าผ้า!AD142</f>
        <v>0</v>
      </c>
      <c r="S133" s="9">
        <f>[2]หน้าผ้า!Z142</f>
        <v>0</v>
      </c>
      <c r="T133" s="12">
        <f>[2]หน้าผ้า!X142</f>
        <v>0</v>
      </c>
      <c r="U133" s="11">
        <f>[2]หน้าผ้า!AA142</f>
        <v>0</v>
      </c>
      <c r="V133" s="10">
        <f>[2]หน้าผ้า!AJ142</f>
        <v>0</v>
      </c>
      <c r="W133" s="10">
        <f>[2]หน้าผ้า!AL142</f>
        <v>0</v>
      </c>
      <c r="X133" s="10">
        <f>[2]หน้าผ้า!AM142</f>
        <v>0</v>
      </c>
      <c r="Y133" s="10">
        <f>[2]หน้าผ้า!AN142</f>
        <v>0</v>
      </c>
      <c r="Z133" s="9" t="str">
        <f>[2]หน้าผ้า!AO142</f>
        <v>WSWT2021750UV</v>
      </c>
      <c r="AA133" s="8" t="e">
        <f>[2]หน้าผ้า!AQ142</f>
        <v>#REF!</v>
      </c>
      <c r="AB133" s="8" t="e">
        <f>[2]หน้าผ้า!AR142</f>
        <v>#REF!</v>
      </c>
      <c r="AC133" s="8" t="e">
        <f>[2]หน้าผ้า!AS142</f>
        <v>#REF!</v>
      </c>
      <c r="AD133" s="8" t="e">
        <f>[2]หน้าผ้า!AT142</f>
        <v>#REF!</v>
      </c>
      <c r="AE133" s="8" t="e">
        <f>[2]หน้าผ้า!AU142</f>
        <v>#REF!</v>
      </c>
      <c r="AF133" s="8" t="str">
        <f>[2]หน้าผ้า!AI142</f>
        <v>ระบุในSD</v>
      </c>
      <c r="AG133" s="1" t="str">
        <f>[3]หน้าผ้า!DC145</f>
        <v>พร้อมส่ง</v>
      </c>
      <c r="AH133" s="1">
        <f>[2]หน้าผ้า!DL142</f>
        <v>0</v>
      </c>
      <c r="AI133" s="1">
        <f>[2]หน้าผ้า!DM142</f>
        <v>0</v>
      </c>
      <c r="AJ133" s="3">
        <f>[2]หน้าผ้า!DN142</f>
        <v>0</v>
      </c>
      <c r="AK133" s="3">
        <f>[2]หน้าผ้า!DQ142</f>
        <v>0</v>
      </c>
      <c r="AL133" s="3">
        <f>[2]หน้าผ้า!DR142</f>
        <v>0</v>
      </c>
      <c r="AM133" s="3">
        <f>[2]หน้าผ้า!DS142</f>
        <v>0</v>
      </c>
      <c r="AN133" s="3">
        <f>[2]หน้าผ้า!DT142</f>
        <v>0</v>
      </c>
      <c r="AO133" s="3">
        <f>[2]หน้าผ้า!DU142</f>
        <v>0</v>
      </c>
      <c r="AP133" s="3">
        <f>[2]หน้าผ้า!DP142</f>
        <v>0</v>
      </c>
      <c r="AQ133" s="3">
        <f>[2]หน้าผ้า!DW142</f>
        <v>0</v>
      </c>
      <c r="AR133" s="3">
        <f>[2]หน้าผ้า!DX142</f>
        <v>0</v>
      </c>
      <c r="AS133" s="3">
        <f>[2]หน้าผ้า!DY142</f>
        <v>0</v>
      </c>
      <c r="AT133" s="3">
        <f>[2]หน้าผ้า!DZ142</f>
        <v>0</v>
      </c>
      <c r="AU133" s="3">
        <f>[2]หน้าผ้า!EA142</f>
        <v>0</v>
      </c>
      <c r="AV133" s="1">
        <f>[2]หน้าผ้า!EB142</f>
        <v>0</v>
      </c>
      <c r="AW133" s="2">
        <f>[2]หน้าผ้า!EC142</f>
        <v>0</v>
      </c>
      <c r="AX133" s="2">
        <f>[2]หน้าผ้า!ED142</f>
        <v>0</v>
      </c>
      <c r="AY133" s="2">
        <f>[2]หน้าผ้า!AG142</f>
        <v>0</v>
      </c>
      <c r="AZ133" s="2">
        <f>[2]หน้าผ้า!EG142</f>
        <v>0</v>
      </c>
      <c r="BA133" s="2">
        <f>[2]หน้าผ้า!EH142</f>
        <v>0</v>
      </c>
      <c r="BB133" s="2">
        <f>[2]หน้าผ้า!EI142</f>
        <v>0</v>
      </c>
      <c r="BC133" s="1" t="str">
        <f>[2]หน้าผ้า!BZ142</f>
        <v>WRWT200750/WRWT21750</v>
      </c>
      <c r="BD133" s="56">
        <f>[2]หน้าผ้า!CA142</f>
        <v>0</v>
      </c>
    </row>
    <row r="134" spans="1:56" ht="27.75" customHeight="1" x14ac:dyDescent="0.45">
      <c r="A134" s="3">
        <f>[2]หน้าผ้า!C143</f>
        <v>0</v>
      </c>
      <c r="B134" s="14">
        <f>[2]หน้าผ้า!B143</f>
        <v>0</v>
      </c>
      <c r="C134" s="9">
        <f>[2]หน้าผ้า!E143</f>
        <v>0</v>
      </c>
      <c r="D134" s="13">
        <f>[2]หน้าผ้า!F143</f>
        <v>0</v>
      </c>
      <c r="E134" s="9">
        <f>[2]หน้าผ้า!G143</f>
        <v>21</v>
      </c>
      <c r="F134" s="9">
        <f>[2]หน้าผ้า!H143</f>
        <v>39</v>
      </c>
      <c r="G134" s="9">
        <f>[2]หน้าผ้า!I143</f>
        <v>0</v>
      </c>
      <c r="H134" s="9">
        <f>[2]หน้าผ้า!J143</f>
        <v>0</v>
      </c>
      <c r="I134" s="9">
        <f>[2]หน้าผ้า!L143</f>
        <v>78</v>
      </c>
      <c r="J134" s="9" t="str">
        <f>[2]หน้าผ้า!M143</f>
        <v>±</v>
      </c>
      <c r="K134" s="9">
        <f>[2]หน้าผ้า!N143</f>
        <v>3</v>
      </c>
      <c r="L134" s="9">
        <f>[2]หน้าผ้า!R143</f>
        <v>0</v>
      </c>
      <c r="M134" s="10">
        <f>[2]หน้าผ้า!T143</f>
        <v>0</v>
      </c>
      <c r="N134" s="9">
        <f>[2]หน้าผ้า!U143</f>
        <v>0</v>
      </c>
      <c r="O134" s="9">
        <f>[2]หน้าผ้า!V143</f>
        <v>0</v>
      </c>
      <c r="P134" s="10">
        <f>[2]หน้าผ้า!AB143</f>
        <v>0</v>
      </c>
      <c r="Q134" s="10">
        <f>[2]หน้าผ้า!AC143</f>
        <v>0</v>
      </c>
      <c r="R134" s="10">
        <f>[2]หน้าผ้า!AD143</f>
        <v>0</v>
      </c>
      <c r="S134" s="9">
        <f>[2]หน้าผ้า!Z143</f>
        <v>0</v>
      </c>
      <c r="T134" s="12">
        <f>[2]หน้าผ้า!X143</f>
        <v>0</v>
      </c>
      <c r="U134" s="11">
        <f>[2]หน้าผ้า!AA143</f>
        <v>0</v>
      </c>
      <c r="V134" s="10">
        <f>[2]หน้าผ้า!AJ143</f>
        <v>0</v>
      </c>
      <c r="W134" s="10">
        <f>[2]หน้าผ้า!AL143</f>
        <v>0</v>
      </c>
      <c r="X134" s="10">
        <f>[2]หน้าผ้า!AM143</f>
        <v>0</v>
      </c>
      <c r="Y134" s="10">
        <f>[2]หน้าผ้า!AN143</f>
        <v>0</v>
      </c>
      <c r="Z134" s="9" t="str">
        <f>[2]หน้าผ้า!AO143</f>
        <v>WSWT2125700</v>
      </c>
      <c r="AA134" s="8" t="e">
        <f>[2]หน้าผ้า!AQ143</f>
        <v>#REF!</v>
      </c>
      <c r="AB134" s="8" t="e">
        <f>[2]หน้าผ้า!AR143</f>
        <v>#REF!</v>
      </c>
      <c r="AC134" s="8" t="e">
        <f>[2]หน้าผ้า!AS143</f>
        <v>#REF!</v>
      </c>
      <c r="AD134" s="8" t="e">
        <f>[2]หน้าผ้า!AT143</f>
        <v>#REF!</v>
      </c>
      <c r="AE134" s="8" t="e">
        <f>[2]หน้าผ้า!AU143</f>
        <v>#REF!</v>
      </c>
      <c r="AF134" s="8" t="str">
        <f>[2]หน้าผ้า!AI143</f>
        <v>ระบุในSD</v>
      </c>
      <c r="AG134" s="1" t="str">
        <f>[3]หน้าผ้า!DC146</f>
        <v>พร้อมส่ง</v>
      </c>
      <c r="AH134" s="1">
        <f>[2]หน้าผ้า!DL143</f>
        <v>0</v>
      </c>
      <c r="AI134" s="1">
        <f>[2]หน้าผ้า!DM143</f>
        <v>0</v>
      </c>
      <c r="AJ134" s="3">
        <f>[2]หน้าผ้า!DN143</f>
        <v>0</v>
      </c>
      <c r="AK134" s="3">
        <f>[2]หน้าผ้า!DQ143</f>
        <v>0</v>
      </c>
      <c r="AL134" s="3">
        <f>[2]หน้าผ้า!DR143</f>
        <v>0</v>
      </c>
      <c r="AM134" s="3">
        <f>[2]หน้าผ้า!DS143</f>
        <v>0</v>
      </c>
      <c r="AN134" s="3">
        <f>[2]หน้าผ้า!DT143</f>
        <v>0</v>
      </c>
      <c r="AO134" s="3">
        <f>[2]หน้าผ้า!DU143</f>
        <v>0</v>
      </c>
      <c r="AP134" s="3">
        <f>[2]หน้าผ้า!DP143</f>
        <v>0</v>
      </c>
      <c r="AQ134" s="3">
        <f>[2]หน้าผ้า!DW143</f>
        <v>0</v>
      </c>
      <c r="AR134" s="3">
        <f>[2]หน้าผ้า!DX143</f>
        <v>0</v>
      </c>
      <c r="AS134" s="3">
        <f>[2]หน้าผ้า!DY143</f>
        <v>0</v>
      </c>
      <c r="AT134" s="3">
        <f>[2]หน้าผ้า!DZ143</f>
        <v>0</v>
      </c>
      <c r="AU134" s="3">
        <f>[2]หน้าผ้า!EA143</f>
        <v>0</v>
      </c>
      <c r="AV134" s="1">
        <f>[2]หน้าผ้า!EB143</f>
        <v>0</v>
      </c>
      <c r="AW134" s="2">
        <f>[2]หน้าผ้า!EC143</f>
        <v>0</v>
      </c>
      <c r="AX134" s="2">
        <f>[2]หน้าผ้า!ED143</f>
        <v>0</v>
      </c>
      <c r="AY134" s="2">
        <f>[2]หน้าผ้า!AG143</f>
        <v>0</v>
      </c>
      <c r="AZ134" s="2">
        <f>[2]หน้าผ้า!EG143</f>
        <v>0</v>
      </c>
      <c r="BA134" s="2">
        <f>[2]หน้าผ้า!EH143</f>
        <v>0</v>
      </c>
      <c r="BB134" s="2">
        <f>[2]หน้าผ้า!EI143</f>
        <v>0</v>
      </c>
      <c r="BC134" s="1" t="str">
        <f>[2]หน้าผ้า!BZ143</f>
        <v>WRWT210800/WRWT25650</v>
      </c>
      <c r="BD134" s="56">
        <f>[2]หน้าผ้า!CA143</f>
        <v>0</v>
      </c>
    </row>
    <row r="135" spans="1:56" ht="27.75" customHeight="1" x14ac:dyDescent="0.45">
      <c r="A135" s="3">
        <f>[2]หน้าผ้า!C144</f>
        <v>45903</v>
      </c>
      <c r="B135" s="14" t="str">
        <f>[2]หน้าผ้า!B144</f>
        <v>MK68-001072</v>
      </c>
      <c r="C135" s="9" t="str">
        <f>[2]หน้าผ้า!E144</f>
        <v>บจก.เอเชี่ยนเคมิคัล</v>
      </c>
      <c r="D135" s="13" t="str">
        <f>[2]หน้าผ้า!F144</f>
        <v>ไม่พิมพ์</v>
      </c>
      <c r="E135" s="9">
        <f>[2]หน้าผ้า!G144</f>
        <v>21</v>
      </c>
      <c r="F135" s="9">
        <f>[2]หน้าผ้า!H144</f>
        <v>31</v>
      </c>
      <c r="G135" s="9" t="str">
        <f>[2]หน้าผ้า!I144</f>
        <v>ขาว</v>
      </c>
      <c r="H135" s="9">
        <f>[2]หน้าผ้า!J144</f>
        <v>0</v>
      </c>
      <c r="I135" s="9">
        <f>[2]หน้าผ้า!L144</f>
        <v>60</v>
      </c>
      <c r="J135" s="9" t="str">
        <f>[2]หน้าผ้า!M144</f>
        <v>±</v>
      </c>
      <c r="K135" s="9">
        <f>[2]หน้าผ้า!N144</f>
        <v>5</v>
      </c>
      <c r="L135" s="9" t="str">
        <f>[2]หน้าผ้า!R144</f>
        <v>ไม่</v>
      </c>
      <c r="M135" s="10" t="str">
        <f>[2]หน้าผ้า!T144</f>
        <v>ไม่สวมถุงใน</v>
      </c>
      <c r="N135" s="9">
        <f>[2]หน้าผ้า!U144</f>
        <v>0</v>
      </c>
      <c r="O135" s="9">
        <f>[2]หน้าผ้า!V144</f>
        <v>0</v>
      </c>
      <c r="P135" s="10">
        <f>[2]หน้าผ้า!AB144</f>
        <v>0</v>
      </c>
      <c r="Q135" s="10">
        <f>[2]หน้าผ้า!AC144</f>
        <v>0</v>
      </c>
      <c r="R135" s="10">
        <f>[2]หน้าผ้า!AD144</f>
        <v>0</v>
      </c>
      <c r="S135" s="9" t="str">
        <f>[2]หน้าผ้า!Z144</f>
        <v>มัด100</v>
      </c>
      <c r="T135" s="12">
        <f>[2]หน้าผ้า!X144</f>
        <v>45906</v>
      </c>
      <c r="U135" s="11">
        <f>[2]หน้าผ้า!AA144</f>
        <v>5000</v>
      </c>
      <c r="V135" s="10">
        <f>[2]หน้าผ้า!AJ144</f>
        <v>0</v>
      </c>
      <c r="W135" s="10">
        <f>[2]หน้าผ้า!AL144</f>
        <v>5000</v>
      </c>
      <c r="X135" s="10">
        <f>[2]หน้าผ้า!AM144</f>
        <v>0</v>
      </c>
      <c r="Y135" s="10">
        <f>[2]หน้าผ้า!AN144</f>
        <v>0</v>
      </c>
      <c r="Z135" s="9" t="str">
        <f>[2]หน้าผ้า!AO144</f>
        <v>WSWT2125650</v>
      </c>
      <c r="AA135" s="8">
        <f>[2]หน้าผ้า!AQ144</f>
        <v>4540.25</v>
      </c>
      <c r="AB135" s="8">
        <f>[2]หน้าผ้า!AR144</f>
        <v>4540.25</v>
      </c>
      <c r="AC135" s="8">
        <f>[2]หน้าผ้า!AS144</f>
        <v>0</v>
      </c>
      <c r="AD135" s="8">
        <f>[2]หน้าผ้า!AT144</f>
        <v>0</v>
      </c>
      <c r="AE135" s="8">
        <f>[2]หน้าผ้า!AU144</f>
        <v>0</v>
      </c>
      <c r="AF135" s="8" t="str">
        <f>[2]หน้าผ้า!AI144</f>
        <v>ห้ามขาด-ห้ามเกิน</v>
      </c>
      <c r="AG135" s="1" t="str">
        <f>[3]หน้าผ้า!DC147</f>
        <v>พร้อมส่ง</v>
      </c>
      <c r="AH135" s="1" t="str">
        <f>[2]หน้าผ้า!DL144</f>
        <v>P3</v>
      </c>
      <c r="AI135" s="1">
        <f>[2]หน้าผ้า!DM144</f>
        <v>1</v>
      </c>
      <c r="AJ135" s="3">
        <f>[2]หน้าผ้า!DN144</f>
        <v>45906</v>
      </c>
      <c r="AK135" s="3">
        <f>[2]หน้าผ้า!DQ144</f>
        <v>0</v>
      </c>
      <c r="AL135" s="3">
        <f>[2]หน้าผ้า!DR144</f>
        <v>0</v>
      </c>
      <c r="AM135" s="3">
        <f>[2]หน้าผ้า!DS144</f>
        <v>0</v>
      </c>
      <c r="AN135" s="3">
        <f>[2]หน้าผ้า!DT144</f>
        <v>0</v>
      </c>
      <c r="AO135" s="3">
        <f>[2]หน้าผ้า!DU144</f>
        <v>45905</v>
      </c>
      <c r="AP135" s="3">
        <f>[2]หน้าผ้า!DP144</f>
        <v>45901</v>
      </c>
      <c r="AQ135" s="3">
        <f>[2]หน้าผ้า!DW144</f>
        <v>0</v>
      </c>
      <c r="AR135" s="3">
        <f>[2]หน้าผ้า!DX144</f>
        <v>0</v>
      </c>
      <c r="AS135" s="3">
        <f>[2]หน้าผ้า!DY144</f>
        <v>0</v>
      </c>
      <c r="AT135" s="3">
        <f>[2]หน้าผ้า!DZ144</f>
        <v>0</v>
      </c>
      <c r="AU135" s="3">
        <f>[2]หน้าผ้า!EA144</f>
        <v>0</v>
      </c>
      <c r="AV135" s="1">
        <f>[2]หน้าผ้า!EB144</f>
        <v>0</v>
      </c>
      <c r="AW135" s="2" t="str">
        <f>[2]หน้าผ้า!EC144</f>
        <v>ตัด</v>
      </c>
      <c r="AX135" s="2">
        <f>[2]หน้าผ้า!ED144</f>
        <v>0</v>
      </c>
      <c r="AY135" s="2" t="str">
        <f>[2]หน้าผ้า!AG144</f>
        <v>เย็น 6/9</v>
      </c>
      <c r="AZ135" s="2">
        <f>[2]หน้าผ้า!EG144</f>
        <v>0</v>
      </c>
      <c r="BA135" s="2">
        <f>[2]หน้าผ้า!EH144</f>
        <v>0</v>
      </c>
      <c r="BB135" s="2">
        <f>[2]หน้าผ้า!EI144</f>
        <v>0</v>
      </c>
      <c r="BC135" s="1" t="str">
        <f>[2]หน้าผ้า!BZ144</f>
        <v>WRWT25650/WRWT25650</v>
      </c>
      <c r="BD135" s="56">
        <f>[2]หน้าผ้า!CA144</f>
        <v>0</v>
      </c>
    </row>
    <row r="136" spans="1:56" ht="27.75" customHeight="1" x14ac:dyDescent="0.45">
      <c r="A136" s="3">
        <f>[2]หน้าผ้า!C145</f>
        <v>0</v>
      </c>
      <c r="B136" s="14">
        <f>[2]หน้าผ้า!B145</f>
        <v>0</v>
      </c>
      <c r="C136" s="9">
        <f>[2]หน้าผ้า!E145</f>
        <v>0</v>
      </c>
      <c r="D136" s="13">
        <f>[2]หน้าผ้า!F145</f>
        <v>0</v>
      </c>
      <c r="E136" s="9">
        <f>[2]หน้าผ้า!G145</f>
        <v>21</v>
      </c>
      <c r="F136" s="9">
        <f>[2]หน้าผ้า!H145</f>
        <v>37</v>
      </c>
      <c r="G136" s="9" t="str">
        <f>[2]หน้าผ้า!I145</f>
        <v>ขาว</v>
      </c>
      <c r="H136" s="9">
        <f>[2]หน้าผ้า!J145</f>
        <v>0</v>
      </c>
      <c r="I136" s="9">
        <f>[2]หน้าผ้า!L145</f>
        <v>67</v>
      </c>
      <c r="J136" s="9" t="str">
        <f>[2]หน้าผ้า!M145</f>
        <v>±</v>
      </c>
      <c r="K136" s="9">
        <f>[2]หน้าผ้า!N145</f>
        <v>5</v>
      </c>
      <c r="L136" s="9">
        <f>[2]หน้าผ้า!R145</f>
        <v>0</v>
      </c>
      <c r="M136" s="10">
        <f>[2]หน้าผ้า!T145</f>
        <v>0</v>
      </c>
      <c r="N136" s="9">
        <f>[2]หน้าผ้า!U145</f>
        <v>0</v>
      </c>
      <c r="O136" s="9">
        <f>[2]หน้าผ้า!V145</f>
        <v>0</v>
      </c>
      <c r="P136" s="10">
        <f>[2]หน้าผ้า!AB145</f>
        <v>0</v>
      </c>
      <c r="Q136" s="10">
        <f>[2]หน้าผ้า!AC145</f>
        <v>0</v>
      </c>
      <c r="R136" s="10">
        <f>[2]หน้าผ้า!AD145</f>
        <v>0</v>
      </c>
      <c r="S136" s="9">
        <f>[2]หน้าผ้า!Z145</f>
        <v>0</v>
      </c>
      <c r="T136" s="12">
        <f>[2]หน้าผ้า!X145</f>
        <v>0</v>
      </c>
      <c r="U136" s="11">
        <f>[2]หน้าผ้า!AA145</f>
        <v>0</v>
      </c>
      <c r="V136" s="10">
        <f>[2]หน้าผ้า!AJ145</f>
        <v>0</v>
      </c>
      <c r="W136" s="10">
        <f>[2]หน้าผ้า!AL145</f>
        <v>0</v>
      </c>
      <c r="X136" s="10">
        <f>[2]หน้าผ้า!AM145</f>
        <v>0</v>
      </c>
      <c r="Y136" s="10">
        <f>[2]หน้าผ้า!AN145</f>
        <v>0</v>
      </c>
      <c r="Z136" s="9" t="str">
        <f>[2]หน้าผ้า!AO145</f>
        <v>WSWT2125650</v>
      </c>
      <c r="AA136" s="8">
        <f>[2]หน้าผ้า!AQ145</f>
        <v>4540.25</v>
      </c>
      <c r="AB136" s="8">
        <f>[2]หน้าผ้า!AR145</f>
        <v>4540.25</v>
      </c>
      <c r="AC136" s="8">
        <f>[2]หน้าผ้า!AS145</f>
        <v>0</v>
      </c>
      <c r="AD136" s="8">
        <f>[2]หน้าผ้า!AT145</f>
        <v>0</v>
      </c>
      <c r="AE136" s="8">
        <f>[2]หน้าผ้า!AU145</f>
        <v>0</v>
      </c>
      <c r="AF136" s="8" t="str">
        <f>[2]หน้าผ้า!AI145</f>
        <v>ระบุในSD</v>
      </c>
      <c r="AG136" s="1" t="str">
        <f>[3]หน้าผ้า!DC148</f>
        <v>พร้อมส่ง</v>
      </c>
      <c r="AH136" s="1">
        <f>[2]หน้าผ้า!DL145</f>
        <v>0</v>
      </c>
      <c r="AI136" s="1" t="str">
        <f>[2]หน้าผ้า!DM145</f>
        <v>Lead time</v>
      </c>
      <c r="AJ136" s="3">
        <f>[2]หน้าผ้า!DN145</f>
        <v>0</v>
      </c>
      <c r="AK136" s="3">
        <f>[2]หน้าผ้า!DQ145</f>
        <v>0</v>
      </c>
      <c r="AL136" s="3">
        <f>[2]หน้าผ้า!DR145</f>
        <v>0</v>
      </c>
      <c r="AM136" s="3">
        <f>[2]หน้าผ้า!DS145</f>
        <v>0</v>
      </c>
      <c r="AN136" s="3">
        <f>[2]หน้าผ้า!DT145</f>
        <v>0</v>
      </c>
      <c r="AO136" s="3">
        <f>[2]หน้าผ้า!DU145</f>
        <v>0</v>
      </c>
      <c r="AP136" s="3">
        <f>[2]หน้าผ้า!DP145</f>
        <v>0</v>
      </c>
      <c r="AQ136" s="3">
        <f>[2]หน้าผ้า!DW145</f>
        <v>0</v>
      </c>
      <c r="AR136" s="3">
        <f>[2]หน้าผ้า!DX145</f>
        <v>0</v>
      </c>
      <c r="AS136" s="3">
        <f>[2]หน้าผ้า!DY145</f>
        <v>0</v>
      </c>
      <c r="AT136" s="3">
        <f>[2]หน้าผ้า!DZ145</f>
        <v>0</v>
      </c>
      <c r="AU136" s="3">
        <f>[2]หน้าผ้า!EA145</f>
        <v>0</v>
      </c>
      <c r="AV136" s="1">
        <f>[2]หน้าผ้า!EB145</f>
        <v>0</v>
      </c>
      <c r="AW136" s="2">
        <f>[2]หน้าผ้า!EC145</f>
        <v>0</v>
      </c>
      <c r="AX136" s="2">
        <f>[2]หน้าผ้า!ED145</f>
        <v>0</v>
      </c>
      <c r="AY136" s="2">
        <f>[2]หน้าผ้า!AG145</f>
        <v>0</v>
      </c>
      <c r="AZ136" s="2">
        <f>[2]หน้าผ้า!EG145</f>
        <v>0</v>
      </c>
      <c r="BA136" s="2">
        <f>[2]หน้าผ้า!EH145</f>
        <v>0</v>
      </c>
      <c r="BB136" s="2">
        <f>[2]หน้าผ้า!EI145</f>
        <v>0</v>
      </c>
      <c r="BC136" s="1" t="str">
        <f>[2]หน้าผ้า!BZ145</f>
        <v>WRWT25650/WRWT25650</v>
      </c>
      <c r="BD136" s="56">
        <f>[2]หน้าผ้า!CA145</f>
        <v>0</v>
      </c>
    </row>
    <row r="137" spans="1:56" ht="27.75" customHeight="1" x14ac:dyDescent="0.45">
      <c r="A137" s="3">
        <f>[2]หน้าผ้า!C146</f>
        <v>0</v>
      </c>
      <c r="B137" s="14">
        <f>[2]หน้าผ้า!B146</f>
        <v>0</v>
      </c>
      <c r="C137" s="9">
        <f>[2]หน้าผ้า!E146</f>
        <v>0</v>
      </c>
      <c r="D137" s="13">
        <f>[2]หน้าผ้า!F146</f>
        <v>0</v>
      </c>
      <c r="E137" s="9">
        <f>[2]หน้าผ้า!G146</f>
        <v>21</v>
      </c>
      <c r="F137" s="9">
        <f>[2]หน้าผ้า!H146</f>
        <v>37</v>
      </c>
      <c r="G137" s="9" t="str">
        <f>[2]หน้าผ้า!I146</f>
        <v>ขาวแถบใส5</v>
      </c>
      <c r="H137" s="9">
        <f>[2]หน้าผ้า!J146</f>
        <v>0</v>
      </c>
      <c r="I137" s="9">
        <f>[2]หน้าผ้า!L146</f>
        <v>67</v>
      </c>
      <c r="J137" s="9" t="str">
        <f>[2]หน้าผ้า!M146</f>
        <v>±</v>
      </c>
      <c r="K137" s="9">
        <f>[2]หน้าผ้า!N146</f>
        <v>5</v>
      </c>
      <c r="L137" s="9">
        <f>[2]หน้าผ้า!R146</f>
        <v>0</v>
      </c>
      <c r="M137" s="10">
        <f>[2]หน้าผ้า!T146</f>
        <v>0</v>
      </c>
      <c r="N137" s="9">
        <f>[2]หน้าผ้า!U146</f>
        <v>0</v>
      </c>
      <c r="O137" s="9">
        <f>[2]หน้าผ้า!V146</f>
        <v>0</v>
      </c>
      <c r="P137" s="10">
        <f>[2]หน้าผ้า!AB146</f>
        <v>0</v>
      </c>
      <c r="Q137" s="10">
        <f>[2]หน้าผ้า!AC146</f>
        <v>0</v>
      </c>
      <c r="R137" s="10">
        <f>[2]หน้าผ้า!AD146</f>
        <v>0</v>
      </c>
      <c r="S137" s="9">
        <f>[2]หน้าผ้า!Z146</f>
        <v>0</v>
      </c>
      <c r="T137" s="12">
        <f>[2]หน้าผ้า!X146</f>
        <v>0</v>
      </c>
      <c r="U137" s="11">
        <f>[2]หน้าผ้า!AA146</f>
        <v>0</v>
      </c>
      <c r="V137" s="10">
        <f>[2]หน้าผ้า!AJ146</f>
        <v>0</v>
      </c>
      <c r="W137" s="10">
        <f>[2]หน้าผ้า!AL146</f>
        <v>0</v>
      </c>
      <c r="X137" s="10">
        <f>[2]หน้าผ้า!AM146</f>
        <v>0</v>
      </c>
      <c r="Y137" s="10">
        <f>[2]หน้าผ้า!AN146</f>
        <v>0</v>
      </c>
      <c r="Z137" s="9" t="str">
        <f>[2]หน้าผ้า!AO146</f>
        <v>WSWTSCL052125650</v>
      </c>
      <c r="AA137" s="8" t="e">
        <f>[2]หน้าผ้า!AQ146</f>
        <v>#REF!</v>
      </c>
      <c r="AB137" s="8" t="e">
        <f>[2]หน้าผ้า!AR146</f>
        <v>#REF!</v>
      </c>
      <c r="AC137" s="8" t="e">
        <f>[2]หน้าผ้า!AS146</f>
        <v>#REF!</v>
      </c>
      <c r="AD137" s="8" t="e">
        <f>[2]หน้าผ้า!AT146</f>
        <v>#REF!</v>
      </c>
      <c r="AE137" s="8" t="e">
        <f>[2]หน้าผ้า!AU146</f>
        <v>#REF!</v>
      </c>
      <c r="AF137" s="8" t="str">
        <f>[2]หน้าผ้า!AI146</f>
        <v>ระบุในSD</v>
      </c>
      <c r="AG137" s="1" t="str">
        <f>[3]หน้าผ้า!DC149</f>
        <v>ยังไม่ได้พิมพ์</v>
      </c>
      <c r="AH137" s="1">
        <f>[2]หน้าผ้า!DL146</f>
        <v>0</v>
      </c>
      <c r="AI137" s="1" t="str">
        <f>[2]หน้าผ้า!DM146</f>
        <v>Lead time</v>
      </c>
      <c r="AJ137" s="3">
        <f>[2]หน้าผ้า!DN146</f>
        <v>0</v>
      </c>
      <c r="AK137" s="3">
        <f>[2]หน้าผ้า!DQ146</f>
        <v>0</v>
      </c>
      <c r="AL137" s="3">
        <f>[2]หน้าผ้า!DR146</f>
        <v>0</v>
      </c>
      <c r="AM137" s="3">
        <f>[2]หน้าผ้า!DS146</f>
        <v>0</v>
      </c>
      <c r="AN137" s="3">
        <f>[2]หน้าผ้า!DT146</f>
        <v>0</v>
      </c>
      <c r="AO137" s="3">
        <f>[2]หน้าผ้า!DU146</f>
        <v>0</v>
      </c>
      <c r="AP137" s="3">
        <f>[2]หน้าผ้า!DP146</f>
        <v>0</v>
      </c>
      <c r="AQ137" s="3">
        <f>[2]หน้าผ้า!DW146</f>
        <v>0</v>
      </c>
      <c r="AR137" s="3">
        <f>[2]หน้าผ้า!DX146</f>
        <v>0</v>
      </c>
      <c r="AS137" s="3">
        <f>[2]หน้าผ้า!DY146</f>
        <v>0</v>
      </c>
      <c r="AT137" s="3">
        <f>[2]หน้าผ้า!DZ146</f>
        <v>0</v>
      </c>
      <c r="AU137" s="3">
        <f>[2]หน้าผ้า!EA146</f>
        <v>0</v>
      </c>
      <c r="AV137" s="1">
        <f>[2]หน้าผ้า!EB146</f>
        <v>0</v>
      </c>
      <c r="AW137" s="2">
        <f>[2]หน้าผ้า!EC146</f>
        <v>0</v>
      </c>
      <c r="AX137" s="2">
        <f>[2]หน้าผ้า!ED146</f>
        <v>0</v>
      </c>
      <c r="AY137" s="2">
        <f>[2]หน้าผ้า!AG146</f>
        <v>0</v>
      </c>
      <c r="AZ137" s="2">
        <f>[2]หน้าผ้า!EG146</f>
        <v>0</v>
      </c>
      <c r="BA137" s="2">
        <f>[2]หน้าผ้า!EH146</f>
        <v>0</v>
      </c>
      <c r="BB137" s="2">
        <f>[2]หน้าผ้า!EI146</f>
        <v>0</v>
      </c>
      <c r="BC137" s="1" t="str">
        <f>[2]หน้าผ้า!BZ146</f>
        <v>WRWT25650/WRCL25680</v>
      </c>
      <c r="BD137" s="56">
        <f>[2]หน้าผ้า!CA146</f>
        <v>0</v>
      </c>
    </row>
    <row r="138" spans="1:56" ht="27.75" customHeight="1" x14ac:dyDescent="0.45">
      <c r="A138" s="3">
        <f>[2]หน้าผ้า!C147</f>
        <v>0</v>
      </c>
      <c r="B138" s="14">
        <f>[2]หน้าผ้า!B147</f>
        <v>0</v>
      </c>
      <c r="C138" s="9">
        <f>[2]หน้าผ้า!E147</f>
        <v>0</v>
      </c>
      <c r="D138" s="13">
        <f>[2]หน้าผ้า!F147</f>
        <v>0</v>
      </c>
      <c r="E138" s="9">
        <f>[2]หน้าผ้า!G147</f>
        <v>21</v>
      </c>
      <c r="F138" s="9">
        <f>[2]หน้าผ้า!H147</f>
        <v>37</v>
      </c>
      <c r="G138" s="9" t="str">
        <f>[2]หน้าผ้า!I147</f>
        <v>ขาว</v>
      </c>
      <c r="H138" s="9">
        <f>[2]หน้าผ้า!J147</f>
        <v>0</v>
      </c>
      <c r="I138" s="9">
        <f>[2]หน้าผ้า!L147</f>
        <v>83</v>
      </c>
      <c r="J138" s="9" t="str">
        <f>[2]หน้าผ้า!M147</f>
        <v>±</v>
      </c>
      <c r="K138" s="9">
        <f>[2]หน้าผ้า!N147</f>
        <v>5</v>
      </c>
      <c r="L138" s="9">
        <f>[2]หน้าผ้า!R147</f>
        <v>0</v>
      </c>
      <c r="M138" s="10">
        <f>[2]หน้าผ้า!T147</f>
        <v>0</v>
      </c>
      <c r="N138" s="9">
        <f>[2]หน้าผ้า!U147</f>
        <v>0</v>
      </c>
      <c r="O138" s="9">
        <f>[2]หน้าผ้า!V147</f>
        <v>0</v>
      </c>
      <c r="P138" s="10">
        <f>[2]หน้าผ้า!AB147</f>
        <v>0</v>
      </c>
      <c r="Q138" s="10">
        <f>[2]หน้าผ้า!AC147</f>
        <v>0</v>
      </c>
      <c r="R138" s="10">
        <f>[2]หน้าผ้า!AD147</f>
        <v>0</v>
      </c>
      <c r="S138" s="9">
        <f>[2]หน้าผ้า!Z147</f>
        <v>0</v>
      </c>
      <c r="T138" s="12">
        <f>[2]หน้าผ้า!X147</f>
        <v>0</v>
      </c>
      <c r="U138" s="11">
        <f>[2]หน้าผ้า!AA147</f>
        <v>0</v>
      </c>
      <c r="V138" s="10">
        <f>[2]หน้าผ้า!AJ147</f>
        <v>0</v>
      </c>
      <c r="W138" s="10">
        <f>[2]หน้าผ้า!AL147</f>
        <v>0</v>
      </c>
      <c r="X138" s="10">
        <f>[2]หน้าผ้า!AM147</f>
        <v>0</v>
      </c>
      <c r="Y138" s="10">
        <f>[2]หน้าผ้า!AN147</f>
        <v>0</v>
      </c>
      <c r="Z138" s="9" t="str">
        <f>[2]หน้าผ้า!AO147</f>
        <v>WSWT2125800</v>
      </c>
      <c r="AA138" s="8" t="e">
        <f>[2]หน้าผ้า!AQ147</f>
        <v>#REF!</v>
      </c>
      <c r="AB138" s="8" t="e">
        <f>[2]หน้าผ้า!AR147</f>
        <v>#REF!</v>
      </c>
      <c r="AC138" s="8" t="e">
        <f>[2]หน้าผ้า!AS147</f>
        <v>#REF!</v>
      </c>
      <c r="AD138" s="8" t="e">
        <f>[2]หน้าผ้า!AT147</f>
        <v>#REF!</v>
      </c>
      <c r="AE138" s="8" t="e">
        <f>[2]หน้าผ้า!AU147</f>
        <v>#REF!</v>
      </c>
      <c r="AF138" s="8" t="str">
        <f>[2]หน้าผ้า!AI147</f>
        <v>ระบุในSD</v>
      </c>
      <c r="AG138" s="1" t="str">
        <f>[3]หน้าผ้า!DC150</f>
        <v>ยังไม่ได้พิมพ์</v>
      </c>
      <c r="AH138" s="1">
        <f>[2]หน้าผ้า!DL147</f>
        <v>0</v>
      </c>
      <c r="AI138" s="1">
        <f>[2]หน้าผ้า!DM147</f>
        <v>0</v>
      </c>
      <c r="AJ138" s="3">
        <f>[2]หน้าผ้า!DN147</f>
        <v>0</v>
      </c>
      <c r="AK138" s="3">
        <f>[2]หน้าผ้า!DQ147</f>
        <v>0</v>
      </c>
      <c r="AL138" s="3">
        <f>[2]หน้าผ้า!DR147</f>
        <v>0</v>
      </c>
      <c r="AM138" s="3">
        <f>[2]หน้าผ้า!DS147</f>
        <v>0</v>
      </c>
      <c r="AN138" s="3">
        <f>[2]หน้าผ้า!DT147</f>
        <v>0</v>
      </c>
      <c r="AO138" s="3">
        <f>[2]หน้าผ้า!DU147</f>
        <v>0</v>
      </c>
      <c r="AP138" s="3">
        <f>[2]หน้าผ้า!DP147</f>
        <v>0</v>
      </c>
      <c r="AQ138" s="3">
        <f>[2]หน้าผ้า!DW147</f>
        <v>0</v>
      </c>
      <c r="AR138" s="3">
        <f>[2]หน้าผ้า!DX147</f>
        <v>0</v>
      </c>
      <c r="AS138" s="3">
        <f>[2]หน้าผ้า!DY147</f>
        <v>0</v>
      </c>
      <c r="AT138" s="3">
        <f>[2]หน้าผ้า!DZ147</f>
        <v>0</v>
      </c>
      <c r="AU138" s="3">
        <f>[2]หน้าผ้า!EA147</f>
        <v>0</v>
      </c>
      <c r="AV138" s="1">
        <f>[2]หน้าผ้า!EB147</f>
        <v>0</v>
      </c>
      <c r="AW138" s="2">
        <f>[2]หน้าผ้า!EC147</f>
        <v>0</v>
      </c>
      <c r="AX138" s="2">
        <f>[2]หน้าผ้า!ED147</f>
        <v>0</v>
      </c>
      <c r="AY138" s="2">
        <f>[2]หน้าผ้า!AG147</f>
        <v>0</v>
      </c>
      <c r="AZ138" s="2">
        <f>[2]หน้าผ้า!EG147</f>
        <v>0</v>
      </c>
      <c r="BA138" s="2">
        <f>[2]หน้าผ้า!EH147</f>
        <v>0</v>
      </c>
      <c r="BB138" s="2">
        <f>[2]หน้าผ้า!EI147</f>
        <v>0</v>
      </c>
      <c r="BC138" s="1" t="str">
        <f>[2]หน้าผ้า!BZ147</f>
        <v>WRWT210800/WRWT25800</v>
      </c>
      <c r="BD138" s="56">
        <f>[2]หน้าผ้า!CA147</f>
        <v>0</v>
      </c>
    </row>
    <row r="139" spans="1:56" ht="27.75" customHeight="1" x14ac:dyDescent="0.45">
      <c r="A139" s="3">
        <f>[2]หน้าผ้า!C148</f>
        <v>45892</v>
      </c>
      <c r="B139" s="14" t="str">
        <f>[2]หน้าผ้า!B148</f>
        <v>MK68/001028</v>
      </c>
      <c r="C139" s="9" t="str">
        <f>[2]หน้าผ้า!E148</f>
        <v>บจก.เอสพีเอ็ม อาหารสัตว์</v>
      </c>
      <c r="D139" s="13" t="str">
        <f>[2]หน้าผ้า!F148</f>
        <v>มาซู ฟีดซี 0434</v>
      </c>
      <c r="E139" s="9">
        <f>[2]หน้าผ้า!G148</f>
        <v>21</v>
      </c>
      <c r="F139" s="9">
        <f>[2]หน้าผ้า!H148</f>
        <v>40</v>
      </c>
      <c r="G139" s="9" t="str">
        <f>[2]หน้าผ้า!I148</f>
        <v>ขาว</v>
      </c>
      <c r="H139" s="9" t="str">
        <f>[2]หน้าผ้า!J148</f>
        <v>ด้าน</v>
      </c>
      <c r="I139" s="9">
        <f>[2]หน้าผ้า!L148</f>
        <v>108</v>
      </c>
      <c r="J139" s="9" t="str">
        <f>[2]หน้าผ้า!M148</f>
        <v>±</v>
      </c>
      <c r="K139" s="9">
        <f>[2]หน้าผ้า!N148</f>
        <v>5</v>
      </c>
      <c r="L139" s="9" t="str">
        <f>[2]หน้าผ้า!R148</f>
        <v>บิด</v>
      </c>
      <c r="M139" s="10">
        <f>[2]หน้าผ้า!T148</f>
        <v>22</v>
      </c>
      <c r="N139" s="9">
        <f>[2]หน้าผ้า!U148</f>
        <v>42</v>
      </c>
      <c r="O139" s="9">
        <f>[2]หน้าผ้า!V148</f>
        <v>40</v>
      </c>
      <c r="P139" s="10">
        <f>[2]หน้าผ้า!AB148</f>
        <v>0</v>
      </c>
      <c r="Q139" s="10">
        <f>[2]หน้าผ้า!AC148</f>
        <v>0</v>
      </c>
      <c r="R139" s="10">
        <f>[2]หน้าผ้า!AD148</f>
        <v>0</v>
      </c>
      <c r="S139" s="9" t="str">
        <f>[2]หน้าผ้า!Z148</f>
        <v>500กระสอบแบน</v>
      </c>
      <c r="T139" s="12">
        <f>[2]หน้าผ้า!X148</f>
        <v>45906</v>
      </c>
      <c r="U139" s="11">
        <f>[2]หน้าผ้า!AA148</f>
        <v>3000</v>
      </c>
      <c r="V139" s="10">
        <f>[2]หน้าผ้า!AJ148</f>
        <v>3000</v>
      </c>
      <c r="W139" s="10">
        <f>[2]หน้าผ้า!AL148</f>
        <v>0</v>
      </c>
      <c r="X139" s="10">
        <f>[2]หน้าผ้า!AM148</f>
        <v>3100</v>
      </c>
      <c r="Y139" s="10">
        <f>[2]หน้าผ้า!AN148</f>
        <v>0</v>
      </c>
      <c r="Z139" s="9" t="str">
        <f>[2]หน้าผ้า!AO148</f>
        <v>WSWT2121670SM</v>
      </c>
      <c r="AA139" s="8">
        <f>[2]หน้าผ้า!AQ148</f>
        <v>0</v>
      </c>
      <c r="AB139" s="8">
        <f>[2]หน้าผ้า!AR148</f>
        <v>0</v>
      </c>
      <c r="AC139" s="8">
        <f>[2]หน้าผ้า!AS148</f>
        <v>0</v>
      </c>
      <c r="AD139" s="8">
        <f>[2]หน้าผ้า!AT148</f>
        <v>0</v>
      </c>
      <c r="AE139" s="8">
        <f>[2]หน้าผ้า!AU148</f>
        <v>0</v>
      </c>
      <c r="AF139" s="8">
        <f>[2]หน้าผ้า!AI148</f>
        <v>0</v>
      </c>
      <c r="AG139" s="1" t="str">
        <f>[3]หน้าผ้า!DC151</f>
        <v>ยังไม่ได้พิมพ์</v>
      </c>
      <c r="AH139" s="1" t="str">
        <f>[2]หน้าผ้า!DL148</f>
        <v>P8</v>
      </c>
      <c r="AI139" s="1">
        <f>[2]หน้าผ้า!DM148</f>
        <v>4</v>
      </c>
      <c r="AJ139" s="3">
        <f>[2]หน้าผ้า!DN148</f>
        <v>45906</v>
      </c>
      <c r="AK139" s="3">
        <f>[2]หน้าผ้า!DQ148</f>
        <v>45902</v>
      </c>
      <c r="AL139" s="3">
        <f>[2]หน้าผ้า!DR148</f>
        <v>45896</v>
      </c>
      <c r="AM139" s="3">
        <f>[2]หน้าผ้า!DS148</f>
        <v>45903</v>
      </c>
      <c r="AN139" s="3">
        <f>[2]หน้าผ้า!DT148</f>
        <v>45904</v>
      </c>
      <c r="AO139" s="3">
        <f>[2]หน้าผ้า!DU148</f>
        <v>45904</v>
      </c>
      <c r="AP139" s="3">
        <f>[2]หน้าผ้า!DP148</f>
        <v>45901</v>
      </c>
      <c r="AQ139" s="3">
        <f>[2]หน้าผ้า!DW148</f>
        <v>45905</v>
      </c>
      <c r="AR139" s="3">
        <f>[2]หน้าผ้า!DX148</f>
        <v>0</v>
      </c>
      <c r="AS139" s="3">
        <f>[2]หน้าผ้า!DY148</f>
        <v>0</v>
      </c>
      <c r="AT139" s="3">
        <f>[2]หน้าผ้า!DZ148</f>
        <v>0</v>
      </c>
      <c r="AU139" s="3">
        <f>[2]หน้าผ้า!EA148</f>
        <v>0</v>
      </c>
      <c r="AV139" s="1">
        <f>[2]หน้าผ้า!EB148</f>
        <v>0</v>
      </c>
      <c r="AW139" s="2" t="str">
        <f>[2]หน้าผ้า!EC148</f>
        <v>งานเคลือบ+พิมพ์</v>
      </c>
      <c r="AX139" s="2" t="str">
        <f>[2]หน้าผ้า!ED148</f>
        <v xml:space="preserve"> /</v>
      </c>
      <c r="AY139" s="2">
        <f>[2]หน้าผ้า!AG148</f>
        <v>0</v>
      </c>
      <c r="AZ139" s="2">
        <f>[2]หน้าผ้า!EG148</f>
        <v>0</v>
      </c>
      <c r="BA139" s="2">
        <f>[2]หน้าผ้า!EH148</f>
        <v>0</v>
      </c>
      <c r="BB139" s="2">
        <f>[2]หน้าผ้า!EI148</f>
        <v>0</v>
      </c>
      <c r="BC139" s="1" t="str">
        <f>[2]หน้าผ้า!BZ148</f>
        <v>WRWT21670/WRWT21670</v>
      </c>
      <c r="BD139" s="56">
        <f>[2]หน้าผ้า!CA148</f>
        <v>0</v>
      </c>
    </row>
    <row r="140" spans="1:56" ht="27.75" customHeight="1" x14ac:dyDescent="0.45">
      <c r="A140" s="3">
        <f>[2]หน้าผ้า!C149</f>
        <v>45876</v>
      </c>
      <c r="B140" s="14" t="str">
        <f>[2]หน้าผ้า!B149</f>
        <v>MK68-000977</v>
      </c>
      <c r="C140" s="9" t="str">
        <f>[2]หน้าผ้า!E149</f>
        <v>บจก.เอพีเอ็ม อะโกร</v>
      </c>
      <c r="D140" s="13" t="str">
        <f>[2]หน้าผ้า!F149</f>
        <v>โมโม่ 4131</v>
      </c>
      <c r="E140" s="9">
        <f>[2]หน้าผ้า!G149</f>
        <v>21</v>
      </c>
      <c r="F140" s="9">
        <f>[2]หน้าผ้า!H149</f>
        <v>38</v>
      </c>
      <c r="G140" s="9" t="str">
        <f>[2]หน้าผ้า!I149</f>
        <v>ขาว</v>
      </c>
      <c r="H140" s="9" t="str">
        <f>[2]หน้าผ้า!J149</f>
        <v>ใส</v>
      </c>
      <c r="I140" s="9">
        <f>[2]หน้าผ้า!L149</f>
        <v>102</v>
      </c>
      <c r="J140" s="9" t="str">
        <f>[2]หน้าผ้า!M149</f>
        <v>±</v>
      </c>
      <c r="K140" s="9">
        <f>[2]หน้าผ้า!N149</f>
        <v>5</v>
      </c>
      <c r="L140" s="9" t="str">
        <f>[2]หน้าผ้า!R149</f>
        <v>จับจีบ</v>
      </c>
      <c r="M140" s="10">
        <f>[2]หน้าผ้า!T149</f>
        <v>22</v>
      </c>
      <c r="N140" s="9">
        <f>[2]หน้าผ้า!U149</f>
        <v>40</v>
      </c>
      <c r="O140" s="9">
        <f>[2]หน้าผ้า!V149</f>
        <v>40</v>
      </c>
      <c r="P140" s="10">
        <f>[2]หน้าผ้า!AB149</f>
        <v>65.13122457599998</v>
      </c>
      <c r="Q140" s="10">
        <f>[2]หน้าผ้า!AC149</f>
        <v>0</v>
      </c>
      <c r="R140" s="10">
        <f>[2]หน้าผ้า!AD149</f>
        <v>65.13122457599998</v>
      </c>
      <c r="S140" s="9" t="str">
        <f>[2]หน้าผ้า!Z149</f>
        <v>500กระสอบแบน</v>
      </c>
      <c r="T140" s="12">
        <f>[2]หน้าผ้า!X149</f>
        <v>45926</v>
      </c>
      <c r="U140" s="11">
        <f>[2]หน้าผ้า!AA149</f>
        <v>3000</v>
      </c>
      <c r="V140" s="10">
        <f>[2]หน้าผ้า!AJ149</f>
        <v>0</v>
      </c>
      <c r="W140" s="10">
        <f>[2]หน้าผ้า!AL149</f>
        <v>3000</v>
      </c>
      <c r="X140" s="10">
        <f>[2]หน้าผ้า!AM149</f>
        <v>0</v>
      </c>
      <c r="Y140" s="10">
        <f>[2]หน้าผ้า!AN149</f>
        <v>3150</v>
      </c>
      <c r="Z140" s="9" t="str">
        <f>[2]หน้าผ้า!AO149</f>
        <v>WSWT2121670SM</v>
      </c>
      <c r="AA140" s="8">
        <f>[2]หน้าผ้า!AQ149</f>
        <v>3310.89</v>
      </c>
      <c r="AB140" s="8">
        <f>[2]หน้าผ้า!AR149</f>
        <v>3310.89</v>
      </c>
      <c r="AC140" s="8">
        <f>[2]หน้าผ้า!AS149</f>
        <v>0</v>
      </c>
      <c r="AD140" s="8">
        <f>[2]หน้าผ้า!AT149</f>
        <v>3310.89</v>
      </c>
      <c r="AE140" s="8">
        <f>[2]หน้าผ้า!AU149</f>
        <v>0</v>
      </c>
      <c r="AF140" s="8">
        <f>[2]หน้าผ้า!AI149</f>
        <v>0</v>
      </c>
      <c r="AG140" s="1" t="str">
        <f>[3]หน้าผ้า!DC152</f>
        <v>ยังไม่ได้พิมพ์</v>
      </c>
      <c r="AH140" s="1" t="str">
        <f>[2]หน้าผ้า!DL149</f>
        <v>P8</v>
      </c>
      <c r="AI140" s="1">
        <f>[2]หน้าผ้า!DM149</f>
        <v>4</v>
      </c>
      <c r="AJ140" s="3">
        <f>[2]หน้าผ้า!DN149</f>
        <v>45926</v>
      </c>
      <c r="AK140" s="3">
        <f>[2]หน้าผ้า!DQ149</f>
        <v>45922</v>
      </c>
      <c r="AL140" s="3">
        <f>[2]หน้าผ้า!DR149</f>
        <v>45916</v>
      </c>
      <c r="AM140" s="3">
        <f>[2]หน้าผ้า!DS149</f>
        <v>45923</v>
      </c>
      <c r="AN140" s="3">
        <f>[2]หน้าผ้า!DT149</f>
        <v>45924</v>
      </c>
      <c r="AO140" s="3">
        <f>[2]หน้าผ้า!DU149</f>
        <v>45924</v>
      </c>
      <c r="AP140" s="3">
        <f>[2]หน้าผ้า!DP149</f>
        <v>45921</v>
      </c>
      <c r="AQ140" s="3">
        <f>[2]หน้าผ้า!DW149</f>
        <v>45925</v>
      </c>
      <c r="AR140" s="3">
        <f>[2]หน้าผ้า!DX149</f>
        <v>0</v>
      </c>
      <c r="AS140" s="3">
        <f>[2]หน้าผ้า!DY149</f>
        <v>0</v>
      </c>
      <c r="AT140" s="3">
        <f>[2]หน้าผ้า!DZ149</f>
        <v>0</v>
      </c>
      <c r="AU140" s="3">
        <f>[2]หน้าผ้า!EA149</f>
        <v>0</v>
      </c>
      <c r="AV140" s="1">
        <f>[2]หน้าผ้า!EB149</f>
        <v>0</v>
      </c>
      <c r="AW140" s="2" t="str">
        <f>[2]หน้าผ้า!EC149</f>
        <v>งานเคลือบ+พิมพ์</v>
      </c>
      <c r="AX140" s="2" t="str">
        <f>[2]หน้าผ้า!ED149</f>
        <v xml:space="preserve"> /</v>
      </c>
      <c r="AY140" s="2">
        <f>[2]หน้าผ้า!AG149</f>
        <v>0</v>
      </c>
      <c r="AZ140" s="2">
        <f>[2]หน้าผ้า!EG149</f>
        <v>0</v>
      </c>
      <c r="BA140" s="2">
        <f>[2]หน้าผ้า!EH149</f>
        <v>0</v>
      </c>
      <c r="BB140" s="2">
        <f>[2]หน้าผ้า!EI149</f>
        <v>0</v>
      </c>
      <c r="BC140" s="1" t="str">
        <f>[2]หน้าผ้า!BZ149</f>
        <v>WRWT21670/WRWT21670</v>
      </c>
      <c r="BD140" s="56">
        <f>[2]หน้าผ้า!CA149</f>
        <v>0</v>
      </c>
    </row>
    <row r="141" spans="1:56" ht="27.75" customHeight="1" x14ac:dyDescent="0.45">
      <c r="A141" s="3">
        <f>[2]หน้าผ้า!C150</f>
        <v>45631</v>
      </c>
      <c r="B141" s="14" t="str">
        <f>[2]หน้าผ้า!B150</f>
        <v>MK67-001643</v>
      </c>
      <c r="C141" s="9" t="str">
        <f>[2]หน้าผ้า!E150</f>
        <v>บจก.ที.ซี.ยูเนี่ยน อโกรเทค</v>
      </c>
      <c r="D141" s="13" t="str">
        <f>[2]หน้าผ้า!F150</f>
        <v>Zhejiang UN</v>
      </c>
      <c r="E141" s="9">
        <f>[2]หน้าผ้า!G150</f>
        <v>21</v>
      </c>
      <c r="F141" s="9">
        <f>[2]หน้าผ้า!H150</f>
        <v>37</v>
      </c>
      <c r="G141" s="9" t="str">
        <f>[2]หน้าผ้า!I150</f>
        <v>ขาว</v>
      </c>
      <c r="H141" s="9" t="str">
        <f>[2]หน้าผ้า!J150</f>
        <v>ใส</v>
      </c>
      <c r="I141" s="9">
        <f>[2]หน้าผ้า!L150</f>
        <v>100</v>
      </c>
      <c r="J141" s="9" t="str">
        <f>[2]หน้าผ้า!M150</f>
        <v>±</v>
      </c>
      <c r="K141" s="9">
        <f>[2]หน้าผ้า!N150</f>
        <v>5</v>
      </c>
      <c r="L141" s="9" t="str">
        <f>[2]หน้าผ้า!R150</f>
        <v>ไม่</v>
      </c>
      <c r="M141" s="10" t="str">
        <f>[2]หน้าผ้า!T150</f>
        <v>ไม่สวมถุงใน</v>
      </c>
      <c r="N141" s="9">
        <f>[2]หน้าผ้า!U150</f>
        <v>0</v>
      </c>
      <c r="O141" s="9">
        <f>[2]หน้าผ้า!V150</f>
        <v>0</v>
      </c>
      <c r="P141" s="10">
        <f>[2]หน้าผ้า!AB150</f>
        <v>0</v>
      </c>
      <c r="Q141" s="10">
        <f>[2]หน้าผ้า!AC150</f>
        <v>0</v>
      </c>
      <c r="R141" s="10">
        <f>[2]หน้าผ้า!AD150</f>
        <v>0</v>
      </c>
      <c r="S141" s="9" t="str">
        <f>[2]หน้าผ้า!Z150</f>
        <v xml:space="preserve">300กระสอบแบนเต็มใบ </v>
      </c>
      <c r="T141" s="12" t="str">
        <f>[2]หน้าผ้า!X150</f>
        <v>รอแจ้ง</v>
      </c>
      <c r="U141" s="11">
        <f>[2]หน้าผ้า!AA150</f>
        <v>16000</v>
      </c>
      <c r="V141" s="10">
        <f>[2]หน้าผ้า!AJ150</f>
        <v>0</v>
      </c>
      <c r="W141" s="10">
        <f>[2]หน้าผ้า!AL150</f>
        <v>16000</v>
      </c>
      <c r="X141" s="10">
        <f>[2]หน้าผ้า!AM150</f>
        <v>0</v>
      </c>
      <c r="Y141" s="10">
        <f>[2]หน้าผ้า!AN150</f>
        <v>16800</v>
      </c>
      <c r="Z141" s="9" t="str">
        <f>[2]หน้าผ้า!AO150</f>
        <v>WSWT2121670SM</v>
      </c>
      <c r="AA141" s="8">
        <f>[2]หน้าผ้า!AQ150</f>
        <v>17211.04</v>
      </c>
      <c r="AB141" s="8">
        <f>[2]หน้าผ้า!AR150</f>
        <v>17211.04</v>
      </c>
      <c r="AC141" s="8">
        <f>[2]หน้าผ้า!AS150</f>
        <v>0</v>
      </c>
      <c r="AD141" s="8">
        <f>[2]หน้าผ้า!AT150</f>
        <v>0</v>
      </c>
      <c r="AE141" s="8">
        <f>[2]หน้าผ้า!AU150</f>
        <v>17211.04</v>
      </c>
      <c r="AF141" s="8">
        <f>[2]หน้าผ้า!AI150</f>
        <v>0</v>
      </c>
      <c r="AG141" s="1" t="str">
        <f>[3]หน้าผ้า!DC153</f>
        <v>รอแบบ</v>
      </c>
      <c r="AH141" s="1" t="str">
        <f>[2]หน้าผ้า!DL150</f>
        <v>P8</v>
      </c>
      <c r="AI141" s="1">
        <f>[2]หน้าผ้า!DM150</f>
        <v>4</v>
      </c>
      <c r="AJ141" s="3" t="str">
        <f>[2]หน้าผ้า!DN150</f>
        <v>รอแจ้ง</v>
      </c>
      <c r="AK141" s="3" t="e">
        <f>[2]หน้าผ้า!DQ150</f>
        <v>#VALUE!</v>
      </c>
      <c r="AL141" s="3" t="e">
        <f>[2]หน้าผ้า!DR150</f>
        <v>#VALUE!</v>
      </c>
      <c r="AM141" s="3" t="e">
        <f>[2]หน้าผ้า!DS150</f>
        <v>#VALUE!</v>
      </c>
      <c r="AN141" s="3" t="e">
        <f>[2]หน้าผ้า!DT150</f>
        <v>#VALUE!</v>
      </c>
      <c r="AO141" s="3" t="e">
        <f>[2]หน้าผ้า!DU150</f>
        <v>#VALUE!</v>
      </c>
      <c r="AP141" s="3" t="e">
        <f>[2]หน้าผ้า!DP150</f>
        <v>#VALUE!</v>
      </c>
      <c r="AQ141" s="3">
        <f>[2]หน้าผ้า!DW150</f>
        <v>0</v>
      </c>
      <c r="AR141" s="3">
        <f>[2]หน้าผ้า!DX150</f>
        <v>0</v>
      </c>
      <c r="AS141" s="3">
        <f>[2]หน้าผ้า!DY150</f>
        <v>0</v>
      </c>
      <c r="AT141" s="3">
        <f>[2]หน้าผ้า!DZ150</f>
        <v>0</v>
      </c>
      <c r="AU141" s="3">
        <f>[2]หน้าผ้า!EA150</f>
        <v>0</v>
      </c>
      <c r="AV141" s="1">
        <f>[2]หน้าผ้า!EB150</f>
        <v>0</v>
      </c>
      <c r="AW141" s="2" t="str">
        <f>[2]หน้าผ้า!EC150</f>
        <v>งานเคลือบ+พิมพ์</v>
      </c>
      <c r="AX141" s="2" t="str">
        <f>[2]หน้าผ้า!ED150</f>
        <v xml:space="preserve"> /</v>
      </c>
      <c r="AY141" s="2" t="str">
        <f>[2]หน้าผ้า!AG150</f>
        <v>17/2---28/3 ลูกค้าแจ้งเลื่อน</v>
      </c>
      <c r="AZ141" s="2">
        <f>[2]หน้าผ้า!EG150</f>
        <v>0</v>
      </c>
      <c r="BA141" s="2">
        <f>[2]หน้าผ้า!EH150</f>
        <v>0</v>
      </c>
      <c r="BB141" s="2">
        <f>[2]หน้าผ้า!EI150</f>
        <v>0</v>
      </c>
      <c r="BC141" s="1" t="str">
        <f>[2]หน้าผ้า!BZ150</f>
        <v>WRWT21670/WRWT21670</v>
      </c>
      <c r="BD141" s="56">
        <f>[2]หน้าผ้า!CA150</f>
        <v>0</v>
      </c>
    </row>
    <row r="142" spans="1:56" ht="27.75" customHeight="1" x14ac:dyDescent="0.45">
      <c r="A142" s="3">
        <f>[2]หน้าผ้า!C151</f>
        <v>45631</v>
      </c>
      <c r="B142" s="14" t="str">
        <f>[2]หน้าผ้า!B151</f>
        <v>MK67-001642</v>
      </c>
      <c r="C142" s="9" t="str">
        <f>[2]หน้าผ้า!E151</f>
        <v>บจก.ที.ซี.ยูเนี่ยน อโกรเทค</v>
      </c>
      <c r="D142" s="13" t="str">
        <f>[2]หน้าผ้า!F151</f>
        <v>Zhejiang UN</v>
      </c>
      <c r="E142" s="9">
        <f>[2]หน้าผ้า!G151</f>
        <v>21</v>
      </c>
      <c r="F142" s="9">
        <f>[2]หน้าผ้า!H151</f>
        <v>37</v>
      </c>
      <c r="G142" s="9" t="str">
        <f>[2]หน้าผ้า!I151</f>
        <v>ขาว</v>
      </c>
      <c r="H142" s="9" t="str">
        <f>[2]หน้าผ้า!J151</f>
        <v>ใส</v>
      </c>
      <c r="I142" s="9">
        <f>[2]หน้าผ้า!L151</f>
        <v>100</v>
      </c>
      <c r="J142" s="9" t="str">
        <f>[2]หน้าผ้า!M151</f>
        <v>±</v>
      </c>
      <c r="K142" s="9">
        <f>[2]หน้าผ้า!N151</f>
        <v>5</v>
      </c>
      <c r="L142" s="9" t="str">
        <f>[2]หน้าผ้า!R151</f>
        <v>ไม่</v>
      </c>
      <c r="M142" s="10" t="str">
        <f>[2]หน้าผ้า!T151</f>
        <v>ไม่สวมถุงใน</v>
      </c>
      <c r="N142" s="9">
        <f>[2]หน้าผ้า!U151</f>
        <v>0</v>
      </c>
      <c r="O142" s="9">
        <f>[2]หน้าผ้า!V151</f>
        <v>0</v>
      </c>
      <c r="P142" s="10">
        <f>[2]หน้าผ้า!AB151</f>
        <v>0</v>
      </c>
      <c r="Q142" s="10">
        <f>[2]หน้าผ้า!AC151</f>
        <v>0</v>
      </c>
      <c r="R142" s="10">
        <f>[2]หน้าผ้า!AD151</f>
        <v>0</v>
      </c>
      <c r="S142" s="9" t="str">
        <f>[2]หน้าผ้า!Z151</f>
        <v xml:space="preserve">300กระสอบแบนเต็มใบ </v>
      </c>
      <c r="T142" s="12" t="str">
        <f>[2]หน้าผ้า!X151</f>
        <v>รอแจ้ง</v>
      </c>
      <c r="U142" s="11">
        <f>[2]หน้าผ้า!AA151</f>
        <v>9000</v>
      </c>
      <c r="V142" s="10">
        <f>[2]หน้าผ้า!AJ151</f>
        <v>0</v>
      </c>
      <c r="W142" s="10">
        <f>[2]หน้าผ้า!AL151</f>
        <v>9000</v>
      </c>
      <c r="X142" s="10">
        <f>[2]หน้าผ้า!AM151</f>
        <v>0</v>
      </c>
      <c r="Y142" s="10">
        <f>[2]หน้าผ้า!AN151</f>
        <v>9450</v>
      </c>
      <c r="Z142" s="9" t="str">
        <f>[2]หน้าผ้า!AO151</f>
        <v>WSWT2121670SM</v>
      </c>
      <c r="AA142" s="8">
        <f>[2]หน้าผ้า!AQ151</f>
        <v>9681.2100000000009</v>
      </c>
      <c r="AB142" s="8">
        <f>[2]หน้าผ้า!AR151</f>
        <v>9681.2100000000009</v>
      </c>
      <c r="AC142" s="8">
        <f>[2]หน้าผ้า!AS151</f>
        <v>0</v>
      </c>
      <c r="AD142" s="8">
        <f>[2]หน้าผ้า!AT151</f>
        <v>0</v>
      </c>
      <c r="AE142" s="8">
        <f>[2]หน้าผ้า!AU151</f>
        <v>9681.2100000000009</v>
      </c>
      <c r="AF142" s="8">
        <f>[2]หน้าผ้า!AI151</f>
        <v>0</v>
      </c>
      <c r="AG142" s="1" t="str">
        <f>[3]หน้าผ้า!DC154</f>
        <v>ยังไม่ได้พิมพ์</v>
      </c>
      <c r="AH142" s="1" t="str">
        <f>[2]หน้าผ้า!DL151</f>
        <v>P8</v>
      </c>
      <c r="AI142" s="1">
        <f>[2]หน้าผ้า!DM151</f>
        <v>4</v>
      </c>
      <c r="AJ142" s="3" t="str">
        <f>[2]หน้าผ้า!DN151</f>
        <v>รอแจ้ง</v>
      </c>
      <c r="AK142" s="3" t="e">
        <f>[2]หน้าผ้า!DQ151</f>
        <v>#VALUE!</v>
      </c>
      <c r="AL142" s="3" t="e">
        <f>[2]หน้าผ้า!DR151</f>
        <v>#VALUE!</v>
      </c>
      <c r="AM142" s="3" t="e">
        <f>[2]หน้าผ้า!DS151</f>
        <v>#VALUE!</v>
      </c>
      <c r="AN142" s="3" t="e">
        <f>[2]หน้าผ้า!DT151</f>
        <v>#VALUE!</v>
      </c>
      <c r="AO142" s="3" t="e">
        <f>[2]หน้าผ้า!DU151</f>
        <v>#VALUE!</v>
      </c>
      <c r="AP142" s="3" t="e">
        <f>[2]หน้าผ้า!DP151</f>
        <v>#VALUE!</v>
      </c>
      <c r="AQ142" s="3">
        <f>[2]หน้าผ้า!DW151</f>
        <v>0</v>
      </c>
      <c r="AR142" s="3">
        <f>[2]หน้าผ้า!DX151</f>
        <v>0</v>
      </c>
      <c r="AS142" s="3">
        <f>[2]หน้าผ้า!DY151</f>
        <v>0</v>
      </c>
      <c r="AT142" s="3">
        <f>[2]หน้าผ้า!DZ151</f>
        <v>0</v>
      </c>
      <c r="AU142" s="3">
        <f>[2]หน้าผ้า!EA151</f>
        <v>0</v>
      </c>
      <c r="AV142" s="1">
        <f>[2]หน้าผ้า!EB151</f>
        <v>0</v>
      </c>
      <c r="AW142" s="2" t="str">
        <f>[2]หน้าผ้า!EC151</f>
        <v>งานเคลือบ+พิมพ์</v>
      </c>
      <c r="AX142" s="2" t="str">
        <f>[2]หน้าผ้า!ED151</f>
        <v xml:space="preserve"> /</v>
      </c>
      <c r="AY142" s="2" t="str">
        <f>[2]หน้าผ้า!AG151</f>
        <v>3/2---19/3 ลูกค้าแจ้งเลื่อน</v>
      </c>
      <c r="AZ142" s="2">
        <f>[2]หน้าผ้า!EG151</f>
        <v>0</v>
      </c>
      <c r="BA142" s="2">
        <f>[2]หน้าผ้า!EH151</f>
        <v>0</v>
      </c>
      <c r="BB142" s="2">
        <f>[2]หน้าผ้า!EI151</f>
        <v>0</v>
      </c>
      <c r="BC142" s="1" t="str">
        <f>[2]หน้าผ้า!BZ151</f>
        <v>WRWT21670/WRWT21670</v>
      </c>
      <c r="BD142" s="56">
        <f>[2]หน้าผ้า!CA151</f>
        <v>0</v>
      </c>
    </row>
    <row r="143" spans="1:56" ht="27.75" customHeight="1" x14ac:dyDescent="0.45">
      <c r="A143" s="3">
        <f>[2]หน้าผ้า!C152</f>
        <v>45904</v>
      </c>
      <c r="B143" s="14" t="str">
        <f>[2]หน้าผ้า!B152</f>
        <v>MK68-001073</v>
      </c>
      <c r="C143" s="9" t="str">
        <f>[2]หน้าผ้า!E152</f>
        <v>บจก.ทีเจที.เทรดเดอร์</v>
      </c>
      <c r="D143" s="13" t="str">
        <f>[2]หน้าผ้า!F152</f>
        <v>เอ็มเค 914</v>
      </c>
      <c r="E143" s="9">
        <f>[2]หน้าผ้า!G152</f>
        <v>21</v>
      </c>
      <c r="F143" s="9">
        <f>[2]หน้าผ้า!H152</f>
        <v>40</v>
      </c>
      <c r="G143" s="9" t="str">
        <f>[2]หน้าผ้า!I152</f>
        <v>ขาว</v>
      </c>
      <c r="H143" s="9" t="str">
        <f>[2]หน้าผ้า!J152</f>
        <v>ใส</v>
      </c>
      <c r="I143" s="9">
        <f>[2]หน้าผ้า!L152</f>
        <v>108</v>
      </c>
      <c r="J143" s="9" t="str">
        <f>[2]หน้าผ้า!M152</f>
        <v>±</v>
      </c>
      <c r="K143" s="9">
        <f>[2]หน้าผ้า!N152</f>
        <v>5</v>
      </c>
      <c r="L143" s="9" t="str">
        <f>[2]หน้าผ้า!R152</f>
        <v>ไม่</v>
      </c>
      <c r="M143" s="10" t="str">
        <f>[2]หน้าผ้า!T152</f>
        <v>ไม่สวมถุงใน</v>
      </c>
      <c r="N143" s="9">
        <f>[2]หน้าผ้า!U152</f>
        <v>0</v>
      </c>
      <c r="O143" s="9">
        <f>[2]หน้าผ้า!V152</f>
        <v>0</v>
      </c>
      <c r="P143" s="10">
        <f>[2]หน้าผ้า!AB152</f>
        <v>0</v>
      </c>
      <c r="Q143" s="10">
        <f>[2]หน้าผ้า!AC152</f>
        <v>0</v>
      </c>
      <c r="R143" s="10">
        <f>[2]หน้าผ้า!AD152</f>
        <v>0</v>
      </c>
      <c r="S143" s="9" t="str">
        <f>[2]หน้าผ้า!Z152</f>
        <v>500กระสอบ</v>
      </c>
      <c r="T143" s="12">
        <f>[2]หน้าผ้า!X152</f>
        <v>45911</v>
      </c>
      <c r="U143" s="11">
        <f>[2]หน้าผ้า!AA152</f>
        <v>4000</v>
      </c>
      <c r="V143" s="10">
        <f>[2]หน้าผ้า!AJ152</f>
        <v>0</v>
      </c>
      <c r="W143" s="10">
        <f>[2]หน้าผ้า!AL152</f>
        <v>4000</v>
      </c>
      <c r="X143" s="10">
        <f>[2]หน้าผ้า!AM152</f>
        <v>0</v>
      </c>
      <c r="Y143" s="10">
        <f>[2]หน้าผ้า!AN152</f>
        <v>4200</v>
      </c>
      <c r="Z143" s="9" t="str">
        <f>[2]หน้าผ้า!AO152</f>
        <v>WSWT2121670SM</v>
      </c>
      <c r="AA143" s="8">
        <f>[2]หน้าผ้า!AQ152</f>
        <v>4638.0400000000009</v>
      </c>
      <c r="AB143" s="8">
        <f>[2]หน้าผ้า!AR152</f>
        <v>0</v>
      </c>
      <c r="AC143" s="8">
        <f>[2]หน้าผ้า!AS152</f>
        <v>4638.0400000000009</v>
      </c>
      <c r="AD143" s="8">
        <f>[2]หน้าผ้า!AT152</f>
        <v>0</v>
      </c>
      <c r="AE143" s="8">
        <f>[2]หน้าผ้า!AU152</f>
        <v>4638.0400000000009</v>
      </c>
      <c r="AF143" s="8">
        <f>[2]หน้าผ้า!AI152</f>
        <v>0</v>
      </c>
      <c r="AG143" s="1" t="str">
        <f>[3]หน้าผ้า!DC155</f>
        <v>ยังไม่ได้พิมพ์</v>
      </c>
      <c r="AH143" s="1" t="str">
        <f>[2]หน้าผ้า!DL152</f>
        <v>P8</v>
      </c>
      <c r="AI143" s="1">
        <f>[2]หน้าผ้า!DM152</f>
        <v>4</v>
      </c>
      <c r="AJ143" s="3">
        <f>[2]หน้าผ้า!DN152</f>
        <v>45911</v>
      </c>
      <c r="AK143" s="3">
        <f>[2]หน้าผ้า!DQ152</f>
        <v>45907</v>
      </c>
      <c r="AL143" s="3">
        <f>[2]หน้าผ้า!DR152</f>
        <v>45901</v>
      </c>
      <c r="AM143" s="3">
        <f>[2]หน้าผ้า!DS152</f>
        <v>45908</v>
      </c>
      <c r="AN143" s="3">
        <f>[2]หน้าผ้า!DT152</f>
        <v>45909</v>
      </c>
      <c r="AO143" s="3">
        <f>[2]หน้าผ้า!DU152</f>
        <v>45909</v>
      </c>
      <c r="AP143" s="3">
        <f>[2]หน้าผ้า!DP152</f>
        <v>45906</v>
      </c>
      <c r="AQ143" s="3">
        <f>[2]หน้าผ้า!DW152</f>
        <v>0</v>
      </c>
      <c r="AR143" s="3">
        <f>[2]หน้าผ้า!DX152</f>
        <v>0</v>
      </c>
      <c r="AS143" s="3">
        <f>[2]หน้าผ้า!DY152</f>
        <v>0</v>
      </c>
      <c r="AT143" s="3">
        <f>[2]หน้าผ้า!DZ152</f>
        <v>0</v>
      </c>
      <c r="AU143" s="3">
        <f>[2]หน้าผ้า!EA152</f>
        <v>0</v>
      </c>
      <c r="AV143" s="1">
        <f>[2]หน้าผ้า!EB152</f>
        <v>0</v>
      </c>
      <c r="AW143" s="2" t="str">
        <f>[2]หน้าผ้า!EC152</f>
        <v>งานเคลือบ+พิมพ์</v>
      </c>
      <c r="AX143" s="2">
        <f>[2]หน้าผ้า!ED152</f>
        <v>0</v>
      </c>
      <c r="AY143" s="2">
        <f>[2]หน้าผ้า!AG152</f>
        <v>0</v>
      </c>
      <c r="AZ143" s="2">
        <f>[2]หน้าผ้า!EG152</f>
        <v>0</v>
      </c>
      <c r="BA143" s="2">
        <f>[2]หน้าผ้า!EH152</f>
        <v>0</v>
      </c>
      <c r="BB143" s="2">
        <f>[2]หน้าผ้า!EI152</f>
        <v>0</v>
      </c>
      <c r="BC143" s="1" t="str">
        <f>[2]หน้าผ้า!BZ152</f>
        <v>WRWT21670/WRWT21670</v>
      </c>
      <c r="BD143" s="56">
        <f>[2]หน้าผ้า!CA152</f>
        <v>333.53691653333334</v>
      </c>
    </row>
    <row r="144" spans="1:56" ht="27.75" customHeight="1" x14ac:dyDescent="0.45">
      <c r="A144" s="3" t="str">
        <f>[2]หน้าผ้า!C153</f>
        <v>ประมาณการ</v>
      </c>
      <c r="B144" s="14" t="str">
        <f>[2]หน้าผ้า!B153</f>
        <v>ประมาณการ</v>
      </c>
      <c r="C144" s="9" t="str">
        <f>[2]หน้าผ้า!E153</f>
        <v>บจก.แอมโก้เวท</v>
      </c>
      <c r="D144" s="13" t="str">
        <f>[2]หน้าผ้า!F153</f>
        <v>รอแบบ</v>
      </c>
      <c r="E144" s="9">
        <f>[2]หน้าผ้า!G153</f>
        <v>21</v>
      </c>
      <c r="F144" s="9">
        <f>[2]หน้าผ้า!H153</f>
        <v>37</v>
      </c>
      <c r="G144" s="9" t="str">
        <f>[2]หน้าผ้า!I153</f>
        <v>ขาว</v>
      </c>
      <c r="H144" s="9" t="str">
        <f>[2]หน้าผ้า!J153</f>
        <v>ใส</v>
      </c>
      <c r="I144" s="9">
        <f>[2]หน้าผ้า!L153</f>
        <v>100</v>
      </c>
      <c r="J144" s="9" t="str">
        <f>[2]หน้าผ้า!M153</f>
        <v>±</v>
      </c>
      <c r="K144" s="9">
        <f>[2]หน้าผ้า!N153</f>
        <v>5</v>
      </c>
      <c r="L144" s="9" t="str">
        <f>[2]หน้าผ้า!R153</f>
        <v>บิด</v>
      </c>
      <c r="M144" s="10" t="str">
        <f>[2]หน้าผ้า!T153</f>
        <v>ไม่สวมถุงใน</v>
      </c>
      <c r="N144" s="9">
        <f>[2]หน้าผ้า!U153</f>
        <v>0</v>
      </c>
      <c r="O144" s="9">
        <f>[2]หน้าผ้า!V153</f>
        <v>0</v>
      </c>
      <c r="P144" s="10">
        <f>[2]หน้าผ้า!AB153</f>
        <v>0</v>
      </c>
      <c r="Q144" s="10">
        <f>[2]หน้าผ้า!AC153</f>
        <v>0</v>
      </c>
      <c r="R144" s="10">
        <f>[2]หน้าผ้า!AD153</f>
        <v>0</v>
      </c>
      <c r="S144" s="9" t="str">
        <f>[2]หน้าผ้า!Z153</f>
        <v>500กระสอบ</v>
      </c>
      <c r="T144" s="12">
        <f>[2]หน้าผ้า!X153</f>
        <v>45925</v>
      </c>
      <c r="U144" s="11">
        <f>[2]หน้าผ้า!AA153</f>
        <v>100000</v>
      </c>
      <c r="V144" s="10">
        <f>[2]หน้าผ้า!AJ153</f>
        <v>0</v>
      </c>
      <c r="W144" s="10">
        <f>[2]หน้าผ้า!AL153</f>
        <v>100000</v>
      </c>
      <c r="X144" s="10">
        <f>[2]หน้าผ้า!AM153</f>
        <v>0</v>
      </c>
      <c r="Y144" s="10">
        <f>[2]หน้าผ้า!AN153</f>
        <v>105000</v>
      </c>
      <c r="Z144" s="9" t="str">
        <f>[2]หน้าผ้า!AO153</f>
        <v>WSWT2121670SM</v>
      </c>
      <c r="AA144" s="8">
        <f>[2]หน้าผ้า!AQ153</f>
        <v>107569.00000000001</v>
      </c>
      <c r="AB144" s="8">
        <f>[2]หน้าผ้า!AR153</f>
        <v>107569.00000000001</v>
      </c>
      <c r="AC144" s="8">
        <f>[2]หน้าผ้า!AS153</f>
        <v>0</v>
      </c>
      <c r="AD144" s="8">
        <f>[2]หน้าผ้า!AT153</f>
        <v>107569.00000000001</v>
      </c>
      <c r="AE144" s="8">
        <f>[2]หน้าผ้า!AU153</f>
        <v>0</v>
      </c>
      <c r="AF144" s="8">
        <f>[2]หน้าผ้า!AI153</f>
        <v>0</v>
      </c>
      <c r="AG144" s="1" t="str">
        <f>[3]หน้าผ้า!DC156</f>
        <v>ยังไม่ได้พิมพ์</v>
      </c>
      <c r="AH144" s="1" t="str">
        <f>[2]หน้าผ้า!DL153</f>
        <v>P8</v>
      </c>
      <c r="AI144" s="1">
        <f>[2]หน้าผ้า!DM153</f>
        <v>4</v>
      </c>
      <c r="AJ144" s="3">
        <f>[2]หน้าผ้า!DN153</f>
        <v>45925</v>
      </c>
      <c r="AK144" s="3">
        <f>[2]หน้าผ้า!DQ153</f>
        <v>45921</v>
      </c>
      <c r="AL144" s="3">
        <f>[2]หน้าผ้า!DR153</f>
        <v>45915</v>
      </c>
      <c r="AM144" s="3">
        <f>[2]หน้าผ้า!DS153</f>
        <v>45922</v>
      </c>
      <c r="AN144" s="3">
        <f>[2]หน้าผ้า!DT153</f>
        <v>45923</v>
      </c>
      <c r="AO144" s="3">
        <f>[2]หน้าผ้า!DU153</f>
        <v>45923</v>
      </c>
      <c r="AP144" s="3">
        <f>[2]หน้าผ้า!DP153</f>
        <v>45920</v>
      </c>
      <c r="AQ144" s="3">
        <f>[2]หน้าผ้า!DW153</f>
        <v>0</v>
      </c>
      <c r="AR144" s="3">
        <f>[2]หน้าผ้า!DX153</f>
        <v>0</v>
      </c>
      <c r="AS144" s="3">
        <f>[2]หน้าผ้า!DY153</f>
        <v>0</v>
      </c>
      <c r="AT144" s="3">
        <f>[2]หน้าผ้า!DZ153</f>
        <v>0</v>
      </c>
      <c r="AU144" s="3">
        <f>[2]หน้าผ้า!EA153</f>
        <v>0</v>
      </c>
      <c r="AV144" s="1">
        <f>[2]หน้าผ้า!EB153</f>
        <v>0</v>
      </c>
      <c r="AW144" s="2" t="str">
        <f>[2]หน้าผ้า!EC153</f>
        <v>งานเคลือบ+พิมพ์</v>
      </c>
      <c r="AX144" s="2" t="str">
        <f>[2]หน้าผ้า!ED153</f>
        <v xml:space="preserve"> /</v>
      </c>
      <c r="AY144" s="2">
        <f>[2]หน้าผ้า!AG153</f>
        <v>0</v>
      </c>
      <c r="AZ144" s="2">
        <f>[2]หน้าผ้า!EG153</f>
        <v>0</v>
      </c>
      <c r="BA144" s="2">
        <f>[2]หน้าผ้า!EH153</f>
        <v>0</v>
      </c>
      <c r="BB144" s="2">
        <f>[2]หน้าผ้า!EI153</f>
        <v>0</v>
      </c>
      <c r="BC144" s="1" t="str">
        <f>[2]หน้าผ้า!BZ153</f>
        <v>WRWT21670/WRWT21670</v>
      </c>
      <c r="BD144" s="56">
        <f>[2]หน้าผ้า!CA153</f>
        <v>0</v>
      </c>
    </row>
    <row r="145" spans="1:56" ht="27.75" customHeight="1" x14ac:dyDescent="0.45">
      <c r="A145" s="3">
        <f>[2]หน้าผ้า!C154</f>
        <v>45896</v>
      </c>
      <c r="B145" s="14" t="str">
        <f>[2]หน้าผ้า!B154</f>
        <v>MK68-001036</v>
      </c>
      <c r="C145" s="9" t="str">
        <f>[2]หน้าผ้า!E154</f>
        <v>บจก.เอพีเอ็ม อะโกร</v>
      </c>
      <c r="D145" s="13" t="str">
        <f>[2]หน้าผ้า!F154</f>
        <v>โมโม่ 491</v>
      </c>
      <c r="E145" s="9">
        <f>[2]หน้าผ้า!G154</f>
        <v>21</v>
      </c>
      <c r="F145" s="9">
        <f>[2]หน้าผ้า!H154</f>
        <v>38</v>
      </c>
      <c r="G145" s="9" t="str">
        <f>[2]หน้าผ้า!I154</f>
        <v>ขาว</v>
      </c>
      <c r="H145" s="9" t="str">
        <f>[2]หน้าผ้า!J154</f>
        <v>ใส</v>
      </c>
      <c r="I145" s="9">
        <f>[2]หน้าผ้า!L154</f>
        <v>102</v>
      </c>
      <c r="J145" s="9" t="str">
        <f>[2]หน้าผ้า!M154</f>
        <v>±</v>
      </c>
      <c r="K145" s="9">
        <f>[2]หน้าผ้า!N154</f>
        <v>5</v>
      </c>
      <c r="L145" s="9" t="str">
        <f>[2]หน้าผ้า!R154</f>
        <v>จับจีบ</v>
      </c>
      <c r="M145" s="10">
        <f>[2]หน้าผ้า!T154</f>
        <v>22</v>
      </c>
      <c r="N145" s="9">
        <f>[2]หน้าผ้า!U154</f>
        <v>40</v>
      </c>
      <c r="O145" s="9">
        <f>[2]หน้าผ้า!V154</f>
        <v>40</v>
      </c>
      <c r="P145" s="10">
        <f>[2]หน้าผ้า!AB154</f>
        <v>65.13122457599998</v>
      </c>
      <c r="Q145" s="10">
        <f>[2]หน้าผ้า!AC154</f>
        <v>0</v>
      </c>
      <c r="R145" s="10">
        <f>[2]หน้าผ้า!AD154</f>
        <v>65.13122457599998</v>
      </c>
      <c r="S145" s="9" t="str">
        <f>[2]หน้าผ้า!Z154</f>
        <v>500กระสอบแบน</v>
      </c>
      <c r="T145" s="12" t="str">
        <f>[2]หน้าผ้า!X154</f>
        <v>รอแจ้ง</v>
      </c>
      <c r="U145" s="11">
        <f>[2]หน้าผ้า!AA154</f>
        <v>3000</v>
      </c>
      <c r="V145" s="10">
        <f>[2]หน้าผ้า!AJ154</f>
        <v>0</v>
      </c>
      <c r="W145" s="10">
        <f>[2]หน้าผ้า!AL154</f>
        <v>3000</v>
      </c>
      <c r="X145" s="10">
        <f>[2]หน้าผ้า!AM154</f>
        <v>0</v>
      </c>
      <c r="Y145" s="10">
        <f>[2]หน้าผ้า!AN154</f>
        <v>3150</v>
      </c>
      <c r="Z145" s="9" t="str">
        <f>[2]หน้าผ้า!AO154</f>
        <v>WSWT2121670SM</v>
      </c>
      <c r="AA145" s="8">
        <f>[2]หน้าผ้า!AQ154</f>
        <v>3310.89</v>
      </c>
      <c r="AB145" s="8">
        <f>[2]หน้าผ้า!AR154</f>
        <v>3310.89</v>
      </c>
      <c r="AC145" s="8">
        <f>[2]หน้าผ้า!AS154</f>
        <v>0</v>
      </c>
      <c r="AD145" s="8">
        <f>[2]หน้าผ้า!AT154</f>
        <v>0</v>
      </c>
      <c r="AE145" s="8">
        <f>[2]หน้าผ้า!AU154</f>
        <v>3310.89</v>
      </c>
      <c r="AF145" s="8">
        <f>[2]หน้าผ้า!AI154</f>
        <v>0</v>
      </c>
      <c r="AG145" s="1" t="str">
        <f>[3]หน้าผ้า!DC157</f>
        <v>ยังไม่ได้พิมพ์</v>
      </c>
      <c r="AH145" s="1" t="str">
        <f>[2]หน้าผ้า!DL154</f>
        <v>P8</v>
      </c>
      <c r="AI145" s="1">
        <f>[2]หน้าผ้า!DM154</f>
        <v>4</v>
      </c>
      <c r="AJ145" s="3" t="str">
        <f>[2]หน้าผ้า!DN154</f>
        <v>รอแจ้ง</v>
      </c>
      <c r="AK145" s="3" t="e">
        <f>[2]หน้าผ้า!DQ154</f>
        <v>#VALUE!</v>
      </c>
      <c r="AL145" s="3" t="e">
        <f>[2]หน้าผ้า!DR154</f>
        <v>#VALUE!</v>
      </c>
      <c r="AM145" s="3" t="e">
        <f>[2]หน้าผ้า!DS154</f>
        <v>#VALUE!</v>
      </c>
      <c r="AN145" s="3" t="e">
        <f>[2]หน้าผ้า!DT154</f>
        <v>#VALUE!</v>
      </c>
      <c r="AO145" s="3" t="e">
        <f>[2]หน้าผ้า!DU154</f>
        <v>#VALUE!</v>
      </c>
      <c r="AP145" s="3" t="e">
        <f>[2]หน้าผ้า!DP154</f>
        <v>#VALUE!</v>
      </c>
      <c r="AQ145" s="3" t="e">
        <f>[2]หน้าผ้า!DW154</f>
        <v>#VALUE!</v>
      </c>
      <c r="AR145" s="3">
        <f>[2]หน้าผ้า!DX154</f>
        <v>0</v>
      </c>
      <c r="AS145" s="3">
        <f>[2]หน้าผ้า!DY154</f>
        <v>0</v>
      </c>
      <c r="AT145" s="3">
        <f>[2]หน้าผ้า!DZ154</f>
        <v>0</v>
      </c>
      <c r="AU145" s="3">
        <f>[2]หน้าผ้า!EA154</f>
        <v>0</v>
      </c>
      <c r="AV145" s="1">
        <f>[2]หน้าผ้า!EB154</f>
        <v>0</v>
      </c>
      <c r="AW145" s="2" t="str">
        <f>[2]หน้าผ้า!EC154</f>
        <v>งานเคลือบ+พิมพ์</v>
      </c>
      <c r="AX145" s="2" t="str">
        <f>[2]หน้าผ้า!ED154</f>
        <v xml:space="preserve"> /</v>
      </c>
      <c r="AY145" s="2">
        <f>[2]หน้าผ้า!AG154</f>
        <v>0</v>
      </c>
      <c r="AZ145" s="2">
        <f>[2]หน้าผ้า!EG154</f>
        <v>0</v>
      </c>
      <c r="BA145" s="2">
        <f>[2]หน้าผ้า!EH154</f>
        <v>0</v>
      </c>
      <c r="BB145" s="2">
        <f>[2]หน้าผ้า!EI154</f>
        <v>0</v>
      </c>
      <c r="BC145" s="1" t="str">
        <f>[2]หน้าผ้า!BZ154</f>
        <v>WRWT21670/WRWT21670</v>
      </c>
      <c r="BD145" s="56">
        <f>[2]หน้าผ้า!CA154</f>
        <v>0</v>
      </c>
    </row>
    <row r="146" spans="1:56" ht="27.75" customHeight="1" x14ac:dyDescent="0.45">
      <c r="A146" s="3">
        <f>[2]หน้าผ้า!C155</f>
        <v>45896</v>
      </c>
      <c r="B146" s="14" t="str">
        <f>[2]หน้าผ้า!B155</f>
        <v>MK68-001038</v>
      </c>
      <c r="C146" s="9" t="str">
        <f>[2]หน้าผ้า!E155</f>
        <v>บจก.เอพีเอ็ม อะโกร</v>
      </c>
      <c r="D146" s="13" t="str">
        <f>[2]หน้าผ้า!F155</f>
        <v>โมโม่ 492</v>
      </c>
      <c r="E146" s="9">
        <f>[2]หน้าผ้า!G155</f>
        <v>21</v>
      </c>
      <c r="F146" s="9">
        <f>[2]หน้าผ้า!H155</f>
        <v>38</v>
      </c>
      <c r="G146" s="9" t="str">
        <f>[2]หน้าผ้า!I155</f>
        <v>ขาว</v>
      </c>
      <c r="H146" s="9" t="str">
        <f>[2]หน้าผ้า!J155</f>
        <v>ใส</v>
      </c>
      <c r="I146" s="9">
        <f>[2]หน้าผ้า!L155</f>
        <v>102</v>
      </c>
      <c r="J146" s="9" t="str">
        <f>[2]หน้าผ้า!M155</f>
        <v>±</v>
      </c>
      <c r="K146" s="9">
        <f>[2]หน้าผ้า!N155</f>
        <v>5</v>
      </c>
      <c r="L146" s="9" t="str">
        <f>[2]หน้าผ้า!R155</f>
        <v>จับจีบ</v>
      </c>
      <c r="M146" s="10">
        <f>[2]หน้าผ้า!T155</f>
        <v>22</v>
      </c>
      <c r="N146" s="9">
        <f>[2]หน้าผ้า!U155</f>
        <v>40</v>
      </c>
      <c r="O146" s="9">
        <f>[2]หน้าผ้า!V155</f>
        <v>40</v>
      </c>
      <c r="P146" s="10">
        <f>[2]หน้าผ้า!AB155</f>
        <v>108.55204095999999</v>
      </c>
      <c r="Q146" s="10">
        <f>[2]หน้าผ้า!AC155</f>
        <v>0</v>
      </c>
      <c r="R146" s="10">
        <f>[2]หน้าผ้า!AD155</f>
        <v>108.55204095999999</v>
      </c>
      <c r="S146" s="9" t="str">
        <f>[2]หน้าผ้า!Z155</f>
        <v>500กระสอบแบน</v>
      </c>
      <c r="T146" s="12" t="str">
        <f>[2]หน้าผ้า!X155</f>
        <v>รอแจ้ง</v>
      </c>
      <c r="U146" s="11">
        <f>[2]หน้าผ้า!AA155</f>
        <v>5000</v>
      </c>
      <c r="V146" s="10">
        <f>[2]หน้าผ้า!AJ155</f>
        <v>0</v>
      </c>
      <c r="W146" s="10">
        <f>[2]หน้าผ้า!AL155</f>
        <v>5000</v>
      </c>
      <c r="X146" s="10">
        <f>[2]หน้าผ้า!AM155</f>
        <v>0</v>
      </c>
      <c r="Y146" s="10">
        <f>[2]หน้าผ้า!AN155</f>
        <v>5250</v>
      </c>
      <c r="Z146" s="9" t="str">
        <f>[2]หน้าผ้า!AO155</f>
        <v>WSWT2121670SM</v>
      </c>
      <c r="AA146" s="8">
        <f>[2]หน้าผ้า!AQ155</f>
        <v>5518.15</v>
      </c>
      <c r="AB146" s="8">
        <f>[2]หน้าผ้า!AR155</f>
        <v>5518.15</v>
      </c>
      <c r="AC146" s="8">
        <f>[2]หน้าผ้า!AS155</f>
        <v>0</v>
      </c>
      <c r="AD146" s="8">
        <f>[2]หน้าผ้า!AT155</f>
        <v>0</v>
      </c>
      <c r="AE146" s="8">
        <f>[2]หน้าผ้า!AU155</f>
        <v>5518.15</v>
      </c>
      <c r="AF146" s="8">
        <f>[2]หน้าผ้า!AI155</f>
        <v>0</v>
      </c>
      <c r="AG146" s="1" t="str">
        <f>[3]หน้าผ้า!DC158</f>
        <v>ยังไม่ได้พิมพ์</v>
      </c>
      <c r="AH146" s="1" t="str">
        <f>[2]หน้าผ้า!DL155</f>
        <v>P8</v>
      </c>
      <c r="AI146" s="1">
        <f>[2]หน้าผ้า!DM155</f>
        <v>4</v>
      </c>
      <c r="AJ146" s="3" t="str">
        <f>[2]หน้าผ้า!DN155</f>
        <v>รอแจ้ง</v>
      </c>
      <c r="AK146" s="3" t="e">
        <f>[2]หน้าผ้า!DQ155</f>
        <v>#VALUE!</v>
      </c>
      <c r="AL146" s="3" t="e">
        <f>[2]หน้าผ้า!DR155</f>
        <v>#VALUE!</v>
      </c>
      <c r="AM146" s="3" t="e">
        <f>[2]หน้าผ้า!DS155</f>
        <v>#VALUE!</v>
      </c>
      <c r="AN146" s="3" t="e">
        <f>[2]หน้าผ้า!DT155</f>
        <v>#VALUE!</v>
      </c>
      <c r="AO146" s="3" t="e">
        <f>[2]หน้าผ้า!DU155</f>
        <v>#VALUE!</v>
      </c>
      <c r="AP146" s="3" t="e">
        <f>[2]หน้าผ้า!DP155</f>
        <v>#VALUE!</v>
      </c>
      <c r="AQ146" s="3" t="e">
        <f>[2]หน้าผ้า!DW155</f>
        <v>#VALUE!</v>
      </c>
      <c r="AR146" s="3">
        <f>[2]หน้าผ้า!DX155</f>
        <v>0</v>
      </c>
      <c r="AS146" s="3">
        <f>[2]หน้าผ้า!DY155</f>
        <v>0</v>
      </c>
      <c r="AT146" s="3">
        <f>[2]หน้าผ้า!DZ155</f>
        <v>0</v>
      </c>
      <c r="AU146" s="3">
        <f>[2]หน้าผ้า!EA155</f>
        <v>0</v>
      </c>
      <c r="AV146" s="1">
        <f>[2]หน้าผ้า!EB155</f>
        <v>0</v>
      </c>
      <c r="AW146" s="2" t="str">
        <f>[2]หน้าผ้า!EC155</f>
        <v>งานเคลือบ+พิมพ์</v>
      </c>
      <c r="AX146" s="2" t="str">
        <f>[2]หน้าผ้า!ED155</f>
        <v xml:space="preserve"> /</v>
      </c>
      <c r="AY146" s="2">
        <f>[2]หน้าผ้า!AG155</f>
        <v>0</v>
      </c>
      <c r="AZ146" s="2">
        <f>[2]หน้าผ้า!EG155</f>
        <v>0</v>
      </c>
      <c r="BA146" s="2">
        <f>[2]หน้าผ้า!EH155</f>
        <v>0</v>
      </c>
      <c r="BB146" s="2">
        <f>[2]หน้าผ้า!EI155</f>
        <v>0</v>
      </c>
      <c r="BC146" s="1" t="str">
        <f>[2]หน้าผ้า!BZ155</f>
        <v>WRWT21670/WRWT21670</v>
      </c>
      <c r="BD146" s="56">
        <f>[2]หน้าผ้า!CA155</f>
        <v>0</v>
      </c>
    </row>
    <row r="147" spans="1:56" ht="27.75" customHeight="1" x14ac:dyDescent="0.45">
      <c r="A147" s="3">
        <f>[2]หน้าผ้า!C156</f>
        <v>45896</v>
      </c>
      <c r="B147" s="14" t="str">
        <f>[2]หน้าผ้า!B156</f>
        <v>MK68-001037</v>
      </c>
      <c r="C147" s="9" t="str">
        <f>[2]หน้าผ้า!E156</f>
        <v>บจก.เอพีเอ็ม อะโกร</v>
      </c>
      <c r="D147" s="13" t="str">
        <f>[2]หน้าผ้า!F156</f>
        <v>โมโม่ 401</v>
      </c>
      <c r="E147" s="9">
        <f>[2]หน้าผ้า!G156</f>
        <v>21</v>
      </c>
      <c r="F147" s="9">
        <f>[2]หน้าผ้า!H156</f>
        <v>38</v>
      </c>
      <c r="G147" s="9" t="str">
        <f>[2]หน้าผ้า!I156</f>
        <v>ขาว</v>
      </c>
      <c r="H147" s="9" t="str">
        <f>[2]หน้าผ้า!J156</f>
        <v>ใส</v>
      </c>
      <c r="I147" s="9">
        <f>[2]หน้าผ้า!L156</f>
        <v>102</v>
      </c>
      <c r="J147" s="9" t="str">
        <f>[2]หน้าผ้า!M156</f>
        <v>±</v>
      </c>
      <c r="K147" s="9">
        <f>[2]หน้าผ้า!N156</f>
        <v>5</v>
      </c>
      <c r="L147" s="9" t="str">
        <f>[2]หน้าผ้า!R156</f>
        <v>จับจีบ</v>
      </c>
      <c r="M147" s="10">
        <f>[2]หน้าผ้า!T156</f>
        <v>22</v>
      </c>
      <c r="N147" s="9">
        <f>[2]หน้าผ้า!U156</f>
        <v>40</v>
      </c>
      <c r="O147" s="9">
        <f>[2]หน้าผ้า!V156</f>
        <v>40</v>
      </c>
      <c r="P147" s="10">
        <f>[2]หน้าผ้า!AB156</f>
        <v>65.13122457599998</v>
      </c>
      <c r="Q147" s="10">
        <f>[2]หน้าผ้า!AC156</f>
        <v>0</v>
      </c>
      <c r="R147" s="10">
        <f>[2]หน้าผ้า!AD156</f>
        <v>65.13122457599998</v>
      </c>
      <c r="S147" s="9" t="str">
        <f>[2]หน้าผ้า!Z156</f>
        <v>500กระสอบแบน</v>
      </c>
      <c r="T147" s="12" t="str">
        <f>[2]หน้าผ้า!X156</f>
        <v>รอแจ้ง</v>
      </c>
      <c r="U147" s="11">
        <f>[2]หน้าผ้า!AA156</f>
        <v>3000</v>
      </c>
      <c r="V147" s="10">
        <f>[2]หน้าผ้า!AJ156</f>
        <v>0</v>
      </c>
      <c r="W147" s="10">
        <f>[2]หน้าผ้า!AL156</f>
        <v>3000</v>
      </c>
      <c r="X147" s="10">
        <f>[2]หน้าผ้า!AM156</f>
        <v>0</v>
      </c>
      <c r="Y147" s="10">
        <f>[2]หน้าผ้า!AN156</f>
        <v>3150</v>
      </c>
      <c r="Z147" s="9" t="str">
        <f>[2]หน้าผ้า!AO156</f>
        <v>WSWT2121670SM</v>
      </c>
      <c r="AA147" s="8">
        <f>[2]หน้าผ้า!AQ156</f>
        <v>3310.89</v>
      </c>
      <c r="AB147" s="8">
        <f>[2]หน้าผ้า!AR156</f>
        <v>3310.89</v>
      </c>
      <c r="AC147" s="8">
        <f>[2]หน้าผ้า!AS156</f>
        <v>0</v>
      </c>
      <c r="AD147" s="8">
        <f>[2]หน้าผ้า!AT156</f>
        <v>0</v>
      </c>
      <c r="AE147" s="8">
        <f>[2]หน้าผ้า!AU156</f>
        <v>3310.89</v>
      </c>
      <c r="AF147" s="8">
        <f>[2]หน้าผ้า!AI156</f>
        <v>0</v>
      </c>
      <c r="AG147" s="1" t="str">
        <f>[3]หน้าผ้า!DC159</f>
        <v>ยังไม่ได้พิมพ์</v>
      </c>
      <c r="AH147" s="1" t="str">
        <f>[2]หน้าผ้า!DL156</f>
        <v>P8</v>
      </c>
      <c r="AI147" s="1">
        <f>[2]หน้าผ้า!DM156</f>
        <v>4</v>
      </c>
      <c r="AJ147" s="3" t="str">
        <f>[2]หน้าผ้า!DN156</f>
        <v>รอแจ้ง</v>
      </c>
      <c r="AK147" s="3" t="e">
        <f>[2]หน้าผ้า!DQ156</f>
        <v>#VALUE!</v>
      </c>
      <c r="AL147" s="3" t="e">
        <f>[2]หน้าผ้า!DR156</f>
        <v>#VALUE!</v>
      </c>
      <c r="AM147" s="3" t="e">
        <f>[2]หน้าผ้า!DS156</f>
        <v>#VALUE!</v>
      </c>
      <c r="AN147" s="3" t="e">
        <f>[2]หน้าผ้า!DT156</f>
        <v>#VALUE!</v>
      </c>
      <c r="AO147" s="3" t="e">
        <f>[2]หน้าผ้า!DU156</f>
        <v>#VALUE!</v>
      </c>
      <c r="AP147" s="3" t="e">
        <f>[2]หน้าผ้า!DP156</f>
        <v>#VALUE!</v>
      </c>
      <c r="AQ147" s="3" t="e">
        <f>[2]หน้าผ้า!DW156</f>
        <v>#VALUE!</v>
      </c>
      <c r="AR147" s="3">
        <f>[2]หน้าผ้า!DX156</f>
        <v>0</v>
      </c>
      <c r="AS147" s="3">
        <f>[2]หน้าผ้า!DY156</f>
        <v>0</v>
      </c>
      <c r="AT147" s="3">
        <f>[2]หน้าผ้า!DZ156</f>
        <v>0</v>
      </c>
      <c r="AU147" s="3">
        <f>[2]หน้าผ้า!EA156</f>
        <v>0</v>
      </c>
      <c r="AV147" s="1">
        <f>[2]หน้าผ้า!EB156</f>
        <v>0</v>
      </c>
      <c r="AW147" s="2" t="str">
        <f>[2]หน้าผ้า!EC156</f>
        <v>งานเคลือบ+พิมพ์</v>
      </c>
      <c r="AX147" s="2" t="str">
        <f>[2]หน้าผ้า!ED156</f>
        <v xml:space="preserve"> /</v>
      </c>
      <c r="AY147" s="2">
        <f>[2]หน้าผ้า!AG156</f>
        <v>0</v>
      </c>
      <c r="AZ147" s="2">
        <f>[2]หน้าผ้า!EG156</f>
        <v>0</v>
      </c>
      <c r="BA147" s="2">
        <f>[2]หน้าผ้า!EH156</f>
        <v>0</v>
      </c>
      <c r="BB147" s="2">
        <f>[2]หน้าผ้า!EI156</f>
        <v>0</v>
      </c>
      <c r="BC147" s="1" t="str">
        <f>[2]หน้าผ้า!BZ156</f>
        <v>WRWT21670/WRWT21670</v>
      </c>
      <c r="BD147" s="56">
        <f>[2]หน้าผ้า!CA156</f>
        <v>0</v>
      </c>
    </row>
    <row r="148" spans="1:56" ht="27.75" customHeight="1" x14ac:dyDescent="0.45">
      <c r="A148" s="3">
        <f>[2]หน้าผ้า!C157</f>
        <v>45876</v>
      </c>
      <c r="B148" s="14" t="str">
        <f>[2]หน้าผ้า!B157</f>
        <v>MK68-000982</v>
      </c>
      <c r="C148" s="9" t="str">
        <f>[2]หน้าผ้า!E157</f>
        <v>บจก.เอพีเอ็ม อะโกร</v>
      </c>
      <c r="D148" s="13" t="str">
        <f>[2]หน้าผ้า!F157</f>
        <v>ฟีล กู๊ด 893</v>
      </c>
      <c r="E148" s="9">
        <f>[2]หน้าผ้า!G157</f>
        <v>21</v>
      </c>
      <c r="F148" s="9">
        <f>[2]หน้าผ้า!H157</f>
        <v>40</v>
      </c>
      <c r="G148" s="9" t="str">
        <f>[2]หน้าผ้า!I157</f>
        <v>ขาว</v>
      </c>
      <c r="H148" s="9" t="str">
        <f>[2]หน้าผ้า!J157</f>
        <v>ใส</v>
      </c>
      <c r="I148" s="9">
        <f>[2]หน้าผ้า!L157</f>
        <v>108</v>
      </c>
      <c r="J148" s="9" t="str">
        <f>[2]หน้าผ้า!M157</f>
        <v>±</v>
      </c>
      <c r="K148" s="9">
        <f>[2]หน้าผ้า!N157</f>
        <v>5</v>
      </c>
      <c r="L148" s="9" t="str">
        <f>[2]หน้าผ้า!R157</f>
        <v>บิด</v>
      </c>
      <c r="M148" s="10">
        <f>[2]หน้าผ้า!T157</f>
        <v>22</v>
      </c>
      <c r="N148" s="9">
        <f>[2]หน้าผ้า!U157</f>
        <v>42</v>
      </c>
      <c r="O148" s="9">
        <f>[2]หน้าผ้า!V157</f>
        <v>40</v>
      </c>
      <c r="P148" s="10">
        <f>[2]หน้าผ้า!AB157</f>
        <v>68.387785804799989</v>
      </c>
      <c r="Q148" s="10">
        <f>[2]หน้าผ้า!AC157</f>
        <v>0</v>
      </c>
      <c r="R148" s="10">
        <f>[2]หน้าผ้า!AD157</f>
        <v>68.387785804799989</v>
      </c>
      <c r="S148" s="9" t="str">
        <f>[2]หน้าผ้า!Z157</f>
        <v>500กระสอบ</v>
      </c>
      <c r="T148" s="12" t="str">
        <f>[2]หน้าผ้า!X157</f>
        <v>รอแจ้ง</v>
      </c>
      <c r="U148" s="11">
        <f>[2]หน้าผ้า!AA157</f>
        <v>3000</v>
      </c>
      <c r="V148" s="10">
        <f>[2]หน้าผ้า!AJ157</f>
        <v>0</v>
      </c>
      <c r="W148" s="10">
        <f>[2]หน้าผ้า!AL157</f>
        <v>3000</v>
      </c>
      <c r="X148" s="10">
        <f>[2]หน้าผ้า!AM157</f>
        <v>0</v>
      </c>
      <c r="Y148" s="10">
        <f>[2]หน้าผ้า!AN157</f>
        <v>3150</v>
      </c>
      <c r="Z148" s="9" t="str">
        <f>[2]หน้าผ้า!AO157</f>
        <v>WSWT2121670SM</v>
      </c>
      <c r="AA148" s="8">
        <f>[2]หน้าผ้า!AQ157</f>
        <v>3478.5300000000007</v>
      </c>
      <c r="AB148" s="8">
        <f>[2]หน้าผ้า!AR157</f>
        <v>3478.5300000000007</v>
      </c>
      <c r="AC148" s="8">
        <f>[2]หน้าผ้า!AS157</f>
        <v>0</v>
      </c>
      <c r="AD148" s="8">
        <f>[2]หน้าผ้า!AT157</f>
        <v>0</v>
      </c>
      <c r="AE148" s="8">
        <f>[2]หน้าผ้า!AU157</f>
        <v>3478.5300000000007</v>
      </c>
      <c r="AF148" s="8">
        <f>[2]หน้าผ้า!AI157</f>
        <v>0</v>
      </c>
      <c r="AG148" s="1" t="str">
        <f>[3]หน้าผ้า!DC160</f>
        <v>ยังไม่ได้พิมพ์</v>
      </c>
      <c r="AH148" s="1" t="str">
        <f>[2]หน้าผ้า!DL157</f>
        <v>P8</v>
      </c>
      <c r="AI148" s="1">
        <f>[2]หน้าผ้า!DM157</f>
        <v>4</v>
      </c>
      <c r="AJ148" s="3" t="str">
        <f>[2]หน้าผ้า!DN157</f>
        <v>รอแจ้ง</v>
      </c>
      <c r="AK148" s="3" t="e">
        <f>[2]หน้าผ้า!DQ157</f>
        <v>#VALUE!</v>
      </c>
      <c r="AL148" s="3" t="e">
        <f>[2]หน้าผ้า!DR157</f>
        <v>#VALUE!</v>
      </c>
      <c r="AM148" s="3" t="e">
        <f>[2]หน้าผ้า!DS157</f>
        <v>#VALUE!</v>
      </c>
      <c r="AN148" s="3" t="e">
        <f>[2]หน้าผ้า!DT157</f>
        <v>#VALUE!</v>
      </c>
      <c r="AO148" s="3" t="e">
        <f>[2]หน้าผ้า!DU157</f>
        <v>#VALUE!</v>
      </c>
      <c r="AP148" s="3" t="e">
        <f>[2]หน้าผ้า!DP157</f>
        <v>#VALUE!</v>
      </c>
      <c r="AQ148" s="3" t="e">
        <f>[2]หน้าผ้า!DW157</f>
        <v>#VALUE!</v>
      </c>
      <c r="AR148" s="3">
        <f>[2]หน้าผ้า!DX157</f>
        <v>0</v>
      </c>
      <c r="AS148" s="3">
        <f>[2]หน้าผ้า!DY157</f>
        <v>0</v>
      </c>
      <c r="AT148" s="3">
        <f>[2]หน้าผ้า!DZ157</f>
        <v>0</v>
      </c>
      <c r="AU148" s="3">
        <f>[2]หน้าผ้า!EA157</f>
        <v>0</v>
      </c>
      <c r="AV148" s="1">
        <f>[2]หน้าผ้า!EB157</f>
        <v>0</v>
      </c>
      <c r="AW148" s="2" t="str">
        <f>[2]หน้าผ้า!EC157</f>
        <v>งานเคลือบ+พิมพ์</v>
      </c>
      <c r="AX148" s="2" t="str">
        <f>[2]หน้าผ้า!ED157</f>
        <v>รอART</v>
      </c>
      <c r="AY148" s="2">
        <f>[2]หน้าผ้า!AG157</f>
        <v>0</v>
      </c>
      <c r="AZ148" s="2">
        <f>[2]หน้าผ้า!EG157</f>
        <v>0</v>
      </c>
      <c r="BA148" s="2">
        <f>[2]หน้าผ้า!EH157</f>
        <v>0</v>
      </c>
      <c r="BB148" s="2">
        <f>[2]หน้าผ้า!EI157</f>
        <v>0</v>
      </c>
      <c r="BC148" s="1" t="str">
        <f>[2]หน้าผ้า!BZ157</f>
        <v>WRWT21670/WRWT21670</v>
      </c>
      <c r="BD148" s="56">
        <f>[2]หน้าผ้า!CA157</f>
        <v>0</v>
      </c>
    </row>
    <row r="149" spans="1:56" ht="27.75" customHeight="1" x14ac:dyDescent="0.45">
      <c r="A149" s="3">
        <f>[2]หน้าผ้า!C158</f>
        <v>45876</v>
      </c>
      <c r="B149" s="14" t="str">
        <f>[2]หน้าผ้า!B158</f>
        <v>MK68-000978</v>
      </c>
      <c r="C149" s="9" t="str">
        <f>[2]หน้าผ้า!E158</f>
        <v>บจก.เอพีเอ็ม อะโกร</v>
      </c>
      <c r="D149" s="13" t="str">
        <f>[2]หน้าผ้า!F158</f>
        <v>โมโม่ 4132</v>
      </c>
      <c r="E149" s="9">
        <f>[2]หน้าผ้า!G158</f>
        <v>21</v>
      </c>
      <c r="F149" s="9">
        <f>[2]หน้าผ้า!H158</f>
        <v>40</v>
      </c>
      <c r="G149" s="9" t="str">
        <f>[2]หน้าผ้า!I158</f>
        <v>ขาว</v>
      </c>
      <c r="H149" s="9" t="str">
        <f>[2]หน้าผ้า!J158</f>
        <v>ใส</v>
      </c>
      <c r="I149" s="9">
        <f>[2]หน้าผ้า!L158</f>
        <v>108</v>
      </c>
      <c r="J149" s="9" t="str">
        <f>[2]หน้าผ้า!M158</f>
        <v>±</v>
      </c>
      <c r="K149" s="9">
        <f>[2]หน้าผ้า!N158</f>
        <v>5</v>
      </c>
      <c r="L149" s="9" t="str">
        <f>[2]หน้าผ้า!R158</f>
        <v>บิด</v>
      </c>
      <c r="M149" s="10">
        <f>[2]หน้าผ้า!T158</f>
        <v>22</v>
      </c>
      <c r="N149" s="9">
        <f>[2]หน้าผ้า!U158</f>
        <v>42</v>
      </c>
      <c r="O149" s="9">
        <f>[2]หน้าผ้า!V158</f>
        <v>40</v>
      </c>
      <c r="P149" s="10">
        <f>[2]หน้าผ้า!AB158</f>
        <v>113.97964300799998</v>
      </c>
      <c r="Q149" s="10">
        <f>[2]หน้าผ้า!AC158</f>
        <v>0</v>
      </c>
      <c r="R149" s="10">
        <f>[2]หน้าผ้า!AD158</f>
        <v>113.97964300799998</v>
      </c>
      <c r="S149" s="9" t="str">
        <f>[2]หน้าผ้า!Z158</f>
        <v>500กระสอบ</v>
      </c>
      <c r="T149" s="12" t="str">
        <f>[2]หน้าผ้า!X158</f>
        <v>รอแจ้ง</v>
      </c>
      <c r="U149" s="11">
        <f>[2]หน้าผ้า!AA158</f>
        <v>5000</v>
      </c>
      <c r="V149" s="10">
        <f>[2]หน้าผ้า!AJ158</f>
        <v>0</v>
      </c>
      <c r="W149" s="10">
        <f>[2]หน้าผ้า!AL158</f>
        <v>5000</v>
      </c>
      <c r="X149" s="10">
        <f>[2]หน้าผ้า!AM158</f>
        <v>0</v>
      </c>
      <c r="Y149" s="10">
        <f>[2]หน้าผ้า!AN158</f>
        <v>5250</v>
      </c>
      <c r="Z149" s="9" t="str">
        <f>[2]หน้าผ้า!AO158</f>
        <v>WSWT2121670SM</v>
      </c>
      <c r="AA149" s="8">
        <f>[2]หน้าผ้า!AQ158</f>
        <v>5797.55</v>
      </c>
      <c r="AB149" s="8">
        <f>[2]หน้าผ้า!AR158</f>
        <v>5797.55</v>
      </c>
      <c r="AC149" s="8">
        <f>[2]หน้าผ้า!AS158</f>
        <v>0</v>
      </c>
      <c r="AD149" s="8">
        <f>[2]หน้าผ้า!AT158</f>
        <v>0</v>
      </c>
      <c r="AE149" s="8">
        <f>[2]หน้าผ้า!AU158</f>
        <v>5797.55</v>
      </c>
      <c r="AF149" s="8">
        <f>[2]หน้าผ้า!AI158</f>
        <v>0</v>
      </c>
      <c r="AG149" s="1" t="str">
        <f>[3]หน้าผ้า!DC161</f>
        <v>ยังไม่ได้พิมพ์</v>
      </c>
      <c r="AH149" s="1" t="str">
        <f>[2]หน้าผ้า!DL158</f>
        <v>P8</v>
      </c>
      <c r="AI149" s="1">
        <f>[2]หน้าผ้า!DM158</f>
        <v>4</v>
      </c>
      <c r="AJ149" s="3" t="str">
        <f>[2]หน้าผ้า!DN158</f>
        <v>รอแจ้ง</v>
      </c>
      <c r="AK149" s="3" t="e">
        <f>[2]หน้าผ้า!DQ158</f>
        <v>#VALUE!</v>
      </c>
      <c r="AL149" s="3" t="e">
        <f>[2]หน้าผ้า!DR158</f>
        <v>#VALUE!</v>
      </c>
      <c r="AM149" s="3" t="e">
        <f>[2]หน้าผ้า!DS158</f>
        <v>#VALUE!</v>
      </c>
      <c r="AN149" s="3" t="e">
        <f>[2]หน้าผ้า!DT158</f>
        <v>#VALUE!</v>
      </c>
      <c r="AO149" s="3" t="e">
        <f>[2]หน้าผ้า!DU158</f>
        <v>#VALUE!</v>
      </c>
      <c r="AP149" s="3" t="e">
        <f>[2]หน้าผ้า!DP158</f>
        <v>#VALUE!</v>
      </c>
      <c r="AQ149" s="3" t="e">
        <f>[2]หน้าผ้า!DW158</f>
        <v>#VALUE!</v>
      </c>
      <c r="AR149" s="3">
        <f>[2]หน้าผ้า!DX158</f>
        <v>0</v>
      </c>
      <c r="AS149" s="3">
        <f>[2]หน้าผ้า!DY158</f>
        <v>0</v>
      </c>
      <c r="AT149" s="3">
        <f>[2]หน้าผ้า!DZ158</f>
        <v>0</v>
      </c>
      <c r="AU149" s="3">
        <f>[2]หน้าผ้า!EA158</f>
        <v>0</v>
      </c>
      <c r="AV149" s="1">
        <f>[2]หน้าผ้า!EB158</f>
        <v>0</v>
      </c>
      <c r="AW149" s="2" t="str">
        <f>[2]หน้าผ้า!EC158</f>
        <v>งานเคลือบ+พิมพ์</v>
      </c>
      <c r="AX149" s="2" t="str">
        <f>[2]หน้าผ้า!ED158</f>
        <v>รอART</v>
      </c>
      <c r="AY149" s="2">
        <f>[2]หน้าผ้า!AG158</f>
        <v>0</v>
      </c>
      <c r="AZ149" s="2">
        <f>[2]หน้าผ้า!EG158</f>
        <v>0</v>
      </c>
      <c r="BA149" s="2">
        <f>[2]หน้าผ้า!EH158</f>
        <v>0</v>
      </c>
      <c r="BB149" s="2">
        <f>[2]หน้าผ้า!EI158</f>
        <v>0</v>
      </c>
      <c r="BC149" s="1" t="str">
        <f>[2]หน้าผ้า!BZ158</f>
        <v>WRWT21670/WRWT21670</v>
      </c>
      <c r="BD149" s="56">
        <f>[2]หน้าผ้า!CA158</f>
        <v>0</v>
      </c>
    </row>
    <row r="150" spans="1:56" ht="27.75" customHeight="1" x14ac:dyDescent="0.45">
      <c r="A150" s="3" t="str">
        <f>[2]หน้าผ้า!C159</f>
        <v>ประมาณการ</v>
      </c>
      <c r="B150" s="14" t="str">
        <f>[2]หน้าผ้า!B159</f>
        <v>ประมาณการ</v>
      </c>
      <c r="C150" s="9" t="str">
        <f>[2]หน้าผ้า!E159</f>
        <v>บจก.ที.ซี.ยูเนี่ยน อโกรเทค</v>
      </c>
      <c r="D150" s="13" t="str">
        <f>[2]หน้าผ้า!F159</f>
        <v>Zhejiang UN</v>
      </c>
      <c r="E150" s="9">
        <f>[2]หน้าผ้า!G159</f>
        <v>21</v>
      </c>
      <c r="F150" s="9">
        <f>[2]หน้าผ้า!H159</f>
        <v>37</v>
      </c>
      <c r="G150" s="9" t="str">
        <f>[2]หน้าผ้า!I159</f>
        <v>ขาว</v>
      </c>
      <c r="H150" s="9" t="str">
        <f>[2]หน้าผ้า!J159</f>
        <v>ใส</v>
      </c>
      <c r="I150" s="9">
        <f>[2]หน้าผ้า!L159</f>
        <v>100</v>
      </c>
      <c r="J150" s="9" t="str">
        <f>[2]หน้าผ้า!M159</f>
        <v>±</v>
      </c>
      <c r="K150" s="9">
        <f>[2]หน้าผ้า!N159</f>
        <v>5</v>
      </c>
      <c r="L150" s="9" t="str">
        <f>[2]หน้าผ้า!R159</f>
        <v>ไม่</v>
      </c>
      <c r="M150" s="10" t="str">
        <f>[2]หน้าผ้า!T159</f>
        <v>ไม่สวมถุงใน</v>
      </c>
      <c r="N150" s="9">
        <f>[2]หน้าผ้า!U159</f>
        <v>0</v>
      </c>
      <c r="O150" s="9">
        <f>[2]หน้าผ้า!V159</f>
        <v>0</v>
      </c>
      <c r="P150" s="10">
        <f>[2]หน้าผ้า!AB159</f>
        <v>0</v>
      </c>
      <c r="Q150" s="10">
        <f>[2]หน้าผ้า!AC159</f>
        <v>0</v>
      </c>
      <c r="R150" s="10">
        <f>[2]หน้าผ้า!AD159</f>
        <v>0</v>
      </c>
      <c r="S150" s="9" t="str">
        <f>[2]หน้าผ้า!Z159</f>
        <v xml:space="preserve">300กระสอบแบนเต็มใบ </v>
      </c>
      <c r="T150" s="12" t="str">
        <f>[2]หน้าผ้า!X159</f>
        <v>รอแจ้ง</v>
      </c>
      <c r="U150" s="11">
        <f>[2]หน้าผ้า!AA159</f>
        <v>10000</v>
      </c>
      <c r="V150" s="10">
        <f>[2]หน้าผ้า!AJ159</f>
        <v>0</v>
      </c>
      <c r="W150" s="10">
        <f>[2]หน้าผ้า!AL159</f>
        <v>10000</v>
      </c>
      <c r="X150" s="10">
        <f>[2]หน้าผ้า!AM159</f>
        <v>0</v>
      </c>
      <c r="Y150" s="10">
        <f>[2]หน้าผ้า!AN159</f>
        <v>10500</v>
      </c>
      <c r="Z150" s="9" t="str">
        <f>[2]หน้าผ้า!AO159</f>
        <v>WSWT2121670SM</v>
      </c>
      <c r="AA150" s="8">
        <f>[2]หน้าผ้า!AQ159</f>
        <v>10756.900000000001</v>
      </c>
      <c r="AB150" s="8">
        <f>[2]หน้าผ้า!AR159</f>
        <v>10756.900000000001</v>
      </c>
      <c r="AC150" s="8">
        <f>[2]หน้าผ้า!AS159</f>
        <v>0</v>
      </c>
      <c r="AD150" s="8">
        <f>[2]หน้าผ้า!AT159</f>
        <v>0</v>
      </c>
      <c r="AE150" s="8">
        <f>[2]หน้าผ้า!AU159</f>
        <v>10756.900000000001</v>
      </c>
      <c r="AF150" s="8">
        <f>[2]หน้าผ้า!AI159</f>
        <v>0</v>
      </c>
      <c r="AG150" s="1" t="str">
        <f>[3]หน้าผ้า!DC162</f>
        <v>ยังไม่ได้พิมพ์</v>
      </c>
      <c r="AH150" s="1" t="str">
        <f>[2]หน้าผ้า!DL159</f>
        <v>P8</v>
      </c>
      <c r="AI150" s="1">
        <f>[2]หน้าผ้า!DM159</f>
        <v>4</v>
      </c>
      <c r="AJ150" s="3" t="str">
        <f>[2]หน้าผ้า!DN159</f>
        <v>รอแจ้ง</v>
      </c>
      <c r="AK150" s="3" t="e">
        <f>[2]หน้าผ้า!DQ159</f>
        <v>#VALUE!</v>
      </c>
      <c r="AL150" s="3" t="e">
        <f>[2]หน้าผ้า!DR159</f>
        <v>#VALUE!</v>
      </c>
      <c r="AM150" s="3" t="e">
        <f>[2]หน้าผ้า!DS159</f>
        <v>#VALUE!</v>
      </c>
      <c r="AN150" s="3" t="e">
        <f>[2]หน้าผ้า!DT159</f>
        <v>#VALUE!</v>
      </c>
      <c r="AO150" s="3" t="e">
        <f>[2]หน้าผ้า!DU159</f>
        <v>#VALUE!</v>
      </c>
      <c r="AP150" s="3" t="e">
        <f>[2]หน้าผ้า!DP159</f>
        <v>#VALUE!</v>
      </c>
      <c r="AQ150" s="3">
        <f>[2]หน้าผ้า!DW159</f>
        <v>0</v>
      </c>
      <c r="AR150" s="3">
        <f>[2]หน้าผ้า!DX159</f>
        <v>0</v>
      </c>
      <c r="AS150" s="3">
        <f>[2]หน้าผ้า!DY159</f>
        <v>0</v>
      </c>
      <c r="AT150" s="3">
        <f>[2]หน้าผ้า!DZ159</f>
        <v>0</v>
      </c>
      <c r="AU150" s="3">
        <f>[2]หน้าผ้า!EA159</f>
        <v>0</v>
      </c>
      <c r="AV150" s="1">
        <f>[2]หน้าผ้า!EB159</f>
        <v>0</v>
      </c>
      <c r="AW150" s="2" t="str">
        <f>[2]หน้าผ้า!EC159</f>
        <v>งานเคลือบ+พิมพ์</v>
      </c>
      <c r="AX150" s="2" t="str">
        <f>[2]หน้าผ้า!ED159</f>
        <v xml:space="preserve"> /</v>
      </c>
      <c r="AY150" s="2">
        <f>[2]หน้าผ้า!AG159</f>
        <v>0</v>
      </c>
      <c r="AZ150" s="2">
        <f>[2]หน้าผ้า!EG159</f>
        <v>0</v>
      </c>
      <c r="BA150" s="2">
        <f>[2]หน้าผ้า!EH159</f>
        <v>0</v>
      </c>
      <c r="BB150" s="2">
        <f>[2]หน้าผ้า!EI159</f>
        <v>0</v>
      </c>
      <c r="BC150" s="1" t="str">
        <f>[2]หน้าผ้า!BZ159</f>
        <v>WRWT21670/WRWT21670</v>
      </c>
      <c r="BD150" s="56">
        <f>[2]หน้าผ้า!CA159</f>
        <v>0</v>
      </c>
    </row>
    <row r="151" spans="1:56" ht="27.75" customHeight="1" x14ac:dyDescent="0.45">
      <c r="A151" s="3">
        <f>[2]หน้าผ้า!C160</f>
        <v>45854</v>
      </c>
      <c r="B151" s="14" t="str">
        <f>[2]หน้าผ้า!B160</f>
        <v>MK68-000892</v>
      </c>
      <c r="C151" s="9" t="str">
        <f>[2]หน้าผ้า!E160</f>
        <v>บจก.เอสพีเอ็ม อาหารสัตว์</v>
      </c>
      <c r="D151" s="13" t="str">
        <f>[2]หน้าผ้า!F160</f>
        <v>มาซู ฟีดซี042</v>
      </c>
      <c r="E151" s="9">
        <f>[2]หน้าผ้า!G160</f>
        <v>21</v>
      </c>
      <c r="F151" s="9">
        <f>[2]หน้าผ้า!H160</f>
        <v>38</v>
      </c>
      <c r="G151" s="9" t="str">
        <f>[2]หน้าผ้า!I160</f>
        <v>ขาว</v>
      </c>
      <c r="H151" s="9" t="str">
        <f>[2]หน้าผ้า!J160</f>
        <v>ด้าน</v>
      </c>
      <c r="I151" s="9">
        <f>[2]หน้าผ้า!L160</f>
        <v>102</v>
      </c>
      <c r="J151" s="9" t="str">
        <f>[2]หน้าผ้า!M160</f>
        <v>±</v>
      </c>
      <c r="K151" s="9">
        <f>[2]หน้าผ้า!N160</f>
        <v>5</v>
      </c>
      <c r="L151" s="9" t="str">
        <f>[2]หน้าผ้า!R160</f>
        <v>บิด</v>
      </c>
      <c r="M151" s="10">
        <f>[2]หน้าผ้า!T160</f>
        <v>22</v>
      </c>
      <c r="N151" s="9">
        <f>[2]หน้าผ้า!U160</f>
        <v>40</v>
      </c>
      <c r="O151" s="9">
        <f>[2]หน้าผ้า!V160</f>
        <v>40</v>
      </c>
      <c r="P151" s="10">
        <f>[2]หน้าผ้า!AB160</f>
        <v>65.13122457599998</v>
      </c>
      <c r="Q151" s="10">
        <f>[2]หน้าผ้า!AC160</f>
        <v>0</v>
      </c>
      <c r="R151" s="10">
        <f>[2]หน้าผ้า!AD160</f>
        <v>65.13122457599998</v>
      </c>
      <c r="S151" s="9" t="str">
        <f>[2]หน้าผ้า!Z160</f>
        <v>500กระสอบแบน</v>
      </c>
      <c r="T151" s="12" t="str">
        <f>[2]หน้าผ้า!X160</f>
        <v>รอแจ้ง</v>
      </c>
      <c r="U151" s="11">
        <f>[2]หน้าผ้า!AA160</f>
        <v>3000</v>
      </c>
      <c r="V151" s="10">
        <f>[2]หน้าผ้า!AJ160</f>
        <v>0</v>
      </c>
      <c r="W151" s="10">
        <f>[2]หน้าผ้า!AL160</f>
        <v>3000</v>
      </c>
      <c r="X151" s="10">
        <f>[2]หน้าผ้า!AM160</f>
        <v>0</v>
      </c>
      <c r="Y151" s="10">
        <f>[2]หน้าผ้า!AN160</f>
        <v>3150</v>
      </c>
      <c r="Z151" s="9" t="str">
        <f>[2]หน้าผ้า!AO160</f>
        <v>WSWT2121670SM</v>
      </c>
      <c r="AA151" s="8">
        <f>[2]หน้าผ้า!AQ160</f>
        <v>3310.89</v>
      </c>
      <c r="AB151" s="8">
        <f>[2]หน้าผ้า!AR160</f>
        <v>3310.89</v>
      </c>
      <c r="AC151" s="8">
        <f>[2]หน้าผ้า!AS160</f>
        <v>0</v>
      </c>
      <c r="AD151" s="8">
        <f>[2]หน้าผ้า!AT160</f>
        <v>0</v>
      </c>
      <c r="AE151" s="8">
        <f>[2]หน้าผ้า!AU160</f>
        <v>3310.89</v>
      </c>
      <c r="AF151" s="8">
        <f>[2]หน้าผ้า!AI160</f>
        <v>0</v>
      </c>
      <c r="AG151" s="1" t="str">
        <f>[3]หน้าผ้า!DC163</f>
        <v>ยังไม่ได้พิมพ์</v>
      </c>
      <c r="AH151" s="1" t="str">
        <f>[2]หน้าผ้า!DL160</f>
        <v>P8</v>
      </c>
      <c r="AI151" s="1">
        <f>[2]หน้าผ้า!DM160</f>
        <v>4</v>
      </c>
      <c r="AJ151" s="3" t="str">
        <f>[2]หน้าผ้า!DN160</f>
        <v>รอแจ้ง</v>
      </c>
      <c r="AK151" s="3" t="e">
        <f>[2]หน้าผ้า!DQ160</f>
        <v>#VALUE!</v>
      </c>
      <c r="AL151" s="3" t="e">
        <f>[2]หน้าผ้า!DR160</f>
        <v>#VALUE!</v>
      </c>
      <c r="AM151" s="3" t="e">
        <f>[2]หน้าผ้า!DS160</f>
        <v>#VALUE!</v>
      </c>
      <c r="AN151" s="3" t="e">
        <f>[2]หน้าผ้า!DT160</f>
        <v>#VALUE!</v>
      </c>
      <c r="AO151" s="3" t="e">
        <f>[2]หน้าผ้า!DU160</f>
        <v>#VALUE!</v>
      </c>
      <c r="AP151" s="3" t="e">
        <f>[2]หน้าผ้า!DP160</f>
        <v>#VALUE!</v>
      </c>
      <c r="AQ151" s="3" t="e">
        <f>[2]หน้าผ้า!DW160</f>
        <v>#VALUE!</v>
      </c>
      <c r="AR151" s="3">
        <f>[2]หน้าผ้า!DX160</f>
        <v>0</v>
      </c>
      <c r="AS151" s="3">
        <f>[2]หน้าผ้า!DY160</f>
        <v>0</v>
      </c>
      <c r="AT151" s="3">
        <f>[2]หน้าผ้า!DZ160</f>
        <v>0</v>
      </c>
      <c r="AU151" s="3">
        <f>[2]หน้าผ้า!EA160</f>
        <v>0</v>
      </c>
      <c r="AV151" s="1">
        <f>[2]หน้าผ้า!EB160</f>
        <v>0</v>
      </c>
      <c r="AW151" s="2" t="str">
        <f>[2]หน้าผ้า!EC160</f>
        <v>งานเคลือบ+พิมพ์</v>
      </c>
      <c r="AX151" s="2" t="str">
        <f>[2]หน้าผ้า!ED160</f>
        <v xml:space="preserve"> /</v>
      </c>
      <c r="AY151" s="2">
        <f>[2]หน้าผ้า!AG160</f>
        <v>0</v>
      </c>
      <c r="AZ151" s="2">
        <f>[2]หน้าผ้า!EG160</f>
        <v>0</v>
      </c>
      <c r="BA151" s="2">
        <f>[2]หน้าผ้า!EH160</f>
        <v>0</v>
      </c>
      <c r="BB151" s="2">
        <f>[2]หน้าผ้า!EI160</f>
        <v>0</v>
      </c>
      <c r="BC151" s="1" t="str">
        <f>[2]หน้าผ้า!BZ160</f>
        <v>WRWT21670/WRWT21670</v>
      </c>
      <c r="BD151" s="56">
        <f>[2]หน้าผ้า!CA160</f>
        <v>0</v>
      </c>
    </row>
    <row r="152" spans="1:56" ht="27.75" customHeight="1" x14ac:dyDescent="0.45">
      <c r="A152" s="3">
        <f>[2]หน้าผ้า!C161</f>
        <v>45854</v>
      </c>
      <c r="B152" s="14" t="str">
        <f>[2]หน้าผ้า!B161</f>
        <v>MK68-000893</v>
      </c>
      <c r="C152" s="9" t="str">
        <f>[2]หน้าผ้า!E161</f>
        <v>บจก.เอสพีเอ็ม อาหารสัตว์</v>
      </c>
      <c r="D152" s="13" t="str">
        <f>[2]หน้าผ้า!F161</f>
        <v>มาซู ฟีดจี041</v>
      </c>
      <c r="E152" s="9">
        <f>[2]หน้าผ้า!G161</f>
        <v>21</v>
      </c>
      <c r="F152" s="9">
        <f>[2]หน้าผ้า!H161</f>
        <v>38</v>
      </c>
      <c r="G152" s="9" t="str">
        <f>[2]หน้าผ้า!I161</f>
        <v>ขาว</v>
      </c>
      <c r="H152" s="9" t="str">
        <f>[2]หน้าผ้า!J161</f>
        <v>ด้าน</v>
      </c>
      <c r="I152" s="9">
        <f>[2]หน้าผ้า!L161</f>
        <v>102</v>
      </c>
      <c r="J152" s="9" t="str">
        <f>[2]หน้าผ้า!M161</f>
        <v>±</v>
      </c>
      <c r="K152" s="9">
        <f>[2]หน้าผ้า!N161</f>
        <v>5</v>
      </c>
      <c r="L152" s="9" t="str">
        <f>[2]หน้าผ้า!R161</f>
        <v>บิด</v>
      </c>
      <c r="M152" s="10">
        <f>[2]หน้าผ้า!T161</f>
        <v>22</v>
      </c>
      <c r="N152" s="9">
        <f>[2]หน้าผ้า!U161</f>
        <v>40</v>
      </c>
      <c r="O152" s="9">
        <f>[2]หน้าผ้า!V161</f>
        <v>40</v>
      </c>
      <c r="P152" s="10">
        <f>[2]หน้าผ้า!AB161</f>
        <v>65.13122457599998</v>
      </c>
      <c r="Q152" s="10">
        <f>[2]หน้าผ้า!AC161</f>
        <v>0</v>
      </c>
      <c r="R152" s="10">
        <f>[2]หน้าผ้า!AD161</f>
        <v>65.13122457599998</v>
      </c>
      <c r="S152" s="9" t="str">
        <f>[2]หน้าผ้า!Z161</f>
        <v>500กระสอบแบน</v>
      </c>
      <c r="T152" s="12" t="str">
        <f>[2]หน้าผ้า!X161</f>
        <v>รอแจ้ง</v>
      </c>
      <c r="U152" s="11">
        <f>[2]หน้าผ้า!AA161</f>
        <v>3000</v>
      </c>
      <c r="V152" s="10">
        <f>[2]หน้าผ้า!AJ161</f>
        <v>0</v>
      </c>
      <c r="W152" s="10">
        <f>[2]หน้าผ้า!AL161</f>
        <v>3000</v>
      </c>
      <c r="X152" s="10">
        <f>[2]หน้าผ้า!AM161</f>
        <v>0</v>
      </c>
      <c r="Y152" s="10">
        <f>[2]หน้าผ้า!AN161</f>
        <v>3150</v>
      </c>
      <c r="Z152" s="9" t="str">
        <f>[2]หน้าผ้า!AO161</f>
        <v>WSWT2121670SM</v>
      </c>
      <c r="AA152" s="8">
        <f>[2]หน้าผ้า!AQ161</f>
        <v>3310.89</v>
      </c>
      <c r="AB152" s="8">
        <f>[2]หน้าผ้า!AR161</f>
        <v>3310.89</v>
      </c>
      <c r="AC152" s="8">
        <f>[2]หน้าผ้า!AS161</f>
        <v>0</v>
      </c>
      <c r="AD152" s="8">
        <f>[2]หน้าผ้า!AT161</f>
        <v>0</v>
      </c>
      <c r="AE152" s="8">
        <f>[2]หน้าผ้า!AU161</f>
        <v>3310.89</v>
      </c>
      <c r="AF152" s="8">
        <f>[2]หน้าผ้า!AI161</f>
        <v>0</v>
      </c>
      <c r="AG152" s="1" t="str">
        <f>[3]หน้าผ้า!DC164</f>
        <v>พร้อมส่ง</v>
      </c>
      <c r="AH152" s="1" t="str">
        <f>[2]หน้าผ้า!DL161</f>
        <v>P8</v>
      </c>
      <c r="AI152" s="1">
        <f>[2]หน้าผ้า!DM161</f>
        <v>4</v>
      </c>
      <c r="AJ152" s="3" t="str">
        <f>[2]หน้าผ้า!DN161</f>
        <v>รอแจ้ง</v>
      </c>
      <c r="AK152" s="3" t="e">
        <f>[2]หน้าผ้า!DQ161</f>
        <v>#VALUE!</v>
      </c>
      <c r="AL152" s="3" t="e">
        <f>[2]หน้าผ้า!DR161</f>
        <v>#VALUE!</v>
      </c>
      <c r="AM152" s="3" t="e">
        <f>[2]หน้าผ้า!DS161</f>
        <v>#VALUE!</v>
      </c>
      <c r="AN152" s="3" t="e">
        <f>[2]หน้าผ้า!DT161</f>
        <v>#VALUE!</v>
      </c>
      <c r="AO152" s="3" t="e">
        <f>[2]หน้าผ้า!DU161</f>
        <v>#VALUE!</v>
      </c>
      <c r="AP152" s="3" t="e">
        <f>[2]หน้าผ้า!DP161</f>
        <v>#VALUE!</v>
      </c>
      <c r="AQ152" s="3" t="e">
        <f>[2]หน้าผ้า!DW161</f>
        <v>#VALUE!</v>
      </c>
      <c r="AR152" s="3">
        <f>[2]หน้าผ้า!DX161</f>
        <v>0</v>
      </c>
      <c r="AS152" s="3">
        <f>[2]หน้าผ้า!DY161</f>
        <v>0</v>
      </c>
      <c r="AT152" s="3">
        <f>[2]หน้าผ้า!DZ161</f>
        <v>0</v>
      </c>
      <c r="AU152" s="3">
        <f>[2]หน้าผ้า!EA161</f>
        <v>0</v>
      </c>
      <c r="AV152" s="1">
        <f>[2]หน้าผ้า!EB161</f>
        <v>0</v>
      </c>
      <c r="AW152" s="2" t="str">
        <f>[2]หน้าผ้า!EC161</f>
        <v>งานเคลือบ+พิมพ์</v>
      </c>
      <c r="AX152" s="2" t="str">
        <f>[2]หน้าผ้า!ED161</f>
        <v xml:space="preserve"> /</v>
      </c>
      <c r="AY152" s="2">
        <f>[2]หน้าผ้า!AG161</f>
        <v>0</v>
      </c>
      <c r="AZ152" s="2">
        <f>[2]หน้าผ้า!EG161</f>
        <v>0</v>
      </c>
      <c r="BA152" s="2">
        <f>[2]หน้าผ้า!EH161</f>
        <v>0</v>
      </c>
      <c r="BB152" s="2">
        <f>[2]หน้าผ้า!EI161</f>
        <v>0</v>
      </c>
      <c r="BC152" s="1" t="str">
        <f>[2]หน้าผ้า!BZ161</f>
        <v>WRWT21670/WRWT21670</v>
      </c>
      <c r="BD152" s="56">
        <f>[2]หน้าผ้า!CA161</f>
        <v>0</v>
      </c>
    </row>
    <row r="153" spans="1:56" ht="27.75" customHeight="1" x14ac:dyDescent="0.45">
      <c r="A153" s="3">
        <f>[2]หน้าผ้า!C162</f>
        <v>45826</v>
      </c>
      <c r="B153" s="14" t="str">
        <f>[2]หน้าผ้า!B162</f>
        <v>MK68-000804</v>
      </c>
      <c r="C153" s="9" t="str">
        <f>[2]หน้าผ้า!E162</f>
        <v>บจก.เอพีเอ็ม อะโกร</v>
      </c>
      <c r="D153" s="13" t="str">
        <f>[2]หน้าผ้า!F162</f>
        <v>ฟีล กู๊ด 802</v>
      </c>
      <c r="E153" s="9">
        <f>[2]หน้าผ้า!G162</f>
        <v>21</v>
      </c>
      <c r="F153" s="9">
        <f>[2]หน้าผ้า!H162</f>
        <v>38</v>
      </c>
      <c r="G153" s="9" t="str">
        <f>[2]หน้าผ้า!I162</f>
        <v>ขาว</v>
      </c>
      <c r="H153" s="9" t="str">
        <f>[2]หน้าผ้า!J162</f>
        <v>ใส</v>
      </c>
      <c r="I153" s="9">
        <f>[2]หน้าผ้า!L162</f>
        <v>102</v>
      </c>
      <c r="J153" s="9" t="str">
        <f>[2]หน้าผ้า!M162</f>
        <v>±</v>
      </c>
      <c r="K153" s="9">
        <f>[2]หน้าผ้า!N162</f>
        <v>5</v>
      </c>
      <c r="L153" s="9" t="str">
        <f>[2]หน้าผ้า!R162</f>
        <v>บิด</v>
      </c>
      <c r="M153" s="10">
        <f>[2]หน้าผ้า!T162</f>
        <v>22</v>
      </c>
      <c r="N153" s="9">
        <f>[2]หน้าผ้า!U162</f>
        <v>40</v>
      </c>
      <c r="O153" s="9">
        <f>[2]หน้าผ้า!V162</f>
        <v>40</v>
      </c>
      <c r="P153" s="10">
        <f>[2]หน้าผ้า!AB162</f>
        <v>163.47937368575995</v>
      </c>
      <c r="Q153" s="10">
        <f>[2]หน้าผ้า!AC162</f>
        <v>0</v>
      </c>
      <c r="R153" s="10">
        <f>[2]หน้าผ้า!AD162</f>
        <v>163.47937368575995</v>
      </c>
      <c r="S153" s="9" t="str">
        <f>[2]หน้าผ้า!Z162</f>
        <v>500กระสอบแบน</v>
      </c>
      <c r="T153" s="12" t="str">
        <f>[2]หน้าผ้า!X162</f>
        <v>รอแจ้ง</v>
      </c>
      <c r="U153" s="11">
        <f>[2]หน้าผ้า!AA162</f>
        <v>8000</v>
      </c>
      <c r="V153" s="10">
        <f>[2]หน้าผ้า!AJ162</f>
        <v>470</v>
      </c>
      <c r="W153" s="10">
        <f>[2]หน้าผ้า!AL162</f>
        <v>7530</v>
      </c>
      <c r="X153" s="10">
        <f>[2]หน้าผ้า!AM162</f>
        <v>0</v>
      </c>
      <c r="Y153" s="10">
        <f>[2]หน้าผ้า!AN162</f>
        <v>7906.5</v>
      </c>
      <c r="Z153" s="9" t="str">
        <f>[2]หน้าผ้า!AO162</f>
        <v>WSWT2121670SM</v>
      </c>
      <c r="AA153" s="8">
        <f>[2]หน้าผ้า!AQ162</f>
        <v>8310.3338999999996</v>
      </c>
      <c r="AB153" s="8">
        <f>[2]หน้าผ้า!AR162</f>
        <v>8310.3338999999996</v>
      </c>
      <c r="AC153" s="8">
        <f>[2]หน้าผ้า!AS162</f>
        <v>0</v>
      </c>
      <c r="AD153" s="8">
        <f>[2]หน้าผ้า!AT162</f>
        <v>0</v>
      </c>
      <c r="AE153" s="8">
        <f>[2]หน้าผ้า!AU162</f>
        <v>8310.3338999999996</v>
      </c>
      <c r="AF153" s="8">
        <f>[2]หน้าผ้า!AI162</f>
        <v>0</v>
      </c>
      <c r="AG153" s="1" t="str">
        <f>[3]หน้าผ้า!DC165</f>
        <v>พร้อมส่ง</v>
      </c>
      <c r="AH153" s="1" t="str">
        <f>[2]หน้าผ้า!DL162</f>
        <v>P8</v>
      </c>
      <c r="AI153" s="1">
        <f>[2]หน้าผ้า!DM162</f>
        <v>4</v>
      </c>
      <c r="AJ153" s="3" t="str">
        <f>[2]หน้าผ้า!DN162</f>
        <v>รอแจ้ง</v>
      </c>
      <c r="AK153" s="3" t="e">
        <f>[2]หน้าผ้า!DQ162</f>
        <v>#VALUE!</v>
      </c>
      <c r="AL153" s="3" t="e">
        <f>[2]หน้าผ้า!DR162</f>
        <v>#VALUE!</v>
      </c>
      <c r="AM153" s="3" t="e">
        <f>[2]หน้าผ้า!DS162</f>
        <v>#VALUE!</v>
      </c>
      <c r="AN153" s="3" t="e">
        <f>[2]หน้าผ้า!DT162</f>
        <v>#VALUE!</v>
      </c>
      <c r="AO153" s="3" t="e">
        <f>[2]หน้าผ้า!DU162</f>
        <v>#VALUE!</v>
      </c>
      <c r="AP153" s="3" t="e">
        <f>[2]หน้าผ้า!DP162</f>
        <v>#VALUE!</v>
      </c>
      <c r="AQ153" s="3" t="e">
        <f>[2]หน้าผ้า!DW162</f>
        <v>#VALUE!</v>
      </c>
      <c r="AR153" s="3">
        <f>[2]หน้าผ้า!DX162</f>
        <v>0</v>
      </c>
      <c r="AS153" s="3">
        <f>[2]หน้าผ้า!DY162</f>
        <v>0</v>
      </c>
      <c r="AT153" s="3">
        <f>[2]หน้าผ้า!DZ162</f>
        <v>0</v>
      </c>
      <c r="AU153" s="3">
        <f>[2]หน้าผ้า!EA162</f>
        <v>0</v>
      </c>
      <c r="AV153" s="1">
        <f>[2]หน้าผ้า!EB162</f>
        <v>0</v>
      </c>
      <c r="AW153" s="2" t="str">
        <f>[2]หน้าผ้า!EC162</f>
        <v>งานเคลือบ+พิมพ์</v>
      </c>
      <c r="AX153" s="2" t="str">
        <f>[2]หน้าผ้า!ED162</f>
        <v xml:space="preserve"> /</v>
      </c>
      <c r="AY153" s="2">
        <f>[2]หน้าผ้า!AG162</f>
        <v>0</v>
      </c>
      <c r="AZ153" s="2">
        <f>[2]หน้าผ้า!EG162</f>
        <v>0</v>
      </c>
      <c r="BA153" s="2">
        <f>[2]หน้าผ้า!EH162</f>
        <v>0</v>
      </c>
      <c r="BB153" s="2">
        <f>[2]หน้าผ้า!EI162</f>
        <v>0</v>
      </c>
      <c r="BC153" s="1" t="str">
        <f>[2]หน้าผ้า!BZ162</f>
        <v>WRWT21670/WRWT21670</v>
      </c>
      <c r="BD153" s="56">
        <f>[2]หน้าผ้า!CA162</f>
        <v>0</v>
      </c>
    </row>
    <row r="154" spans="1:56" ht="27.75" customHeight="1" x14ac:dyDescent="0.45">
      <c r="A154" s="3">
        <f>[2]หน้าผ้า!C163</f>
        <v>45066</v>
      </c>
      <c r="B154" s="14" t="str">
        <f>[2]หน้าผ้า!B163</f>
        <v>MK66-000701</v>
      </c>
      <c r="C154" s="9" t="str">
        <f>[2]หน้าผ้า!E163</f>
        <v>บจก.เอสพีเอ็ม อาหารสัตว์</v>
      </c>
      <c r="D154" s="13" t="str">
        <f>[2]หน้าผ้า!F163</f>
        <v>มาซูฟีด ซี041</v>
      </c>
      <c r="E154" s="9">
        <f>[2]หน้าผ้า!G163</f>
        <v>21</v>
      </c>
      <c r="F154" s="9">
        <f>[2]หน้าผ้า!H163</f>
        <v>38</v>
      </c>
      <c r="G154" s="9" t="str">
        <f>[2]หน้าผ้า!I163</f>
        <v>ขาว</v>
      </c>
      <c r="H154" s="9" t="str">
        <f>[2]หน้าผ้า!J163</f>
        <v>ด้าน</v>
      </c>
      <c r="I154" s="9">
        <f>[2]หน้าผ้า!L163</f>
        <v>102</v>
      </c>
      <c r="J154" s="9" t="str">
        <f>[2]หน้าผ้า!M163</f>
        <v>±</v>
      </c>
      <c r="K154" s="9">
        <f>[2]หน้าผ้า!N163</f>
        <v>5</v>
      </c>
      <c r="L154" s="9" t="str">
        <f>[2]หน้าผ้า!R163</f>
        <v>บิด</v>
      </c>
      <c r="M154" s="10">
        <f>[2]หน้าผ้า!T163</f>
        <v>22</v>
      </c>
      <c r="N154" s="9">
        <f>[2]หน้าผ้า!U163</f>
        <v>40</v>
      </c>
      <c r="O154" s="9">
        <f>[2]หน้าผ้า!V163</f>
        <v>40</v>
      </c>
      <c r="P154" s="10">
        <f>[2]หน้าผ้า!AB163</f>
        <v>108.55204095999999</v>
      </c>
      <c r="Q154" s="10">
        <f>[2]หน้าผ้า!AC163</f>
        <v>0</v>
      </c>
      <c r="R154" s="10">
        <f>[2]หน้าผ้า!AD163</f>
        <v>108.55204095999999</v>
      </c>
      <c r="S154" s="9" t="str">
        <f>[2]หน้าผ้า!Z163</f>
        <v>500กระสอบแบน</v>
      </c>
      <c r="T154" s="12" t="str">
        <f>[2]หน้าผ้า!X163</f>
        <v>รอแจ้ง</v>
      </c>
      <c r="U154" s="11">
        <f>[2]หน้าผ้า!AA163</f>
        <v>5000</v>
      </c>
      <c r="V154" s="10">
        <f>[2]หน้าผ้า!AJ163</f>
        <v>0</v>
      </c>
      <c r="W154" s="10">
        <f>[2]หน้าผ้า!AL163</f>
        <v>5000</v>
      </c>
      <c r="X154" s="10">
        <f>[2]หน้าผ้า!AM163</f>
        <v>0</v>
      </c>
      <c r="Y154" s="10">
        <f>[2]หน้าผ้า!AN163</f>
        <v>5250</v>
      </c>
      <c r="Z154" s="9" t="str">
        <f>[2]หน้าผ้า!AO163</f>
        <v>WSWT2121670SM</v>
      </c>
      <c r="AA154" s="8">
        <f>[2]หน้าผ้า!AQ163</f>
        <v>5518.15</v>
      </c>
      <c r="AB154" s="8">
        <f>[2]หน้าผ้า!AR163</f>
        <v>5518.15</v>
      </c>
      <c r="AC154" s="8">
        <f>[2]หน้าผ้า!AS163</f>
        <v>0</v>
      </c>
      <c r="AD154" s="8">
        <f>[2]หน้าผ้า!AT163</f>
        <v>0</v>
      </c>
      <c r="AE154" s="8">
        <f>[2]หน้าผ้า!AU163</f>
        <v>5518.15</v>
      </c>
      <c r="AF154" s="8">
        <f>[2]หน้าผ้า!AI163</f>
        <v>0</v>
      </c>
      <c r="AG154" s="1" t="str">
        <f>[3]หน้าผ้า!DC166</f>
        <v>ยังไม่ได้พิมพ์</v>
      </c>
      <c r="AH154" s="1" t="str">
        <f>[2]หน้าผ้า!DL163</f>
        <v>P8</v>
      </c>
      <c r="AI154" s="1">
        <f>[2]หน้าผ้า!DM163</f>
        <v>4</v>
      </c>
      <c r="AJ154" s="3" t="str">
        <f>[2]หน้าผ้า!DN163</f>
        <v>รอแจ้ง</v>
      </c>
      <c r="AK154" s="3" t="e">
        <f>[2]หน้าผ้า!DQ163</f>
        <v>#VALUE!</v>
      </c>
      <c r="AL154" s="3" t="e">
        <f>[2]หน้าผ้า!DR163</f>
        <v>#VALUE!</v>
      </c>
      <c r="AM154" s="3" t="e">
        <f>[2]หน้าผ้า!DS163</f>
        <v>#VALUE!</v>
      </c>
      <c r="AN154" s="3" t="e">
        <f>[2]หน้าผ้า!DT163</f>
        <v>#VALUE!</v>
      </c>
      <c r="AO154" s="3" t="e">
        <f>[2]หน้าผ้า!DU163</f>
        <v>#VALUE!</v>
      </c>
      <c r="AP154" s="3" t="e">
        <f>[2]หน้าผ้า!DP163</f>
        <v>#VALUE!</v>
      </c>
      <c r="AQ154" s="3" t="e">
        <f>[2]หน้าผ้า!DW163</f>
        <v>#VALUE!</v>
      </c>
      <c r="AR154" s="3">
        <f>[2]หน้าผ้า!DX163</f>
        <v>0</v>
      </c>
      <c r="AS154" s="3">
        <f>[2]หน้าผ้า!DY163</f>
        <v>0</v>
      </c>
      <c r="AT154" s="3">
        <f>[2]หน้าผ้า!DZ163</f>
        <v>0</v>
      </c>
      <c r="AU154" s="3">
        <f>[2]หน้าผ้า!EA163</f>
        <v>0</v>
      </c>
      <c r="AV154" s="1">
        <f>[2]หน้าผ้า!EB163</f>
        <v>0</v>
      </c>
      <c r="AW154" s="2" t="str">
        <f>[2]หน้าผ้า!EC163</f>
        <v>งานเคลือบ+พิมพ์</v>
      </c>
      <c r="AX154" s="2" t="str">
        <f>[2]หน้าผ้า!ED163</f>
        <v xml:space="preserve"> /</v>
      </c>
      <c r="AY154" s="2">
        <f>[2]หน้าผ้า!AG163</f>
        <v>0</v>
      </c>
      <c r="AZ154" s="2">
        <f>[2]หน้าผ้า!EG163</f>
        <v>0</v>
      </c>
      <c r="BA154" s="2">
        <f>[2]หน้าผ้า!EH163</f>
        <v>0</v>
      </c>
      <c r="BB154" s="2">
        <f>[2]หน้าผ้า!EI163</f>
        <v>0</v>
      </c>
      <c r="BC154" s="1" t="str">
        <f>[2]หน้าผ้า!BZ163</f>
        <v>WRWT21670/WRWT21670</v>
      </c>
      <c r="BD154" s="56">
        <f>[2]หน้าผ้า!CA163</f>
        <v>0</v>
      </c>
    </row>
    <row r="155" spans="1:56" ht="27.75" customHeight="1" x14ac:dyDescent="0.45">
      <c r="A155" s="3">
        <f>[2]หน้าผ้า!C164</f>
        <v>0</v>
      </c>
      <c r="B155" s="14">
        <f>[2]หน้าผ้า!B164</f>
        <v>0</v>
      </c>
      <c r="C155" s="9">
        <f>[2]หน้าผ้า!E164</f>
        <v>0</v>
      </c>
      <c r="D155" s="13">
        <f>[2]หน้าผ้า!F164</f>
        <v>0</v>
      </c>
      <c r="E155" s="9">
        <f>[2]หน้าผ้า!G164</f>
        <v>21</v>
      </c>
      <c r="F155" s="9">
        <f>[2]หน้าผ้า!H164</f>
        <v>37</v>
      </c>
      <c r="G155" s="9">
        <f>[2]หน้าผ้า!I164</f>
        <v>0</v>
      </c>
      <c r="H155" s="9">
        <f>[2]หน้าผ้า!J164</f>
        <v>0</v>
      </c>
      <c r="I155" s="9">
        <f>[2]หน้าผ้า!L164</f>
        <v>74</v>
      </c>
      <c r="J155" s="9" t="str">
        <f>[2]หน้าผ้า!M164</f>
        <v>±</v>
      </c>
      <c r="K155" s="9">
        <f>[2]หน้าผ้า!N164</f>
        <v>5</v>
      </c>
      <c r="L155" s="9">
        <f>[2]หน้าผ้า!R164</f>
        <v>0</v>
      </c>
      <c r="M155" s="10">
        <f>[2]หน้าผ้า!T164</f>
        <v>0</v>
      </c>
      <c r="N155" s="9">
        <f>[2]หน้าผ้า!U164</f>
        <v>0</v>
      </c>
      <c r="O155" s="9">
        <f>[2]หน้าผ้า!V164</f>
        <v>0</v>
      </c>
      <c r="P155" s="10">
        <f>[2]หน้าผ้า!AB164</f>
        <v>0</v>
      </c>
      <c r="Q155" s="10" t="str">
        <f>[2]หน้าผ้า!AC164</f>
        <v>ว</v>
      </c>
      <c r="R155" s="10">
        <f>[2]หน้าผ้า!AD164</f>
        <v>0</v>
      </c>
      <c r="S155" s="9">
        <f>[2]หน้าผ้า!Z164</f>
        <v>0</v>
      </c>
      <c r="T155" s="12">
        <f>[2]หน้าผ้า!X164</f>
        <v>0</v>
      </c>
      <c r="U155" s="11">
        <f>[2]หน้าผ้า!AA164</f>
        <v>0</v>
      </c>
      <c r="V155" s="10">
        <f>[2]หน้าผ้า!AJ164</f>
        <v>0</v>
      </c>
      <c r="W155" s="10">
        <f>[2]หน้าผ้า!AL164</f>
        <v>0</v>
      </c>
      <c r="X155" s="10">
        <f>[2]หน้าผ้า!AM164</f>
        <v>0</v>
      </c>
      <c r="Y155" s="10">
        <f>[2]หน้าผ้า!AN164</f>
        <v>0</v>
      </c>
      <c r="Z155" s="9" t="str">
        <f>[2]หน้าผ้า!AO164</f>
        <v>WSWT2121670SM</v>
      </c>
      <c r="AA155" s="8">
        <f>[2]หน้าผ้า!AQ164</f>
        <v>195033.35390000005</v>
      </c>
      <c r="AB155" s="8">
        <f>[2]หน้าผ้า!AR164</f>
        <v>190395.31390000004</v>
      </c>
      <c r="AC155" s="8">
        <f>[2]หน้าผ้า!AS164</f>
        <v>4638.0400000000009</v>
      </c>
      <c r="AD155" s="8">
        <f>[2]หน้าผ้า!AT164</f>
        <v>110879.89000000001</v>
      </c>
      <c r="AE155" s="8">
        <f>[2]หน้าผ้า!AU164</f>
        <v>84153.463900000002</v>
      </c>
      <c r="AF155" s="8" t="str">
        <f>[2]หน้าผ้า!AI164</f>
        <v>ระบุในSD</v>
      </c>
      <c r="AG155" s="1" t="str">
        <f>[3]หน้าผ้า!DC167</f>
        <v>รอแบบ</v>
      </c>
      <c r="AH155" s="1">
        <f>[2]หน้าผ้า!DL164</f>
        <v>0</v>
      </c>
      <c r="AI155" s="1" t="str">
        <f>[2]หน้าผ้า!DM164</f>
        <v>Lead time</v>
      </c>
      <c r="AJ155" s="3">
        <f>[2]หน้าผ้า!DN164</f>
        <v>0</v>
      </c>
      <c r="AK155" s="3">
        <f>[2]หน้าผ้า!DQ164</f>
        <v>0</v>
      </c>
      <c r="AL155" s="3">
        <f>[2]หน้าผ้า!DR164</f>
        <v>0</v>
      </c>
      <c r="AM155" s="3">
        <f>[2]หน้าผ้า!DS164</f>
        <v>0</v>
      </c>
      <c r="AN155" s="3">
        <f>[2]หน้าผ้า!DT164</f>
        <v>0</v>
      </c>
      <c r="AO155" s="3">
        <f>[2]หน้าผ้า!DU164</f>
        <v>0</v>
      </c>
      <c r="AP155" s="3">
        <f>[2]หน้าผ้า!DP164</f>
        <v>0</v>
      </c>
      <c r="AQ155" s="3">
        <f>[2]หน้าผ้า!DW164</f>
        <v>0</v>
      </c>
      <c r="AR155" s="3">
        <f>[2]หน้าผ้า!DX164</f>
        <v>0</v>
      </c>
      <c r="AS155" s="3">
        <f>[2]หน้าผ้า!DY164</f>
        <v>0</v>
      </c>
      <c r="AT155" s="3">
        <f>[2]หน้าผ้า!DZ164</f>
        <v>0</v>
      </c>
      <c r="AU155" s="3">
        <f>[2]หน้าผ้า!EA164</f>
        <v>0</v>
      </c>
      <c r="AV155" s="1">
        <f>[2]หน้าผ้า!EB164</f>
        <v>0</v>
      </c>
      <c r="AW155" s="2">
        <f>[2]หน้าผ้า!EC164</f>
        <v>0</v>
      </c>
      <c r="AX155" s="2">
        <f>[2]หน้าผ้า!ED164</f>
        <v>0</v>
      </c>
      <c r="AY155" s="2">
        <f>[2]หน้าผ้า!AG164</f>
        <v>0</v>
      </c>
      <c r="AZ155" s="2">
        <f>[2]หน้าผ้า!EG164</f>
        <v>0</v>
      </c>
      <c r="BA155" s="2">
        <f>[2]หน้าผ้า!EH164</f>
        <v>0</v>
      </c>
      <c r="BB155" s="2">
        <f>[2]หน้าผ้า!EI164</f>
        <v>0</v>
      </c>
      <c r="BC155" s="1" t="str">
        <f>[2]หน้าผ้า!BZ164</f>
        <v>WRWT210670/WRWT21670</v>
      </c>
      <c r="BD155" s="56">
        <f>[2]หน้าผ้า!CA164</f>
        <v>0</v>
      </c>
    </row>
    <row r="156" spans="1:56" ht="27.75" customHeight="1" x14ac:dyDescent="0.45">
      <c r="A156" s="3">
        <f>[2]หน้าผ้า!C165</f>
        <v>0</v>
      </c>
      <c r="B156" s="14">
        <f>[2]หน้าผ้า!B165</f>
        <v>0</v>
      </c>
      <c r="C156" s="9">
        <f>[2]หน้าผ้า!E165</f>
        <v>0</v>
      </c>
      <c r="D156" s="13">
        <f>[2]หน้าผ้า!F165</f>
        <v>0</v>
      </c>
      <c r="E156" s="9">
        <f>[2]หน้าผ้า!G165</f>
        <v>21.6</v>
      </c>
      <c r="F156" s="9">
        <f>[2]หน้าผ้า!H165</f>
        <v>34</v>
      </c>
      <c r="G156" s="9">
        <f>[2]หน้าผ้า!I165</f>
        <v>0</v>
      </c>
      <c r="H156" s="9">
        <f>[2]หน้าผ้า!J165</f>
        <v>0</v>
      </c>
      <c r="I156" s="9">
        <f>[2]หน้าผ้า!L165</f>
        <v>97</v>
      </c>
      <c r="J156" s="9" t="str">
        <f>[2]หน้าผ้า!M165</f>
        <v>±</v>
      </c>
      <c r="K156" s="9">
        <f>[2]หน้าผ้า!N165</f>
        <v>5</v>
      </c>
      <c r="L156" s="9">
        <f>[2]หน้าผ้า!R165</f>
        <v>0</v>
      </c>
      <c r="M156" s="10">
        <f>[2]หน้าผ้า!T165</f>
        <v>0</v>
      </c>
      <c r="N156" s="9">
        <f>[2]หน้าผ้า!U165</f>
        <v>0</v>
      </c>
      <c r="O156" s="9">
        <f>[2]หน้าผ้า!V165</f>
        <v>0</v>
      </c>
      <c r="P156" s="10">
        <f>[2]หน้าผ้า!AB165</f>
        <v>0</v>
      </c>
      <c r="Q156" s="10">
        <f>[2]หน้าผ้า!AC165</f>
        <v>0</v>
      </c>
      <c r="R156" s="10">
        <f>[2]หน้าผ้า!AD165</f>
        <v>0</v>
      </c>
      <c r="S156" s="9">
        <f>[2]หน้าผ้า!Z165</f>
        <v>0</v>
      </c>
      <c r="T156" s="12">
        <f>[2]หน้าผ้า!X165</f>
        <v>0</v>
      </c>
      <c r="U156" s="11">
        <f>[2]หน้าผ้า!AA165</f>
        <v>0</v>
      </c>
      <c r="V156" s="10">
        <f>[2]หน้าผ้า!AJ165</f>
        <v>0</v>
      </c>
      <c r="W156" s="10">
        <f>[2]หน้าผ้า!AL165</f>
        <v>0</v>
      </c>
      <c r="X156" s="10">
        <f>[2]หน้าผ้า!AM165</f>
        <v>0</v>
      </c>
      <c r="Y156" s="10">
        <f>[2]หน้าผ้า!AN165</f>
        <v>0</v>
      </c>
      <c r="Z156" s="9" t="str">
        <f>[2]หน้าผ้า!AO165</f>
        <v>WSWT2221940</v>
      </c>
      <c r="AA156" s="8" t="e">
        <f>[2]หน้าผ้า!AQ165</f>
        <v>#REF!</v>
      </c>
      <c r="AB156" s="8" t="e">
        <f>[2]หน้าผ้า!AR165</f>
        <v>#REF!</v>
      </c>
      <c r="AC156" s="8" t="e">
        <f>[2]หน้าผ้า!AS165</f>
        <v>#REF!</v>
      </c>
      <c r="AD156" s="8" t="e">
        <f>[2]หน้าผ้า!AT165</f>
        <v>#REF!</v>
      </c>
      <c r="AE156" s="8" t="e">
        <f>[2]หน้าผ้า!AU165</f>
        <v>#REF!</v>
      </c>
      <c r="AF156" s="8" t="str">
        <f>[2]หน้าผ้า!AI165</f>
        <v>ระบุในSD</v>
      </c>
      <c r="AG156" s="1" t="str">
        <f>[3]หน้าผ้า!DC168</f>
        <v>พร้อมส่ง</v>
      </c>
      <c r="AH156" s="1">
        <f>[2]หน้าผ้า!DL165</f>
        <v>0</v>
      </c>
      <c r="AI156" s="1" t="str">
        <f>[2]หน้าผ้า!DM165</f>
        <v>Lead time</v>
      </c>
      <c r="AJ156" s="3">
        <f>[2]หน้าผ้า!DN165</f>
        <v>0</v>
      </c>
      <c r="AK156" s="3">
        <f>[2]หน้าผ้า!DQ165</f>
        <v>0</v>
      </c>
      <c r="AL156" s="3">
        <f>[2]หน้าผ้า!DR165</f>
        <v>0</v>
      </c>
      <c r="AM156" s="3">
        <f>[2]หน้าผ้า!DS165</f>
        <v>0</v>
      </c>
      <c r="AN156" s="3">
        <f>[2]หน้าผ้า!DT165</f>
        <v>0</v>
      </c>
      <c r="AO156" s="3">
        <f>[2]หน้าผ้า!DU165</f>
        <v>0</v>
      </c>
      <c r="AP156" s="3">
        <f>[2]หน้าผ้า!DP165</f>
        <v>0</v>
      </c>
      <c r="AQ156" s="3">
        <f>[2]หน้าผ้า!DW165</f>
        <v>0</v>
      </c>
      <c r="AR156" s="3">
        <f>[2]หน้าผ้า!DX165</f>
        <v>0</v>
      </c>
      <c r="AS156" s="3">
        <f>[2]หน้าผ้า!DY165</f>
        <v>0</v>
      </c>
      <c r="AT156" s="3">
        <f>[2]หน้าผ้า!DZ165</f>
        <v>0</v>
      </c>
      <c r="AU156" s="3">
        <f>[2]หน้าผ้า!EA165</f>
        <v>0</v>
      </c>
      <c r="AV156" s="1">
        <f>[2]หน้าผ้า!EB165</f>
        <v>0</v>
      </c>
      <c r="AW156" s="2">
        <f>[2]หน้าผ้า!EC165</f>
        <v>0</v>
      </c>
      <c r="AX156" s="2">
        <f>[2]หน้าผ้า!ED165</f>
        <v>0</v>
      </c>
      <c r="AY156" s="2">
        <f>[2]หน้าผ้า!AG165</f>
        <v>0</v>
      </c>
      <c r="AZ156" s="2">
        <f>[2]หน้าผ้า!EG165</f>
        <v>0</v>
      </c>
      <c r="BA156" s="2">
        <f>[2]หน้าผ้า!EH165</f>
        <v>0</v>
      </c>
      <c r="BB156" s="2">
        <f>[2]หน้าผ้า!EI165</f>
        <v>0</v>
      </c>
      <c r="BC156" s="1" t="str">
        <f>[2]หน้าผ้า!BZ165</f>
        <v>WRWT21940/WRWT21940</v>
      </c>
      <c r="BD156" s="56">
        <f>[2]หน้าผ้า!CA165</f>
        <v>0</v>
      </c>
    </row>
    <row r="157" spans="1:56" ht="27.75" customHeight="1" x14ac:dyDescent="0.45">
      <c r="A157" s="3" t="str">
        <f>[2]หน้าผ้า!C166</f>
        <v>ประมาณการ</v>
      </c>
      <c r="B157" s="14" t="str">
        <f>[2]หน้าผ้า!B166</f>
        <v>ประมาณการ</v>
      </c>
      <c r="C157" s="9" t="str">
        <f>[2]หน้าผ้า!E166</f>
        <v>พันธุ์ข้าว</v>
      </c>
      <c r="D157" s="13" t="str">
        <f>[2]หน้าผ้า!F166</f>
        <v>พันธุ์ข้าว</v>
      </c>
      <c r="E157" s="9">
        <f>[2]หน้าผ้า!G166</f>
        <v>23</v>
      </c>
      <c r="F157" s="9">
        <f>[2]หน้าผ้า!H166</f>
        <v>34</v>
      </c>
      <c r="G157" s="9" t="str">
        <f>[2]หน้าผ้า!I166</f>
        <v>ขาว</v>
      </c>
      <c r="H157" s="9">
        <f>[2]หน้าผ้า!J166</f>
        <v>0</v>
      </c>
      <c r="I157" s="9">
        <f>[2]หน้าผ้า!L166</f>
        <v>68</v>
      </c>
      <c r="J157" s="9" t="str">
        <f>[2]หน้าผ้า!M166</f>
        <v>±</v>
      </c>
      <c r="K157" s="9">
        <f>[2]หน้าผ้า!N166</f>
        <v>5</v>
      </c>
      <c r="L157" s="9" t="str">
        <f>[2]หน้าผ้า!R166</f>
        <v>บิด</v>
      </c>
      <c r="M157" s="10" t="str">
        <f>[2]หน้าผ้า!T166</f>
        <v>ไม่สวมถุงใน</v>
      </c>
      <c r="N157" s="9">
        <f>[2]หน้าผ้า!U166</f>
        <v>0</v>
      </c>
      <c r="O157" s="9">
        <f>[2]หน้าผ้า!V166</f>
        <v>0</v>
      </c>
      <c r="P157" s="10">
        <f>[2]หน้าผ้า!AB166</f>
        <v>0</v>
      </c>
      <c r="Q157" s="10">
        <f>[2]หน้าผ้า!AC166</f>
        <v>0</v>
      </c>
      <c r="R157" s="10">
        <f>[2]หน้าผ้า!AD166</f>
        <v>0</v>
      </c>
      <c r="S157" s="9" t="str">
        <f>[2]หน้าผ้า!Z166</f>
        <v>500กระสอบ</v>
      </c>
      <c r="T157" s="12">
        <f>[2]หน้าผ้า!X166</f>
        <v>45930</v>
      </c>
      <c r="U157" s="11">
        <f>[2]หน้าผ้า!AA166</f>
        <v>30000</v>
      </c>
      <c r="V157" s="10">
        <f>[2]หน้าผ้า!AJ166</f>
        <v>0</v>
      </c>
      <c r="W157" s="10">
        <f>[2]หน้าผ้า!AL166</f>
        <v>30000</v>
      </c>
      <c r="X157" s="10">
        <f>[2]หน้าผ้า!AM166</f>
        <v>0</v>
      </c>
      <c r="Y157" s="10">
        <f>[2]หน้าผ้า!AN166</f>
        <v>31500</v>
      </c>
      <c r="Z157" s="9" t="str">
        <f>[2]หน้าผ้า!AO166</f>
        <v>WSWT2325650</v>
      </c>
      <c r="AA157" s="8">
        <f>[2]หน้าผ้า!AQ166</f>
        <v>29756.100000000002</v>
      </c>
      <c r="AB157" s="8">
        <f>[2]หน้าผ้า!AR166</f>
        <v>29756.100000000002</v>
      </c>
      <c r="AC157" s="8">
        <f>[2]หน้าผ้า!AS166</f>
        <v>0</v>
      </c>
      <c r="AD157" s="8">
        <f>[2]หน้าผ้า!AT166</f>
        <v>0</v>
      </c>
      <c r="AE157" s="8">
        <f>[2]หน้าผ้า!AU166</f>
        <v>0</v>
      </c>
      <c r="AF157" s="8">
        <f>[2]หน้าผ้า!AI166</f>
        <v>0</v>
      </c>
      <c r="AG157" s="1" t="str">
        <f>[3]หน้าผ้า!DC169</f>
        <v>พร้อมส่ง</v>
      </c>
      <c r="AH157" s="1" t="str">
        <f>[2]หน้าผ้า!DL166</f>
        <v>P7</v>
      </c>
      <c r="AI157" s="1">
        <f>[2]หน้าผ้า!DM166</f>
        <v>2</v>
      </c>
      <c r="AJ157" s="3">
        <f>[2]หน้าผ้า!DN166</f>
        <v>45930</v>
      </c>
      <c r="AK157" s="3">
        <f>[2]หน้าผ้า!DQ166</f>
        <v>0</v>
      </c>
      <c r="AL157" s="3">
        <f>[2]หน้าผ้า!DR166</f>
        <v>45921</v>
      </c>
      <c r="AM157" s="3">
        <f>[2]หน้าผ้า!DS166</f>
        <v>45928</v>
      </c>
      <c r="AN157" s="3">
        <f>[2]หน้าผ้า!DT166</f>
        <v>45929</v>
      </c>
      <c r="AO157" s="3">
        <f>[2]หน้าผ้า!DU166</f>
        <v>45929</v>
      </c>
      <c r="AP157" s="3">
        <f>[2]หน้าผ้า!DP166</f>
        <v>45925</v>
      </c>
      <c r="AQ157" s="3">
        <f>[2]หน้าผ้า!DW166</f>
        <v>0</v>
      </c>
      <c r="AR157" s="3">
        <f>[2]หน้าผ้า!DX166</f>
        <v>0</v>
      </c>
      <c r="AS157" s="3">
        <f>[2]หน้าผ้า!DY166</f>
        <v>0</v>
      </c>
      <c r="AT157" s="3">
        <f>[2]หน้าผ้า!DZ166</f>
        <v>0</v>
      </c>
      <c r="AU157" s="3">
        <f>[2]หน้าผ้า!EA166</f>
        <v>0</v>
      </c>
      <c r="AV157" s="1">
        <f>[2]หน้าผ้า!EB166</f>
        <v>0</v>
      </c>
      <c r="AW157" s="2" t="str">
        <f>[2]หน้าผ้า!EC166</f>
        <v>งานพิมพ์</v>
      </c>
      <c r="AX157" s="2">
        <f>[2]หน้าผ้า!ED166</f>
        <v>0</v>
      </c>
      <c r="AY157" s="2">
        <f>[2]หน้าผ้า!AG166</f>
        <v>0</v>
      </c>
      <c r="AZ157" s="2">
        <f>[2]หน้าผ้า!EG166</f>
        <v>0</v>
      </c>
      <c r="BA157" s="2">
        <f>[2]หน้าผ้า!EH166</f>
        <v>0</v>
      </c>
      <c r="BB157" s="2">
        <f>[2]หน้าผ้า!EI166</f>
        <v>0</v>
      </c>
      <c r="BC157" s="1" t="str">
        <f>[2]หน้าผ้า!BZ166</f>
        <v>WRWT25650/WRWT25650</v>
      </c>
      <c r="BD157" s="56">
        <f>[2]หน้าผ้า!CA166</f>
        <v>0</v>
      </c>
    </row>
    <row r="158" spans="1:56" ht="27.75" customHeight="1" x14ac:dyDescent="0.45">
      <c r="A158" s="3" t="str">
        <f>[2]หน้าผ้า!C167</f>
        <v>ประมาณการ</v>
      </c>
      <c r="B158" s="14" t="str">
        <f>[2]หน้าผ้า!B167</f>
        <v>ประมาณการ</v>
      </c>
      <c r="C158" s="9" t="str">
        <f>[2]หน้าผ้า!E167</f>
        <v>บจก.ซิเบลโก้(สบปราบ)</v>
      </c>
      <c r="D158" s="13" t="str">
        <f>[2]หน้าผ้า!F167</f>
        <v>รอแบบ</v>
      </c>
      <c r="E158" s="9">
        <f>[2]หน้าผ้า!G167</f>
        <v>23</v>
      </c>
      <c r="F158" s="9">
        <f>[2]หน้าผ้า!H167</f>
        <v>34</v>
      </c>
      <c r="G158" s="9" t="str">
        <f>[2]หน้าผ้า!I167</f>
        <v>ขาว</v>
      </c>
      <c r="H158" s="9">
        <f>[2]หน้าผ้า!J167</f>
        <v>0</v>
      </c>
      <c r="I158" s="9">
        <f>[2]หน้าผ้า!L167</f>
        <v>68</v>
      </c>
      <c r="J158" s="9" t="str">
        <f>[2]หน้าผ้า!M167</f>
        <v>±</v>
      </c>
      <c r="K158" s="9">
        <f>[2]หน้าผ้า!N167</f>
        <v>5</v>
      </c>
      <c r="L158" s="9" t="str">
        <f>[2]หน้าผ้า!R167</f>
        <v>ไม่</v>
      </c>
      <c r="M158" s="10">
        <f>[2]หน้าผ้า!T167</f>
        <v>24</v>
      </c>
      <c r="N158" s="9">
        <f>[2]หน้าผ้า!U167</f>
        <v>37</v>
      </c>
      <c r="O158" s="9">
        <f>[2]หน้าผ้า!V167</f>
        <v>50</v>
      </c>
      <c r="P158" s="10">
        <f>[2]หน้าผ้า!AB167</f>
        <v>821.54158271999995</v>
      </c>
      <c r="Q158" s="10">
        <f>[2]หน้าผ้า!AC167</f>
        <v>0</v>
      </c>
      <c r="R158" s="10">
        <f>[2]หน้าผ้า!AD167</f>
        <v>821.54158271999995</v>
      </c>
      <c r="S158" s="9" t="str">
        <f>[2]หน้าผ้า!Z167</f>
        <v>มัด100</v>
      </c>
      <c r="T158" s="12">
        <f>[2]หน้าผ้า!X167</f>
        <v>45930</v>
      </c>
      <c r="U158" s="11">
        <f>[2]หน้าผ้า!AA167</f>
        <v>30000</v>
      </c>
      <c r="V158" s="10">
        <f>[2]หน้าผ้า!AJ167</f>
        <v>0</v>
      </c>
      <c r="W158" s="10">
        <f>[2]หน้าผ้า!AL167</f>
        <v>30000</v>
      </c>
      <c r="X158" s="10">
        <f>[2]หน้าผ้า!AM167</f>
        <v>0</v>
      </c>
      <c r="Y158" s="10">
        <f>[2]หน้าผ้า!AN167</f>
        <v>31500</v>
      </c>
      <c r="Z158" s="9" t="str">
        <f>[2]หน้าผ้า!AO167</f>
        <v>WSWT2325650</v>
      </c>
      <c r="AA158" s="8">
        <f>[2]หน้าผ้า!AQ167</f>
        <v>29756.100000000002</v>
      </c>
      <c r="AB158" s="8">
        <f>[2]หน้าผ้า!AR167</f>
        <v>8028</v>
      </c>
      <c r="AC158" s="8">
        <f>[2]หน้าผ้า!AS167</f>
        <v>21728.100000000002</v>
      </c>
      <c r="AD158" s="8">
        <f>[2]หน้าผ้า!AT167</f>
        <v>0</v>
      </c>
      <c r="AE158" s="8">
        <f>[2]หน้าผ้า!AU167</f>
        <v>0</v>
      </c>
      <c r="AF158" s="8">
        <f>[2]หน้าผ้า!AI167</f>
        <v>0</v>
      </c>
      <c r="AG158" s="1" t="str">
        <f>[3]หน้าผ้า!DC170</f>
        <v>พร้อมส่ง</v>
      </c>
      <c r="AH158" s="1" t="str">
        <f>[2]หน้าผ้า!DL167</f>
        <v>P9</v>
      </c>
      <c r="AI158" s="1">
        <f>[2]หน้าผ้า!DM167</f>
        <v>3</v>
      </c>
      <c r="AJ158" s="3">
        <f>[2]หน้าผ้า!DN167</f>
        <v>45930</v>
      </c>
      <c r="AK158" s="3">
        <f>[2]หน้าผ้า!DQ167</f>
        <v>0</v>
      </c>
      <c r="AL158" s="3">
        <f>[2]หน้าผ้า!DR167</f>
        <v>45920</v>
      </c>
      <c r="AM158" s="3">
        <f>[2]หน้าผ้า!DS167</f>
        <v>45927</v>
      </c>
      <c r="AN158" s="3">
        <f>[2]หน้าผ้า!DT167</f>
        <v>45928</v>
      </c>
      <c r="AO158" s="3">
        <f>[2]หน้าผ้า!DU167</f>
        <v>45928</v>
      </c>
      <c r="AP158" s="3">
        <f>[2]หน้าผ้า!DP167</f>
        <v>45925</v>
      </c>
      <c r="AQ158" s="3">
        <f>[2]หน้าผ้า!DW167</f>
        <v>45929</v>
      </c>
      <c r="AR158" s="3">
        <f>[2]หน้าผ้า!DX167</f>
        <v>0</v>
      </c>
      <c r="AS158" s="3">
        <f>[2]หน้าผ้า!DY167</f>
        <v>0</v>
      </c>
      <c r="AT158" s="3">
        <f>[2]หน้าผ้า!DZ167</f>
        <v>0</v>
      </c>
      <c r="AU158" s="3">
        <f>[2]หน้าผ้า!EA167</f>
        <v>0</v>
      </c>
      <c r="AV158" s="1">
        <f>[2]หน้าผ้า!EB167</f>
        <v>0</v>
      </c>
      <c r="AW158" s="2" t="str">
        <f>[2]หน้าผ้า!EC167</f>
        <v>งานพิมพ์</v>
      </c>
      <c r="AX158" s="2" t="str">
        <f>[2]หน้าผ้า!ED167</f>
        <v>รอART</v>
      </c>
      <c r="AY158" s="2">
        <f>[2]หน้าผ้า!AG167</f>
        <v>0</v>
      </c>
      <c r="AZ158" s="2">
        <f>[2]หน้าผ้า!EG167</f>
        <v>0</v>
      </c>
      <c r="BA158" s="2">
        <f>[2]หน้าผ้า!EH167</f>
        <v>0</v>
      </c>
      <c r="BB158" s="2">
        <f>[2]หน้าผ้า!EI167</f>
        <v>0</v>
      </c>
      <c r="BC158" s="1" t="str">
        <f>[2]หน้าผ้า!BZ167</f>
        <v>WRWT25650/WRWT25650</v>
      </c>
      <c r="BD158" s="56">
        <f>[2]หน้าผ้า!CA167</f>
        <v>1624.1754749999998</v>
      </c>
    </row>
    <row r="159" spans="1:56" ht="27.75" customHeight="1" x14ac:dyDescent="0.45">
      <c r="A159" s="3">
        <f>[2]หน้าผ้า!C168</f>
        <v>0</v>
      </c>
      <c r="B159" s="14">
        <f>[2]หน้าผ้า!B168</f>
        <v>0</v>
      </c>
      <c r="C159" s="9">
        <f>[2]หน้าผ้า!E168</f>
        <v>0</v>
      </c>
      <c r="D159" s="13">
        <f>[2]หน้าผ้า!F168</f>
        <v>0</v>
      </c>
      <c r="E159" s="9">
        <f>[2]หน้าผ้า!G168</f>
        <v>23</v>
      </c>
      <c r="F159" s="9">
        <f>[2]หน้าผ้า!H168</f>
        <v>34</v>
      </c>
      <c r="G159" s="9" t="str">
        <f>[2]หน้าผ้า!I168</f>
        <v>ขาว</v>
      </c>
      <c r="H159" s="9">
        <f>[2]หน้าผ้า!J168</f>
        <v>0</v>
      </c>
      <c r="I159" s="9">
        <f>[2]หน้าผ้า!L168</f>
        <v>68</v>
      </c>
      <c r="J159" s="9" t="str">
        <f>[2]หน้าผ้า!M168</f>
        <v>±</v>
      </c>
      <c r="K159" s="9">
        <f>[2]หน้าผ้า!N168</f>
        <v>5</v>
      </c>
      <c r="L159" s="9">
        <f>[2]หน้าผ้า!R168</f>
        <v>0</v>
      </c>
      <c r="M159" s="10">
        <f>[2]หน้าผ้า!T168</f>
        <v>0</v>
      </c>
      <c r="N159" s="9">
        <f>[2]หน้าผ้า!U168</f>
        <v>0</v>
      </c>
      <c r="O159" s="9">
        <f>[2]หน้าผ้า!V168</f>
        <v>0</v>
      </c>
      <c r="P159" s="10">
        <f>[2]หน้าผ้า!AB168</f>
        <v>0</v>
      </c>
      <c r="Q159" s="10">
        <f>[2]หน้าผ้า!AC168</f>
        <v>0</v>
      </c>
      <c r="R159" s="10">
        <f>[2]หน้าผ้า!AD168</f>
        <v>0</v>
      </c>
      <c r="S159" s="9">
        <f>[2]หน้าผ้า!Z168</f>
        <v>0</v>
      </c>
      <c r="T159" s="12">
        <f>[2]หน้าผ้า!X168</f>
        <v>0</v>
      </c>
      <c r="U159" s="11">
        <f>[2]หน้าผ้า!AA168</f>
        <v>0</v>
      </c>
      <c r="V159" s="10">
        <f>[2]หน้าผ้า!AJ168</f>
        <v>0</v>
      </c>
      <c r="W159" s="10">
        <f>[2]หน้าผ้า!AL168</f>
        <v>0</v>
      </c>
      <c r="X159" s="10">
        <f>[2]หน้าผ้า!AM168</f>
        <v>0</v>
      </c>
      <c r="Y159" s="10">
        <f>[2]หน้าผ้า!AN168</f>
        <v>0</v>
      </c>
      <c r="Z159" s="9" t="str">
        <f>[2]หน้าผ้า!AO168</f>
        <v>WSWT2325650</v>
      </c>
      <c r="AA159" s="8">
        <f>[2]หน้าผ้า!AQ168</f>
        <v>59512.200000000004</v>
      </c>
      <c r="AB159" s="8">
        <f>[2]หน้าผ้า!AR168</f>
        <v>37784.100000000006</v>
      </c>
      <c r="AC159" s="8">
        <f>[2]หน้าผ้า!AS168</f>
        <v>21728.100000000002</v>
      </c>
      <c r="AD159" s="8">
        <f>[2]หน้าผ้า!AT168</f>
        <v>0</v>
      </c>
      <c r="AE159" s="8">
        <f>[2]หน้าผ้า!AU168</f>
        <v>0</v>
      </c>
      <c r="AF159" s="8" t="str">
        <f>[2]หน้าผ้า!AI168</f>
        <v>ระบุในSD</v>
      </c>
      <c r="AG159" s="1" t="str">
        <f>[3]หน้าผ้า!DC171</f>
        <v>พร้อมส่ง</v>
      </c>
      <c r="AH159" s="1">
        <f>[2]หน้าผ้า!DL168</f>
        <v>0</v>
      </c>
      <c r="AI159" s="1" t="str">
        <f>[2]หน้าผ้า!DM168</f>
        <v>Lead time</v>
      </c>
      <c r="AJ159" s="3">
        <f>[2]หน้าผ้า!DN168</f>
        <v>0</v>
      </c>
      <c r="AK159" s="3">
        <f>[2]หน้าผ้า!DQ168</f>
        <v>0</v>
      </c>
      <c r="AL159" s="3">
        <f>[2]หน้าผ้า!DR168</f>
        <v>0</v>
      </c>
      <c r="AM159" s="3">
        <f>[2]หน้าผ้า!DS168</f>
        <v>0</v>
      </c>
      <c r="AN159" s="3">
        <f>[2]หน้าผ้า!DT168</f>
        <v>0</v>
      </c>
      <c r="AO159" s="3">
        <f>[2]หน้าผ้า!DU168</f>
        <v>0</v>
      </c>
      <c r="AP159" s="3">
        <f>[2]หน้าผ้า!DP168</f>
        <v>0</v>
      </c>
      <c r="AQ159" s="3">
        <f>[2]หน้าผ้า!DW168</f>
        <v>0</v>
      </c>
      <c r="AR159" s="3">
        <f>[2]หน้าผ้า!DX168</f>
        <v>0</v>
      </c>
      <c r="AS159" s="3">
        <f>[2]หน้าผ้า!DY168</f>
        <v>0</v>
      </c>
      <c r="AT159" s="3">
        <f>[2]หน้าผ้า!DZ168</f>
        <v>0</v>
      </c>
      <c r="AU159" s="3">
        <f>[2]หน้าผ้า!EA168</f>
        <v>0</v>
      </c>
      <c r="AV159" s="1">
        <f>[2]หน้าผ้า!EB168</f>
        <v>0</v>
      </c>
      <c r="AW159" s="2">
        <f>[2]หน้าผ้า!EC168</f>
        <v>0</v>
      </c>
      <c r="AX159" s="2">
        <f>[2]หน้าผ้า!ED168</f>
        <v>0</v>
      </c>
      <c r="AY159" s="2">
        <f>[2]หน้าผ้า!AG168</f>
        <v>0</v>
      </c>
      <c r="AZ159" s="2">
        <f>[2]หน้าผ้า!EG168</f>
        <v>0</v>
      </c>
      <c r="BA159" s="2">
        <f>[2]หน้าผ้า!EH168</f>
        <v>0</v>
      </c>
      <c r="BB159" s="2">
        <f>[2]หน้าผ้า!EI168</f>
        <v>0</v>
      </c>
      <c r="BC159" s="1" t="str">
        <f>[2]หน้าผ้า!BZ168</f>
        <v>WRWT25650/WRWT25650</v>
      </c>
      <c r="BD159" s="56">
        <f>[2]หน้าผ้า!CA168</f>
        <v>0</v>
      </c>
    </row>
    <row r="160" spans="1:56" ht="27.75" customHeight="1" x14ac:dyDescent="0.45">
      <c r="A160" s="3">
        <f>[2]หน้าผ้า!C169</f>
        <v>0</v>
      </c>
      <c r="B160" s="14">
        <f>[2]หน้าผ้า!B169</f>
        <v>0</v>
      </c>
      <c r="C160" s="9">
        <f>[2]หน้าผ้า!E169</f>
        <v>0</v>
      </c>
      <c r="D160" s="13">
        <f>[2]หน้าผ้า!F169</f>
        <v>0</v>
      </c>
      <c r="E160" s="9">
        <f>[2]หน้าผ้า!G169</f>
        <v>23</v>
      </c>
      <c r="F160" s="9">
        <f>[2]หน้าผ้า!H169</f>
        <v>34</v>
      </c>
      <c r="G160" s="9" t="str">
        <f>[2]หน้าผ้า!I169</f>
        <v>ขาวแถบใส5</v>
      </c>
      <c r="H160" s="9">
        <f>[2]หน้าผ้า!J169</f>
        <v>0</v>
      </c>
      <c r="I160" s="9">
        <f>[2]หน้าผ้า!L169</f>
        <v>68</v>
      </c>
      <c r="J160" s="9" t="str">
        <f>[2]หน้าผ้า!M169</f>
        <v>±</v>
      </c>
      <c r="K160" s="9">
        <f>[2]หน้าผ้า!N169</f>
        <v>5</v>
      </c>
      <c r="L160" s="9">
        <f>[2]หน้าผ้า!R169</f>
        <v>0</v>
      </c>
      <c r="M160" s="10">
        <f>[2]หน้าผ้า!T169</f>
        <v>0</v>
      </c>
      <c r="N160" s="9">
        <f>[2]หน้าผ้า!U169</f>
        <v>0</v>
      </c>
      <c r="O160" s="9">
        <f>[2]หน้าผ้า!V169</f>
        <v>0</v>
      </c>
      <c r="P160" s="10">
        <f>[2]หน้าผ้า!AB169</f>
        <v>0</v>
      </c>
      <c r="Q160" s="10">
        <f>[2]หน้าผ้า!AC169</f>
        <v>0</v>
      </c>
      <c r="R160" s="10">
        <f>[2]หน้าผ้า!AD169</f>
        <v>0</v>
      </c>
      <c r="S160" s="9">
        <f>[2]หน้าผ้า!Z169</f>
        <v>0</v>
      </c>
      <c r="T160" s="12">
        <f>[2]หน้าผ้า!X169</f>
        <v>0</v>
      </c>
      <c r="U160" s="11">
        <f>[2]หน้าผ้า!AA169</f>
        <v>0</v>
      </c>
      <c r="V160" s="10">
        <f>[2]หน้าผ้า!AJ169</f>
        <v>0</v>
      </c>
      <c r="W160" s="10">
        <f>[2]หน้าผ้า!AL169</f>
        <v>0</v>
      </c>
      <c r="X160" s="10">
        <f>[2]หน้าผ้า!AM169</f>
        <v>0</v>
      </c>
      <c r="Y160" s="10">
        <f>[2]หน้าผ้า!AN169</f>
        <v>0</v>
      </c>
      <c r="Z160" s="9" t="str">
        <f>[2]หน้าผ้า!AO169</f>
        <v>WSWTSCL052325650</v>
      </c>
      <c r="AA160" s="8" t="e">
        <f>[2]หน้าผ้า!AQ169</f>
        <v>#REF!</v>
      </c>
      <c r="AB160" s="8" t="e">
        <f>[2]หน้าผ้า!AR169</f>
        <v>#REF!</v>
      </c>
      <c r="AC160" s="8" t="e">
        <f>[2]หน้าผ้า!AS169</f>
        <v>#REF!</v>
      </c>
      <c r="AD160" s="8" t="e">
        <f>[2]หน้าผ้า!AT169</f>
        <v>#REF!</v>
      </c>
      <c r="AE160" s="8" t="e">
        <f>[2]หน้าผ้า!AU169</f>
        <v>#REF!</v>
      </c>
      <c r="AF160" s="8">
        <f>[2]หน้าผ้า!AI169</f>
        <v>0</v>
      </c>
      <c r="AG160" s="1" t="str">
        <f>[3]หน้าผ้า!DC172</f>
        <v>ผ้าขาว</v>
      </c>
      <c r="AH160" s="1">
        <f>[2]หน้าผ้า!DL169</f>
        <v>0</v>
      </c>
      <c r="AI160" s="1" t="str">
        <f>[2]หน้าผ้า!DM169</f>
        <v>Lead time</v>
      </c>
      <c r="AJ160" s="3">
        <f>[2]หน้าผ้า!DN169</f>
        <v>0</v>
      </c>
      <c r="AK160" s="3">
        <f>[2]หน้าผ้า!DQ169</f>
        <v>0</v>
      </c>
      <c r="AL160" s="3">
        <f>[2]หน้าผ้า!DR169</f>
        <v>0</v>
      </c>
      <c r="AM160" s="3">
        <f>[2]หน้าผ้า!DS169</f>
        <v>0</v>
      </c>
      <c r="AN160" s="3">
        <f>[2]หน้าผ้า!DT169</f>
        <v>0</v>
      </c>
      <c r="AO160" s="3">
        <f>[2]หน้าผ้า!DU169</f>
        <v>0</v>
      </c>
      <c r="AP160" s="3">
        <f>[2]หน้าผ้า!DP169</f>
        <v>0</v>
      </c>
      <c r="AQ160" s="3">
        <f>[2]หน้าผ้า!DW169</f>
        <v>0</v>
      </c>
      <c r="AR160" s="3">
        <f>[2]หน้าผ้า!DX169</f>
        <v>0</v>
      </c>
      <c r="AS160" s="3">
        <f>[2]หน้าผ้า!DY169</f>
        <v>0</v>
      </c>
      <c r="AT160" s="3">
        <f>[2]หน้าผ้า!DZ169</f>
        <v>0</v>
      </c>
      <c r="AU160" s="3">
        <f>[2]หน้าผ้า!EA169</f>
        <v>0</v>
      </c>
      <c r="AV160" s="1">
        <f>[2]หน้าผ้า!EB169</f>
        <v>0</v>
      </c>
      <c r="AW160" s="2">
        <f>[2]หน้าผ้า!EC169</f>
        <v>0</v>
      </c>
      <c r="AX160" s="2">
        <f>[2]หน้าผ้า!ED169</f>
        <v>0</v>
      </c>
      <c r="AY160" s="2">
        <f>[2]หน้าผ้า!AG169</f>
        <v>0</v>
      </c>
      <c r="AZ160" s="2">
        <f>[2]หน้าผ้า!EG169</f>
        <v>0</v>
      </c>
      <c r="BA160" s="2">
        <f>[2]หน้าผ้า!EH169</f>
        <v>0</v>
      </c>
      <c r="BB160" s="2">
        <f>[2]หน้าผ้า!EI169</f>
        <v>0</v>
      </c>
      <c r="BC160" s="1" t="str">
        <f>[2]หน้าผ้า!BZ169</f>
        <v>WRWT25650/WRCL25680</v>
      </c>
      <c r="BD160" s="56">
        <f>[2]หน้าผ้า!CA169</f>
        <v>0</v>
      </c>
    </row>
    <row r="161" spans="1:56" ht="27.75" customHeight="1" x14ac:dyDescent="0.45">
      <c r="A161" s="3">
        <f>[2]หน้าผ้า!C170</f>
        <v>0</v>
      </c>
      <c r="B161" s="14">
        <f>[2]หน้าผ้า!B170</f>
        <v>0</v>
      </c>
      <c r="C161" s="9">
        <f>[2]หน้าผ้า!E170</f>
        <v>0</v>
      </c>
      <c r="D161" s="13">
        <f>[2]หน้าผ้า!F170</f>
        <v>0</v>
      </c>
      <c r="E161" s="9">
        <f>[2]หน้าผ้า!G170</f>
        <v>23</v>
      </c>
      <c r="F161" s="9">
        <f>[2]หน้าผ้า!H170</f>
        <v>34</v>
      </c>
      <c r="G161" s="9" t="str">
        <f>[2]หน้าผ้า!I170</f>
        <v>ขาวแถบใส2</v>
      </c>
      <c r="H161" s="9">
        <f>[2]หน้าผ้า!J170</f>
        <v>0</v>
      </c>
      <c r="I161" s="9">
        <f>[2]หน้าผ้า!L170</f>
        <v>68</v>
      </c>
      <c r="J161" s="9" t="str">
        <f>[2]หน้าผ้า!M170</f>
        <v>±</v>
      </c>
      <c r="K161" s="9">
        <f>[2]หน้าผ้า!N170</f>
        <v>5</v>
      </c>
      <c r="L161" s="9">
        <f>[2]หน้าผ้า!R170</f>
        <v>0</v>
      </c>
      <c r="M161" s="10">
        <f>[2]หน้าผ้า!T170</f>
        <v>0</v>
      </c>
      <c r="N161" s="9">
        <f>[2]หน้าผ้า!U170</f>
        <v>0</v>
      </c>
      <c r="O161" s="9">
        <f>[2]หน้าผ้า!V170</f>
        <v>0</v>
      </c>
      <c r="P161" s="10">
        <f>[2]หน้าผ้า!AB170</f>
        <v>0</v>
      </c>
      <c r="Q161" s="10">
        <f>[2]หน้าผ้า!AC170</f>
        <v>0</v>
      </c>
      <c r="R161" s="10">
        <f>[2]หน้าผ้า!AD170</f>
        <v>0</v>
      </c>
      <c r="S161" s="9">
        <f>[2]หน้าผ้า!Z170</f>
        <v>0</v>
      </c>
      <c r="T161" s="12">
        <f>[2]หน้าผ้า!X170</f>
        <v>0</v>
      </c>
      <c r="U161" s="11">
        <f>[2]หน้าผ้า!AA170</f>
        <v>0</v>
      </c>
      <c r="V161" s="10">
        <f>[2]หน้าผ้า!AJ170</f>
        <v>0</v>
      </c>
      <c r="W161" s="10">
        <f>[2]หน้าผ้า!AL170</f>
        <v>0</v>
      </c>
      <c r="X161" s="10">
        <f>[2]หน้าผ้า!AM170</f>
        <v>0</v>
      </c>
      <c r="Y161" s="10">
        <f>[2]หน้าผ้า!AN170</f>
        <v>0</v>
      </c>
      <c r="Z161" s="9" t="str">
        <f>[2]หน้าผ้า!AO170</f>
        <v>WSWTFCL022325650</v>
      </c>
      <c r="AA161" s="8" t="e">
        <f>[2]หน้าผ้า!AQ170</f>
        <v>#REF!</v>
      </c>
      <c r="AB161" s="8" t="e">
        <f>[2]หน้าผ้า!AR170</f>
        <v>#REF!</v>
      </c>
      <c r="AC161" s="8" t="e">
        <f>[2]หน้าผ้า!AS170</f>
        <v>#REF!</v>
      </c>
      <c r="AD161" s="8" t="e">
        <f>[2]หน้าผ้า!AT170</f>
        <v>#REF!</v>
      </c>
      <c r="AE161" s="8" t="e">
        <f>[2]หน้าผ้า!AU170</f>
        <v>#REF!</v>
      </c>
      <c r="AF161" s="8" t="str">
        <f>[2]หน้าผ้า!AI170</f>
        <v>ระบุในSD</v>
      </c>
      <c r="AG161" s="1" t="str">
        <f>[3]หน้าผ้า!DC173</f>
        <v>พร้อมส่ง</v>
      </c>
      <c r="AH161" s="1">
        <f>[2]หน้าผ้า!DL170</f>
        <v>0</v>
      </c>
      <c r="AI161" s="1" t="str">
        <f>[2]หน้าผ้า!DM170</f>
        <v>Lead time</v>
      </c>
      <c r="AJ161" s="3">
        <f>[2]หน้าผ้า!DN170</f>
        <v>0</v>
      </c>
      <c r="AK161" s="3">
        <f>[2]หน้าผ้า!DQ170</f>
        <v>0</v>
      </c>
      <c r="AL161" s="3">
        <f>[2]หน้าผ้า!DR170</f>
        <v>0</v>
      </c>
      <c r="AM161" s="3">
        <f>[2]หน้าผ้า!DS170</f>
        <v>0</v>
      </c>
      <c r="AN161" s="3">
        <f>[2]หน้าผ้า!DT170</f>
        <v>0</v>
      </c>
      <c r="AO161" s="3">
        <f>[2]หน้าผ้า!DU170</f>
        <v>0</v>
      </c>
      <c r="AP161" s="3">
        <f>[2]หน้าผ้า!DP170</f>
        <v>0</v>
      </c>
      <c r="AQ161" s="3">
        <f>[2]หน้าผ้า!DW170</f>
        <v>0</v>
      </c>
      <c r="AR161" s="3">
        <f>[2]หน้าผ้า!DX170</f>
        <v>0</v>
      </c>
      <c r="AS161" s="3">
        <f>[2]หน้าผ้า!DY170</f>
        <v>0</v>
      </c>
      <c r="AT161" s="3">
        <f>[2]หน้าผ้า!DZ170</f>
        <v>0</v>
      </c>
      <c r="AU161" s="3">
        <f>[2]หน้าผ้า!EA170</f>
        <v>0</v>
      </c>
      <c r="AV161" s="1">
        <f>[2]หน้าผ้า!EB170</f>
        <v>0</v>
      </c>
      <c r="AW161" s="2">
        <f>[2]หน้าผ้า!EC170</f>
        <v>0</v>
      </c>
      <c r="AX161" s="2">
        <f>[2]หน้าผ้า!ED170</f>
        <v>0</v>
      </c>
      <c r="AY161" s="2">
        <f>[2]หน้าผ้า!AG170</f>
        <v>0</v>
      </c>
      <c r="AZ161" s="2">
        <f>[2]หน้าผ้า!EG170</f>
        <v>0</v>
      </c>
      <c r="BA161" s="2">
        <f>[2]หน้าผ้า!EH170</f>
        <v>0</v>
      </c>
      <c r="BB161" s="2">
        <f>[2]หน้าผ้า!EI170</f>
        <v>0</v>
      </c>
      <c r="BC161" s="1" t="str">
        <f>[2]หน้าผ้า!BZ170</f>
        <v>WRWT25650/WRCL25680</v>
      </c>
      <c r="BD161" s="56">
        <f>[2]หน้าผ้า!CA170</f>
        <v>0</v>
      </c>
    </row>
    <row r="162" spans="1:56" ht="27.75" customHeight="1" x14ac:dyDescent="0.45">
      <c r="A162" s="3">
        <f>[2]หน้าผ้า!C171</f>
        <v>0</v>
      </c>
      <c r="B162" s="14">
        <f>[2]หน้าผ้า!B171</f>
        <v>0</v>
      </c>
      <c r="C162" s="9">
        <f>[2]หน้าผ้า!E171</f>
        <v>0</v>
      </c>
      <c r="D162" s="13">
        <f>[2]หน้าผ้า!F171</f>
        <v>0</v>
      </c>
      <c r="E162" s="9">
        <f>[2]หน้าผ้า!G171</f>
        <v>23</v>
      </c>
      <c r="F162" s="9">
        <f>[2]หน้าผ้า!H171</f>
        <v>37</v>
      </c>
      <c r="G162" s="9" t="str">
        <f>[2]หน้าผ้า!I171</f>
        <v>ขาว</v>
      </c>
      <c r="H162" s="9">
        <f>[2]หน้าผ้า!J171</f>
        <v>0</v>
      </c>
      <c r="I162" s="9">
        <f>[2]หน้าผ้า!L171</f>
        <v>85</v>
      </c>
      <c r="J162" s="9" t="str">
        <f>[2]หน้าผ้า!M171</f>
        <v>±</v>
      </c>
      <c r="K162" s="9">
        <f>[2]หน้าผ้า!N171</f>
        <v>5</v>
      </c>
      <c r="L162" s="9">
        <f>[2]หน้าผ้า!R171</f>
        <v>0</v>
      </c>
      <c r="M162" s="10">
        <f>[2]หน้าผ้า!T171</f>
        <v>0</v>
      </c>
      <c r="N162" s="9">
        <f>[2]หน้าผ้า!U171</f>
        <v>0</v>
      </c>
      <c r="O162" s="9">
        <f>[2]หน้าผ้า!V171</f>
        <v>0</v>
      </c>
      <c r="P162" s="10">
        <f>[2]หน้าผ้า!AB171</f>
        <v>0</v>
      </c>
      <c r="Q162" s="10">
        <f>[2]หน้าผ้า!AC171</f>
        <v>0</v>
      </c>
      <c r="R162" s="10">
        <f>[2]หน้าผ้า!AD171</f>
        <v>0</v>
      </c>
      <c r="S162" s="9">
        <f>[2]หน้าผ้า!Z171</f>
        <v>0</v>
      </c>
      <c r="T162" s="12">
        <f>[2]หน้าผ้า!X171</f>
        <v>0</v>
      </c>
      <c r="U162" s="11">
        <f>[2]หน้าผ้า!AA171</f>
        <v>0</v>
      </c>
      <c r="V162" s="10">
        <f>[2]หน้าผ้า!AJ171</f>
        <v>0</v>
      </c>
      <c r="W162" s="10">
        <f>[2]หน้าผ้า!AL171</f>
        <v>0</v>
      </c>
      <c r="X162" s="10">
        <f>[2]หน้าผ้า!AM171</f>
        <v>0</v>
      </c>
      <c r="Y162" s="10">
        <f>[2]หน้าผ้า!AN171</f>
        <v>0</v>
      </c>
      <c r="Z162" s="9" t="str">
        <f>[2]หน้าผ้า!AO171</f>
        <v>WSWT2325800</v>
      </c>
      <c r="AA162" s="8" t="e">
        <f>[2]หน้าผ้า!AQ171</f>
        <v>#REF!</v>
      </c>
      <c r="AB162" s="8" t="e">
        <f>[2]หน้าผ้า!AR171</f>
        <v>#REF!</v>
      </c>
      <c r="AC162" s="8" t="e">
        <f>[2]หน้าผ้า!AS171</f>
        <v>#REF!</v>
      </c>
      <c r="AD162" s="8" t="e">
        <f>[2]หน้าผ้า!AT171</f>
        <v>#REF!</v>
      </c>
      <c r="AE162" s="8" t="e">
        <f>[2]หน้าผ้า!AU171</f>
        <v>#REF!</v>
      </c>
      <c r="AF162" s="8" t="str">
        <f>[2]หน้าผ้า!AI171</f>
        <v>ระบุในSD</v>
      </c>
      <c r="AG162" s="1" t="str">
        <f>[3]หน้าผ้า!DC174</f>
        <v>พร้อมส่ง</v>
      </c>
      <c r="AH162" s="1">
        <f>[2]หน้าผ้า!DL171</f>
        <v>0</v>
      </c>
      <c r="AI162" s="1" t="str">
        <f>[2]หน้าผ้า!DM171</f>
        <v>Lead time</v>
      </c>
      <c r="AJ162" s="3">
        <f>[2]หน้าผ้า!DN171</f>
        <v>0</v>
      </c>
      <c r="AK162" s="3">
        <f>[2]หน้าผ้า!DQ171</f>
        <v>0</v>
      </c>
      <c r="AL162" s="3">
        <f>[2]หน้าผ้า!DR171</f>
        <v>0</v>
      </c>
      <c r="AM162" s="3">
        <f>[2]หน้าผ้า!DS171</f>
        <v>0</v>
      </c>
      <c r="AN162" s="3">
        <f>[2]หน้าผ้า!DT171</f>
        <v>0</v>
      </c>
      <c r="AO162" s="3">
        <f>[2]หน้าผ้า!DU171</f>
        <v>0</v>
      </c>
      <c r="AP162" s="3">
        <f>[2]หน้าผ้า!DP171</f>
        <v>0</v>
      </c>
      <c r="AQ162" s="3">
        <f>[2]หน้าผ้า!DW171</f>
        <v>0</v>
      </c>
      <c r="AR162" s="3">
        <f>[2]หน้าผ้า!DX171</f>
        <v>0</v>
      </c>
      <c r="AS162" s="3">
        <f>[2]หน้าผ้า!DY171</f>
        <v>0</v>
      </c>
      <c r="AT162" s="3">
        <f>[2]หน้าผ้า!DZ171</f>
        <v>0</v>
      </c>
      <c r="AU162" s="3">
        <f>[2]หน้าผ้า!EA171</f>
        <v>0</v>
      </c>
      <c r="AV162" s="1">
        <f>[2]หน้าผ้า!EB171</f>
        <v>0</v>
      </c>
      <c r="AW162" s="2">
        <f>[2]หน้าผ้า!EC171</f>
        <v>0</v>
      </c>
      <c r="AX162" s="2">
        <f>[2]หน้าผ้า!ED171</f>
        <v>0</v>
      </c>
      <c r="AY162" s="2">
        <f>[2]หน้าผ้า!AG171</f>
        <v>0</v>
      </c>
      <c r="AZ162" s="2">
        <f>[2]หน้าผ้า!EG171</f>
        <v>0</v>
      </c>
      <c r="BA162" s="2">
        <f>[2]หน้าผ้า!EH171</f>
        <v>0</v>
      </c>
      <c r="BB162" s="2">
        <f>[2]หน้าผ้า!EI171</f>
        <v>0</v>
      </c>
      <c r="BC162" s="1" t="str">
        <f>[2]หน้าผ้า!BZ171</f>
        <v>WRWT25800/WRWT28750</v>
      </c>
      <c r="BD162" s="56">
        <f>[2]หน้าผ้า!CA171</f>
        <v>0</v>
      </c>
    </row>
    <row r="163" spans="1:56" ht="27.75" customHeight="1" x14ac:dyDescent="0.45">
      <c r="A163" s="3">
        <f>[2]หน้าผ้า!C172</f>
        <v>45727</v>
      </c>
      <c r="B163" s="14" t="str">
        <f>[2]หน้าผ้า!B172</f>
        <v>MK68-000378</v>
      </c>
      <c r="C163" s="9" t="str">
        <f>[2]หน้าผ้า!E172</f>
        <v>บจก.แอมโก้เวท</v>
      </c>
      <c r="D163" s="13" t="str">
        <f>[2]หน้าผ้า!F172</f>
        <v>ไม่พิมพ์</v>
      </c>
      <c r="E163" s="9">
        <f>[2]หน้าผ้า!G172</f>
        <v>23</v>
      </c>
      <c r="F163" s="9">
        <f>[2]หน้าผ้า!H172</f>
        <v>40</v>
      </c>
      <c r="G163" s="9" t="str">
        <f>[2]หน้าผ้า!I172</f>
        <v>ขาว</v>
      </c>
      <c r="H163" s="9" t="str">
        <f>[2]หน้าผ้า!J172</f>
        <v>ใส</v>
      </c>
      <c r="I163" s="9">
        <f>[2]หน้าผ้า!L172</f>
        <v>125</v>
      </c>
      <c r="J163" s="9" t="str">
        <f>[2]หน้าผ้า!M172</f>
        <v>±</v>
      </c>
      <c r="K163" s="9">
        <f>[2]หน้าผ้า!N172</f>
        <v>5</v>
      </c>
      <c r="L163" s="9" t="str">
        <f>[2]หน้าผ้า!R172</f>
        <v>จับจีบ4"</v>
      </c>
      <c r="M163" s="10" t="str">
        <f>[2]หน้าผ้า!T172</f>
        <v>ไม่สวมถุงใน</v>
      </c>
      <c r="N163" s="9">
        <f>[2]หน้าผ้า!U172</f>
        <v>0</v>
      </c>
      <c r="O163" s="9">
        <f>[2]หน้าผ้า!V172</f>
        <v>0</v>
      </c>
      <c r="P163" s="10">
        <f>[2]หน้าผ้า!AB172</f>
        <v>0</v>
      </c>
      <c r="Q163" s="10">
        <f>[2]หน้าผ้า!AC172</f>
        <v>0</v>
      </c>
      <c r="R163" s="10">
        <f>[2]หน้าผ้า!AD172</f>
        <v>0</v>
      </c>
      <c r="S163" s="9" t="str">
        <f>[2]หน้าผ้า!Z172</f>
        <v>500กระสอบแบน</v>
      </c>
      <c r="T163" s="12" t="str">
        <f>[2]หน้าผ้า!X172</f>
        <v>รอแจ้ง</v>
      </c>
      <c r="U163" s="11">
        <f>[2]หน้าผ้า!AA172</f>
        <v>1000</v>
      </c>
      <c r="V163" s="10">
        <f>[2]หน้าผ้า!AJ172</f>
        <v>0</v>
      </c>
      <c r="W163" s="10">
        <f>[2]หน้าผ้า!AL172</f>
        <v>1000</v>
      </c>
      <c r="X163" s="10">
        <f>[2]หน้าผ้า!AM172</f>
        <v>0</v>
      </c>
      <c r="Y163" s="10">
        <f>[2]หน้าผ้า!AN172</f>
        <v>0</v>
      </c>
      <c r="Z163" s="9" t="str">
        <f>[2]หน้าผ้า!AO172</f>
        <v>WSWT2321750</v>
      </c>
      <c r="AA163" s="8">
        <f>[2]หน้าผ้า!AQ172</f>
        <v>1159.5100000000002</v>
      </c>
      <c r="AB163" s="8">
        <f>[2]หน้าผ้า!AR172</f>
        <v>1159.5100000000002</v>
      </c>
      <c r="AC163" s="8">
        <f>[2]หน้าผ้า!AS172</f>
        <v>0</v>
      </c>
      <c r="AD163" s="8">
        <f>[2]หน้าผ้า!AT172</f>
        <v>1159.5100000000002</v>
      </c>
      <c r="AE163" s="8">
        <f>[2]หน้าผ้า!AU172</f>
        <v>0</v>
      </c>
      <c r="AF163" s="8" t="str">
        <f>[2]หน้าผ้า!AI172</f>
        <v>ห้ามขาด-เกินได้5%</v>
      </c>
      <c r="AG163" s="1" t="str">
        <f>[3]หน้าผ้า!DC175</f>
        <v>พร้อมส่ง</v>
      </c>
      <c r="AH163" s="1" t="str">
        <f>[2]หน้าผ้า!DL172</f>
        <v>P11</v>
      </c>
      <c r="AI163" s="1">
        <f>[2]หน้าผ้า!DM172</f>
        <v>2</v>
      </c>
      <c r="AJ163" s="3" t="str">
        <f>[2]หน้าผ้า!DN172</f>
        <v>รอแจ้ง</v>
      </c>
      <c r="AK163" s="3" t="e">
        <f>[2]หน้าผ้า!DQ172</f>
        <v>#VALUE!</v>
      </c>
      <c r="AL163" s="3">
        <f>[2]หน้าผ้า!DR172</f>
        <v>0</v>
      </c>
      <c r="AM163" s="3">
        <f>[2]หน้าผ้า!DS172</f>
        <v>0</v>
      </c>
      <c r="AN163" s="3">
        <f>[2]หน้าผ้า!DT172</f>
        <v>0</v>
      </c>
      <c r="AO163" s="3" t="e">
        <f>[2]หน้าผ้า!DU172</f>
        <v>#VALUE!</v>
      </c>
      <c r="AP163" s="3" t="e">
        <f>[2]หน้าผ้า!DP172</f>
        <v>#VALUE!</v>
      </c>
      <c r="AQ163" s="3">
        <f>[2]หน้าผ้า!DW172</f>
        <v>0</v>
      </c>
      <c r="AR163" s="3">
        <f>[2]หน้าผ้า!DX172</f>
        <v>0</v>
      </c>
      <c r="AS163" s="3">
        <f>[2]หน้าผ้า!DY172</f>
        <v>0</v>
      </c>
      <c r="AT163" s="3">
        <f>[2]หน้าผ้า!DZ172</f>
        <v>0</v>
      </c>
      <c r="AU163" s="3">
        <f>[2]หน้าผ้า!EA172</f>
        <v>0</v>
      </c>
      <c r="AV163" s="1">
        <f>[2]หน้าผ้า!EB172</f>
        <v>0</v>
      </c>
      <c r="AW163" s="2" t="str">
        <f>[2]หน้าผ้า!EC172</f>
        <v>งานเคลือบ+ตัด</v>
      </c>
      <c r="AX163" s="2">
        <f>[2]หน้าผ้า!ED172</f>
        <v>0</v>
      </c>
      <c r="AY163" s="2">
        <f>[2]หน้าผ้า!AG172</f>
        <v>0</v>
      </c>
      <c r="AZ163" s="2">
        <f>[2]หน้าผ้า!EG172</f>
        <v>0</v>
      </c>
      <c r="BA163" s="2">
        <f>[2]หน้าผ้า!EH172</f>
        <v>0</v>
      </c>
      <c r="BB163" s="2">
        <f>[2]หน้าผ้า!EI172</f>
        <v>0</v>
      </c>
      <c r="BC163" s="1" t="str">
        <f>[2]หน้าผ้า!BZ172</f>
        <v>WRWT21750/WRWT21750</v>
      </c>
      <c r="BD163" s="56">
        <f>[2]หน้าผ้า!CA172</f>
        <v>0</v>
      </c>
    </row>
    <row r="164" spans="1:56" ht="27.75" customHeight="1" x14ac:dyDescent="0.45">
      <c r="A164" s="3">
        <f>[2]หน้าผ้า!C173</f>
        <v>0</v>
      </c>
      <c r="B164" s="14">
        <f>[2]หน้าผ้า!B173</f>
        <v>0</v>
      </c>
      <c r="C164" s="9">
        <f>[2]หน้าผ้า!E173</f>
        <v>0</v>
      </c>
      <c r="D164" s="13">
        <f>[2]หน้าผ้า!F173</f>
        <v>0</v>
      </c>
      <c r="E164" s="9">
        <f>[2]หน้าผ้า!G173</f>
        <v>23</v>
      </c>
      <c r="F164" s="9">
        <f>[2]หน้าผ้า!H173</f>
        <v>37</v>
      </c>
      <c r="G164" s="9">
        <f>[2]หน้าผ้า!I173</f>
        <v>0</v>
      </c>
      <c r="H164" s="9">
        <f>[2]หน้าผ้า!J173</f>
        <v>0</v>
      </c>
      <c r="I164" s="9">
        <f>[2]หน้าผ้า!L173</f>
        <v>85</v>
      </c>
      <c r="J164" s="9" t="str">
        <f>[2]หน้าผ้า!M173</f>
        <v>±</v>
      </c>
      <c r="K164" s="9">
        <f>[2]หน้าผ้า!N173</f>
        <v>5</v>
      </c>
      <c r="L164" s="9">
        <f>[2]หน้าผ้า!R173</f>
        <v>0</v>
      </c>
      <c r="M164" s="10">
        <f>[2]หน้าผ้า!T173</f>
        <v>0</v>
      </c>
      <c r="N164" s="9">
        <f>[2]หน้าผ้า!U173</f>
        <v>0</v>
      </c>
      <c r="O164" s="9">
        <f>[2]หน้าผ้า!V173</f>
        <v>0</v>
      </c>
      <c r="P164" s="10">
        <f>[2]หน้าผ้า!AB173</f>
        <v>0</v>
      </c>
      <c r="Q164" s="10">
        <f>[2]หน้าผ้า!AC173</f>
        <v>0</v>
      </c>
      <c r="R164" s="10">
        <f>[2]หน้าผ้า!AD173</f>
        <v>0</v>
      </c>
      <c r="S164" s="9">
        <f>[2]หน้าผ้า!Z173</f>
        <v>0</v>
      </c>
      <c r="T164" s="12">
        <f>[2]หน้าผ้า!X173</f>
        <v>0</v>
      </c>
      <c r="U164" s="11">
        <f>[2]หน้าผ้า!AA173</f>
        <v>0</v>
      </c>
      <c r="V164" s="10">
        <f>[2]หน้าผ้า!AJ173</f>
        <v>0</v>
      </c>
      <c r="W164" s="10">
        <f>[2]หน้าผ้า!AL173</f>
        <v>0</v>
      </c>
      <c r="X164" s="10">
        <f>[2]หน้าผ้า!AM173</f>
        <v>0</v>
      </c>
      <c r="Y164" s="10">
        <f>[2]หน้าผ้า!AN173</f>
        <v>0</v>
      </c>
      <c r="Z164" s="9" t="str">
        <f>[2]หน้าผ้า!AO173</f>
        <v>WSWT2321750</v>
      </c>
      <c r="AA164" s="8">
        <f>[2]หน้าผ้า!AQ173</f>
        <v>1159.5100000000002</v>
      </c>
      <c r="AB164" s="8">
        <f>[2]หน้าผ้า!AR173</f>
        <v>1159.5100000000002</v>
      </c>
      <c r="AC164" s="8">
        <f>[2]หน้าผ้า!AS173</f>
        <v>0</v>
      </c>
      <c r="AD164" s="8">
        <f>[2]หน้าผ้า!AT173</f>
        <v>1159.5100000000002</v>
      </c>
      <c r="AE164" s="8">
        <f>[2]หน้าผ้า!AU173</f>
        <v>0</v>
      </c>
      <c r="AF164" s="8" t="str">
        <f>[2]หน้าผ้า!AI173</f>
        <v>ระบุในSD</v>
      </c>
      <c r="AG164" s="1" t="str">
        <f>[3]หน้าผ้า!DC176</f>
        <v>พร้อมส่ง</v>
      </c>
      <c r="AH164" s="1">
        <f>[2]หน้าผ้า!DL173</f>
        <v>0</v>
      </c>
      <c r="AI164" s="1" t="str">
        <f>[2]หน้าผ้า!DM173</f>
        <v>Lead time</v>
      </c>
      <c r="AJ164" s="3">
        <f>[2]หน้าผ้า!DN173</f>
        <v>0</v>
      </c>
      <c r="AK164" s="3">
        <f>[2]หน้าผ้า!DQ173</f>
        <v>0</v>
      </c>
      <c r="AL164" s="3">
        <f>[2]หน้าผ้า!DR173</f>
        <v>0</v>
      </c>
      <c r="AM164" s="3">
        <f>[2]หน้าผ้า!DS173</f>
        <v>0</v>
      </c>
      <c r="AN164" s="3">
        <f>[2]หน้าผ้า!DT173</f>
        <v>0</v>
      </c>
      <c r="AO164" s="3">
        <f>[2]หน้าผ้า!DU173</f>
        <v>0</v>
      </c>
      <c r="AP164" s="3">
        <f>[2]หน้าผ้า!DP173</f>
        <v>0</v>
      </c>
      <c r="AQ164" s="3">
        <f>[2]หน้าผ้า!DW173</f>
        <v>0</v>
      </c>
      <c r="AR164" s="3">
        <f>[2]หน้าผ้า!DX173</f>
        <v>0</v>
      </c>
      <c r="AS164" s="3">
        <f>[2]หน้าผ้า!DY173</f>
        <v>0</v>
      </c>
      <c r="AT164" s="3">
        <f>[2]หน้าผ้า!DZ173</f>
        <v>0</v>
      </c>
      <c r="AU164" s="3">
        <f>[2]หน้าผ้า!EA173</f>
        <v>0</v>
      </c>
      <c r="AV164" s="1">
        <f>[2]หน้าผ้า!EB173</f>
        <v>0</v>
      </c>
      <c r="AW164" s="2">
        <f>[2]หน้าผ้า!EC173</f>
        <v>0</v>
      </c>
      <c r="AX164" s="2">
        <f>[2]หน้าผ้า!ED173</f>
        <v>0</v>
      </c>
      <c r="AY164" s="2">
        <f>[2]หน้าผ้า!AG173</f>
        <v>0</v>
      </c>
      <c r="AZ164" s="2">
        <f>[2]หน้าผ้า!EG173</f>
        <v>0</v>
      </c>
      <c r="BA164" s="2">
        <f>[2]หน้าผ้า!EH173</f>
        <v>0</v>
      </c>
      <c r="BB164" s="2">
        <f>[2]หน้าผ้า!EI173</f>
        <v>0</v>
      </c>
      <c r="BC164" s="1" t="str">
        <f>[2]หน้าผ้า!BZ173</f>
        <v>WRWT230750/WRWT21750</v>
      </c>
      <c r="BD164" s="56">
        <f>[2]หน้าผ้า!CA173</f>
        <v>0</v>
      </c>
    </row>
    <row r="165" spans="1:56" ht="27.75" customHeight="1" x14ac:dyDescent="0.45">
      <c r="A165" s="3">
        <f>[2]หน้าผ้า!C174</f>
        <v>0</v>
      </c>
      <c r="B165" s="14">
        <f>[2]หน้าผ้า!B174</f>
        <v>0</v>
      </c>
      <c r="C165" s="9">
        <f>[2]หน้าผ้า!E174</f>
        <v>0</v>
      </c>
      <c r="D165" s="13">
        <f>[2]หน้าผ้า!F174</f>
        <v>0</v>
      </c>
      <c r="E165" s="9">
        <f>[2]หน้าผ้า!G174</f>
        <v>23</v>
      </c>
      <c r="F165" s="9">
        <f>[2]หน้าผ้า!H174</f>
        <v>34</v>
      </c>
      <c r="G165" s="9">
        <f>[2]หน้าผ้า!I174</f>
        <v>0</v>
      </c>
      <c r="H165" s="9">
        <f>[2]หน้าผ้า!J174</f>
        <v>0</v>
      </c>
      <c r="I165" s="9">
        <f>[2]หน้าผ้า!L174</f>
        <v>68</v>
      </c>
      <c r="J165" s="9" t="str">
        <f>[2]หน้าผ้า!M174</f>
        <v>±</v>
      </c>
      <c r="K165" s="9">
        <f>[2]หน้าผ้า!N174</f>
        <v>5</v>
      </c>
      <c r="L165" s="9">
        <f>[2]หน้าผ้า!R174</f>
        <v>0</v>
      </c>
      <c r="M165" s="10">
        <f>[2]หน้าผ้า!T174</f>
        <v>0</v>
      </c>
      <c r="N165" s="9">
        <f>[2]หน้าผ้า!U174</f>
        <v>0</v>
      </c>
      <c r="O165" s="9">
        <f>[2]หน้าผ้า!V174</f>
        <v>0</v>
      </c>
      <c r="P165" s="10">
        <f>[2]หน้าผ้า!AB174</f>
        <v>0</v>
      </c>
      <c r="Q165" s="10">
        <f>[2]หน้าผ้า!AC174</f>
        <v>0</v>
      </c>
      <c r="R165" s="10">
        <f>[2]หน้าผ้า!AD174</f>
        <v>0</v>
      </c>
      <c r="S165" s="9">
        <f>[2]หน้าผ้า!Z174</f>
        <v>0</v>
      </c>
      <c r="T165" s="12">
        <f>[2]หน้าผ้า!X174</f>
        <v>0</v>
      </c>
      <c r="U165" s="11">
        <f>[2]หน้าผ้า!AA174</f>
        <v>0</v>
      </c>
      <c r="V165" s="10">
        <f>[2]หน้าผ้า!AJ174</f>
        <v>0</v>
      </c>
      <c r="W165" s="10">
        <f>[2]หน้าผ้า!AL174</f>
        <v>0</v>
      </c>
      <c r="X165" s="10">
        <f>[2]หน้าผ้า!AM174</f>
        <v>0</v>
      </c>
      <c r="Y165" s="10">
        <f>[2]หน้าผ้า!AN174</f>
        <v>0</v>
      </c>
      <c r="Z165" s="9" t="str">
        <f>[2]หน้าผ้า!AO174</f>
        <v>WSWTSCL1R042325650</v>
      </c>
      <c r="AA165" s="8" t="e">
        <f>[2]หน้าผ้า!AQ174</f>
        <v>#REF!</v>
      </c>
      <c r="AB165" s="8" t="e">
        <f>[2]หน้าผ้า!AR174</f>
        <v>#REF!</v>
      </c>
      <c r="AC165" s="8" t="e">
        <f>[2]หน้าผ้า!AS174</f>
        <v>#REF!</v>
      </c>
      <c r="AD165" s="8" t="e">
        <f>[2]หน้าผ้า!AT174</f>
        <v>#REF!</v>
      </c>
      <c r="AE165" s="8" t="e">
        <f>[2]หน้าผ้า!AU174</f>
        <v>#REF!</v>
      </c>
      <c r="AF165" s="8" t="str">
        <f>[2]หน้าผ้า!AI174</f>
        <v>ระบุในSD</v>
      </c>
      <c r="AG165" s="1" t="str">
        <f>[3]หน้าผ้า!DC177</f>
        <v>พร้อมส่ง</v>
      </c>
      <c r="AH165" s="1">
        <f>[2]หน้าผ้า!DL174</f>
        <v>0</v>
      </c>
      <c r="AI165" s="1" t="str">
        <f>[2]หน้าผ้า!DM174</f>
        <v>Lead time</v>
      </c>
      <c r="AJ165" s="3">
        <f>[2]หน้าผ้า!DN174</f>
        <v>0</v>
      </c>
      <c r="AK165" s="3">
        <f>[2]หน้าผ้า!DQ174</f>
        <v>0</v>
      </c>
      <c r="AL165" s="3">
        <f>[2]หน้าผ้า!DR174</f>
        <v>0</v>
      </c>
      <c r="AM165" s="3">
        <f>[2]หน้าผ้า!DS174</f>
        <v>0</v>
      </c>
      <c r="AN165" s="3">
        <f>[2]หน้าผ้า!DT174</f>
        <v>0</v>
      </c>
      <c r="AO165" s="3">
        <f>[2]หน้าผ้า!DU174</f>
        <v>0</v>
      </c>
      <c r="AP165" s="3">
        <f>[2]หน้าผ้า!DP174</f>
        <v>0</v>
      </c>
      <c r="AQ165" s="3">
        <f>[2]หน้าผ้า!DW174</f>
        <v>0</v>
      </c>
      <c r="AR165" s="3">
        <f>[2]หน้าผ้า!DX174</f>
        <v>0</v>
      </c>
      <c r="AS165" s="3">
        <f>[2]หน้าผ้า!DY174</f>
        <v>0</v>
      </c>
      <c r="AT165" s="3">
        <f>[2]หน้าผ้า!DZ174</f>
        <v>0</v>
      </c>
      <c r="AU165" s="3">
        <f>[2]หน้าผ้า!EA174</f>
        <v>0</v>
      </c>
      <c r="AV165" s="1">
        <f>[2]หน้าผ้า!EB174</f>
        <v>0</v>
      </c>
      <c r="AW165" s="2">
        <f>[2]หน้าผ้า!EC174</f>
        <v>0</v>
      </c>
      <c r="AX165" s="2">
        <f>[2]หน้าผ้า!ED174</f>
        <v>0</v>
      </c>
      <c r="AY165" s="2">
        <f>[2]หน้าผ้า!AG174</f>
        <v>0</v>
      </c>
      <c r="AZ165" s="2">
        <f>[2]หน้าผ้า!EG174</f>
        <v>0</v>
      </c>
      <c r="BA165" s="2">
        <f>[2]หน้าผ้า!EH174</f>
        <v>0</v>
      </c>
      <c r="BB165" s="2">
        <f>[2]หน้าผ้า!EI174</f>
        <v>0</v>
      </c>
      <c r="BC165" s="1" t="str">
        <f>[2]หน้าผ้า!BZ174</f>
        <v>WRWT230650/WRWT25680</v>
      </c>
      <c r="BD165" s="56">
        <f>[2]หน้าผ้า!CA174</f>
        <v>0</v>
      </c>
    </row>
    <row r="166" spans="1:56" ht="27.75" customHeight="1" x14ac:dyDescent="0.45">
      <c r="A166" s="3">
        <f>[2]หน้าผ้า!C175</f>
        <v>0</v>
      </c>
      <c r="B166" s="14">
        <f>[2]หน้าผ้า!B175</f>
        <v>0</v>
      </c>
      <c r="C166" s="9">
        <f>[2]หน้าผ้า!E175</f>
        <v>0</v>
      </c>
      <c r="D166" s="13">
        <f>[2]หน้าผ้า!F175</f>
        <v>0</v>
      </c>
      <c r="E166" s="9">
        <f>[2]หน้าผ้า!G175</f>
        <v>23</v>
      </c>
      <c r="F166" s="9">
        <f>[2]หน้าผ้า!H175</f>
        <v>37</v>
      </c>
      <c r="G166" s="9" t="str">
        <f>[2]หน้าผ้า!I175</f>
        <v>ขาว</v>
      </c>
      <c r="H166" s="9">
        <f>[2]หน้าผ้า!J175</f>
        <v>0</v>
      </c>
      <c r="I166" s="9">
        <f>[2]หน้าผ้า!L175</f>
        <v>90</v>
      </c>
      <c r="J166" s="9" t="str">
        <f>[2]หน้าผ้า!M175</f>
        <v>±</v>
      </c>
      <c r="K166" s="9">
        <f>[2]หน้าผ้า!N175</f>
        <v>5</v>
      </c>
      <c r="L166" s="9">
        <f>[2]หน้าผ้า!R175</f>
        <v>0</v>
      </c>
      <c r="M166" s="10">
        <f>[2]หน้าผ้า!T175</f>
        <v>0</v>
      </c>
      <c r="N166" s="9">
        <f>[2]หน้าผ้า!U175</f>
        <v>0</v>
      </c>
      <c r="O166" s="9">
        <f>[2]หน้าผ้า!V175</f>
        <v>0</v>
      </c>
      <c r="P166" s="10">
        <f>[2]หน้าผ้า!AB175</f>
        <v>0</v>
      </c>
      <c r="Q166" s="10">
        <f>[2]หน้าผ้า!AC175</f>
        <v>0</v>
      </c>
      <c r="R166" s="10">
        <f>[2]หน้าผ้า!AD175</f>
        <v>0</v>
      </c>
      <c r="S166" s="9">
        <f>[2]หน้าผ้า!Z175</f>
        <v>0</v>
      </c>
      <c r="T166" s="12">
        <f>[2]หน้าผ้า!X175</f>
        <v>0</v>
      </c>
      <c r="U166" s="11">
        <f>[2]หน้าผ้า!AA175</f>
        <v>0</v>
      </c>
      <c r="V166" s="10">
        <f>[2]หน้าผ้า!AJ175</f>
        <v>0</v>
      </c>
      <c r="W166" s="10">
        <f>[2]หน้าผ้า!AL175</f>
        <v>0</v>
      </c>
      <c r="X166" s="10">
        <f>[2]หน้าผ้า!AM175</f>
        <v>0</v>
      </c>
      <c r="Y166" s="10">
        <f>[2]หน้าผ้า!AN175</f>
        <v>0</v>
      </c>
      <c r="Z166" s="9" t="str">
        <f>[2]หน้าผ้า!AO175</f>
        <v>WSWT2325800SM</v>
      </c>
      <c r="AA166" s="8" t="e">
        <f>[2]หน้าผ้า!AQ175</f>
        <v>#REF!</v>
      </c>
      <c r="AB166" s="8" t="e">
        <f>[2]หน้าผ้า!AR175</f>
        <v>#REF!</v>
      </c>
      <c r="AC166" s="8" t="e">
        <f>[2]หน้าผ้า!AS175</f>
        <v>#REF!</v>
      </c>
      <c r="AD166" s="8" t="e">
        <f>[2]หน้าผ้า!AT175</f>
        <v>#REF!</v>
      </c>
      <c r="AE166" s="8" t="e">
        <f>[2]หน้าผ้า!AU175</f>
        <v>#REF!</v>
      </c>
      <c r="AF166" s="8" t="str">
        <f>[2]หน้าผ้า!AI175</f>
        <v>ระบุในSD</v>
      </c>
      <c r="AG166" s="1" t="str">
        <f>[3]หน้าผ้า!DC178</f>
        <v>พร้อมส่ง</v>
      </c>
      <c r="AH166" s="1">
        <f>[2]หน้าผ้า!DL175</f>
        <v>0</v>
      </c>
      <c r="AI166" s="1" t="str">
        <f>[2]หน้าผ้า!DM175</f>
        <v>Lead time</v>
      </c>
      <c r="AJ166" s="3">
        <f>[2]หน้าผ้า!DN175</f>
        <v>0</v>
      </c>
      <c r="AK166" s="3">
        <f>[2]หน้าผ้า!DQ175</f>
        <v>0</v>
      </c>
      <c r="AL166" s="3">
        <f>[2]หน้าผ้า!DR175</f>
        <v>0</v>
      </c>
      <c r="AM166" s="3">
        <f>[2]หน้าผ้า!DS175</f>
        <v>0</v>
      </c>
      <c r="AN166" s="3">
        <f>[2]หน้าผ้า!DT175</f>
        <v>0</v>
      </c>
      <c r="AO166" s="3">
        <f>[2]หน้าผ้า!DU175</f>
        <v>0</v>
      </c>
      <c r="AP166" s="3">
        <f>[2]หน้าผ้า!DP175</f>
        <v>0</v>
      </c>
      <c r="AQ166" s="3">
        <f>[2]หน้าผ้า!DW175</f>
        <v>0</v>
      </c>
      <c r="AR166" s="3">
        <f>[2]หน้าผ้า!DX175</f>
        <v>0</v>
      </c>
      <c r="AS166" s="3">
        <f>[2]หน้าผ้า!DY175</f>
        <v>0</v>
      </c>
      <c r="AT166" s="3">
        <f>[2]หน้าผ้า!DZ175</f>
        <v>0</v>
      </c>
      <c r="AU166" s="3">
        <f>[2]หน้าผ้า!EA175</f>
        <v>0</v>
      </c>
      <c r="AV166" s="1">
        <f>[2]หน้าผ้า!EB175</f>
        <v>0</v>
      </c>
      <c r="AW166" s="2">
        <f>[2]หน้าผ้า!EC175</f>
        <v>0</v>
      </c>
      <c r="AX166" s="2">
        <f>[2]หน้าผ้า!ED175</f>
        <v>0</v>
      </c>
      <c r="AY166" s="2">
        <f>[2]หน้าผ้า!AG175</f>
        <v>0</v>
      </c>
      <c r="AZ166" s="2">
        <f>[2]หน้าผ้า!EG175</f>
        <v>0</v>
      </c>
      <c r="BA166" s="2">
        <f>[2]หน้าผ้า!EH175</f>
        <v>0</v>
      </c>
      <c r="BB166" s="2">
        <f>[2]หน้าผ้า!EI175</f>
        <v>0</v>
      </c>
      <c r="BC166" s="1" t="str">
        <f>[2]หน้าผ้า!BZ175</f>
        <v>WRWT21800/WRWT21800</v>
      </c>
      <c r="BD166" s="56">
        <f>[2]หน้าผ้า!CA175</f>
        <v>0</v>
      </c>
    </row>
    <row r="167" spans="1:56" ht="27.75" customHeight="1" x14ac:dyDescent="0.45">
      <c r="A167" s="3">
        <f>[2]หน้าผ้า!C176</f>
        <v>0</v>
      </c>
      <c r="B167" s="14">
        <f>[2]หน้าผ้า!B176</f>
        <v>0</v>
      </c>
      <c r="C167" s="9">
        <f>[2]หน้าผ้า!E176</f>
        <v>0</v>
      </c>
      <c r="D167" s="13">
        <f>[2]หน้าผ้า!F176</f>
        <v>0</v>
      </c>
      <c r="E167" s="9">
        <f>[2]หน้าผ้า!G176</f>
        <v>23</v>
      </c>
      <c r="F167" s="9">
        <f>[2]หน้าผ้า!H176</f>
        <v>37</v>
      </c>
      <c r="G167" s="9">
        <f>[2]หน้าผ้า!I176</f>
        <v>0</v>
      </c>
      <c r="H167" s="9">
        <f>[2]หน้าผ้า!J176</f>
        <v>0</v>
      </c>
      <c r="I167" s="9">
        <f>[2]หน้าผ้า!L176</f>
        <v>120</v>
      </c>
      <c r="J167" s="9" t="str">
        <f>[2]หน้าผ้า!M176</f>
        <v>+</v>
      </c>
      <c r="K167" s="9">
        <f>[2]หน้าผ้า!N176</f>
        <v>5</v>
      </c>
      <c r="L167" s="9">
        <f>[2]หน้าผ้า!R176</f>
        <v>0</v>
      </c>
      <c r="M167" s="10">
        <f>[2]หน้าผ้า!T176</f>
        <v>0</v>
      </c>
      <c r="N167" s="9">
        <f>[2]หน้าผ้า!U176</f>
        <v>0</v>
      </c>
      <c r="O167" s="9">
        <f>[2]หน้าผ้า!V176</f>
        <v>0</v>
      </c>
      <c r="P167" s="10">
        <f>[2]หน้าผ้า!AB176</f>
        <v>0</v>
      </c>
      <c r="Q167" s="10">
        <f>[2]หน้าผ้า!AC176</f>
        <v>0</v>
      </c>
      <c r="R167" s="10">
        <f>[2]หน้าผ้า!AD176</f>
        <v>0</v>
      </c>
      <c r="S167" s="9">
        <f>[2]หน้าผ้า!Z176</f>
        <v>0</v>
      </c>
      <c r="T167" s="12">
        <f>[2]หน้าผ้า!X176</f>
        <v>0</v>
      </c>
      <c r="U167" s="11">
        <f>[2]หน้าผ้า!AA176</f>
        <v>0</v>
      </c>
      <c r="V167" s="10">
        <f>[2]หน้าผ้า!AJ176</f>
        <v>0</v>
      </c>
      <c r="W167" s="10">
        <f>[2]หน้าผ้า!AL176</f>
        <v>0</v>
      </c>
      <c r="X167" s="10">
        <f>[2]หน้าผ้า!AM176</f>
        <v>0</v>
      </c>
      <c r="Y167" s="10">
        <f>[2]หน้าผ้า!AN176</f>
        <v>0</v>
      </c>
      <c r="Z167" s="9" t="str">
        <f>[2]หน้าผ้า!AO176</f>
        <v>WSWT23211125120SMFX</v>
      </c>
      <c r="AA167" s="8" t="e">
        <f>[2]หน้าผ้า!AQ176</f>
        <v>#REF!</v>
      </c>
      <c r="AB167" s="8" t="e">
        <f>[2]หน้าผ้า!AR176</f>
        <v>#REF!</v>
      </c>
      <c r="AC167" s="8" t="e">
        <f>[2]หน้าผ้า!AS176</f>
        <v>#REF!</v>
      </c>
      <c r="AD167" s="8" t="e">
        <f>[2]หน้าผ้า!AT176</f>
        <v>#REF!</v>
      </c>
      <c r="AE167" s="8" t="e">
        <f>[2]หน้าผ้า!AU176</f>
        <v>#REF!</v>
      </c>
      <c r="AF167" s="8" t="str">
        <f>[2]หน้าผ้า!AI176</f>
        <v>ระบุในSD</v>
      </c>
      <c r="AG167" s="1" t="str">
        <f>[3]หน้าผ้า!DC179</f>
        <v>ยังไม่ได้พิมพ์</v>
      </c>
      <c r="AH167" s="1">
        <f>[2]หน้าผ้า!DL176</f>
        <v>0</v>
      </c>
      <c r="AI167" s="1" t="str">
        <f>[2]หน้าผ้า!DM176</f>
        <v>Lead time</v>
      </c>
      <c r="AJ167" s="3">
        <f>[2]หน้าผ้า!DN176</f>
        <v>0</v>
      </c>
      <c r="AK167" s="3">
        <f>[2]หน้าผ้า!DQ176</f>
        <v>0</v>
      </c>
      <c r="AL167" s="3">
        <f>[2]หน้าผ้า!DR176</f>
        <v>0</v>
      </c>
      <c r="AM167" s="3">
        <f>[2]หน้าผ้า!DS176</f>
        <v>0</v>
      </c>
      <c r="AN167" s="3">
        <f>[2]หน้าผ้า!DT176</f>
        <v>0</v>
      </c>
      <c r="AO167" s="3">
        <f>[2]หน้าผ้า!DU176</f>
        <v>0</v>
      </c>
      <c r="AP167" s="3">
        <f>[2]หน้าผ้า!DP176</f>
        <v>0</v>
      </c>
      <c r="AQ167" s="3">
        <f>[2]หน้าผ้า!DW176</f>
        <v>0</v>
      </c>
      <c r="AR167" s="3">
        <f>[2]หน้าผ้า!DX176</f>
        <v>0</v>
      </c>
      <c r="AS167" s="3">
        <f>[2]หน้าผ้า!DY176</f>
        <v>0</v>
      </c>
      <c r="AT167" s="3">
        <f>[2]หน้าผ้า!DZ176</f>
        <v>0</v>
      </c>
      <c r="AU167" s="3">
        <f>[2]หน้าผ้า!EA176</f>
        <v>0</v>
      </c>
      <c r="AV167" s="1">
        <f>[2]หน้าผ้า!EB176</f>
        <v>0</v>
      </c>
      <c r="AW167" s="2">
        <f>[2]หน้าผ้า!EC176</f>
        <v>0</v>
      </c>
      <c r="AX167" s="2">
        <f>[2]หน้าผ้า!ED176</f>
        <v>0</v>
      </c>
      <c r="AY167" s="2">
        <f>[2]หน้าผ้า!AG176</f>
        <v>0</v>
      </c>
      <c r="AZ167" s="2">
        <f>[2]หน้าผ้า!EG176</f>
        <v>0</v>
      </c>
      <c r="BA167" s="2">
        <f>[2]หน้าผ้า!EH176</f>
        <v>0</v>
      </c>
      <c r="BB167" s="2">
        <f>[2]หน้าผ้า!EI176</f>
        <v>0</v>
      </c>
      <c r="BC167" s="1" t="str">
        <f>[2]หน้าผ้า!BZ176</f>
        <v>WROP2301125/WRBR21940</v>
      </c>
      <c r="BD167" s="56">
        <f>[2]หน้าผ้า!CA176</f>
        <v>0</v>
      </c>
    </row>
    <row r="168" spans="1:56" ht="27.75" customHeight="1" x14ac:dyDescent="0.45">
      <c r="A168" s="3">
        <f>[2]หน้าผ้า!C177</f>
        <v>0</v>
      </c>
      <c r="B168" s="14">
        <f>[2]หน้าผ้า!B177</f>
        <v>0</v>
      </c>
      <c r="C168" s="9">
        <f>[2]หน้าผ้า!E177</f>
        <v>0</v>
      </c>
      <c r="D168" s="13" t="str">
        <f>[2]หน้าผ้า!F177</f>
        <v xml:space="preserve">  </v>
      </c>
      <c r="E168" s="9">
        <f>[2]หน้าผ้า!G177</f>
        <v>23</v>
      </c>
      <c r="F168" s="9">
        <f>[2]หน้าผ้า!H177</f>
        <v>37</v>
      </c>
      <c r="G168" s="9" t="str">
        <f>[2]หน้าผ้า!I177</f>
        <v>ขาว</v>
      </c>
      <c r="H168" s="9">
        <f>[2]หน้าผ้า!J177</f>
        <v>0</v>
      </c>
      <c r="I168" s="9">
        <f>[2]หน้าผ้า!L177</f>
        <v>130</v>
      </c>
      <c r="J168" s="9" t="str">
        <f>[2]หน้าผ้า!M177</f>
        <v>+</v>
      </c>
      <c r="K168" s="9">
        <f>[2]หน้าผ้า!N177</f>
        <v>3</v>
      </c>
      <c r="L168" s="9">
        <f>[2]หน้าผ้า!R177</f>
        <v>0</v>
      </c>
      <c r="M168" s="10">
        <f>[2]หน้าผ้า!T177</f>
        <v>0</v>
      </c>
      <c r="N168" s="9">
        <f>[2]หน้าผ้า!U177</f>
        <v>0</v>
      </c>
      <c r="O168" s="9">
        <f>[2]หน้าผ้า!V177</f>
        <v>0</v>
      </c>
      <c r="P168" s="10">
        <f>[2]หน้าผ้า!AB177</f>
        <v>0</v>
      </c>
      <c r="Q168" s="10">
        <f>[2]หน้าผ้า!AC177</f>
        <v>0</v>
      </c>
      <c r="R168" s="10">
        <f>[2]หน้าผ้า!AD177</f>
        <v>0</v>
      </c>
      <c r="S168" s="9">
        <f>[2]หน้าผ้า!Z177</f>
        <v>0</v>
      </c>
      <c r="T168" s="12">
        <f>[2]หน้าผ้า!X177</f>
        <v>0</v>
      </c>
      <c r="U168" s="11">
        <f>[2]หน้าผ้า!AA177</f>
        <v>0</v>
      </c>
      <c r="V168" s="10">
        <f>[2]หน้าผ้า!AJ177</f>
        <v>0</v>
      </c>
      <c r="W168" s="10">
        <f>[2]หน้าผ้า!AL177</f>
        <v>0</v>
      </c>
      <c r="X168" s="10">
        <f>[2]หน้าผ้า!AM177</f>
        <v>0</v>
      </c>
      <c r="Y168" s="10">
        <f>[2]หน้าผ้า!AN177</f>
        <v>0</v>
      </c>
      <c r="Z168" s="9" t="str">
        <f>[2]หน้าผ้า!AO177</f>
        <v>WSWT23211125130</v>
      </c>
      <c r="AA168" s="8" t="e">
        <f>[2]หน้าผ้า!AQ177</f>
        <v>#REF!</v>
      </c>
      <c r="AB168" s="8" t="e">
        <f>[2]หน้าผ้า!AR177</f>
        <v>#REF!</v>
      </c>
      <c r="AC168" s="8" t="e">
        <f>[2]หน้าผ้า!AS177</f>
        <v>#REF!</v>
      </c>
      <c r="AD168" s="8" t="e">
        <f>[2]หน้าผ้า!AT177</f>
        <v>#REF!</v>
      </c>
      <c r="AE168" s="8" t="e">
        <f>[2]หน้าผ้า!AU177</f>
        <v>#REF!</v>
      </c>
      <c r="AF168" s="8" t="str">
        <f>[2]หน้าผ้า!AI177</f>
        <v>ระบุในSD</v>
      </c>
      <c r="AG168" s="1" t="str">
        <f>[3]หน้าผ้า!DC180</f>
        <v>ยังไม่ได้พิมพ์</v>
      </c>
      <c r="AH168" s="1">
        <f>[2]หน้าผ้า!DL177</f>
        <v>0</v>
      </c>
      <c r="AI168" s="1" t="str">
        <f>[2]หน้าผ้า!DM177</f>
        <v>Lead time</v>
      </c>
      <c r="AJ168" s="3">
        <f>[2]หน้าผ้า!DN177</f>
        <v>0</v>
      </c>
      <c r="AK168" s="3">
        <f>[2]หน้าผ้า!DQ177</f>
        <v>0</v>
      </c>
      <c r="AL168" s="3">
        <f>[2]หน้าผ้า!DR177</f>
        <v>0</v>
      </c>
      <c r="AM168" s="3">
        <f>[2]หน้าผ้า!DS177</f>
        <v>0</v>
      </c>
      <c r="AN168" s="3">
        <f>[2]หน้าผ้า!DT177</f>
        <v>0</v>
      </c>
      <c r="AO168" s="3">
        <f>[2]หน้าผ้า!DU177</f>
        <v>0</v>
      </c>
      <c r="AP168" s="3">
        <f>[2]หน้าผ้า!DP177</f>
        <v>0</v>
      </c>
      <c r="AQ168" s="3">
        <f>[2]หน้าผ้า!DW177</f>
        <v>0</v>
      </c>
      <c r="AR168" s="3">
        <f>[2]หน้าผ้า!DX177</f>
        <v>0</v>
      </c>
      <c r="AS168" s="3">
        <f>[2]หน้าผ้า!DY177</f>
        <v>0</v>
      </c>
      <c r="AT168" s="3">
        <f>[2]หน้าผ้า!DZ177</f>
        <v>0</v>
      </c>
      <c r="AU168" s="3">
        <f>[2]หน้าผ้า!EA177</f>
        <v>0</v>
      </c>
      <c r="AV168" s="1">
        <f>[2]หน้าผ้า!EB177</f>
        <v>0</v>
      </c>
      <c r="AW168" s="2">
        <f>[2]หน้าผ้า!EC177</f>
        <v>0</v>
      </c>
      <c r="AX168" s="2">
        <f>[2]หน้าผ้า!ED177</f>
        <v>0</v>
      </c>
      <c r="AY168" s="2">
        <f>[2]หน้าผ้า!AG177</f>
        <v>0</v>
      </c>
      <c r="AZ168" s="2">
        <f>[2]หน้าผ้า!EG177</f>
        <v>0</v>
      </c>
      <c r="BA168" s="2">
        <f>[2]หน้าผ้า!EH177</f>
        <v>0</v>
      </c>
      <c r="BB168" s="2">
        <f>[2]หน้าผ้า!EI177</f>
        <v>0</v>
      </c>
      <c r="BC168" s="1" t="str">
        <f>[2]หน้าผ้า!BZ177</f>
        <v>WRWT211125/WRWT251080</v>
      </c>
      <c r="BD168" s="56">
        <f>[2]หน้าผ้า!CA177</f>
        <v>0</v>
      </c>
    </row>
    <row r="169" spans="1:56" ht="27.75" customHeight="1" x14ac:dyDescent="0.45">
      <c r="A169" s="3">
        <f>[2]หน้าผ้า!C178</f>
        <v>0</v>
      </c>
      <c r="B169" s="14">
        <f>[2]หน้าผ้า!B178</f>
        <v>0</v>
      </c>
      <c r="C169" s="9">
        <f>[2]หน้าผ้า!E178</f>
        <v>0</v>
      </c>
      <c r="D169" s="13">
        <f>[2]หน้าผ้า!F178</f>
        <v>0</v>
      </c>
      <c r="E169" s="9">
        <f>[2]หน้าผ้า!G178</f>
        <v>23</v>
      </c>
      <c r="F169" s="9">
        <f>[2]หน้าผ้า!H178</f>
        <v>37</v>
      </c>
      <c r="G169" s="9">
        <f>[2]หน้าผ้า!I178</f>
        <v>0</v>
      </c>
      <c r="H169" s="9">
        <f>[2]หน้าผ้า!J178</f>
        <v>0</v>
      </c>
      <c r="I169" s="9">
        <f>[2]หน้าผ้า!L178</f>
        <v>120</v>
      </c>
      <c r="J169" s="9" t="str">
        <f>[2]หน้าผ้า!M178</f>
        <v>±</v>
      </c>
      <c r="K169" s="9">
        <f>[2]หน้าผ้า!N178</f>
        <v>3</v>
      </c>
      <c r="L169" s="9">
        <f>[2]หน้าผ้า!R178</f>
        <v>0</v>
      </c>
      <c r="M169" s="10">
        <f>[2]หน้าผ้า!T178</f>
        <v>0</v>
      </c>
      <c r="N169" s="9">
        <f>[2]หน้าผ้า!U178</f>
        <v>0</v>
      </c>
      <c r="O169" s="9">
        <f>[2]หน้าผ้า!V178</f>
        <v>0</v>
      </c>
      <c r="P169" s="10">
        <f>[2]หน้าผ้า!AB178</f>
        <v>0</v>
      </c>
      <c r="Q169" s="10">
        <f>[2]หน้าผ้า!AC178</f>
        <v>0</v>
      </c>
      <c r="R169" s="10">
        <f>[2]หน้าผ้า!AD178</f>
        <v>0</v>
      </c>
      <c r="S169" s="9">
        <f>[2]หน้าผ้า!Z178</f>
        <v>0</v>
      </c>
      <c r="T169" s="12">
        <f>[2]หน้าผ้า!X178</f>
        <v>0</v>
      </c>
      <c r="U169" s="11">
        <f>[2]หน้าผ้า!AA178</f>
        <v>0</v>
      </c>
      <c r="V169" s="10">
        <f>[2]หน้าผ้า!AJ178</f>
        <v>0</v>
      </c>
      <c r="W169" s="10">
        <f>[2]หน้าผ้า!AL178</f>
        <v>0</v>
      </c>
      <c r="X169" s="10">
        <f>[2]หน้าผ้า!AM178</f>
        <v>0</v>
      </c>
      <c r="Y169" s="10">
        <f>[2]หน้าผ้า!AN178</f>
        <v>0</v>
      </c>
      <c r="Z169" s="9" t="str">
        <f>[2]หน้าผ้า!AO178</f>
        <v>WSWT2321112512051</v>
      </c>
      <c r="AA169" s="8" t="e">
        <f>[2]หน้าผ้า!AQ178</f>
        <v>#REF!</v>
      </c>
      <c r="AB169" s="8" t="e">
        <f>[2]หน้าผ้า!AR178</f>
        <v>#REF!</v>
      </c>
      <c r="AC169" s="8" t="e">
        <f>[2]หน้าผ้า!AS178</f>
        <v>#REF!</v>
      </c>
      <c r="AD169" s="8" t="e">
        <f>[2]หน้าผ้า!AT178</f>
        <v>#REF!</v>
      </c>
      <c r="AE169" s="8" t="e">
        <f>[2]หน้าผ้า!AU178</f>
        <v>#REF!</v>
      </c>
      <c r="AF169" s="8" t="str">
        <f>[2]หน้าผ้า!AI178</f>
        <v>ระบุในSD</v>
      </c>
      <c r="AG169" s="1" t="str">
        <f>[3]หน้าผ้า!DC181</f>
        <v>พร้อมส่ง</v>
      </c>
      <c r="AH169" s="1">
        <f>[2]หน้าผ้า!DL178</f>
        <v>0</v>
      </c>
      <c r="AI169" s="1" t="str">
        <f>[2]หน้าผ้า!DM178</f>
        <v>Lead time</v>
      </c>
      <c r="AJ169" s="3">
        <f>[2]หน้าผ้า!DN178</f>
        <v>0</v>
      </c>
      <c r="AK169" s="3">
        <f>[2]หน้าผ้า!DQ178</f>
        <v>0</v>
      </c>
      <c r="AL169" s="3">
        <f>[2]หน้าผ้า!DR178</f>
        <v>0</v>
      </c>
      <c r="AM169" s="3">
        <f>[2]หน้าผ้า!DS178</f>
        <v>0</v>
      </c>
      <c r="AN169" s="3">
        <f>[2]หน้าผ้า!DT178</f>
        <v>0</v>
      </c>
      <c r="AO169" s="3">
        <f>[2]หน้าผ้า!DU178</f>
        <v>0</v>
      </c>
      <c r="AP169" s="3">
        <f>[2]หน้าผ้า!DP178</f>
        <v>0</v>
      </c>
      <c r="AQ169" s="3">
        <f>[2]หน้าผ้า!DW178</f>
        <v>0</v>
      </c>
      <c r="AR169" s="3">
        <f>[2]หน้าผ้า!DX178</f>
        <v>0</v>
      </c>
      <c r="AS169" s="3">
        <f>[2]หน้าผ้า!DY178</f>
        <v>0</v>
      </c>
      <c r="AT169" s="3">
        <f>[2]หน้าผ้า!DZ178</f>
        <v>0</v>
      </c>
      <c r="AU169" s="3">
        <f>[2]หน้าผ้า!EA178</f>
        <v>0</v>
      </c>
      <c r="AV169" s="1">
        <f>[2]หน้าผ้า!EB178</f>
        <v>0</v>
      </c>
      <c r="AW169" s="2">
        <f>[2]หน้าผ้า!EC178</f>
        <v>0</v>
      </c>
      <c r="AX169" s="2">
        <f>[2]หน้าผ้า!ED178</f>
        <v>0</v>
      </c>
      <c r="AY169" s="2">
        <f>[2]หน้าผ้า!AG178</f>
        <v>0</v>
      </c>
      <c r="AZ169" s="2">
        <f>[2]หน้าผ้า!EG178</f>
        <v>0</v>
      </c>
      <c r="BA169" s="2">
        <f>[2]หน้าผ้า!EH178</f>
        <v>0</v>
      </c>
      <c r="BB169" s="2">
        <f>[2]หน้าผ้า!EI178</f>
        <v>0</v>
      </c>
      <c r="BC169" s="1" t="str">
        <f>[2]หน้าผ้า!BZ178</f>
        <v>WRWT211125/WRWT21900</v>
      </c>
      <c r="BD169" s="56">
        <f>[2]หน้าผ้า!CA178</f>
        <v>0</v>
      </c>
    </row>
    <row r="170" spans="1:56" ht="27.75" customHeight="1" x14ac:dyDescent="0.45">
      <c r="A170" s="3">
        <f>[2]หน้าผ้า!C179</f>
        <v>45601</v>
      </c>
      <c r="B170" s="14" t="str">
        <f>[2]หน้าผ้า!B179</f>
        <v>MK67-001490</v>
      </c>
      <c r="C170" s="9" t="str">
        <f>[2]หน้าผ้า!E179</f>
        <v>บจก.น้ำตาลทิพย์สุโขทัย</v>
      </c>
      <c r="D170" s="13" t="str">
        <f>[2]หน้าผ้า!F179</f>
        <v>Green for white sugar</v>
      </c>
      <c r="E170" s="9">
        <f>[2]หน้าผ้า!G179</f>
        <v>23</v>
      </c>
      <c r="F170" s="9">
        <f>[2]หน้าผ้า!H179</f>
        <v>37</v>
      </c>
      <c r="G170" s="9" t="str">
        <f>[2]หน้าผ้า!I179</f>
        <v>ขาว</v>
      </c>
      <c r="H170" s="9">
        <f>[2]หน้าผ้า!J179</f>
        <v>0</v>
      </c>
      <c r="I170" s="9">
        <f>[2]หน้าผ้า!L179</f>
        <v>130</v>
      </c>
      <c r="J170" s="9" t="str">
        <f>[2]หน้าผ้า!M179</f>
        <v>±</v>
      </c>
      <c r="K170" s="9">
        <f>[2]หน้าผ้า!N179</f>
        <v>5</v>
      </c>
      <c r="L170" s="9" t="str">
        <f>[2]หน้าผ้า!R179</f>
        <v>บิด</v>
      </c>
      <c r="M170" s="10">
        <f>[2]หน้าผ้า!T179</f>
        <v>24</v>
      </c>
      <c r="N170" s="9">
        <f>[2]หน้าผ้า!U179</f>
        <v>40</v>
      </c>
      <c r="O170" s="9">
        <f>[2]หน้าผ้า!V179</f>
        <v>55</v>
      </c>
      <c r="P170" s="10">
        <f>[2]หน้าผ้า!AB179</f>
        <v>3207.7128103679997</v>
      </c>
      <c r="Q170" s="10">
        <f>[2]หน้าผ้า!AC179</f>
        <v>0</v>
      </c>
      <c r="R170" s="10">
        <f>[2]หน้าผ้า!AD179</f>
        <v>3207.7128103679997</v>
      </c>
      <c r="S170" s="9" t="str">
        <f>[2]หน้าผ้า!Z179</f>
        <v>300แบน</v>
      </c>
      <c r="T170" s="12" t="str">
        <f>[2]หน้าผ้า!X179</f>
        <v>รอแจ้ง</v>
      </c>
      <c r="U170" s="11">
        <f>[2]หน้าผ้า!AA179</f>
        <v>100000</v>
      </c>
      <c r="V170" s="10">
        <f>[2]หน้าผ้า!AJ179</f>
        <v>1500</v>
      </c>
      <c r="W170" s="10">
        <f>[2]หน้าผ้า!AL179</f>
        <v>98500</v>
      </c>
      <c r="X170" s="10">
        <f>[2]หน้าผ้า!AM179</f>
        <v>0</v>
      </c>
      <c r="Y170" s="10">
        <f>[2]หน้าผ้า!AN179</f>
        <v>103425</v>
      </c>
      <c r="Z170" s="9" t="str">
        <f>[2]หน้าผ้า!AO179</f>
        <v>WSWT2321112512551</v>
      </c>
      <c r="AA170" s="8">
        <f>[2]หน้าผ้า!AQ179</f>
        <v>105955.465</v>
      </c>
      <c r="AB170" s="8">
        <f>[2]หน้าผ้า!AR179</f>
        <v>13611</v>
      </c>
      <c r="AC170" s="8">
        <f>[2]หน้าผ้า!AS179</f>
        <v>92344.464999999997</v>
      </c>
      <c r="AD170" s="8">
        <f>[2]หน้าผ้า!AT179</f>
        <v>0</v>
      </c>
      <c r="AE170" s="8">
        <f>[2]หน้าผ้า!AU179</f>
        <v>0</v>
      </c>
      <c r="AF170" s="8">
        <f>[2]หน้าผ้า!AI179</f>
        <v>0</v>
      </c>
      <c r="AG170" s="1" t="str">
        <f>[3]หน้าผ้า!DC182</f>
        <v>พร้อมส่ง</v>
      </c>
      <c r="AH170" s="1" t="str">
        <f>[2]หน้าผ้า!DL179</f>
        <v>P9</v>
      </c>
      <c r="AI170" s="1">
        <f>[2]หน้าผ้า!DM179</f>
        <v>3</v>
      </c>
      <c r="AJ170" s="3" t="str">
        <f>[2]หน้าผ้า!DN179</f>
        <v>รอแจ้ง</v>
      </c>
      <c r="AK170" s="3">
        <f>[2]หน้าผ้า!DQ179</f>
        <v>0</v>
      </c>
      <c r="AL170" s="3" t="e">
        <f>[2]หน้าผ้า!DR179</f>
        <v>#VALUE!</v>
      </c>
      <c r="AM170" s="3" t="e">
        <f>[2]หน้าผ้า!DS179</f>
        <v>#VALUE!</v>
      </c>
      <c r="AN170" s="3" t="e">
        <f>[2]หน้าผ้า!DT179</f>
        <v>#VALUE!</v>
      </c>
      <c r="AO170" s="3" t="e">
        <f>[2]หน้าผ้า!DU179</f>
        <v>#VALUE!</v>
      </c>
      <c r="AP170" s="3" t="e">
        <f>[2]หน้าผ้า!DP179</f>
        <v>#VALUE!</v>
      </c>
      <c r="AQ170" s="3" t="e">
        <f>[2]หน้าผ้า!DW179</f>
        <v>#VALUE!</v>
      </c>
      <c r="AR170" s="3">
        <f>[2]หน้าผ้า!DX179</f>
        <v>0</v>
      </c>
      <c r="AS170" s="3">
        <f>[2]หน้าผ้า!DY179</f>
        <v>0</v>
      </c>
      <c r="AT170" s="3">
        <f>[2]หน้าผ้า!DZ179</f>
        <v>0</v>
      </c>
      <c r="AU170" s="3">
        <f>[2]หน้าผ้า!EA179</f>
        <v>0</v>
      </c>
      <c r="AV170" s="1">
        <f>[2]หน้าผ้า!EB179</f>
        <v>0</v>
      </c>
      <c r="AW170" s="2" t="str">
        <f>[2]หน้าผ้า!EC179</f>
        <v>งานพิมพ์</v>
      </c>
      <c r="AX170" s="2" t="str">
        <f>[2]หน้าผ้า!ED179</f>
        <v xml:space="preserve"> /</v>
      </c>
      <c r="AY170" s="2">
        <f>[2]หน้าผ้า!AG179</f>
        <v>0</v>
      </c>
      <c r="AZ170" s="2">
        <f>[2]หน้าผ้า!EG179</f>
        <v>0</v>
      </c>
      <c r="BA170" s="2">
        <f>[2]หน้าผ้า!EH179</f>
        <v>0</v>
      </c>
      <c r="BB170" s="2">
        <f>[2]หน้าผ้า!EI179</f>
        <v>0</v>
      </c>
      <c r="BC170" s="1" t="str">
        <f>[2]หน้าผ้า!BZ179</f>
        <v>WRWT211125/WRWT251030</v>
      </c>
      <c r="BD170" s="56">
        <f>[2]หน้าผ้า!CA179</f>
        <v>11829.65943262361</v>
      </c>
    </row>
    <row r="171" spans="1:56" ht="27.75" customHeight="1" x14ac:dyDescent="0.45">
      <c r="A171" s="3">
        <f>[2]หน้าผ้า!C180</f>
        <v>45601</v>
      </c>
      <c r="B171" s="14" t="str">
        <f>[2]หน้าผ้า!B180</f>
        <v>MK67-001490</v>
      </c>
      <c r="C171" s="9" t="str">
        <f>[2]หน้าผ้า!E180</f>
        <v>บจก.น้ำตาลทิพย์สุโขทัย</v>
      </c>
      <c r="D171" s="13" t="str">
        <f>[2]หน้าผ้า!F180</f>
        <v>Green for white sugar</v>
      </c>
      <c r="E171" s="9">
        <f>[2]หน้าผ้า!G180</f>
        <v>23</v>
      </c>
      <c r="F171" s="9">
        <f>[2]หน้าผ้า!H180</f>
        <v>37</v>
      </c>
      <c r="G171" s="9" t="str">
        <f>[2]หน้าผ้า!I180</f>
        <v>ขาว</v>
      </c>
      <c r="H171" s="9">
        <f>[2]หน้าผ้า!J180</f>
        <v>0</v>
      </c>
      <c r="I171" s="9">
        <f>[2]หน้าผ้า!L180</f>
        <v>130</v>
      </c>
      <c r="J171" s="9" t="str">
        <f>[2]หน้าผ้า!M180</f>
        <v>±</v>
      </c>
      <c r="K171" s="9">
        <f>[2]หน้าผ้า!N180</f>
        <v>5</v>
      </c>
      <c r="L171" s="9" t="str">
        <f>[2]หน้าผ้า!R180</f>
        <v>บิด</v>
      </c>
      <c r="M171" s="10">
        <f>[2]หน้าผ้า!T180</f>
        <v>24</v>
      </c>
      <c r="N171" s="9">
        <f>[2]หน้าผ้า!U180</f>
        <v>40</v>
      </c>
      <c r="O171" s="9">
        <f>[2]หน้าผ้า!V180</f>
        <v>55</v>
      </c>
      <c r="P171" s="10">
        <f>[2]หน้าผ้า!AB180</f>
        <v>11003.203948644863</v>
      </c>
      <c r="Q171" s="10">
        <f>[2]หน้าผ้า!AC180</f>
        <v>0</v>
      </c>
      <c r="R171" s="10">
        <f>[2]หน้าผ้า!AD180</f>
        <v>11003.203948644863</v>
      </c>
      <c r="S171" s="9" t="str">
        <f>[2]หน้าผ้า!Z180</f>
        <v>300แบน</v>
      </c>
      <c r="T171" s="12" t="str">
        <f>[2]หน้าผ้า!X180</f>
        <v>รอแจ้ง</v>
      </c>
      <c r="U171" s="11">
        <f>[2]หน้าผ้า!AA180</f>
        <v>337878</v>
      </c>
      <c r="V171" s="10">
        <f>[2]หน้าผ้า!AJ180</f>
        <v>0</v>
      </c>
      <c r="W171" s="10">
        <f>[2]หน้าผ้า!AL180</f>
        <v>337878</v>
      </c>
      <c r="X171" s="10">
        <f>[2]หน้าผ้า!AM180</f>
        <v>0</v>
      </c>
      <c r="Y171" s="10">
        <f>[2]หน้าผ้า!AN180</f>
        <v>354771.9</v>
      </c>
      <c r="Z171" s="9" t="str">
        <f>[2]หน้าผ้า!AO180</f>
        <v>WSWT2321112512551</v>
      </c>
      <c r="AA171" s="8">
        <f>[2]หน้าผ้า!AQ180</f>
        <v>363451.98582000006</v>
      </c>
      <c r="AB171" s="8">
        <f>[2]หน้าผ้า!AR180</f>
        <v>0</v>
      </c>
      <c r="AC171" s="8">
        <f>[2]หน้าผ้า!AS180</f>
        <v>363451.98582000006</v>
      </c>
      <c r="AD171" s="8">
        <f>[2]หน้าผ้า!AT180</f>
        <v>0</v>
      </c>
      <c r="AE171" s="8">
        <f>[2]หน้าผ้า!AU180</f>
        <v>0</v>
      </c>
      <c r="AF171" s="8">
        <f>[2]หน้าผ้า!AI180</f>
        <v>0</v>
      </c>
      <c r="AG171" s="1" t="str">
        <f>[3]หน้าผ้า!DC183</f>
        <v>พร้อมส่ง</v>
      </c>
      <c r="AH171" s="1" t="str">
        <f>[2]หน้าผ้า!DL180</f>
        <v>P9</v>
      </c>
      <c r="AI171" s="1">
        <f>[2]หน้าผ้า!DM180</f>
        <v>3</v>
      </c>
      <c r="AJ171" s="3" t="str">
        <f>[2]หน้าผ้า!DN180</f>
        <v>รอแจ้ง</v>
      </c>
      <c r="AK171" s="3">
        <f>[2]หน้าผ้า!DQ180</f>
        <v>0</v>
      </c>
      <c r="AL171" s="3" t="e">
        <f>[2]หน้าผ้า!DR180</f>
        <v>#VALUE!</v>
      </c>
      <c r="AM171" s="3" t="e">
        <f>[2]หน้าผ้า!DS180</f>
        <v>#VALUE!</v>
      </c>
      <c r="AN171" s="3" t="e">
        <f>[2]หน้าผ้า!DT180</f>
        <v>#VALUE!</v>
      </c>
      <c r="AO171" s="3" t="e">
        <f>[2]หน้าผ้า!DU180</f>
        <v>#VALUE!</v>
      </c>
      <c r="AP171" s="3" t="e">
        <f>[2]หน้าผ้า!DP180</f>
        <v>#VALUE!</v>
      </c>
      <c r="AQ171" s="3" t="e">
        <f>[2]หน้าผ้า!DW180</f>
        <v>#VALUE!</v>
      </c>
      <c r="AR171" s="3">
        <f>[2]หน้าผ้า!DX180</f>
        <v>0</v>
      </c>
      <c r="AS171" s="3">
        <f>[2]หน้าผ้า!DY180</f>
        <v>0</v>
      </c>
      <c r="AT171" s="3">
        <f>[2]หน้าผ้า!DZ180</f>
        <v>0</v>
      </c>
      <c r="AU171" s="3">
        <f>[2]หน้าผ้า!EA180</f>
        <v>0</v>
      </c>
      <c r="AV171" s="1">
        <f>[2]หน้าผ้า!EB180</f>
        <v>0</v>
      </c>
      <c r="AW171" s="2" t="str">
        <f>[2]หน้าผ้า!EC180</f>
        <v>งานพิมพ์</v>
      </c>
      <c r="AX171" s="2" t="str">
        <f>[2]หน้าผ้า!ED180</f>
        <v xml:space="preserve"> /</v>
      </c>
      <c r="AY171" s="2">
        <f>[2]หน้าผ้า!AG180</f>
        <v>0</v>
      </c>
      <c r="AZ171" s="2">
        <f>[2]หน้าผ้า!EG180</f>
        <v>0</v>
      </c>
      <c r="BA171" s="2">
        <f>[2]หน้าผ้า!EH180</f>
        <v>0</v>
      </c>
      <c r="BB171" s="2">
        <f>[2]หน้าผ้า!EI180</f>
        <v>0</v>
      </c>
      <c r="BC171" s="1" t="str">
        <f>[2]หน้าผ้า!BZ180</f>
        <v>WRWT211125/WRWT251030</v>
      </c>
      <c r="BD171" s="56">
        <f>[2]หน้าผ้า!CA180</f>
        <v>46559.511849046357</v>
      </c>
    </row>
    <row r="172" spans="1:56" ht="27.75" customHeight="1" x14ac:dyDescent="0.45">
      <c r="A172" s="3">
        <f>[2]หน้าผ้า!C181</f>
        <v>0</v>
      </c>
      <c r="B172" s="14">
        <f>[2]หน้าผ้า!B181</f>
        <v>0</v>
      </c>
      <c r="C172" s="9">
        <f>[2]หน้าผ้า!E181</f>
        <v>0</v>
      </c>
      <c r="D172" s="13">
        <f>[2]หน้าผ้า!F181</f>
        <v>0</v>
      </c>
      <c r="E172" s="9">
        <f>[2]หน้าผ้า!G181</f>
        <v>23</v>
      </c>
      <c r="F172" s="9">
        <f>[2]หน้าผ้า!H181</f>
        <v>37</v>
      </c>
      <c r="G172" s="9">
        <f>[2]หน้าผ้า!I181</f>
        <v>0</v>
      </c>
      <c r="H172" s="9">
        <f>[2]หน้าผ้า!J181</f>
        <v>0</v>
      </c>
      <c r="I172" s="9">
        <f>[2]หน้าผ้า!L181</f>
        <v>128</v>
      </c>
      <c r="J172" s="9" t="str">
        <f>[2]หน้าผ้า!M181</f>
        <v>±</v>
      </c>
      <c r="K172" s="9">
        <f>[2]หน้าผ้า!N181</f>
        <v>5</v>
      </c>
      <c r="L172" s="9">
        <f>[2]หน้าผ้า!R181</f>
        <v>0</v>
      </c>
      <c r="M172" s="10">
        <f>[2]หน้าผ้า!T181</f>
        <v>0</v>
      </c>
      <c r="N172" s="9">
        <f>[2]หน้าผ้า!U181</f>
        <v>0</v>
      </c>
      <c r="O172" s="9">
        <f>[2]หน้าผ้า!V181</f>
        <v>0</v>
      </c>
      <c r="P172" s="10">
        <f>[2]หน้าผ้า!AB181</f>
        <v>0</v>
      </c>
      <c r="Q172" s="10">
        <f>[2]หน้าผ้า!AC181</f>
        <v>0</v>
      </c>
      <c r="R172" s="10">
        <f>[2]หน้าผ้า!AD181</f>
        <v>0</v>
      </c>
      <c r="S172" s="9">
        <f>[2]หน้าผ้า!Z181</f>
        <v>0</v>
      </c>
      <c r="T172" s="12">
        <f>[2]หน้าผ้า!X181</f>
        <v>0</v>
      </c>
      <c r="U172" s="11">
        <f>[2]หน้าผ้า!AA181</f>
        <v>0</v>
      </c>
      <c r="V172" s="10">
        <f>[2]หน้าผ้า!AJ181</f>
        <v>0</v>
      </c>
      <c r="W172" s="10">
        <f>[2]หน้าผ้า!AL181</f>
        <v>0</v>
      </c>
      <c r="X172" s="10">
        <f>[2]หน้าผ้า!AM181</f>
        <v>0</v>
      </c>
      <c r="Y172" s="10">
        <f>[2]หน้าผ้า!AN181</f>
        <v>0</v>
      </c>
      <c r="Z172" s="9" t="str">
        <f>[2]หน้าผ้า!AO181</f>
        <v>WSWT2321112512551</v>
      </c>
      <c r="AA172" s="8">
        <f>[2]หน้าผ้า!AQ181</f>
        <v>469407.45082000003</v>
      </c>
      <c r="AB172" s="8">
        <f>[2]หน้าผ้า!AR181</f>
        <v>13611</v>
      </c>
      <c r="AC172" s="8">
        <f>[2]หน้าผ้า!AS181</f>
        <v>455796.45082000003</v>
      </c>
      <c r="AD172" s="8">
        <f>[2]หน้าผ้า!AT181</f>
        <v>0</v>
      </c>
      <c r="AE172" s="8">
        <f>[2]หน้าผ้า!AU181</f>
        <v>0</v>
      </c>
      <c r="AF172" s="8" t="str">
        <f>[2]หน้าผ้า!AI181</f>
        <v>ระบุในSD</v>
      </c>
      <c r="AG172" s="1" t="str">
        <f>[3]หน้าผ้า!DC184</f>
        <v>พร้อมส่ง</v>
      </c>
      <c r="AH172" s="1">
        <f>[2]หน้าผ้า!DL181</f>
        <v>0</v>
      </c>
      <c r="AI172" s="1">
        <f>[2]หน้าผ้า!DM181</f>
        <v>0</v>
      </c>
      <c r="AJ172" s="3">
        <f>[2]หน้าผ้า!DN181</f>
        <v>0</v>
      </c>
      <c r="AK172" s="3">
        <f>[2]หน้าผ้า!DQ181</f>
        <v>0</v>
      </c>
      <c r="AL172" s="3">
        <f>[2]หน้าผ้า!DR181</f>
        <v>0</v>
      </c>
      <c r="AM172" s="3">
        <f>[2]หน้าผ้า!DS181</f>
        <v>0</v>
      </c>
      <c r="AN172" s="3">
        <f>[2]หน้าผ้า!DT181</f>
        <v>0</v>
      </c>
      <c r="AO172" s="3">
        <f>[2]หน้าผ้า!DU181</f>
        <v>0</v>
      </c>
      <c r="AP172" s="3">
        <f>[2]หน้าผ้า!DP181</f>
        <v>0</v>
      </c>
      <c r="AQ172" s="3">
        <f>[2]หน้าผ้า!DW181</f>
        <v>0</v>
      </c>
      <c r="AR172" s="3">
        <f>[2]หน้าผ้า!DX181</f>
        <v>0</v>
      </c>
      <c r="AS172" s="3">
        <f>[2]หน้าผ้า!DY181</f>
        <v>0</v>
      </c>
      <c r="AT172" s="3">
        <f>[2]หน้าผ้า!DZ181</f>
        <v>0</v>
      </c>
      <c r="AU172" s="3">
        <f>[2]หน้าผ้า!EA181</f>
        <v>0</v>
      </c>
      <c r="AV172" s="1">
        <f>[2]หน้าผ้า!EB181</f>
        <v>0</v>
      </c>
      <c r="AW172" s="2">
        <f>[2]หน้าผ้า!EC181</f>
        <v>0</v>
      </c>
      <c r="AX172" s="2">
        <f>[2]หน้าผ้า!ED181</f>
        <v>0</v>
      </c>
      <c r="AY172" s="2">
        <f>[2]หน้าผ้า!AG181</f>
        <v>0</v>
      </c>
      <c r="AZ172" s="2">
        <f>[2]หน้าผ้า!EG181</f>
        <v>0</v>
      </c>
      <c r="BA172" s="2">
        <f>[2]หน้าผ้า!EH181</f>
        <v>0</v>
      </c>
      <c r="BB172" s="2">
        <f>[2]หน้าผ้า!EI181</f>
        <v>0</v>
      </c>
      <c r="BC172" s="1" t="str">
        <f>[2]หน้าผ้า!BZ181</f>
        <v>WRWT2301125/WRWT251030</v>
      </c>
      <c r="BD172" s="56">
        <f>[2]หน้าผ้า!CA181</f>
        <v>0</v>
      </c>
    </row>
    <row r="173" spans="1:56" ht="27.75" customHeight="1" x14ac:dyDescent="0.45">
      <c r="A173" s="3">
        <f>[2]หน้าผ้า!C182</f>
        <v>0</v>
      </c>
      <c r="B173" s="14">
        <f>[2]หน้าผ้า!B182</f>
        <v>0</v>
      </c>
      <c r="C173" s="9">
        <f>[2]หน้าผ้า!E182</f>
        <v>0</v>
      </c>
      <c r="D173" s="13">
        <f>[2]หน้าผ้า!F182</f>
        <v>0</v>
      </c>
      <c r="E173" s="9">
        <f>[2]หน้าผ้า!G182</f>
        <v>24</v>
      </c>
      <c r="F173" s="9">
        <f>[2]หน้าผ้า!H182</f>
        <v>37</v>
      </c>
      <c r="G173" s="9">
        <f>[2]หน้าผ้า!I182</f>
        <v>0</v>
      </c>
      <c r="H173" s="9">
        <f>[2]หน้าผ้า!J182</f>
        <v>0</v>
      </c>
      <c r="I173" s="9">
        <f>[2]หน้าผ้า!L182</f>
        <v>120</v>
      </c>
      <c r="J173" s="9" t="str">
        <f>[2]หน้าผ้า!M182</f>
        <v>+</v>
      </c>
      <c r="K173" s="9">
        <f>[2]หน้าผ้า!N182</f>
        <v>3</v>
      </c>
      <c r="L173" s="9">
        <f>[2]หน้าผ้า!R182</f>
        <v>0</v>
      </c>
      <c r="M173" s="10">
        <f>[2]หน้าผ้า!T182</f>
        <v>0</v>
      </c>
      <c r="N173" s="9">
        <f>[2]หน้าผ้า!U182</f>
        <v>0</v>
      </c>
      <c r="O173" s="9">
        <f>[2]หน้าผ้า!V182</f>
        <v>0</v>
      </c>
      <c r="P173" s="10">
        <f>[2]หน้าผ้า!AB182</f>
        <v>0</v>
      </c>
      <c r="Q173" s="10">
        <f>[2]หน้าผ้า!AC182</f>
        <v>0</v>
      </c>
      <c r="R173" s="10">
        <f>[2]หน้าผ้า!AD182</f>
        <v>0</v>
      </c>
      <c r="S173" s="9">
        <f>[2]หน้าผ้า!Z182</f>
        <v>0</v>
      </c>
      <c r="T173" s="12">
        <f>[2]หน้าผ้า!X182</f>
        <v>0</v>
      </c>
      <c r="U173" s="11">
        <f>[2]หน้าผ้า!AA182</f>
        <v>0</v>
      </c>
      <c r="V173" s="10">
        <f>[2]หน้าผ้า!AJ182</f>
        <v>0</v>
      </c>
      <c r="W173" s="10">
        <f>[2]หน้าผ้า!AL182</f>
        <v>0</v>
      </c>
      <c r="X173" s="10">
        <f>[2]หน้าผ้า!AM182</f>
        <v>0</v>
      </c>
      <c r="Y173" s="10">
        <f>[2]หน้าผ้า!AN182</f>
        <v>0</v>
      </c>
      <c r="Z173" s="9" t="str">
        <f>[2]หน้าผ้า!AO182</f>
        <v>WSWT24211125120</v>
      </c>
      <c r="AA173" s="8" t="e">
        <f>[2]หน้าผ้า!AQ182</f>
        <v>#REF!</v>
      </c>
      <c r="AB173" s="8" t="e">
        <f>[2]หน้าผ้า!AR182</f>
        <v>#REF!</v>
      </c>
      <c r="AC173" s="8" t="e">
        <f>[2]หน้าผ้า!AS182</f>
        <v>#REF!</v>
      </c>
      <c r="AD173" s="8" t="e">
        <f>[2]หน้าผ้า!AT182</f>
        <v>#REF!</v>
      </c>
      <c r="AE173" s="8" t="e">
        <f>[2]หน้าผ้า!AU182</f>
        <v>#REF!</v>
      </c>
      <c r="AF173" s="8" t="str">
        <f>[2]หน้าผ้า!AI182</f>
        <v>ระบุในSD</v>
      </c>
      <c r="AG173" s="1" t="str">
        <f>[3]หน้าผ้า!DC185</f>
        <v>ผ้าขาว</v>
      </c>
      <c r="AH173" s="1">
        <f>[2]หน้าผ้า!DL182</f>
        <v>0</v>
      </c>
      <c r="AI173" s="1">
        <f>[2]หน้าผ้า!DM182</f>
        <v>0</v>
      </c>
      <c r="AJ173" s="3">
        <f>[2]หน้าผ้า!DN182</f>
        <v>0</v>
      </c>
      <c r="AK173" s="3">
        <f>[2]หน้าผ้า!DQ182</f>
        <v>0</v>
      </c>
      <c r="AL173" s="3">
        <f>[2]หน้าผ้า!DR182</f>
        <v>0</v>
      </c>
      <c r="AM173" s="3">
        <f>[2]หน้าผ้า!DS182</f>
        <v>0</v>
      </c>
      <c r="AN173" s="3">
        <f>[2]หน้าผ้า!DT182</f>
        <v>0</v>
      </c>
      <c r="AO173" s="3">
        <f>[2]หน้าผ้า!DU182</f>
        <v>0</v>
      </c>
      <c r="AP173" s="3">
        <f>[2]หน้าผ้า!DP182</f>
        <v>0</v>
      </c>
      <c r="AQ173" s="3">
        <f>[2]หน้าผ้า!DW182</f>
        <v>0</v>
      </c>
      <c r="AR173" s="3">
        <f>[2]หน้าผ้า!DX182</f>
        <v>0</v>
      </c>
      <c r="AS173" s="3">
        <f>[2]หน้าผ้า!DY182</f>
        <v>0</v>
      </c>
      <c r="AT173" s="3">
        <f>[2]หน้าผ้า!DZ182</f>
        <v>0</v>
      </c>
      <c r="AU173" s="3">
        <f>[2]หน้าผ้า!EA182</f>
        <v>0</v>
      </c>
      <c r="AV173" s="1">
        <f>[2]หน้าผ้า!EB182</f>
        <v>0</v>
      </c>
      <c r="AW173" s="2">
        <f>[2]หน้าผ้า!EC182</f>
        <v>0</v>
      </c>
      <c r="AX173" s="2">
        <f>[2]หน้าผ้า!ED182</f>
        <v>0</v>
      </c>
      <c r="AY173" s="2">
        <f>[2]หน้าผ้า!AG182</f>
        <v>0</v>
      </c>
      <c r="AZ173" s="2">
        <f>[2]หน้าผ้า!EG182</f>
        <v>0</v>
      </c>
      <c r="BA173" s="2">
        <f>[2]หน้าผ้า!EH182</f>
        <v>0</v>
      </c>
      <c r="BB173" s="2">
        <f>[2]หน้าผ้า!EI182</f>
        <v>0</v>
      </c>
      <c r="BC173" s="1" t="str">
        <f>[2]หน้าผ้า!BZ182</f>
        <v>WRWT2401125/WRWT25850</v>
      </c>
      <c r="BD173" s="56">
        <f>[2]หน้าผ้า!CA182</f>
        <v>0</v>
      </c>
    </row>
    <row r="174" spans="1:56" ht="27.75" customHeight="1" x14ac:dyDescent="0.45">
      <c r="A174" s="3">
        <f>[2]หน้าผ้า!C183</f>
        <v>0</v>
      </c>
      <c r="B174" s="14">
        <f>[2]หน้าผ้า!B183</f>
        <v>0</v>
      </c>
      <c r="C174" s="9">
        <f>[2]หน้าผ้า!E183</f>
        <v>0</v>
      </c>
      <c r="D174" s="13" t="str">
        <f>[2]หน้าผ้า!F183</f>
        <v xml:space="preserve"> </v>
      </c>
      <c r="E174" s="9">
        <f>[2]หน้าผ้า!G183</f>
        <v>24</v>
      </c>
      <c r="F174" s="9">
        <f>[2]หน้าผ้า!H183</f>
        <v>37</v>
      </c>
      <c r="G174" s="9">
        <f>[2]หน้าผ้า!I183</f>
        <v>0</v>
      </c>
      <c r="H174" s="9">
        <f>[2]หน้าผ้า!J183</f>
        <v>0</v>
      </c>
      <c r="I174" s="9">
        <f>[2]หน้าผ้า!L183</f>
        <v>125</v>
      </c>
      <c r="J174" s="9" t="str">
        <f>[2]หน้าผ้า!M183</f>
        <v>+</v>
      </c>
      <c r="K174" s="9">
        <f>[2]หน้าผ้า!N183</f>
        <v>3</v>
      </c>
      <c r="L174" s="9">
        <f>[2]หน้าผ้า!R183</f>
        <v>0</v>
      </c>
      <c r="M174" s="10">
        <f>[2]หน้าผ้า!T183</f>
        <v>0</v>
      </c>
      <c r="N174" s="9">
        <f>[2]หน้าผ้า!U183</f>
        <v>0</v>
      </c>
      <c r="O174" s="9">
        <f>[2]หน้าผ้า!V183</f>
        <v>0</v>
      </c>
      <c r="P174" s="10">
        <f>[2]หน้าผ้า!AB183</f>
        <v>0</v>
      </c>
      <c r="Q174" s="10">
        <f>[2]หน้าผ้า!AC183</f>
        <v>0</v>
      </c>
      <c r="R174" s="10">
        <f>[2]หน้าผ้า!AD183</f>
        <v>0</v>
      </c>
      <c r="S174" s="9">
        <f>[2]หน้าผ้า!Z183</f>
        <v>0</v>
      </c>
      <c r="T174" s="12">
        <f>[2]หน้าผ้า!X183</f>
        <v>0</v>
      </c>
      <c r="U174" s="11">
        <f>[2]หน้าผ้า!AA183</f>
        <v>0</v>
      </c>
      <c r="V174" s="10">
        <f>[2]หน้าผ้า!AJ183</f>
        <v>0</v>
      </c>
      <c r="W174" s="10">
        <f>[2]หน้าผ้า!AL183</f>
        <v>0</v>
      </c>
      <c r="X174" s="10">
        <f>[2]หน้าผ้า!AM183</f>
        <v>0</v>
      </c>
      <c r="Y174" s="10">
        <f>[2]หน้าผ้า!AN183</f>
        <v>0</v>
      </c>
      <c r="Z174" s="9" t="str">
        <f>[2]หน้าผ้า!AO183</f>
        <v>WSWT2421112512551</v>
      </c>
      <c r="AA174" s="8" t="e">
        <f>[2]หน้าผ้า!AQ183</f>
        <v>#REF!</v>
      </c>
      <c r="AB174" s="8" t="e">
        <f>[2]หน้าผ้า!AR183</f>
        <v>#REF!</v>
      </c>
      <c r="AC174" s="8" t="e">
        <f>[2]หน้าผ้า!AS183</f>
        <v>#REF!</v>
      </c>
      <c r="AD174" s="8" t="e">
        <f>[2]หน้าผ้า!AT183</f>
        <v>#REF!</v>
      </c>
      <c r="AE174" s="8" t="e">
        <f>[2]หน้าผ้า!AU183</f>
        <v>#REF!</v>
      </c>
      <c r="AF174" s="8" t="str">
        <f>[2]หน้าผ้า!AI183</f>
        <v>ระบุในSD</v>
      </c>
      <c r="AG174" s="1" t="str">
        <f>[3]หน้าผ้า!DC186</f>
        <v>รอแบบ</v>
      </c>
      <c r="AH174" s="1">
        <f>[2]หน้าผ้า!DL183</f>
        <v>0</v>
      </c>
      <c r="AI174" s="1" t="str">
        <f>[2]หน้าผ้า!DM183</f>
        <v>Lead time</v>
      </c>
      <c r="AJ174" s="3">
        <f>[2]หน้าผ้า!DN183</f>
        <v>0</v>
      </c>
      <c r="AK174" s="3">
        <f>[2]หน้าผ้า!DQ183</f>
        <v>0</v>
      </c>
      <c r="AL174" s="3">
        <f>[2]หน้าผ้า!DR183</f>
        <v>0</v>
      </c>
      <c r="AM174" s="3">
        <f>[2]หน้าผ้า!DS183</f>
        <v>0</v>
      </c>
      <c r="AN174" s="3">
        <f>[2]หน้าผ้า!DT183</f>
        <v>0</v>
      </c>
      <c r="AO174" s="3">
        <f>[2]หน้าผ้า!DU183</f>
        <v>0</v>
      </c>
      <c r="AP174" s="3">
        <f>[2]หน้าผ้า!DP183</f>
        <v>0</v>
      </c>
      <c r="AQ174" s="3">
        <f>[2]หน้าผ้า!DW183</f>
        <v>0</v>
      </c>
      <c r="AR174" s="3">
        <f>[2]หน้าผ้า!DX183</f>
        <v>0</v>
      </c>
      <c r="AS174" s="3">
        <f>[2]หน้าผ้า!DY183</f>
        <v>0</v>
      </c>
      <c r="AT174" s="3">
        <f>[2]หน้าผ้า!DZ183</f>
        <v>0</v>
      </c>
      <c r="AU174" s="3">
        <f>[2]หน้าผ้า!EA183</f>
        <v>0</v>
      </c>
      <c r="AV174" s="1">
        <f>[2]หน้าผ้า!EB183</f>
        <v>0</v>
      </c>
      <c r="AW174" s="2">
        <f>[2]หน้าผ้า!EC183</f>
        <v>0</v>
      </c>
      <c r="AX174" s="2">
        <f>[2]หน้าผ้า!ED183</f>
        <v>0</v>
      </c>
      <c r="AY174" s="2">
        <f>[2]หน้าผ้า!AG183</f>
        <v>0</v>
      </c>
      <c r="AZ174" s="2">
        <f>[2]หน้าผ้า!EG183</f>
        <v>0</v>
      </c>
      <c r="BA174" s="2">
        <f>[2]หน้าผ้า!EH183</f>
        <v>0</v>
      </c>
      <c r="BB174" s="2">
        <f>[2]หน้าผ้า!EI183</f>
        <v>0</v>
      </c>
      <c r="BC174" s="1" t="str">
        <f>[2]หน้าผ้า!BZ183</f>
        <v>WRWT2401125/WRWT25960</v>
      </c>
      <c r="BD174" s="56">
        <f>[2]หน้าผ้า!CA183</f>
        <v>0</v>
      </c>
    </row>
    <row r="175" spans="1:56" ht="27.75" customHeight="1" x14ac:dyDescent="0.45">
      <c r="A175" s="3">
        <f>[2]หน้าผ้า!C184</f>
        <v>0</v>
      </c>
      <c r="B175" s="14">
        <f>[2]หน้าผ้า!B184</f>
        <v>0</v>
      </c>
      <c r="C175" s="9">
        <f>[2]หน้าผ้า!E184</f>
        <v>0</v>
      </c>
      <c r="D175" s="13">
        <f>[2]หน้าผ้า!F184</f>
        <v>0</v>
      </c>
      <c r="E175" s="9">
        <f>[2]หน้าผ้า!G184</f>
        <v>26</v>
      </c>
      <c r="F175" s="9">
        <f>[2]หน้าผ้า!H184</f>
        <v>38</v>
      </c>
      <c r="G175" s="9" t="str">
        <f>[2]หน้าผ้า!I184</f>
        <v>เหลือง</v>
      </c>
      <c r="H175" s="9">
        <f>[2]หน้าผ้า!J184</f>
        <v>0</v>
      </c>
      <c r="I175" s="9">
        <f>[2]หน้าผ้า!L184</f>
        <v>105</v>
      </c>
      <c r="J175" s="9" t="str">
        <f>[2]หน้าผ้า!M184</f>
        <v>±</v>
      </c>
      <c r="K175" s="9">
        <f>[2]หน้าผ้า!N184</f>
        <v>5</v>
      </c>
      <c r="L175" s="9">
        <f>[2]หน้าผ้า!R184</f>
        <v>0</v>
      </c>
      <c r="M175" s="10">
        <f>[2]หน้าผ้า!T184</f>
        <v>0</v>
      </c>
      <c r="N175" s="9">
        <f>[2]หน้าผ้า!U184</f>
        <v>0</v>
      </c>
      <c r="O175" s="9">
        <f>[2]หน้าผ้า!V184</f>
        <v>0</v>
      </c>
      <c r="P175" s="10">
        <f>[2]หน้าผ้า!AB184</f>
        <v>0</v>
      </c>
      <c r="Q175" s="10">
        <f>[2]หน้าผ้า!AC184</f>
        <v>0</v>
      </c>
      <c r="R175" s="10">
        <f>[2]หน้าผ้า!AD184</f>
        <v>0</v>
      </c>
      <c r="S175" s="9">
        <f>[2]หน้าผ้า!Z184</f>
        <v>0</v>
      </c>
      <c r="T175" s="12">
        <f>[2]หน้าผ้า!X184</f>
        <v>0</v>
      </c>
      <c r="U175" s="11">
        <f>[2]หน้าผ้า!AA184</f>
        <v>0</v>
      </c>
      <c r="V175" s="10">
        <f>[2]หน้าผ้า!AJ184</f>
        <v>0</v>
      </c>
      <c r="W175" s="10">
        <f>[2]หน้าผ้า!AL184</f>
        <v>0</v>
      </c>
      <c r="X175" s="10">
        <f>[2]หน้าผ้า!AM184</f>
        <v>0</v>
      </c>
      <c r="Y175" s="10">
        <f>[2]หน้าผ้า!AN184</f>
        <v>0</v>
      </c>
      <c r="Z175" s="9" t="str">
        <f>[2]หน้าผ้า!AO184</f>
        <v>WSYL2625850</v>
      </c>
      <c r="AA175" s="8" t="e">
        <f>[2]หน้าผ้า!AQ184</f>
        <v>#REF!</v>
      </c>
      <c r="AB175" s="8" t="e">
        <f>[2]หน้าผ้า!AR184</f>
        <v>#REF!</v>
      </c>
      <c r="AC175" s="8" t="e">
        <f>[2]หน้าผ้า!AS184</f>
        <v>#REF!</v>
      </c>
      <c r="AD175" s="8" t="e">
        <f>[2]หน้าผ้า!AT184</f>
        <v>#REF!</v>
      </c>
      <c r="AE175" s="8" t="e">
        <f>[2]หน้าผ้า!AU184</f>
        <v>#REF!</v>
      </c>
      <c r="AF175" s="8" t="str">
        <f>[2]หน้าผ้า!AI184</f>
        <v>ระบุในSD</v>
      </c>
      <c r="AG175" s="1" t="str">
        <f>[3]หน้าผ้า!DC187</f>
        <v>พร้อมส่ง</v>
      </c>
      <c r="AH175" s="1">
        <f>[2]หน้าผ้า!DL184</f>
        <v>0</v>
      </c>
      <c r="AI175" s="1" t="str">
        <f>[2]หน้าผ้า!DM184</f>
        <v>Lead time</v>
      </c>
      <c r="AJ175" s="3">
        <f>[2]หน้าผ้า!DN184</f>
        <v>0</v>
      </c>
      <c r="AK175" s="3">
        <f>[2]หน้าผ้า!DQ184</f>
        <v>0</v>
      </c>
      <c r="AL175" s="3">
        <f>[2]หน้าผ้า!DR184</f>
        <v>0</v>
      </c>
      <c r="AM175" s="3">
        <f>[2]หน้าผ้า!DS184</f>
        <v>0</v>
      </c>
      <c r="AN175" s="3">
        <f>[2]หน้าผ้า!DT184</f>
        <v>0</v>
      </c>
      <c r="AO175" s="3">
        <f>[2]หน้าผ้า!DU184</f>
        <v>0</v>
      </c>
      <c r="AP175" s="3">
        <f>[2]หน้าผ้า!DP184</f>
        <v>0</v>
      </c>
      <c r="AQ175" s="3">
        <f>[2]หน้าผ้า!DW184</f>
        <v>0</v>
      </c>
      <c r="AR175" s="3">
        <f>[2]หน้าผ้า!DX184</f>
        <v>0</v>
      </c>
      <c r="AS175" s="3">
        <f>[2]หน้าผ้า!DY184</f>
        <v>0</v>
      </c>
      <c r="AT175" s="3">
        <f>[2]หน้าผ้า!DZ184</f>
        <v>0</v>
      </c>
      <c r="AU175" s="3">
        <f>[2]หน้าผ้า!EA184</f>
        <v>0</v>
      </c>
      <c r="AV175" s="1">
        <f>[2]หน้าผ้า!EB184</f>
        <v>0</v>
      </c>
      <c r="AW175" s="2">
        <f>[2]หน้าผ้า!EC184</f>
        <v>0</v>
      </c>
      <c r="AX175" s="2">
        <f>[2]หน้าผ้า!ED184</f>
        <v>0</v>
      </c>
      <c r="AY175" s="2">
        <f>[2]หน้าผ้า!AG184</f>
        <v>0</v>
      </c>
      <c r="AZ175" s="2">
        <f>[2]หน้าผ้า!EG184</f>
        <v>0</v>
      </c>
      <c r="BA175" s="2">
        <f>[2]หน้าผ้า!EH184</f>
        <v>0</v>
      </c>
      <c r="BB175" s="2">
        <f>[2]หน้าผ้า!EI184</f>
        <v>0</v>
      </c>
      <c r="BC175" s="1" t="str">
        <f>[2]หน้าผ้า!BZ184</f>
        <v>WRYL25850/WRYL25850</v>
      </c>
      <c r="BD175" s="56">
        <f>[2]หน้าผ้า!CA184</f>
        <v>0</v>
      </c>
    </row>
    <row r="176" spans="1:56" ht="27.75" customHeight="1" x14ac:dyDescent="0.45">
      <c r="A176" s="3">
        <f>[2]หน้าผ้า!C185</f>
        <v>45894</v>
      </c>
      <c r="B176" s="14" t="str">
        <f>[2]หน้าผ้า!B185</f>
        <v>MK68-001030</v>
      </c>
      <c r="C176" s="9" t="str">
        <f>[2]หน้าผ้า!E185</f>
        <v>คุณธนนท์ อุทัยไพศาลวงศ์</v>
      </c>
      <c r="D176" s="13" t="str">
        <f>[2]หน้าผ้า!F185</f>
        <v>ไม่พิมพ์</v>
      </c>
      <c r="E176" s="9">
        <f>[2]หน้าผ้า!G185</f>
        <v>26</v>
      </c>
      <c r="F176" s="9">
        <f>[2]หน้าผ้า!H185</f>
        <v>39</v>
      </c>
      <c r="G176" s="9" t="str">
        <f>[2]หน้าผ้า!I185</f>
        <v>ขาว</v>
      </c>
      <c r="H176" s="9">
        <f>[2]หน้าผ้า!J185</f>
        <v>0</v>
      </c>
      <c r="I176" s="9">
        <f>[2]หน้าผ้า!L185</f>
        <v>93</v>
      </c>
      <c r="J176" s="9" t="str">
        <f>[2]หน้าผ้า!M185</f>
        <v>±</v>
      </c>
      <c r="K176" s="9">
        <f>[2]หน้าผ้า!N185</f>
        <v>5</v>
      </c>
      <c r="L176" s="9" t="str">
        <f>[2]หน้าผ้า!R185</f>
        <v>ไม่</v>
      </c>
      <c r="M176" s="10" t="str">
        <f>[2]หน้าผ้า!T185</f>
        <v>ไม่สวมถุงใน</v>
      </c>
      <c r="N176" s="9">
        <f>[2]หน้าผ้า!U185</f>
        <v>0</v>
      </c>
      <c r="O176" s="9">
        <f>[2]หน้าผ้า!V185</f>
        <v>0</v>
      </c>
      <c r="P176" s="10">
        <f>[2]หน้าผ้า!AB185</f>
        <v>0</v>
      </c>
      <c r="Q176" s="10">
        <f>[2]หน้าผ้า!AC185</f>
        <v>0</v>
      </c>
      <c r="R176" s="10">
        <f>[2]หน้าผ้า!AD185</f>
        <v>0</v>
      </c>
      <c r="S176" s="9" t="str">
        <f>[2]หน้าผ้า!Z185</f>
        <v>มัด100</v>
      </c>
      <c r="T176" s="12">
        <f>[2]หน้าผ้า!X185</f>
        <v>45910</v>
      </c>
      <c r="U176" s="11">
        <f>[2]หน้าผ้า!AA185</f>
        <v>5000</v>
      </c>
      <c r="V176" s="10">
        <f>[2]หน้าผ้า!AJ185</f>
        <v>1800</v>
      </c>
      <c r="W176" s="10">
        <f>[2]หน้าผ้า!AL185</f>
        <v>3200</v>
      </c>
      <c r="X176" s="10">
        <f>[2]หน้าผ้า!AM185</f>
        <v>0</v>
      </c>
      <c r="Y176" s="10">
        <f>[2]หน้าผ้า!AN185</f>
        <v>0</v>
      </c>
      <c r="Z176" s="9" t="str">
        <f>[2]หน้าผ้า!AO185</f>
        <v>WSWT2625650</v>
      </c>
      <c r="AA176" s="8">
        <f>[2]หน้าผ้า!AQ185</f>
        <v>3621.0239999999999</v>
      </c>
      <c r="AB176" s="8">
        <f>[2]หน้าผ้า!AR185</f>
        <v>3621.0239999999999</v>
      </c>
      <c r="AC176" s="8">
        <f>[2]หน้าผ้า!AS185</f>
        <v>0</v>
      </c>
      <c r="AD176" s="8">
        <f>[2]หน้าผ้า!AT185</f>
        <v>0</v>
      </c>
      <c r="AE176" s="8">
        <f>[2]หน้าผ้า!AU185</f>
        <v>0</v>
      </c>
      <c r="AF176" s="8">
        <f>[2]หน้าผ้า!AI185</f>
        <v>0</v>
      </c>
      <c r="AG176" s="1" t="str">
        <f>[3]หน้าผ้า!DC188</f>
        <v>ยังไม่ได้พิมพ์</v>
      </c>
      <c r="AH176" s="1" t="str">
        <f>[2]หน้าผ้า!DL185</f>
        <v>P3</v>
      </c>
      <c r="AI176" s="1">
        <f>[2]หน้าผ้า!DM185</f>
        <v>1</v>
      </c>
      <c r="AJ176" s="3">
        <f>[2]หน้าผ้า!DN185</f>
        <v>45910</v>
      </c>
      <c r="AK176" s="3">
        <f>[2]หน้าผ้า!DQ185</f>
        <v>0</v>
      </c>
      <c r="AL176" s="3">
        <f>[2]หน้าผ้า!DR185</f>
        <v>0</v>
      </c>
      <c r="AM176" s="3">
        <f>[2]หน้าผ้า!DS185</f>
        <v>0</v>
      </c>
      <c r="AN176" s="3">
        <f>[2]หน้าผ้า!DT185</f>
        <v>0</v>
      </c>
      <c r="AO176" s="3">
        <f>[2]หน้าผ้า!DU185</f>
        <v>45909</v>
      </c>
      <c r="AP176" s="3">
        <f>[2]หน้าผ้า!DP185</f>
        <v>45905</v>
      </c>
      <c r="AQ176" s="3">
        <f>[2]หน้าผ้า!DW185</f>
        <v>0</v>
      </c>
      <c r="AR176" s="3">
        <f>[2]หน้าผ้า!DX185</f>
        <v>0</v>
      </c>
      <c r="AS176" s="3">
        <f>[2]หน้าผ้า!DY185</f>
        <v>0</v>
      </c>
      <c r="AT176" s="3">
        <f>[2]หน้าผ้า!DZ185</f>
        <v>0</v>
      </c>
      <c r="AU176" s="3">
        <f>[2]หน้าผ้า!EA185</f>
        <v>0</v>
      </c>
      <c r="AV176" s="1">
        <f>[2]หน้าผ้า!EB185</f>
        <v>0</v>
      </c>
      <c r="AW176" s="2" t="str">
        <f>[2]หน้าผ้า!EC185</f>
        <v>ตัด</v>
      </c>
      <c r="AX176" s="2">
        <f>[2]หน้าผ้า!ED185</f>
        <v>0</v>
      </c>
      <c r="AY176" s="2">
        <f>[2]หน้าผ้า!AG185</f>
        <v>0</v>
      </c>
      <c r="AZ176" s="2">
        <f>[2]หน้าผ้า!EG185</f>
        <v>0</v>
      </c>
      <c r="BA176" s="2">
        <f>[2]หน้าผ้า!EH185</f>
        <v>0</v>
      </c>
      <c r="BB176" s="2">
        <f>[2]หน้าผ้า!EI185</f>
        <v>0</v>
      </c>
      <c r="BC176" s="1" t="str">
        <f>[2]หน้าผ้า!BZ185</f>
        <v>WRWT25650/WRWT25650</v>
      </c>
      <c r="BD176" s="56">
        <f>[2]หน้าผ้า!CA185</f>
        <v>0</v>
      </c>
    </row>
    <row r="177" spans="1:56" ht="27.75" customHeight="1" x14ac:dyDescent="0.45">
      <c r="A177" s="3" t="str">
        <f>[2]หน้าผ้า!C186</f>
        <v>ประมาณการ</v>
      </c>
      <c r="B177" s="14" t="str">
        <f>[2]หน้าผ้า!B186</f>
        <v>ประมาณการ</v>
      </c>
      <c r="C177" s="9" t="str">
        <f>[2]หน้าผ้า!E186</f>
        <v>บจก.กบินทร์อินทรีย์</v>
      </c>
      <c r="D177" s="13" t="str">
        <f>[2]หน้าผ้า!F186</f>
        <v>รอแบบ</v>
      </c>
      <c r="E177" s="9">
        <f>[2]หน้าผ้า!G186</f>
        <v>26</v>
      </c>
      <c r="F177" s="9">
        <f>[2]หน้าผ้า!H186</f>
        <v>41</v>
      </c>
      <c r="G177" s="9" t="str">
        <f>[2]หน้าผ้า!I186</f>
        <v>ขาว</v>
      </c>
      <c r="H177" s="9">
        <f>[2]หน้าผ้า!J186</f>
        <v>0</v>
      </c>
      <c r="I177" s="9">
        <f>[2]หน้าผ้า!L186</f>
        <v>97</v>
      </c>
      <c r="J177" s="9" t="str">
        <f>[2]หน้าผ้า!M186</f>
        <v>±</v>
      </c>
      <c r="K177" s="9">
        <f>[2]หน้าผ้า!N186</f>
        <v>5</v>
      </c>
      <c r="L177" s="9" t="str">
        <f>[2]หน้าผ้า!R186</f>
        <v>บิด</v>
      </c>
      <c r="M177" s="10">
        <f>[2]หน้าผ้า!T186</f>
        <v>27</v>
      </c>
      <c r="N177" s="9">
        <f>[2]หน้าผ้า!U186</f>
        <v>43</v>
      </c>
      <c r="O177" s="9">
        <f>[2]หน้าผ้า!V186</f>
        <v>40</v>
      </c>
      <c r="P177" s="10">
        <f>[2]หน้าผ้า!AB186</f>
        <v>229.14349009919997</v>
      </c>
      <c r="Q177" s="10">
        <f>[2]หน้าผ้า!AC186</f>
        <v>0</v>
      </c>
      <c r="R177" s="10">
        <f>[2]หน้าผ้า!AD186</f>
        <v>229.14349009919997</v>
      </c>
      <c r="S177" s="9" t="str">
        <f>[2]หน้าผ้า!Z186</f>
        <v>300กระสอบ</v>
      </c>
      <c r="T177" s="12">
        <f>[2]หน้าผ้า!X186</f>
        <v>45930</v>
      </c>
      <c r="U177" s="11">
        <f>[2]หน้าผ้า!AA186</f>
        <v>8000</v>
      </c>
      <c r="V177" s="10">
        <f>[2]หน้าผ้า!AJ186</f>
        <v>0</v>
      </c>
      <c r="W177" s="10">
        <f>[2]หน้าผ้า!AL186</f>
        <v>8000</v>
      </c>
      <c r="X177" s="10">
        <f>[2]หน้าผ้า!AM186</f>
        <v>0</v>
      </c>
      <c r="Y177" s="10">
        <f>[2]หน้าผ้า!AN186</f>
        <v>8400</v>
      </c>
      <c r="Z177" s="9" t="str">
        <f>[2]หน้าผ้า!AO186</f>
        <v>WSWT2625650</v>
      </c>
      <c r="AA177" s="8">
        <f>[2]หน้าผ้า!AQ186</f>
        <v>9499.6</v>
      </c>
      <c r="AB177" s="8">
        <f>[2]หน้าผ้า!AR186</f>
        <v>0</v>
      </c>
      <c r="AC177" s="8">
        <f>[2]หน้าผ้า!AS186</f>
        <v>9499.6</v>
      </c>
      <c r="AD177" s="8">
        <f>[2]หน้าผ้า!AT186</f>
        <v>0</v>
      </c>
      <c r="AE177" s="8">
        <f>[2]หน้าผ้า!AU186</f>
        <v>0</v>
      </c>
      <c r="AF177" s="8">
        <f>[2]หน้าผ้า!AI186</f>
        <v>0</v>
      </c>
      <c r="AG177" s="1" t="str">
        <f>[3]หน้าผ้า!DC189</f>
        <v>พร้อมส่ง</v>
      </c>
      <c r="AH177" s="1" t="str">
        <f>[2]หน้าผ้า!DL186</f>
        <v>P9</v>
      </c>
      <c r="AI177" s="1">
        <f>[2]หน้าผ้า!DM186</f>
        <v>3</v>
      </c>
      <c r="AJ177" s="3">
        <f>[2]หน้าผ้า!DN186</f>
        <v>45930</v>
      </c>
      <c r="AK177" s="3">
        <f>[2]หน้าผ้า!DQ186</f>
        <v>0</v>
      </c>
      <c r="AL177" s="3">
        <f>[2]หน้าผ้า!DR186</f>
        <v>45920</v>
      </c>
      <c r="AM177" s="3">
        <f>[2]หน้าผ้า!DS186</f>
        <v>45927</v>
      </c>
      <c r="AN177" s="3">
        <f>[2]หน้าผ้า!DT186</f>
        <v>45928</v>
      </c>
      <c r="AO177" s="3">
        <f>[2]หน้าผ้า!DU186</f>
        <v>45928</v>
      </c>
      <c r="AP177" s="3">
        <f>[2]หน้าผ้า!DP186</f>
        <v>45925</v>
      </c>
      <c r="AQ177" s="3">
        <f>[2]หน้าผ้า!DW186</f>
        <v>45929</v>
      </c>
      <c r="AR177" s="3">
        <f>[2]หน้าผ้า!DX186</f>
        <v>0</v>
      </c>
      <c r="AS177" s="3">
        <f>[2]หน้าผ้า!DY186</f>
        <v>0</v>
      </c>
      <c r="AT177" s="3">
        <f>[2]หน้าผ้า!DZ186</f>
        <v>0</v>
      </c>
      <c r="AU177" s="3">
        <f>[2]หน้าผ้า!EA186</f>
        <v>0</v>
      </c>
      <c r="AV177" s="1">
        <f>[2]หน้าผ้า!EB186</f>
        <v>0</v>
      </c>
      <c r="AW177" s="2" t="str">
        <f>[2]หน้าผ้า!EC186</f>
        <v>งานพิมพ์</v>
      </c>
      <c r="AX177" s="2" t="str">
        <f>[2]หน้าผ้า!ED186</f>
        <v>รอART</v>
      </c>
      <c r="AY177" s="2">
        <f>[2]หน้าผ้า!AG186</f>
        <v>0</v>
      </c>
      <c r="AZ177" s="2">
        <f>[2]หน้าผ้า!EG186</f>
        <v>0</v>
      </c>
      <c r="BA177" s="2">
        <f>[2]หน้าผ้า!EH186</f>
        <v>0</v>
      </c>
      <c r="BB177" s="2">
        <f>[2]หน้าผ้า!EI186</f>
        <v>0</v>
      </c>
      <c r="BC177" s="1" t="str">
        <f>[2]หน้าผ้า!BZ186</f>
        <v>WRWT25650/WRWT25650</v>
      </c>
      <c r="BD177" s="56">
        <f>[2]หน้าผ้า!CA186</f>
        <v>767.03992444444452</v>
      </c>
    </row>
    <row r="178" spans="1:56" ht="27.75" customHeight="1" x14ac:dyDescent="0.45">
      <c r="A178" s="3">
        <f>[2]หน้าผ้า!C187</f>
        <v>0</v>
      </c>
      <c r="B178" s="14">
        <f>[2]หน้าผ้า!B187</f>
        <v>0</v>
      </c>
      <c r="C178" s="9">
        <f>[2]หน้าผ้า!E187</f>
        <v>0</v>
      </c>
      <c r="D178" s="13">
        <f>[2]หน้าผ้า!F187</f>
        <v>0</v>
      </c>
      <c r="E178" s="9">
        <f>[2]หน้าผ้า!G187</f>
        <v>26</v>
      </c>
      <c r="F178" s="9">
        <f>[2]หน้าผ้า!H187</f>
        <v>43</v>
      </c>
      <c r="G178" s="9" t="str">
        <f>[2]หน้าผ้า!I187</f>
        <v>ขาว</v>
      </c>
      <c r="H178" s="9">
        <f>[2]หน้าผ้า!J187</f>
        <v>0</v>
      </c>
      <c r="I178" s="9">
        <f>[2]หน้าผ้า!L187</f>
        <v>102</v>
      </c>
      <c r="J178" s="9" t="str">
        <f>[2]หน้าผ้า!M187</f>
        <v>±</v>
      </c>
      <c r="K178" s="9">
        <f>[2]หน้าผ้า!N187</f>
        <v>5</v>
      </c>
      <c r="L178" s="9">
        <f>[2]หน้าผ้า!R187</f>
        <v>0</v>
      </c>
      <c r="M178" s="10">
        <f>[2]หน้าผ้า!T187</f>
        <v>0</v>
      </c>
      <c r="N178" s="9">
        <f>[2]หน้าผ้า!U187</f>
        <v>0</v>
      </c>
      <c r="O178" s="9">
        <f>[2]หน้าผ้า!V187</f>
        <v>0</v>
      </c>
      <c r="P178" s="10">
        <f>[2]หน้าผ้า!AB187</f>
        <v>0</v>
      </c>
      <c r="Q178" s="10">
        <f>[2]หน้าผ้า!AC187</f>
        <v>0</v>
      </c>
      <c r="R178" s="10">
        <f>[2]หน้าผ้า!AD187</f>
        <v>0</v>
      </c>
      <c r="S178" s="9">
        <f>[2]หน้าผ้า!Z187</f>
        <v>0</v>
      </c>
      <c r="T178" s="12">
        <f>[2]หน้าผ้า!X187</f>
        <v>0</v>
      </c>
      <c r="U178" s="11">
        <f>[2]หน้าผ้า!AA187</f>
        <v>0</v>
      </c>
      <c r="V178" s="10">
        <f>[2]หน้าผ้า!AJ187</f>
        <v>0</v>
      </c>
      <c r="W178" s="10">
        <f>[2]หน้าผ้า!AL187</f>
        <v>0</v>
      </c>
      <c r="X178" s="10">
        <f>[2]หน้าผ้า!AM187</f>
        <v>0</v>
      </c>
      <c r="Y178" s="10">
        <f>[2]หน้าผ้า!AN187</f>
        <v>0</v>
      </c>
      <c r="Z178" s="9" t="str">
        <f>[2]หน้าผ้า!AO187</f>
        <v>WSWT2625650</v>
      </c>
      <c r="AA178" s="8">
        <f>[2]หน้าผ้า!AQ187</f>
        <v>13120.624</v>
      </c>
      <c r="AB178" s="8">
        <f>[2]หน้าผ้า!AR187</f>
        <v>3621.0239999999999</v>
      </c>
      <c r="AC178" s="8">
        <f>[2]หน้าผ้า!AS187</f>
        <v>9499.6</v>
      </c>
      <c r="AD178" s="8">
        <f>[2]หน้าผ้า!AT187</f>
        <v>0</v>
      </c>
      <c r="AE178" s="8">
        <f>[2]หน้าผ้า!AU187</f>
        <v>0</v>
      </c>
      <c r="AF178" s="8" t="str">
        <f>[2]หน้าผ้า!AI187</f>
        <v>ระบุในSD</v>
      </c>
      <c r="AG178" s="1" t="str">
        <f>[3]หน้าผ้า!DC190</f>
        <v>พร้อมส่ง</v>
      </c>
      <c r="AH178" s="1">
        <f>[2]หน้าผ้า!DL187</f>
        <v>0</v>
      </c>
      <c r="AI178" s="1" t="str">
        <f>[2]หน้าผ้า!DM187</f>
        <v>Lead time</v>
      </c>
      <c r="AJ178" s="3">
        <f>[2]หน้าผ้า!DN187</f>
        <v>0</v>
      </c>
      <c r="AK178" s="3">
        <f>[2]หน้าผ้า!DQ187</f>
        <v>0</v>
      </c>
      <c r="AL178" s="3">
        <f>[2]หน้าผ้า!DR187</f>
        <v>0</v>
      </c>
      <c r="AM178" s="3">
        <f>[2]หน้าผ้า!DS187</f>
        <v>0</v>
      </c>
      <c r="AN178" s="3">
        <f>[2]หน้าผ้า!DT187</f>
        <v>0</v>
      </c>
      <c r="AO178" s="3">
        <f>[2]หน้าผ้า!DU187</f>
        <v>0</v>
      </c>
      <c r="AP178" s="3">
        <f>[2]หน้าผ้า!DP187</f>
        <v>0</v>
      </c>
      <c r="AQ178" s="3">
        <f>[2]หน้าผ้า!DW187</f>
        <v>0</v>
      </c>
      <c r="AR178" s="3">
        <f>[2]หน้าผ้า!DX187</f>
        <v>0</v>
      </c>
      <c r="AS178" s="3">
        <f>[2]หน้าผ้า!DY187</f>
        <v>0</v>
      </c>
      <c r="AT178" s="3">
        <f>[2]หน้าผ้า!DZ187</f>
        <v>0</v>
      </c>
      <c r="AU178" s="3">
        <f>[2]หน้าผ้า!EA187</f>
        <v>0</v>
      </c>
      <c r="AV178" s="1">
        <f>[2]หน้าผ้า!EB187</f>
        <v>0</v>
      </c>
      <c r="AW178" s="2">
        <f>[2]หน้าผ้า!EC187</f>
        <v>0</v>
      </c>
      <c r="AX178" s="2">
        <f>[2]หน้าผ้า!ED187</f>
        <v>0</v>
      </c>
      <c r="AY178" s="2">
        <f>[2]หน้าผ้า!AG187</f>
        <v>0</v>
      </c>
      <c r="AZ178" s="2">
        <f>[2]หน้าผ้า!EG187</f>
        <v>0</v>
      </c>
      <c r="BA178" s="2">
        <f>[2]หน้าผ้า!EH187</f>
        <v>0</v>
      </c>
      <c r="BB178" s="2">
        <f>[2]หน้าผ้า!EI187</f>
        <v>0</v>
      </c>
      <c r="BC178" s="1" t="str">
        <f>[2]หน้าผ้า!BZ187</f>
        <v>WRWT25650/WRWT25650</v>
      </c>
      <c r="BD178" s="56">
        <f>[2]หน้าผ้า!CA187</f>
        <v>0</v>
      </c>
    </row>
    <row r="179" spans="1:56" ht="27.75" customHeight="1" x14ac:dyDescent="0.45">
      <c r="A179" s="3">
        <f>[2]หน้าผ้า!C188</f>
        <v>45904</v>
      </c>
      <c r="B179" s="14" t="str">
        <f>[2]หน้าผ้า!B188</f>
        <v>MK68-001074</v>
      </c>
      <c r="C179" s="9" t="str">
        <f>[2]หน้าผ้า!E188</f>
        <v>บจก.ทีพีเค แอ็บโซลูท สตาร์ช</v>
      </c>
      <c r="D179" s="13" t="str">
        <f>[2]หน้าผ้า!F188</f>
        <v>MASTER CHEF</v>
      </c>
      <c r="E179" s="9">
        <f>[2]หน้าผ้า!G188</f>
        <v>26</v>
      </c>
      <c r="F179" s="9">
        <f>[2]หน้าผ้า!H188</f>
        <v>43</v>
      </c>
      <c r="G179" s="9" t="str">
        <f>[2]หน้าผ้า!I188</f>
        <v>ขาว</v>
      </c>
      <c r="H179" s="9" t="str">
        <f>[2]หน้าผ้า!J188</f>
        <v>ใส</v>
      </c>
      <c r="I179" s="9">
        <f>[2]หน้าผ้า!L188</f>
        <v>140</v>
      </c>
      <c r="J179" s="9" t="str">
        <f>[2]หน้าผ้า!M188</f>
        <v>±</v>
      </c>
      <c r="K179" s="9">
        <f>[2]หน้าผ้า!N188</f>
        <v>5</v>
      </c>
      <c r="L179" s="9" t="str">
        <f>[2]หน้าผ้า!R188</f>
        <v>ไม่</v>
      </c>
      <c r="M179" s="10" t="str">
        <f>[2]หน้าผ้า!T188</f>
        <v>ไม่สวมถุงใน</v>
      </c>
      <c r="N179" s="9">
        <f>[2]หน้าผ้า!U188</f>
        <v>0</v>
      </c>
      <c r="O179" s="9">
        <f>[2]หน้าผ้า!V188</f>
        <v>0</v>
      </c>
      <c r="P179" s="10">
        <f>[2]หน้าผ้า!AB188</f>
        <v>0</v>
      </c>
      <c r="Q179" s="10">
        <f>[2]หน้าผ้า!AC188</f>
        <v>0</v>
      </c>
      <c r="R179" s="10">
        <f>[2]หน้าผ้า!AD188</f>
        <v>0</v>
      </c>
      <c r="S179" s="9" t="str">
        <f>[2]หน้าผ้า!Z188</f>
        <v xml:space="preserve">300กระสอบแบน  </v>
      </c>
      <c r="T179" s="12">
        <f>[2]หน้าผ้า!X188</f>
        <v>45912</v>
      </c>
      <c r="U179" s="11">
        <f>[2]หน้าผ้า!AA188</f>
        <v>10000</v>
      </c>
      <c r="V179" s="10">
        <f>[2]หน้าผ้า!AJ188</f>
        <v>0</v>
      </c>
      <c r="W179" s="10">
        <f>[2]หน้าผ้า!AL188</f>
        <v>10000</v>
      </c>
      <c r="X179" s="10">
        <f>[2]หน้าผ้า!AM188</f>
        <v>0</v>
      </c>
      <c r="Y179" s="10">
        <f>[2]หน้าผ้า!AN188</f>
        <v>10500</v>
      </c>
      <c r="Z179" s="9" t="str">
        <f>[2]หน้าผ้า!AO188</f>
        <v>WSWT262575051</v>
      </c>
      <c r="AA179" s="8">
        <f>[2]หน้าผ้า!AQ188</f>
        <v>12433.3</v>
      </c>
      <c r="AB179" s="8">
        <f>[2]หน้าผ้า!AR188</f>
        <v>7225</v>
      </c>
      <c r="AC179" s="8">
        <f>[2]หน้าผ้า!AS188</f>
        <v>5208.2999999999993</v>
      </c>
      <c r="AD179" s="8">
        <f>[2]หน้าผ้า!AT188</f>
        <v>0</v>
      </c>
      <c r="AE179" s="8">
        <f>[2]หน้าผ้า!AU188</f>
        <v>12433.3</v>
      </c>
      <c r="AF179" s="8" t="str">
        <f>[2]หน้าผ้า!AI188</f>
        <v>ห้ามใช้เชือกฟาง</v>
      </c>
      <c r="AG179" s="1" t="str">
        <f>[3]หน้าผ้า!DC191</f>
        <v>พร้อมส่ง</v>
      </c>
      <c r="AH179" s="1" t="str">
        <f>[2]หน้าผ้า!DL188</f>
        <v>P6</v>
      </c>
      <c r="AI179" s="1">
        <f>[2]หน้าผ้า!DM188</f>
        <v>4</v>
      </c>
      <c r="AJ179" s="3">
        <f>[2]หน้าผ้า!DN188</f>
        <v>45912</v>
      </c>
      <c r="AK179" s="3">
        <f>[2]หน้าผ้า!DQ188</f>
        <v>45908</v>
      </c>
      <c r="AL179" s="3">
        <f>[2]หน้าผ้า!DR188</f>
        <v>45901</v>
      </c>
      <c r="AM179" s="3">
        <f>[2]หน้าผ้า!DS188</f>
        <v>45909</v>
      </c>
      <c r="AN179" s="3">
        <f>[2]หน้าผ้า!DT188</f>
        <v>45910</v>
      </c>
      <c r="AO179" s="3">
        <f>[2]หน้าผ้า!DU188</f>
        <v>45911</v>
      </c>
      <c r="AP179" s="3">
        <f>[2]หน้าผ้า!DP188</f>
        <v>45907</v>
      </c>
      <c r="AQ179" s="3">
        <f>[2]หน้าผ้า!DW188</f>
        <v>0</v>
      </c>
      <c r="AR179" s="3">
        <f>[2]หน้าผ้า!DX188</f>
        <v>0</v>
      </c>
      <c r="AS179" s="3">
        <f>[2]หน้าผ้า!DY188</f>
        <v>0</v>
      </c>
      <c r="AT179" s="3">
        <f>[2]หน้าผ้า!DZ188</f>
        <v>0</v>
      </c>
      <c r="AU179" s="3">
        <f>[2]หน้าผ้า!EA188</f>
        <v>0</v>
      </c>
      <c r="AV179" s="1">
        <f>[2]หน้าผ้า!EB188</f>
        <v>0</v>
      </c>
      <c r="AW179" s="2" t="str">
        <f>[2]หน้าผ้า!EC188</f>
        <v>งานเคลือบ+พิมพ์</v>
      </c>
      <c r="AX179" s="2">
        <f>[2]หน้าผ้า!ED188</f>
        <v>0</v>
      </c>
      <c r="AY179" s="2">
        <f>[2]หน้าผ้า!AG188</f>
        <v>0</v>
      </c>
      <c r="AZ179" s="2">
        <f>[2]หน้าผ้า!EG188</f>
        <v>0</v>
      </c>
      <c r="BA179" s="2">
        <f>[2]หน้าผ้า!EH188</f>
        <v>0</v>
      </c>
      <c r="BB179" s="2">
        <f>[2]หน้าผ้า!EI188</f>
        <v>0</v>
      </c>
      <c r="BC179" s="1" t="str">
        <f>[2]หน้าผ้า!BZ188</f>
        <v>WRWT25800/WRWT25650</v>
      </c>
      <c r="BD179" s="56">
        <f>[2]หน้าผ้า!CA188</f>
        <v>467.9368199999999</v>
      </c>
    </row>
    <row r="180" spans="1:56" ht="27.75" customHeight="1" x14ac:dyDescent="0.45">
      <c r="A180" s="3">
        <f>[2]หน้าผ้า!C189</f>
        <v>0</v>
      </c>
      <c r="B180" s="14">
        <f>[2]หน้าผ้า!B189</f>
        <v>0</v>
      </c>
      <c r="C180" s="9">
        <f>[2]หน้าผ้า!E189</f>
        <v>0</v>
      </c>
      <c r="D180" s="13">
        <f>[2]หน้าผ้า!F189</f>
        <v>0</v>
      </c>
      <c r="E180" s="9">
        <f>[2]หน้าผ้า!G189</f>
        <v>26</v>
      </c>
      <c r="F180" s="9">
        <f>[2]หน้าผ้า!H189</f>
        <v>43</v>
      </c>
      <c r="G180" s="9">
        <f>[2]หน้าผ้า!I189</f>
        <v>0</v>
      </c>
      <c r="H180" s="9">
        <f>[2]หน้าผ้า!J189</f>
        <v>0</v>
      </c>
      <c r="I180" s="9">
        <f>[2]หน้าผ้า!L189</f>
        <v>100</v>
      </c>
      <c r="J180" s="9" t="str">
        <f>[2]หน้าผ้า!M189</f>
        <v>±</v>
      </c>
      <c r="K180" s="9">
        <f>[2]หน้าผ้า!N189</f>
        <v>5</v>
      </c>
      <c r="L180" s="9">
        <f>[2]หน้าผ้า!R189</f>
        <v>0</v>
      </c>
      <c r="M180" s="10">
        <f>[2]หน้าผ้า!T189</f>
        <v>0</v>
      </c>
      <c r="N180" s="9">
        <f>[2]หน้าผ้า!U189</f>
        <v>0</v>
      </c>
      <c r="O180" s="9">
        <f>[2]หน้าผ้า!V189</f>
        <v>0</v>
      </c>
      <c r="P180" s="10">
        <f>[2]หน้าผ้า!AB189</f>
        <v>0</v>
      </c>
      <c r="Q180" s="10">
        <f>[2]หน้าผ้า!AC189</f>
        <v>0</v>
      </c>
      <c r="R180" s="10">
        <f>[2]หน้าผ้า!AD189</f>
        <v>0</v>
      </c>
      <c r="S180" s="9">
        <f>[2]หน้าผ้า!Z189</f>
        <v>0</v>
      </c>
      <c r="T180" s="12">
        <f>[2]หน้าผ้า!X189</f>
        <v>0</v>
      </c>
      <c r="U180" s="11">
        <f>[2]หน้าผ้า!AA189</f>
        <v>0</v>
      </c>
      <c r="V180" s="10">
        <f>[2]หน้าผ้า!AJ189</f>
        <v>0</v>
      </c>
      <c r="W180" s="10">
        <f>[2]หน้าผ้า!AL189</f>
        <v>0</v>
      </c>
      <c r="X180" s="10">
        <f>[2]หน้าผ้า!AM189</f>
        <v>0</v>
      </c>
      <c r="Y180" s="10">
        <f>[2]หน้าผ้า!AN189</f>
        <v>0</v>
      </c>
      <c r="Z180" s="9" t="str">
        <f>[2]หน้าผ้า!AO189</f>
        <v>WSWT262575051</v>
      </c>
      <c r="AA180" s="8">
        <f>[2]หน้าผ้า!AQ189</f>
        <v>12433.3</v>
      </c>
      <c r="AB180" s="8">
        <f>[2]หน้าผ้า!AR189</f>
        <v>7225</v>
      </c>
      <c r="AC180" s="8">
        <f>[2]หน้าผ้า!AS189</f>
        <v>5208.2999999999993</v>
      </c>
      <c r="AD180" s="8">
        <f>[2]หน้าผ้า!AT189</f>
        <v>0</v>
      </c>
      <c r="AE180" s="8">
        <f>[2]หน้าผ้า!AU189</f>
        <v>12433.3</v>
      </c>
      <c r="AF180" s="8" t="str">
        <f>[2]หน้าผ้า!AI189</f>
        <v>ระบุในSD</v>
      </c>
      <c r="AG180" s="1" t="str">
        <f>[3]หน้าผ้า!DC192</f>
        <v>ผ้าขาว</v>
      </c>
      <c r="AH180" s="1">
        <f>[2]หน้าผ้า!DL189</f>
        <v>0</v>
      </c>
      <c r="AI180" s="1" t="str">
        <f>[2]หน้าผ้า!DM189</f>
        <v>Lead time</v>
      </c>
      <c r="AJ180" s="3">
        <f>[2]หน้าผ้า!DN189</f>
        <v>0</v>
      </c>
      <c r="AK180" s="3">
        <f>[2]หน้าผ้า!DQ189</f>
        <v>0</v>
      </c>
      <c r="AL180" s="3">
        <f>[2]หน้าผ้า!DR189</f>
        <v>0</v>
      </c>
      <c r="AM180" s="3">
        <f>[2]หน้าผ้า!DS189</f>
        <v>0</v>
      </c>
      <c r="AN180" s="3">
        <f>[2]หน้าผ้า!DT189</f>
        <v>0</v>
      </c>
      <c r="AO180" s="3">
        <f>[2]หน้าผ้า!DU189</f>
        <v>0</v>
      </c>
      <c r="AP180" s="3">
        <f>[2]หน้าผ้า!DP189</f>
        <v>0</v>
      </c>
      <c r="AQ180" s="3">
        <f>[2]หน้าผ้า!DW189</f>
        <v>0</v>
      </c>
      <c r="AR180" s="3">
        <f>[2]หน้าผ้า!DX189</f>
        <v>0</v>
      </c>
      <c r="AS180" s="3">
        <f>[2]หน้าผ้า!DY189</f>
        <v>0</v>
      </c>
      <c r="AT180" s="3">
        <f>[2]หน้าผ้า!DZ189</f>
        <v>0</v>
      </c>
      <c r="AU180" s="3">
        <f>[2]หน้าผ้า!EA189</f>
        <v>0</v>
      </c>
      <c r="AV180" s="1">
        <f>[2]หน้าผ้า!EB189</f>
        <v>0</v>
      </c>
      <c r="AW180" s="2">
        <f>[2]หน้าผ้า!EC189</f>
        <v>0</v>
      </c>
      <c r="AX180" s="2">
        <f>[2]หน้าผ้า!ED189</f>
        <v>0</v>
      </c>
      <c r="AY180" s="2">
        <f>[2]หน้าผ้า!AG189</f>
        <v>0</v>
      </c>
      <c r="AZ180" s="2">
        <f>[2]หน้าผ้า!EG189</f>
        <v>0</v>
      </c>
      <c r="BA180" s="2">
        <f>[2]หน้าผ้า!EH189</f>
        <v>0</v>
      </c>
      <c r="BB180" s="2">
        <f>[2]หน้าผ้า!EI189</f>
        <v>0</v>
      </c>
      <c r="BC180" s="1" t="str">
        <f>[2]หน้าผ้า!BZ189</f>
        <v>WRWT25800/WRWT25650</v>
      </c>
      <c r="BD180" s="56">
        <f>[2]หน้าผ้า!CA189</f>
        <v>0</v>
      </c>
    </row>
    <row r="181" spans="1:56" ht="27.75" customHeight="1" x14ac:dyDescent="0.45">
      <c r="A181" s="3">
        <f>[2]หน้าผ้า!C190</f>
        <v>0</v>
      </c>
      <c r="B181" s="14">
        <f>[2]หน้าผ้า!B190</f>
        <v>0</v>
      </c>
      <c r="C181" s="9">
        <f>[2]หน้าผ้า!E190</f>
        <v>0</v>
      </c>
      <c r="D181" s="13">
        <f>[2]หน้าผ้า!F190</f>
        <v>0</v>
      </c>
      <c r="E181" s="9">
        <f>[2]หน้าผ้า!G190</f>
        <v>26</v>
      </c>
      <c r="F181" s="9">
        <f>[2]หน้าผ้า!H190</f>
        <v>43</v>
      </c>
      <c r="G181" s="9">
        <f>[2]หน้าผ้า!I190</f>
        <v>0</v>
      </c>
      <c r="H181" s="9">
        <f>[2]หน้าผ้า!J190</f>
        <v>0</v>
      </c>
      <c r="I181" s="9">
        <f>[2]หน้าผ้า!L190</f>
        <v>113</v>
      </c>
      <c r="J181" s="9" t="str">
        <f>[2]หน้าผ้า!M190</f>
        <v>±</v>
      </c>
      <c r="K181" s="9">
        <f>[2]หน้าผ้า!N190</f>
        <v>5</v>
      </c>
      <c r="L181" s="9">
        <f>[2]หน้าผ้า!R190</f>
        <v>0</v>
      </c>
      <c r="M181" s="10">
        <f>[2]หน้าผ้า!T190</f>
        <v>0</v>
      </c>
      <c r="N181" s="9">
        <f>[2]หน้าผ้า!U190</f>
        <v>0</v>
      </c>
      <c r="O181" s="9">
        <f>[2]หน้าผ้า!V190</f>
        <v>0</v>
      </c>
      <c r="P181" s="10">
        <f>[2]หน้าผ้า!AB190</f>
        <v>0</v>
      </c>
      <c r="Q181" s="10">
        <f>[2]หน้าผ้า!AC190</f>
        <v>0</v>
      </c>
      <c r="R181" s="10">
        <f>[2]หน้าผ้า!AD190</f>
        <v>0</v>
      </c>
      <c r="S181" s="9">
        <f>[2]หน้าผ้า!Z190</f>
        <v>0</v>
      </c>
      <c r="T181" s="12">
        <f>[2]หน้าผ้า!X190</f>
        <v>0</v>
      </c>
      <c r="U181" s="11">
        <f>[2]หน้าผ้า!AA190</f>
        <v>0</v>
      </c>
      <c r="V181" s="10">
        <f>[2]หน้าผ้า!AJ190</f>
        <v>0</v>
      </c>
      <c r="W181" s="10">
        <f>[2]หน้าผ้า!AL190</f>
        <v>0</v>
      </c>
      <c r="X181" s="10">
        <f>[2]หน้าผ้า!AM190</f>
        <v>0</v>
      </c>
      <c r="Y181" s="10">
        <f>[2]หน้าผ้า!AN190</f>
        <v>0</v>
      </c>
      <c r="Z181" s="9" t="str">
        <f>[2]หน้าผ้า!AO190</f>
        <v>WSWT2625700</v>
      </c>
      <c r="AA181" s="8" t="e">
        <f>[2]หน้าผ้า!AQ190</f>
        <v>#REF!</v>
      </c>
      <c r="AB181" s="8" t="e">
        <f>[2]หน้าผ้า!AR190</f>
        <v>#REF!</v>
      </c>
      <c r="AC181" s="8" t="e">
        <f>[2]หน้าผ้า!AS190</f>
        <v>#REF!</v>
      </c>
      <c r="AD181" s="8" t="e">
        <f>[2]หน้าผ้า!AT190</f>
        <v>#REF!</v>
      </c>
      <c r="AE181" s="8" t="e">
        <f>[2]หน้าผ้า!AU190</f>
        <v>#REF!</v>
      </c>
      <c r="AF181" s="8" t="str">
        <f>[2]หน้าผ้า!AI190</f>
        <v>ระบุในSD</v>
      </c>
      <c r="AG181" s="1" t="str">
        <f>[3]หน้าผ้า!DC193</f>
        <v>พร้อมส่ง</v>
      </c>
      <c r="AH181" s="1">
        <f>[2]หน้าผ้า!DL190</f>
        <v>0</v>
      </c>
      <c r="AI181" s="1" t="str">
        <f>[2]หน้าผ้า!DM190</f>
        <v>Lead time</v>
      </c>
      <c r="AJ181" s="3">
        <f>[2]หน้าผ้า!DN190</f>
        <v>0</v>
      </c>
      <c r="AK181" s="3">
        <f>[2]หน้าผ้า!DQ190</f>
        <v>0</v>
      </c>
      <c r="AL181" s="3">
        <f>[2]หน้าผ้า!DR190</f>
        <v>0</v>
      </c>
      <c r="AM181" s="3">
        <f>[2]หน้าผ้า!DS190</f>
        <v>0</v>
      </c>
      <c r="AN181" s="3">
        <f>[2]หน้าผ้า!DT190</f>
        <v>0</v>
      </c>
      <c r="AO181" s="3">
        <f>[2]หน้าผ้า!DU190</f>
        <v>0</v>
      </c>
      <c r="AP181" s="3">
        <f>[2]หน้าผ้า!DP190</f>
        <v>0</v>
      </c>
      <c r="AQ181" s="3">
        <f>[2]หน้าผ้า!DW190</f>
        <v>0</v>
      </c>
      <c r="AR181" s="3">
        <f>[2]หน้าผ้า!DX190</f>
        <v>0</v>
      </c>
      <c r="AS181" s="3">
        <f>[2]หน้าผ้า!DY190</f>
        <v>0</v>
      </c>
      <c r="AT181" s="3">
        <f>[2]หน้าผ้า!DZ190</f>
        <v>0</v>
      </c>
      <c r="AU181" s="3">
        <f>[2]หน้าผ้า!EA190</f>
        <v>0</v>
      </c>
      <c r="AV181" s="1">
        <f>[2]หน้าผ้า!EB190</f>
        <v>0</v>
      </c>
      <c r="AW181" s="2">
        <f>[2]หน้าผ้า!EC190</f>
        <v>0</v>
      </c>
      <c r="AX181" s="2">
        <f>[2]หน้าผ้า!ED190</f>
        <v>0</v>
      </c>
      <c r="AY181" s="2">
        <f>[2]หน้าผ้า!AG190</f>
        <v>0</v>
      </c>
      <c r="AZ181" s="2">
        <f>[2]หน้าผ้า!EG190</f>
        <v>0</v>
      </c>
      <c r="BA181" s="2">
        <f>[2]หน้าผ้า!EH190</f>
        <v>0</v>
      </c>
      <c r="BB181" s="2">
        <f>[2]หน้าผ้า!EI190</f>
        <v>0</v>
      </c>
      <c r="BC181" s="1" t="str">
        <f>[2]หน้าผ้า!BZ190</f>
        <v>WRWT260800/WRWT25650</v>
      </c>
      <c r="BD181" s="56">
        <f>[2]หน้าผ้า!CA190</f>
        <v>0</v>
      </c>
    </row>
    <row r="182" spans="1:56" ht="27.75" customHeight="1" x14ac:dyDescent="0.45">
      <c r="A182" s="3">
        <f>[2]หน้าผ้า!C191</f>
        <v>0</v>
      </c>
      <c r="B182" s="14">
        <f>[2]หน้าผ้า!B191</f>
        <v>0</v>
      </c>
      <c r="C182" s="9">
        <f>[2]หน้าผ้า!E191</f>
        <v>0</v>
      </c>
      <c r="D182" s="13">
        <f>[2]หน้าผ้า!F191</f>
        <v>0</v>
      </c>
      <c r="E182" s="9">
        <f>[2]หน้าผ้า!G191</f>
        <v>26</v>
      </c>
      <c r="F182" s="9">
        <f>[2]หน้าผ้า!H191</f>
        <v>41</v>
      </c>
      <c r="G182" s="9">
        <f>[2]หน้าผ้า!I191</f>
        <v>0</v>
      </c>
      <c r="H182" s="9">
        <f>[2]หน้าผ้า!J191</f>
        <v>0</v>
      </c>
      <c r="I182" s="9">
        <f>[2]หน้าผ้า!L191</f>
        <v>90</v>
      </c>
      <c r="J182" s="9" t="str">
        <f>[2]หน้าผ้า!M191</f>
        <v>±</v>
      </c>
      <c r="K182" s="9">
        <f>[2]หน้าผ้า!N191</f>
        <v>5</v>
      </c>
      <c r="L182" s="9">
        <f>[2]หน้าผ้า!R191</f>
        <v>0</v>
      </c>
      <c r="M182" s="10">
        <f>[2]หน้าผ้า!T191</f>
        <v>0</v>
      </c>
      <c r="N182" s="9">
        <f>[2]หน้าผ้า!U191</f>
        <v>0</v>
      </c>
      <c r="O182" s="9">
        <f>[2]หน้าผ้า!V191</f>
        <v>0</v>
      </c>
      <c r="P182" s="10">
        <f>[2]หน้าผ้า!AB191</f>
        <v>0</v>
      </c>
      <c r="Q182" s="10">
        <f>[2]หน้าผ้า!AC191</f>
        <v>0</v>
      </c>
      <c r="R182" s="10">
        <f>[2]หน้าผ้า!AD191</f>
        <v>0</v>
      </c>
      <c r="S182" s="9">
        <f>[2]หน้าผ้า!Z191</f>
        <v>0</v>
      </c>
      <c r="T182" s="12">
        <f>[2]หน้าผ้า!X191</f>
        <v>0</v>
      </c>
      <c r="U182" s="11">
        <f>[2]หน้าผ้า!AA191</f>
        <v>0</v>
      </c>
      <c r="V182" s="10">
        <f>[2]หน้าผ้า!AJ191</f>
        <v>0</v>
      </c>
      <c r="W182" s="10">
        <f>[2]หน้าผ้า!AL191</f>
        <v>0</v>
      </c>
      <c r="X182" s="10">
        <f>[2]หน้าผ้า!AM191</f>
        <v>0</v>
      </c>
      <c r="Y182" s="10">
        <f>[2]หน้าผ้า!AN191</f>
        <v>0</v>
      </c>
      <c r="Z182" s="9" t="str">
        <f>[2]หน้าผ้า!AO191</f>
        <v>WSWT2625800SM</v>
      </c>
      <c r="AA182" s="8" t="e">
        <f>[2]หน้าผ้า!AQ191</f>
        <v>#REF!</v>
      </c>
      <c r="AB182" s="8" t="e">
        <f>[2]หน้าผ้า!AR191</f>
        <v>#REF!</v>
      </c>
      <c r="AC182" s="8" t="e">
        <f>[2]หน้าผ้า!AS191</f>
        <v>#REF!</v>
      </c>
      <c r="AD182" s="8" t="e">
        <f>[2]หน้าผ้า!AT191</f>
        <v>#REF!</v>
      </c>
      <c r="AE182" s="8" t="e">
        <f>[2]หน้าผ้า!AU191</f>
        <v>#REF!</v>
      </c>
      <c r="AF182" s="8" t="str">
        <f>[2]หน้าผ้า!AI191</f>
        <v>ระบุในSD</v>
      </c>
      <c r="AG182" s="1" t="str">
        <f>[3]หน้าผ้า!DC194</f>
        <v>รอตัด</v>
      </c>
      <c r="AH182" s="1">
        <f>[2]หน้าผ้า!DL191</f>
        <v>0</v>
      </c>
      <c r="AI182" s="1" t="str">
        <f>[2]หน้าผ้า!DM191</f>
        <v>Lead time</v>
      </c>
      <c r="AJ182" s="3">
        <f>[2]หน้าผ้า!DN191</f>
        <v>0</v>
      </c>
      <c r="AK182" s="3">
        <f>[2]หน้าผ้า!DQ191</f>
        <v>0</v>
      </c>
      <c r="AL182" s="3">
        <f>[2]หน้าผ้า!DR191</f>
        <v>0</v>
      </c>
      <c r="AM182" s="3">
        <f>[2]หน้าผ้า!DS191</f>
        <v>0</v>
      </c>
      <c r="AN182" s="3">
        <f>[2]หน้าผ้า!DT191</f>
        <v>0</v>
      </c>
      <c r="AO182" s="3">
        <f>[2]หน้าผ้า!DU191</f>
        <v>0</v>
      </c>
      <c r="AP182" s="3">
        <f>[2]หน้าผ้า!DP191</f>
        <v>0</v>
      </c>
      <c r="AQ182" s="3">
        <f>[2]หน้าผ้า!DW191</f>
        <v>0</v>
      </c>
      <c r="AR182" s="3">
        <f>[2]หน้าผ้า!DX191</f>
        <v>0</v>
      </c>
      <c r="AS182" s="3">
        <f>[2]หน้าผ้า!DY191</f>
        <v>0</v>
      </c>
      <c r="AT182" s="3">
        <f>[2]หน้าผ้า!DZ191</f>
        <v>0</v>
      </c>
      <c r="AU182" s="3">
        <f>[2]หน้าผ้า!EA191</f>
        <v>0</v>
      </c>
      <c r="AV182" s="1">
        <f>[2]หน้าผ้า!EB191</f>
        <v>0</v>
      </c>
      <c r="AW182" s="2">
        <f>[2]หน้าผ้า!EC191</f>
        <v>0</v>
      </c>
      <c r="AX182" s="2">
        <f>[2]หน้าผ้า!ED191</f>
        <v>0</v>
      </c>
      <c r="AY182" s="2">
        <f>[2]หน้าผ้า!AG191</f>
        <v>0</v>
      </c>
      <c r="AZ182" s="2">
        <f>[2]หน้าผ้า!EG191</f>
        <v>0</v>
      </c>
      <c r="BA182" s="2">
        <f>[2]หน้าผ้า!EH191</f>
        <v>0</v>
      </c>
      <c r="BB182" s="2">
        <f>[2]หน้าผ้า!EI191</f>
        <v>0</v>
      </c>
      <c r="BC182" s="1" t="str">
        <f>[2]หน้าผ้า!BZ191</f>
        <v>WRWT260800/WRWT25650</v>
      </c>
      <c r="BD182" s="56">
        <f>[2]หน้าผ้า!CA191</f>
        <v>0</v>
      </c>
    </row>
    <row r="183" spans="1:56" ht="27.75" customHeight="1" x14ac:dyDescent="0.45">
      <c r="A183" s="3" t="str">
        <f>[2]หน้าผ้า!C192</f>
        <v>ประมาณการ</v>
      </c>
      <c r="B183" s="14" t="str">
        <f>[2]หน้าผ้า!B192</f>
        <v>ประมาณการ</v>
      </c>
      <c r="C183" s="9" t="str">
        <f>[2]หน้าผ้า!E192</f>
        <v>บจก.ที.ซี.ยูเนี่ยน อโกรเทค</v>
      </c>
      <c r="D183" s="13" t="str">
        <f>[2]หน้าผ้า!F192</f>
        <v>ไม่พิมพ์</v>
      </c>
      <c r="E183" s="9">
        <f>[2]หน้าผ้า!G192</f>
        <v>26</v>
      </c>
      <c r="F183" s="9">
        <f>[2]หน้าผ้า!H192</f>
        <v>43</v>
      </c>
      <c r="G183" s="9" t="str">
        <f>[2]หน้าผ้า!I192</f>
        <v>ขาว</v>
      </c>
      <c r="H183" s="9">
        <f>[2]หน้าผ้า!J192</f>
        <v>0</v>
      </c>
      <c r="I183" s="9">
        <f>[2]หน้าผ้า!L192</f>
        <v>116</v>
      </c>
      <c r="J183" s="9" t="str">
        <f>[2]หน้าผ้า!M192</f>
        <v>±</v>
      </c>
      <c r="K183" s="9">
        <f>[2]หน้าผ้า!N192</f>
        <v>5</v>
      </c>
      <c r="L183" s="9" t="str">
        <f>[2]หน้าผ้า!R192</f>
        <v>ไม่</v>
      </c>
      <c r="M183" s="10" t="str">
        <f>[2]หน้าผ้า!T192</f>
        <v>ไม่สวมถุงใน</v>
      </c>
      <c r="N183" s="9">
        <f>[2]หน้าผ้า!U192</f>
        <v>0</v>
      </c>
      <c r="O183" s="9">
        <f>[2]หน้าผ้า!V192</f>
        <v>0</v>
      </c>
      <c r="P183" s="10">
        <f>[2]หน้าผ้า!AB192</f>
        <v>0</v>
      </c>
      <c r="Q183" s="10">
        <f>[2]หน้าผ้า!AC192</f>
        <v>0</v>
      </c>
      <c r="R183" s="10">
        <f>[2]หน้าผ้า!AD192</f>
        <v>0</v>
      </c>
      <c r="S183" s="9" t="str">
        <f>[2]หน้าผ้า!Z192</f>
        <v xml:space="preserve">300กระสอบแบนเต็มใบ </v>
      </c>
      <c r="T183" s="12">
        <f>[2]หน้าผ้า!X192</f>
        <v>45925</v>
      </c>
      <c r="U183" s="11">
        <f>[2]หน้าผ้า!AA192</f>
        <v>10000</v>
      </c>
      <c r="V183" s="10">
        <f>[2]หน้าผ้า!AJ192</f>
        <v>0</v>
      </c>
      <c r="W183" s="10">
        <f>[2]หน้าผ้า!AL192</f>
        <v>10000</v>
      </c>
      <c r="X183" s="10">
        <f>[2]หน้าผ้า!AM192</f>
        <v>0</v>
      </c>
      <c r="Y183" s="10">
        <f>[2]หน้าผ้า!AN192</f>
        <v>0</v>
      </c>
      <c r="Z183" s="9" t="str">
        <f>[2]หน้าผ้า!AO192</f>
        <v xml:space="preserve">WSWT2625800 </v>
      </c>
      <c r="AA183" s="8">
        <f>[2]หน้าผ้า!AQ192</f>
        <v>12433.3</v>
      </c>
      <c r="AB183" s="8">
        <f>[2]หน้าผ้า!AR192</f>
        <v>12433.3</v>
      </c>
      <c r="AC183" s="8">
        <f>[2]หน้าผ้า!AS192</f>
        <v>0</v>
      </c>
      <c r="AD183" s="8">
        <f>[2]หน้าผ้า!AT192</f>
        <v>0</v>
      </c>
      <c r="AE183" s="8">
        <f>[2]หน้าผ้า!AU192</f>
        <v>0</v>
      </c>
      <c r="AF183" s="8">
        <f>[2]หน้าผ้า!AI192</f>
        <v>0</v>
      </c>
      <c r="AG183" s="1" t="str">
        <f>[3]หน้าผ้า!DC195</f>
        <v>ผ้าขาว</v>
      </c>
      <c r="AH183" s="1" t="str">
        <f>[2]หน้าผ้า!DL192</f>
        <v>P3</v>
      </c>
      <c r="AI183" s="1">
        <f>[2]หน้าผ้า!DM192</f>
        <v>1</v>
      </c>
      <c r="AJ183" s="3">
        <f>[2]หน้าผ้า!DN192</f>
        <v>45925</v>
      </c>
      <c r="AK183" s="3">
        <f>[2]หน้าผ้า!DQ192</f>
        <v>0</v>
      </c>
      <c r="AL183" s="3">
        <f>[2]หน้าผ้า!DR192</f>
        <v>0</v>
      </c>
      <c r="AM183" s="3">
        <f>[2]หน้าผ้า!DS192</f>
        <v>0</v>
      </c>
      <c r="AN183" s="3">
        <f>[2]หน้าผ้า!DT192</f>
        <v>0</v>
      </c>
      <c r="AO183" s="3">
        <f>[2]หน้าผ้า!DU192</f>
        <v>45924</v>
      </c>
      <c r="AP183" s="3">
        <f>[2]หน้าผ้า!DP192</f>
        <v>45920</v>
      </c>
      <c r="AQ183" s="3">
        <f>[2]หน้าผ้า!DW192</f>
        <v>0</v>
      </c>
      <c r="AR183" s="3">
        <f>[2]หน้าผ้า!DX192</f>
        <v>0</v>
      </c>
      <c r="AS183" s="3">
        <f>[2]หน้าผ้า!DY192</f>
        <v>0</v>
      </c>
      <c r="AT183" s="3">
        <f>[2]หน้าผ้า!DZ192</f>
        <v>0</v>
      </c>
      <c r="AU183" s="3">
        <f>[2]หน้าผ้า!EA192</f>
        <v>0</v>
      </c>
      <c r="AV183" s="1">
        <f>[2]หน้าผ้า!EB192</f>
        <v>0</v>
      </c>
      <c r="AW183" s="2" t="str">
        <f>[2]หน้าผ้า!EC192</f>
        <v>ตัด</v>
      </c>
      <c r="AX183" s="2">
        <f>[2]หน้าผ้า!ED192</f>
        <v>0</v>
      </c>
      <c r="AY183" s="2">
        <f>[2]หน้าผ้า!AG192</f>
        <v>0</v>
      </c>
      <c r="AZ183" s="2">
        <f>[2]หน้าผ้า!EG192</f>
        <v>0</v>
      </c>
      <c r="BA183" s="2">
        <f>[2]หน้าผ้า!EH192</f>
        <v>0</v>
      </c>
      <c r="BB183" s="2">
        <f>[2]หน้าผ้า!EI192</f>
        <v>0</v>
      </c>
      <c r="BC183" s="1" t="str">
        <f>[2]หน้าผ้า!BZ192</f>
        <v>WRWT25800/WRWT25800</v>
      </c>
      <c r="BD183" s="56">
        <f>[2]หน้าผ้า!CA192</f>
        <v>0</v>
      </c>
    </row>
    <row r="184" spans="1:56" ht="27.75" customHeight="1" x14ac:dyDescent="0.45">
      <c r="A184" s="3">
        <f>[2]หน้าผ้า!C193</f>
        <v>0</v>
      </c>
      <c r="B184" s="14">
        <f>[2]หน้าผ้า!B193</f>
        <v>0</v>
      </c>
      <c r="C184" s="9">
        <f>[2]หน้าผ้า!E193</f>
        <v>0</v>
      </c>
      <c r="D184" s="13">
        <f>[2]หน้าผ้า!F193</f>
        <v>0</v>
      </c>
      <c r="E184" s="9">
        <f>[2]หน้าผ้า!G193</f>
        <v>26</v>
      </c>
      <c r="F184" s="9">
        <f>[2]หน้าผ้า!H193</f>
        <v>43</v>
      </c>
      <c r="G184" s="9">
        <f>[2]หน้าผ้า!I193</f>
        <v>0</v>
      </c>
      <c r="H184" s="9">
        <f>[2]หน้าผ้า!J193</f>
        <v>0</v>
      </c>
      <c r="I184" s="9">
        <f>[2]หน้าผ้า!L193</f>
        <v>116</v>
      </c>
      <c r="J184" s="9" t="str">
        <f>[2]หน้าผ้า!M193</f>
        <v>±</v>
      </c>
      <c r="K184" s="9">
        <f>[2]หน้าผ้า!N193</f>
        <v>5</v>
      </c>
      <c r="L184" s="9">
        <f>[2]หน้าผ้า!R193</f>
        <v>0</v>
      </c>
      <c r="M184" s="10">
        <f>[2]หน้าผ้า!T193</f>
        <v>0</v>
      </c>
      <c r="N184" s="9">
        <f>[2]หน้าผ้า!U193</f>
        <v>0</v>
      </c>
      <c r="O184" s="9">
        <f>[2]หน้าผ้า!V193</f>
        <v>0</v>
      </c>
      <c r="P184" s="10">
        <f>[2]หน้าผ้า!AB193</f>
        <v>0</v>
      </c>
      <c r="Q184" s="10">
        <f>[2]หน้าผ้า!AC193</f>
        <v>0</v>
      </c>
      <c r="R184" s="10">
        <f>[2]หน้าผ้า!AD193</f>
        <v>0</v>
      </c>
      <c r="S184" s="9">
        <f>[2]หน้าผ้า!Z193</f>
        <v>0</v>
      </c>
      <c r="T184" s="12">
        <f>[2]หน้าผ้า!X193</f>
        <v>0</v>
      </c>
      <c r="U184" s="11">
        <f>[2]หน้าผ้า!AA193</f>
        <v>0</v>
      </c>
      <c r="V184" s="10">
        <f>[2]หน้าผ้า!AJ193</f>
        <v>0</v>
      </c>
      <c r="W184" s="10">
        <f>[2]หน้าผ้า!AL193</f>
        <v>0</v>
      </c>
      <c r="X184" s="10">
        <f>[2]หน้าผ้า!AM193</f>
        <v>0</v>
      </c>
      <c r="Y184" s="10">
        <f>[2]หน้าผ้า!AN193</f>
        <v>0</v>
      </c>
      <c r="Z184" s="9" t="str">
        <f>[2]หน้าผ้า!AO193</f>
        <v xml:space="preserve">WSWT2625800 </v>
      </c>
      <c r="AA184" s="8">
        <f>[2]หน้าผ้า!AQ193</f>
        <v>12433.3</v>
      </c>
      <c r="AB184" s="8">
        <f>[2]หน้าผ้า!AR193</f>
        <v>12433.3</v>
      </c>
      <c r="AC184" s="8">
        <f>[2]หน้าผ้า!AS193</f>
        <v>0</v>
      </c>
      <c r="AD184" s="8">
        <f>[2]หน้าผ้า!AT193</f>
        <v>0</v>
      </c>
      <c r="AE184" s="8">
        <f>[2]หน้าผ้า!AU193</f>
        <v>0</v>
      </c>
      <c r="AF184" s="8" t="str">
        <f>[2]หน้าผ้า!AI193</f>
        <v>ระบุในSD</v>
      </c>
      <c r="AG184" s="1" t="str">
        <f>[3]หน้าผ้า!DC196</f>
        <v>ผ้าขาว</v>
      </c>
      <c r="AH184" s="1">
        <f>[2]หน้าผ้า!DL193</f>
        <v>0</v>
      </c>
      <c r="AI184" s="1" t="str">
        <f>[2]หน้าผ้า!DM193</f>
        <v>Lead time</v>
      </c>
      <c r="AJ184" s="3">
        <f>[2]หน้าผ้า!DN193</f>
        <v>0</v>
      </c>
      <c r="AK184" s="3">
        <f>[2]หน้าผ้า!DQ193</f>
        <v>0</v>
      </c>
      <c r="AL184" s="3">
        <f>[2]หน้าผ้า!DR193</f>
        <v>0</v>
      </c>
      <c r="AM184" s="3">
        <f>[2]หน้าผ้า!DS193</f>
        <v>0</v>
      </c>
      <c r="AN184" s="3">
        <f>[2]หน้าผ้า!DT193</f>
        <v>0</v>
      </c>
      <c r="AO184" s="3">
        <f>[2]หน้าผ้า!DU193</f>
        <v>0</v>
      </c>
      <c r="AP184" s="3">
        <f>[2]หน้าผ้า!DP193</f>
        <v>0</v>
      </c>
      <c r="AQ184" s="3">
        <f>[2]หน้าผ้า!DW193</f>
        <v>0</v>
      </c>
      <c r="AR184" s="3">
        <f>[2]หน้าผ้า!DX193</f>
        <v>0</v>
      </c>
      <c r="AS184" s="3">
        <f>[2]หน้าผ้า!DY193</f>
        <v>0</v>
      </c>
      <c r="AT184" s="3">
        <f>[2]หน้าผ้า!DZ193</f>
        <v>0</v>
      </c>
      <c r="AU184" s="3">
        <f>[2]หน้าผ้า!EA193</f>
        <v>0</v>
      </c>
      <c r="AV184" s="1">
        <f>[2]หน้าผ้า!EB193</f>
        <v>0</v>
      </c>
      <c r="AW184" s="2">
        <f>[2]หน้าผ้า!EC193</f>
        <v>0</v>
      </c>
      <c r="AX184" s="2">
        <f>[2]หน้าผ้า!ED193</f>
        <v>0</v>
      </c>
      <c r="AY184" s="2">
        <f>[2]หน้าผ้า!AG193</f>
        <v>0</v>
      </c>
      <c r="AZ184" s="2">
        <f>[2]หน้าผ้า!EG193</f>
        <v>0</v>
      </c>
      <c r="BA184" s="2">
        <f>[2]หน้าผ้า!EH193</f>
        <v>0</v>
      </c>
      <c r="BB184" s="2">
        <f>[2]หน้าผ้า!EI193</f>
        <v>0</v>
      </c>
      <c r="BC184" s="1" t="str">
        <f>[2]หน้าผ้า!BZ193</f>
        <v>WRWT260800/WRWT25800</v>
      </c>
      <c r="BD184" s="56">
        <f>[2]หน้าผ้า!CA193</f>
        <v>0</v>
      </c>
    </row>
    <row r="185" spans="1:56" ht="27.75" customHeight="1" x14ac:dyDescent="0.45">
      <c r="A185" s="3">
        <f>[2]หน้าผ้า!C194</f>
        <v>45901</v>
      </c>
      <c r="B185" s="14" t="str">
        <f>[2]หน้าผ้า!B194</f>
        <v>MK68-001065</v>
      </c>
      <c r="C185" s="9" t="str">
        <f>[2]หน้าผ้า!E194</f>
        <v>บจก.ที.ซี.ยูเนี่ยน อโกรเทค</v>
      </c>
      <c r="D185" s="13" t="str">
        <f>[2]หน้าผ้า!F194</f>
        <v>Zhejiang UN</v>
      </c>
      <c r="E185" s="9">
        <f>[2]หน้าผ้า!G194</f>
        <v>26</v>
      </c>
      <c r="F185" s="9">
        <f>[2]หน้าผ้า!H194</f>
        <v>43</v>
      </c>
      <c r="G185" s="9" t="str">
        <f>[2]หน้าผ้า!I194</f>
        <v>ขาว</v>
      </c>
      <c r="H185" s="9" t="str">
        <f>[2]หน้าผ้า!J194</f>
        <v>ใส</v>
      </c>
      <c r="I185" s="9">
        <f>[2]หน้าผ้า!L194</f>
        <v>150</v>
      </c>
      <c r="J185" s="9" t="str">
        <f>[2]หน้าผ้า!M194</f>
        <v>±</v>
      </c>
      <c r="K185" s="9">
        <f>[2]หน้าผ้า!N194</f>
        <v>5</v>
      </c>
      <c r="L185" s="9" t="str">
        <f>[2]หน้าผ้า!R194</f>
        <v>บิด</v>
      </c>
      <c r="M185" s="10" t="str">
        <f>[2]หน้าผ้า!T194</f>
        <v>ไม่สวมถุงใน</v>
      </c>
      <c r="N185" s="9">
        <f>[2]หน้าผ้า!U194</f>
        <v>0</v>
      </c>
      <c r="O185" s="9">
        <f>[2]หน้าผ้า!V194</f>
        <v>0</v>
      </c>
      <c r="P185" s="10">
        <f>[2]หน้าผ้า!AB194</f>
        <v>0</v>
      </c>
      <c r="Q185" s="10">
        <f>[2]หน้าผ้า!AC194</f>
        <v>0</v>
      </c>
      <c r="R185" s="10">
        <f>[2]หน้าผ้า!AD194</f>
        <v>0</v>
      </c>
      <c r="S185" s="9" t="str">
        <f>[2]หน้าผ้า!Z194</f>
        <v xml:space="preserve">300กระสอบแบนเต็มใบ </v>
      </c>
      <c r="T185" s="12">
        <f>[2]หน้าผ้า!X194</f>
        <v>45908</v>
      </c>
      <c r="U185" s="11">
        <f>[2]หน้าผ้า!AA194</f>
        <v>30000</v>
      </c>
      <c r="V185" s="10">
        <f>[2]หน้าผ้า!AJ194</f>
        <v>15000</v>
      </c>
      <c r="W185" s="10">
        <f>[2]หน้าผ้า!AL194</f>
        <v>15000</v>
      </c>
      <c r="X185" s="10">
        <f>[2]หน้าผ้า!AM194</f>
        <v>32730</v>
      </c>
      <c r="Y185" s="10">
        <f>[2]หน้าผ้า!AN194</f>
        <v>0</v>
      </c>
      <c r="Z185" s="9" t="str">
        <f>[2]หน้าผ้า!AO194</f>
        <v>WSWT2625850SM</v>
      </c>
      <c r="AA185" s="8">
        <f>[2]หน้าผ้า!AQ194</f>
        <v>0</v>
      </c>
      <c r="AB185" s="8">
        <f>[2]หน้าผ้า!AR194</f>
        <v>0</v>
      </c>
      <c r="AC185" s="8">
        <f>[2]หน้าผ้า!AS194</f>
        <v>0</v>
      </c>
      <c r="AD185" s="8">
        <f>[2]หน้าผ้า!AT194</f>
        <v>0</v>
      </c>
      <c r="AE185" s="8">
        <f>[2]หน้าผ้า!AU194</f>
        <v>0</v>
      </c>
      <c r="AF185" s="8">
        <f>[2]หน้าผ้า!AI194</f>
        <v>0</v>
      </c>
      <c r="AG185" s="1" t="str">
        <f>[3]หน้าผ้า!DC197</f>
        <v>ยังไม่ได้พิมพ์</v>
      </c>
      <c r="AH185" s="1" t="str">
        <f>[2]หน้าผ้า!DL194</f>
        <v>P6</v>
      </c>
      <c r="AI185" s="1">
        <f>[2]หน้าผ้า!DM194</f>
        <v>4</v>
      </c>
      <c r="AJ185" s="3">
        <f>[2]หน้าผ้า!DN194</f>
        <v>45908</v>
      </c>
      <c r="AK185" s="3">
        <f>[2]หน้าผ้า!DQ194</f>
        <v>45904</v>
      </c>
      <c r="AL185" s="3">
        <f>[2]หน้าผ้า!DR194</f>
        <v>45897</v>
      </c>
      <c r="AM185" s="3">
        <f>[2]หน้าผ้า!DS194</f>
        <v>45905</v>
      </c>
      <c r="AN185" s="3">
        <f>[2]หน้าผ้า!DT194</f>
        <v>45906</v>
      </c>
      <c r="AO185" s="3">
        <f>[2]หน้าผ้า!DU194</f>
        <v>45907</v>
      </c>
      <c r="AP185" s="3">
        <f>[2]หน้าผ้า!DP194</f>
        <v>45903</v>
      </c>
      <c r="AQ185" s="3">
        <f>[2]หน้าผ้า!DW194</f>
        <v>0</v>
      </c>
      <c r="AR185" s="3">
        <f>[2]หน้าผ้า!DX194</f>
        <v>0</v>
      </c>
      <c r="AS185" s="3">
        <f>[2]หน้าผ้า!DY194</f>
        <v>0</v>
      </c>
      <c r="AT185" s="3">
        <f>[2]หน้าผ้า!DZ194</f>
        <v>0</v>
      </c>
      <c r="AU185" s="3">
        <f>[2]หน้าผ้า!EA194</f>
        <v>0</v>
      </c>
      <c r="AV185" s="1">
        <f>[2]หน้าผ้า!EB194</f>
        <v>0</v>
      </c>
      <c r="AW185" s="2" t="str">
        <f>[2]หน้าผ้า!EC194</f>
        <v>งานเคลือบ+พิมพ์</v>
      </c>
      <c r="AX185" s="2">
        <f>[2]หน้าผ้า!ED194</f>
        <v>0</v>
      </c>
      <c r="AY185" s="2" t="str">
        <f>[2]หน้าผ้า!AG194</f>
        <v>สีลอก3250จอดเครื่องรอสีใหม่</v>
      </c>
      <c r="AZ185" s="2">
        <f>[2]หน้าผ้า!EG194</f>
        <v>0</v>
      </c>
      <c r="BA185" s="2">
        <f>[2]หน้าผ้า!EH194</f>
        <v>0</v>
      </c>
      <c r="BB185" s="2">
        <f>[2]หน้าผ้า!EI194</f>
        <v>0</v>
      </c>
      <c r="BC185" s="1" t="str">
        <f>[2]หน้าผ้า!BZ194</f>
        <v>WRWT25850/WRWT25850</v>
      </c>
      <c r="BD185" s="56">
        <f>[2]หน้าผ้า!CA194</f>
        <v>0</v>
      </c>
    </row>
    <row r="186" spans="1:56" ht="27.75" customHeight="1" x14ac:dyDescent="0.45">
      <c r="A186" s="3">
        <f>[2]หน้าผ้า!C195</f>
        <v>45898</v>
      </c>
      <c r="B186" s="14" t="str">
        <f>[2]หน้าผ้า!B195</f>
        <v>MK68-001051</v>
      </c>
      <c r="C186" s="9" t="str">
        <f>[2]หน้าผ้า!E195</f>
        <v>บจก.ที.ซี.ยูเนี่ยน อโกรเทค</v>
      </c>
      <c r="D186" s="13" t="str">
        <f>[2]หน้าผ้า!F195</f>
        <v>ไม่พิมพ์</v>
      </c>
      <c r="E186" s="9">
        <f>[2]หน้าผ้า!G195</f>
        <v>26</v>
      </c>
      <c r="F186" s="9">
        <f>[2]หน้าผ้า!H195</f>
        <v>43</v>
      </c>
      <c r="G186" s="9" t="str">
        <f>[2]หน้าผ้า!I195</f>
        <v>ขาว</v>
      </c>
      <c r="H186" s="9" t="str">
        <f>[2]หน้าผ้า!J195</f>
        <v>ใส</v>
      </c>
      <c r="I186" s="9">
        <f>[2]หน้าผ้า!L195</f>
        <v>150</v>
      </c>
      <c r="J186" s="9" t="str">
        <f>[2]หน้าผ้า!M195</f>
        <v>±</v>
      </c>
      <c r="K186" s="9">
        <f>[2]หน้าผ้า!N195</f>
        <v>5</v>
      </c>
      <c r="L186" s="9" t="str">
        <f>[2]หน้าผ้า!R195</f>
        <v>บิด</v>
      </c>
      <c r="M186" s="10" t="str">
        <f>[2]หน้าผ้า!T195</f>
        <v>ไม่สวมถุงใน</v>
      </c>
      <c r="N186" s="9">
        <f>[2]หน้าผ้า!U195</f>
        <v>0</v>
      </c>
      <c r="O186" s="9">
        <f>[2]หน้าผ้า!V195</f>
        <v>0</v>
      </c>
      <c r="P186" s="10">
        <f>[2]หน้าผ้า!AB195</f>
        <v>0</v>
      </c>
      <c r="Q186" s="10">
        <f>[2]หน้าผ้า!AC195</f>
        <v>0</v>
      </c>
      <c r="R186" s="10">
        <f>[2]หน้าผ้า!AD195</f>
        <v>0</v>
      </c>
      <c r="S186" s="9" t="str">
        <f>[2]หน้าผ้า!Z195</f>
        <v xml:space="preserve">300กระสอบแบนเต็มใบ </v>
      </c>
      <c r="T186" s="12">
        <f>[2]หน้าผ้า!X195</f>
        <v>45909</v>
      </c>
      <c r="U186" s="11">
        <f>[2]หน้าผ้า!AA195</f>
        <v>15000</v>
      </c>
      <c r="V186" s="10">
        <f>[2]หน้าผ้า!AJ195</f>
        <v>10000</v>
      </c>
      <c r="W186" s="10">
        <f>[2]หน้าผ้า!AL195</f>
        <v>5000</v>
      </c>
      <c r="X186" s="10">
        <f>[2]หน้าผ้า!AM195</f>
        <v>0</v>
      </c>
      <c r="Y186" s="10">
        <f>[2]หน้าผ้า!AN195</f>
        <v>0</v>
      </c>
      <c r="Z186" s="9" t="str">
        <f>[2]หน้าผ้า!AO195</f>
        <v>WSWT2625850SM</v>
      </c>
      <c r="AA186" s="8">
        <f>[2]หน้าผ้า!AQ195</f>
        <v>6216.65</v>
      </c>
      <c r="AB186" s="8">
        <f>[2]หน้าผ้า!AR195</f>
        <v>6216.65</v>
      </c>
      <c r="AC186" s="8">
        <f>[2]หน้าผ้า!AS195</f>
        <v>0</v>
      </c>
      <c r="AD186" s="8">
        <f>[2]หน้าผ้า!AT195</f>
        <v>6216.65</v>
      </c>
      <c r="AE186" s="8">
        <f>[2]หน้าผ้า!AU195</f>
        <v>0</v>
      </c>
      <c r="AF186" s="8">
        <f>[2]หน้าผ้า!AI195</f>
        <v>0</v>
      </c>
      <c r="AG186" s="1" t="str">
        <f>[3]หน้าผ้า!DC198</f>
        <v>ยังไม่ได้พิมพ์</v>
      </c>
      <c r="AH186" s="1" t="str">
        <f>[2]หน้าผ้า!DL195</f>
        <v>P11</v>
      </c>
      <c r="AI186" s="1">
        <f>[2]หน้าผ้า!DM195</f>
        <v>2</v>
      </c>
      <c r="AJ186" s="3">
        <f>[2]หน้าผ้า!DN195</f>
        <v>45909</v>
      </c>
      <c r="AK186" s="3">
        <f>[2]หน้าผ้า!DQ195</f>
        <v>45907</v>
      </c>
      <c r="AL186" s="3">
        <f>[2]หน้าผ้า!DR195</f>
        <v>0</v>
      </c>
      <c r="AM186" s="3">
        <f>[2]หน้าผ้า!DS195</f>
        <v>0</v>
      </c>
      <c r="AN186" s="3">
        <f>[2]หน้าผ้า!DT195</f>
        <v>0</v>
      </c>
      <c r="AO186" s="3">
        <f>[2]หน้าผ้า!DU195</f>
        <v>45908</v>
      </c>
      <c r="AP186" s="3">
        <f>[2]หน้าผ้า!DP195</f>
        <v>45904</v>
      </c>
      <c r="AQ186" s="3">
        <f>[2]หน้าผ้า!DW195</f>
        <v>0</v>
      </c>
      <c r="AR186" s="3">
        <f>[2]หน้าผ้า!DX195</f>
        <v>0</v>
      </c>
      <c r="AS186" s="3">
        <f>[2]หน้าผ้า!DY195</f>
        <v>0</v>
      </c>
      <c r="AT186" s="3">
        <f>[2]หน้าผ้า!DZ195</f>
        <v>0</v>
      </c>
      <c r="AU186" s="3">
        <f>[2]หน้าผ้า!EA195</f>
        <v>0</v>
      </c>
      <c r="AV186" s="1">
        <f>[2]หน้าผ้า!EB195</f>
        <v>0</v>
      </c>
      <c r="AW186" s="2" t="str">
        <f>[2]หน้าผ้า!EC195</f>
        <v>งานเคลือบ+ตัด</v>
      </c>
      <c r="AX186" s="2">
        <f>[2]หน้าผ้า!ED195</f>
        <v>0</v>
      </c>
      <c r="AY186" s="2">
        <f>[2]หน้าผ้า!AG195</f>
        <v>0</v>
      </c>
      <c r="AZ186" s="2">
        <f>[2]หน้าผ้า!EG195</f>
        <v>0</v>
      </c>
      <c r="BA186" s="2">
        <f>[2]หน้าผ้า!EH195</f>
        <v>0</v>
      </c>
      <c r="BB186" s="2">
        <f>[2]หน้าผ้า!EI195</f>
        <v>0</v>
      </c>
      <c r="BC186" s="1" t="str">
        <f>[2]หน้าผ้า!BZ195</f>
        <v>WRWT25850/WRWT25850</v>
      </c>
      <c r="BD186" s="56">
        <f>[2]หน้าผ้า!CA195</f>
        <v>0</v>
      </c>
    </row>
    <row r="187" spans="1:56" ht="27.75" customHeight="1" x14ac:dyDescent="0.45">
      <c r="A187" s="3">
        <f>[2]หน้าผ้า!C196</f>
        <v>45898</v>
      </c>
      <c r="B187" s="14" t="str">
        <f>[2]หน้าผ้า!B196</f>
        <v>MK68-001052</v>
      </c>
      <c r="C187" s="9" t="str">
        <f>[2]หน้าผ้า!E196</f>
        <v>บจก.ที.ซี.ยูเนี่ยน อโกรเทค</v>
      </c>
      <c r="D187" s="13" t="str">
        <f>[2]หน้าผ้า!F196</f>
        <v>ไม่พิมพ์</v>
      </c>
      <c r="E187" s="9">
        <f>[2]หน้าผ้า!G196</f>
        <v>26</v>
      </c>
      <c r="F187" s="9">
        <f>[2]หน้าผ้า!H196</f>
        <v>43</v>
      </c>
      <c r="G187" s="9" t="str">
        <f>[2]หน้าผ้า!I196</f>
        <v>ขาว</v>
      </c>
      <c r="H187" s="9" t="str">
        <f>[2]หน้าผ้า!J196</f>
        <v>ใส</v>
      </c>
      <c r="I187" s="9">
        <f>[2]หน้าผ้า!L196</f>
        <v>150</v>
      </c>
      <c r="J187" s="9" t="str">
        <f>[2]หน้าผ้า!M196</f>
        <v>±</v>
      </c>
      <c r="K187" s="9">
        <f>[2]หน้าผ้า!N196</f>
        <v>5</v>
      </c>
      <c r="L187" s="9" t="str">
        <f>[2]หน้าผ้า!R196</f>
        <v>บิด</v>
      </c>
      <c r="M187" s="10" t="str">
        <f>[2]หน้าผ้า!T196</f>
        <v>ไม่สวมถุงใน</v>
      </c>
      <c r="N187" s="9">
        <f>[2]หน้าผ้า!U196</f>
        <v>0</v>
      </c>
      <c r="O187" s="9">
        <f>[2]หน้าผ้า!V196</f>
        <v>0</v>
      </c>
      <c r="P187" s="10">
        <f>[2]หน้าผ้า!AB196</f>
        <v>0</v>
      </c>
      <c r="Q187" s="10">
        <f>[2]หน้าผ้า!AC196</f>
        <v>0</v>
      </c>
      <c r="R187" s="10">
        <f>[2]หน้าผ้า!AD196</f>
        <v>0</v>
      </c>
      <c r="S187" s="9" t="str">
        <f>[2]หน้าผ้า!Z196</f>
        <v xml:space="preserve">300กระสอบแบนเต็มใบ </v>
      </c>
      <c r="T187" s="12">
        <f>[2]หน้าผ้า!X196</f>
        <v>45917</v>
      </c>
      <c r="U187" s="11">
        <f>[2]หน้าผ้า!AA196</f>
        <v>15000</v>
      </c>
      <c r="V187" s="10">
        <f>[2]หน้าผ้า!AJ196</f>
        <v>0</v>
      </c>
      <c r="W187" s="10">
        <f>[2]หน้าผ้า!AL196</f>
        <v>15000</v>
      </c>
      <c r="X187" s="10">
        <f>[2]หน้าผ้า!AM196</f>
        <v>0</v>
      </c>
      <c r="Y187" s="10">
        <f>[2]หน้าผ้า!AN196</f>
        <v>0</v>
      </c>
      <c r="Z187" s="9" t="str">
        <f>[2]หน้าผ้า!AO196</f>
        <v>WSWT2625850SM</v>
      </c>
      <c r="AA187" s="8">
        <f>[2]หน้าผ้า!AQ196</f>
        <v>18649.949999999997</v>
      </c>
      <c r="AB187" s="8">
        <f>[2]หน้าผ้า!AR196</f>
        <v>18649.949999999997</v>
      </c>
      <c r="AC187" s="8">
        <f>[2]หน้าผ้า!AS196</f>
        <v>0</v>
      </c>
      <c r="AD187" s="8">
        <f>[2]หน้าผ้า!AT196</f>
        <v>0</v>
      </c>
      <c r="AE187" s="8">
        <f>[2]หน้าผ้า!AU196</f>
        <v>18649.949999999997</v>
      </c>
      <c r="AF187" s="8">
        <f>[2]หน้าผ้า!AI196</f>
        <v>0</v>
      </c>
      <c r="AG187" s="1" t="str">
        <f>[3]หน้าผ้า!DC199</f>
        <v>พร้อมส่ง</v>
      </c>
      <c r="AH187" s="1" t="str">
        <f>[2]หน้าผ้า!DL196</f>
        <v>P11</v>
      </c>
      <c r="AI187" s="1">
        <f>[2]หน้าผ้า!DM196</f>
        <v>2</v>
      </c>
      <c r="AJ187" s="3">
        <f>[2]หน้าผ้า!DN196</f>
        <v>45917</v>
      </c>
      <c r="AK187" s="3">
        <f>[2]หน้าผ้า!DQ196</f>
        <v>45915</v>
      </c>
      <c r="AL187" s="3">
        <f>[2]หน้าผ้า!DR196</f>
        <v>0</v>
      </c>
      <c r="AM187" s="3">
        <f>[2]หน้าผ้า!DS196</f>
        <v>0</v>
      </c>
      <c r="AN187" s="3">
        <f>[2]หน้าผ้า!DT196</f>
        <v>0</v>
      </c>
      <c r="AO187" s="3">
        <f>[2]หน้าผ้า!DU196</f>
        <v>45916</v>
      </c>
      <c r="AP187" s="3">
        <f>[2]หน้าผ้า!DP196</f>
        <v>45912</v>
      </c>
      <c r="AQ187" s="3">
        <f>[2]หน้าผ้า!DW196</f>
        <v>0</v>
      </c>
      <c r="AR187" s="3">
        <f>[2]หน้าผ้า!DX196</f>
        <v>0</v>
      </c>
      <c r="AS187" s="3">
        <f>[2]หน้าผ้า!DY196</f>
        <v>0</v>
      </c>
      <c r="AT187" s="3">
        <f>[2]หน้าผ้า!DZ196</f>
        <v>0</v>
      </c>
      <c r="AU187" s="3">
        <f>[2]หน้าผ้า!EA196</f>
        <v>0</v>
      </c>
      <c r="AV187" s="1">
        <f>[2]หน้าผ้า!EB196</f>
        <v>0</v>
      </c>
      <c r="AW187" s="2" t="str">
        <f>[2]หน้าผ้า!EC196</f>
        <v>งานเคลือบ+ตัด</v>
      </c>
      <c r="AX187" s="2">
        <f>[2]หน้าผ้า!ED196</f>
        <v>0</v>
      </c>
      <c r="AY187" s="2">
        <f>[2]หน้าผ้า!AG196</f>
        <v>0</v>
      </c>
      <c r="AZ187" s="2">
        <f>[2]หน้าผ้า!EG196</f>
        <v>0</v>
      </c>
      <c r="BA187" s="2">
        <f>[2]หน้าผ้า!EH196</f>
        <v>0</v>
      </c>
      <c r="BB187" s="2">
        <f>[2]หน้าผ้า!EI196</f>
        <v>0</v>
      </c>
      <c r="BC187" s="1" t="str">
        <f>[2]หน้าผ้า!BZ196</f>
        <v>WRWT25850/WRWT25850</v>
      </c>
      <c r="BD187" s="56">
        <f>[2]หน้าผ้า!CA196</f>
        <v>0</v>
      </c>
    </row>
    <row r="188" spans="1:56" ht="27.75" customHeight="1" x14ac:dyDescent="0.45">
      <c r="A188" s="3">
        <f>[2]หน้าผ้า!C197</f>
        <v>45901</v>
      </c>
      <c r="B188" s="14" t="str">
        <f>[2]หน้าผ้า!B197</f>
        <v>MK68-001066</v>
      </c>
      <c r="C188" s="9" t="str">
        <f>[2]หน้าผ้า!E197</f>
        <v>บจก.ที.ซี.ยูเนี่ยน อโกรเทค</v>
      </c>
      <c r="D188" s="13" t="str">
        <f>[2]หน้าผ้า!F197</f>
        <v>Zhejiang UN</v>
      </c>
      <c r="E188" s="9">
        <f>[2]หน้าผ้า!G197</f>
        <v>26</v>
      </c>
      <c r="F188" s="9">
        <f>[2]หน้าผ้า!H197</f>
        <v>43</v>
      </c>
      <c r="G188" s="9" t="str">
        <f>[2]หน้าผ้า!I197</f>
        <v>ขาว</v>
      </c>
      <c r="H188" s="9" t="str">
        <f>[2]หน้าผ้า!J197</f>
        <v>ใส</v>
      </c>
      <c r="I188" s="9">
        <f>[2]หน้าผ้า!L197</f>
        <v>150</v>
      </c>
      <c r="J188" s="9" t="str">
        <f>[2]หน้าผ้า!M197</f>
        <v>±</v>
      </c>
      <c r="K188" s="9">
        <f>[2]หน้าผ้า!N197</f>
        <v>5</v>
      </c>
      <c r="L188" s="9" t="str">
        <f>[2]หน้าผ้า!R197</f>
        <v>บิด</v>
      </c>
      <c r="M188" s="10" t="str">
        <f>[2]หน้าผ้า!T197</f>
        <v>ไม่สวมถุงใน</v>
      </c>
      <c r="N188" s="9">
        <f>[2]หน้าผ้า!U197</f>
        <v>0</v>
      </c>
      <c r="O188" s="9">
        <f>[2]หน้าผ้า!V197</f>
        <v>0</v>
      </c>
      <c r="P188" s="10">
        <f>[2]หน้าผ้า!AB197</f>
        <v>0</v>
      </c>
      <c r="Q188" s="10">
        <f>[2]หน้าผ้า!AC197</f>
        <v>0</v>
      </c>
      <c r="R188" s="10">
        <f>[2]หน้าผ้า!AD197</f>
        <v>0</v>
      </c>
      <c r="S188" s="9" t="str">
        <f>[2]หน้าผ้า!Z197</f>
        <v xml:space="preserve">300กระสอบแบนเต็มใบ </v>
      </c>
      <c r="T188" s="12">
        <f>[2]หน้าผ้า!X197</f>
        <v>45930</v>
      </c>
      <c r="U188" s="11">
        <f>[2]หน้าผ้า!AA197</f>
        <v>30000</v>
      </c>
      <c r="V188" s="10">
        <f>[2]หน้าผ้า!AJ197</f>
        <v>0</v>
      </c>
      <c r="W188" s="10">
        <f>[2]หน้าผ้า!AL197</f>
        <v>30000</v>
      </c>
      <c r="X188" s="10">
        <f>[2]หน้าผ้า!AM197</f>
        <v>0</v>
      </c>
      <c r="Y188" s="10">
        <f>[2]หน้าผ้า!AN197</f>
        <v>31500</v>
      </c>
      <c r="Z188" s="9" t="str">
        <f>[2]หน้าผ้า!AO197</f>
        <v>WSWT2625850SM</v>
      </c>
      <c r="AA188" s="8">
        <f>[2]หน้าผ้า!AQ197</f>
        <v>37299.899999999994</v>
      </c>
      <c r="AB188" s="8">
        <f>[2]หน้าผ้า!AR197</f>
        <v>0</v>
      </c>
      <c r="AC188" s="8">
        <f>[2]หน้าผ้า!AS197</f>
        <v>37299.899999999994</v>
      </c>
      <c r="AD188" s="8">
        <f>[2]หน้าผ้า!AT197</f>
        <v>0</v>
      </c>
      <c r="AE188" s="8">
        <f>[2]หน้าผ้า!AU197</f>
        <v>37299.899999999994</v>
      </c>
      <c r="AF188" s="8">
        <f>[2]หน้าผ้า!AI197</f>
        <v>0</v>
      </c>
      <c r="AG188" s="1" t="str">
        <f>[3]หน้าผ้า!DC200</f>
        <v>พร้อมส่ง</v>
      </c>
      <c r="AH188" s="1" t="str">
        <f>[2]หน้าผ้า!DL197</f>
        <v>P6</v>
      </c>
      <c r="AI188" s="1">
        <f>[2]หน้าผ้า!DM197</f>
        <v>4</v>
      </c>
      <c r="AJ188" s="3">
        <f>[2]หน้าผ้า!DN197</f>
        <v>45930</v>
      </c>
      <c r="AK188" s="3">
        <f>[2]หน้าผ้า!DQ197</f>
        <v>45926</v>
      </c>
      <c r="AL188" s="3">
        <f>[2]หน้าผ้า!DR197</f>
        <v>45919</v>
      </c>
      <c r="AM188" s="3">
        <f>[2]หน้าผ้า!DS197</f>
        <v>45927</v>
      </c>
      <c r="AN188" s="3">
        <f>[2]หน้าผ้า!DT197</f>
        <v>45928</v>
      </c>
      <c r="AO188" s="3">
        <f>[2]หน้าผ้า!DU197</f>
        <v>45929</v>
      </c>
      <c r="AP188" s="3">
        <f>[2]หน้าผ้า!DP197</f>
        <v>45925</v>
      </c>
      <c r="AQ188" s="3">
        <f>[2]หน้าผ้า!DW197</f>
        <v>0</v>
      </c>
      <c r="AR188" s="3">
        <f>[2]หน้าผ้า!DX197</f>
        <v>0</v>
      </c>
      <c r="AS188" s="3">
        <f>[2]หน้าผ้า!DY197</f>
        <v>0</v>
      </c>
      <c r="AT188" s="3">
        <f>[2]หน้าผ้า!DZ197</f>
        <v>0</v>
      </c>
      <c r="AU188" s="3">
        <f>[2]หน้าผ้า!EA197</f>
        <v>0</v>
      </c>
      <c r="AV188" s="1">
        <f>[2]หน้าผ้า!EB197</f>
        <v>0</v>
      </c>
      <c r="AW188" s="2" t="str">
        <f>[2]หน้าผ้า!EC197</f>
        <v>งานเคลือบ+พิมพ์</v>
      </c>
      <c r="AX188" s="2">
        <f>[2]หน้าผ้า!ED197</f>
        <v>0</v>
      </c>
      <c r="AY188" s="2">
        <f>[2]หน้าผ้า!AG197</f>
        <v>0</v>
      </c>
      <c r="AZ188" s="2">
        <f>[2]หน้าผ้า!EG197</f>
        <v>0</v>
      </c>
      <c r="BA188" s="2">
        <f>[2]หน้าผ้า!EH197</f>
        <v>0</v>
      </c>
      <c r="BB188" s="2">
        <f>[2]หน้าผ้า!EI197</f>
        <v>0</v>
      </c>
      <c r="BC188" s="1" t="str">
        <f>[2]หน้าผ้า!BZ197</f>
        <v>WRWT25850/WRWT25850</v>
      </c>
      <c r="BD188" s="56">
        <f>[2]หน้าผ้า!CA197</f>
        <v>3846.8630200000002</v>
      </c>
    </row>
    <row r="189" spans="1:56" ht="27.75" customHeight="1" x14ac:dyDescent="0.45">
      <c r="A189" s="3">
        <f>[2]หน้าผ้า!C198</f>
        <v>45901</v>
      </c>
      <c r="B189" s="14" t="str">
        <f>[2]หน้าผ้า!B198</f>
        <v>MK68-001067</v>
      </c>
      <c r="C189" s="9" t="str">
        <f>[2]หน้าผ้า!E198</f>
        <v>บจก.ที.ซี.ยูเนี่ยน อโกรเทค</v>
      </c>
      <c r="D189" s="13" t="str">
        <f>[2]หน้าผ้า!F198</f>
        <v>Zhejiang UN</v>
      </c>
      <c r="E189" s="9">
        <f>[2]หน้าผ้า!G198</f>
        <v>26</v>
      </c>
      <c r="F189" s="9">
        <f>[2]หน้าผ้า!H198</f>
        <v>43</v>
      </c>
      <c r="G189" s="9" t="str">
        <f>[2]หน้าผ้า!I198</f>
        <v>ขาว</v>
      </c>
      <c r="H189" s="9" t="str">
        <f>[2]หน้าผ้า!J198</f>
        <v>ใส</v>
      </c>
      <c r="I189" s="9">
        <f>[2]หน้าผ้า!L198</f>
        <v>150</v>
      </c>
      <c r="J189" s="9" t="str">
        <f>[2]หน้าผ้า!M198</f>
        <v>±</v>
      </c>
      <c r="K189" s="9">
        <f>[2]หน้าผ้า!N198</f>
        <v>5</v>
      </c>
      <c r="L189" s="9" t="str">
        <f>[2]หน้าผ้า!R198</f>
        <v>บิด</v>
      </c>
      <c r="M189" s="10" t="str">
        <f>[2]หน้าผ้า!T198</f>
        <v>ไม่สวมถุงใน</v>
      </c>
      <c r="N189" s="9">
        <f>[2]หน้าผ้า!U198</f>
        <v>0</v>
      </c>
      <c r="O189" s="9">
        <f>[2]หน้าผ้า!V198</f>
        <v>0</v>
      </c>
      <c r="P189" s="10">
        <f>[2]หน้าผ้า!AB198</f>
        <v>0</v>
      </c>
      <c r="Q189" s="10">
        <f>[2]หน้าผ้า!AC198</f>
        <v>0</v>
      </c>
      <c r="R189" s="10">
        <f>[2]หน้าผ้า!AD198</f>
        <v>0</v>
      </c>
      <c r="S189" s="9" t="str">
        <f>[2]หน้าผ้า!Z198</f>
        <v xml:space="preserve">300กระสอบแบนเต็มใบ </v>
      </c>
      <c r="T189" s="12">
        <f>[2]หน้าผ้า!X198</f>
        <v>45945</v>
      </c>
      <c r="U189" s="11">
        <f>[2]หน้าผ้า!AA198</f>
        <v>10000</v>
      </c>
      <c r="V189" s="10">
        <f>[2]หน้าผ้า!AJ198</f>
        <v>0</v>
      </c>
      <c r="W189" s="10">
        <f>[2]หน้าผ้า!AL198</f>
        <v>10000</v>
      </c>
      <c r="X189" s="10">
        <f>[2]หน้าผ้า!AM198</f>
        <v>0</v>
      </c>
      <c r="Y189" s="10">
        <f>[2]หน้าผ้า!AN198</f>
        <v>10500</v>
      </c>
      <c r="Z189" s="9" t="str">
        <f>[2]หน้าผ้า!AO198</f>
        <v>WSWT2625850SM</v>
      </c>
      <c r="AA189" s="8">
        <f>[2]หน้าผ้า!AQ198</f>
        <v>12433.3</v>
      </c>
      <c r="AB189" s="8">
        <f>[2]หน้าผ้า!AR198</f>
        <v>0</v>
      </c>
      <c r="AC189" s="8">
        <f>[2]หน้าผ้า!AS198</f>
        <v>12433.3</v>
      </c>
      <c r="AD189" s="8">
        <f>[2]หน้าผ้า!AT198</f>
        <v>0</v>
      </c>
      <c r="AE189" s="8">
        <f>[2]หน้าผ้า!AU198</f>
        <v>12433.3</v>
      </c>
      <c r="AF189" s="8">
        <f>[2]หน้าผ้า!AI198</f>
        <v>0</v>
      </c>
      <c r="AG189" s="1" t="str">
        <f>[3]หน้าผ้า!DC201</f>
        <v>พร้อมส่ง</v>
      </c>
      <c r="AH189" s="1" t="str">
        <f>[2]หน้าผ้า!DL198</f>
        <v>P6</v>
      </c>
      <c r="AI189" s="1">
        <f>[2]หน้าผ้า!DM198</f>
        <v>4</v>
      </c>
      <c r="AJ189" s="3">
        <f>[2]หน้าผ้า!DN198</f>
        <v>45945</v>
      </c>
      <c r="AK189" s="3">
        <f>[2]หน้าผ้า!DQ198</f>
        <v>45941</v>
      </c>
      <c r="AL189" s="3">
        <f>[2]หน้าผ้า!DR198</f>
        <v>45934</v>
      </c>
      <c r="AM189" s="3">
        <f>[2]หน้าผ้า!DS198</f>
        <v>45942</v>
      </c>
      <c r="AN189" s="3">
        <f>[2]หน้าผ้า!DT198</f>
        <v>45943</v>
      </c>
      <c r="AO189" s="3">
        <f>[2]หน้าผ้า!DU198</f>
        <v>45944</v>
      </c>
      <c r="AP189" s="3">
        <f>[2]หน้าผ้า!DP198</f>
        <v>45940</v>
      </c>
      <c r="AQ189" s="3">
        <f>[2]หน้าผ้า!DW198</f>
        <v>0</v>
      </c>
      <c r="AR189" s="3">
        <f>[2]หน้าผ้า!DX198</f>
        <v>0</v>
      </c>
      <c r="AS189" s="3">
        <f>[2]หน้าผ้า!DY198</f>
        <v>0</v>
      </c>
      <c r="AT189" s="3">
        <f>[2]หน้าผ้า!DZ198</f>
        <v>0</v>
      </c>
      <c r="AU189" s="3">
        <f>[2]หน้าผ้า!EA198</f>
        <v>0</v>
      </c>
      <c r="AV189" s="1">
        <f>[2]หน้าผ้า!EB198</f>
        <v>0</v>
      </c>
      <c r="AW189" s="2" t="str">
        <f>[2]หน้าผ้า!EC198</f>
        <v>งานเคลือบ+พิมพ์</v>
      </c>
      <c r="AX189" s="2">
        <f>[2]หน้าผ้า!ED198</f>
        <v>0</v>
      </c>
      <c r="AY189" s="2">
        <f>[2]หน้าผ้า!AG198</f>
        <v>0</v>
      </c>
      <c r="AZ189" s="2">
        <f>[2]หน้าผ้า!EG198</f>
        <v>0</v>
      </c>
      <c r="BA189" s="2">
        <f>[2]หน้าผ้า!EH198</f>
        <v>0</v>
      </c>
      <c r="BB189" s="2">
        <f>[2]หน้าผ้า!EI198</f>
        <v>0</v>
      </c>
      <c r="BC189" s="1" t="str">
        <f>[2]หน้าผ้า!BZ198</f>
        <v>WRWT25850/WRWT25850</v>
      </c>
      <c r="BD189" s="56">
        <f>[2]หน้าผ้า!CA198</f>
        <v>1282.2876733333333</v>
      </c>
    </row>
    <row r="190" spans="1:56" ht="27.75" customHeight="1" x14ac:dyDescent="0.45">
      <c r="A190" s="3">
        <f>[2]หน้าผ้า!C199</f>
        <v>0</v>
      </c>
      <c r="B190" s="14">
        <f>[2]หน้าผ้า!B199</f>
        <v>0</v>
      </c>
      <c r="C190" s="9">
        <f>[2]หน้าผ้า!E199</f>
        <v>0</v>
      </c>
      <c r="D190" s="13">
        <f>[2]หน้าผ้า!F199</f>
        <v>0</v>
      </c>
      <c r="E190" s="9">
        <f>[2]หน้าผ้า!G199</f>
        <v>26</v>
      </c>
      <c r="F190" s="9">
        <f>[2]หน้าผ้า!H199</f>
        <v>43</v>
      </c>
      <c r="G190" s="9">
        <f>[2]หน้าผ้า!I199</f>
        <v>0</v>
      </c>
      <c r="H190" s="9">
        <f>[2]หน้าผ้า!J199</f>
        <v>0</v>
      </c>
      <c r="I190" s="9">
        <f>[2]หน้าผ้า!L199</f>
        <v>120</v>
      </c>
      <c r="J190" s="9" t="str">
        <f>[2]หน้าผ้า!M199</f>
        <v>±</v>
      </c>
      <c r="K190" s="9">
        <f>[2]หน้าผ้า!N199</f>
        <v>5</v>
      </c>
      <c r="L190" s="9">
        <f>[2]หน้าผ้า!R199</f>
        <v>0</v>
      </c>
      <c r="M190" s="10">
        <f>[2]หน้าผ้า!T199</f>
        <v>0</v>
      </c>
      <c r="N190" s="9">
        <f>[2]หน้าผ้า!U199</f>
        <v>0</v>
      </c>
      <c r="O190" s="9">
        <f>[2]หน้าผ้า!V199</f>
        <v>0</v>
      </c>
      <c r="P190" s="10">
        <f>[2]หน้าผ้า!AB199</f>
        <v>0</v>
      </c>
      <c r="Q190" s="10">
        <f>[2]หน้าผ้า!AC199</f>
        <v>0</v>
      </c>
      <c r="R190" s="10">
        <f>[2]หน้าผ้า!AD199</f>
        <v>0</v>
      </c>
      <c r="S190" s="9">
        <f>[2]หน้าผ้า!Z199</f>
        <v>0</v>
      </c>
      <c r="T190" s="12">
        <f>[2]หน้าผ้า!X199</f>
        <v>0</v>
      </c>
      <c r="U190" s="11">
        <f>[2]หน้าผ้า!AA199</f>
        <v>0</v>
      </c>
      <c r="V190" s="10">
        <f>[2]หน้าผ้า!AJ199</f>
        <v>0</v>
      </c>
      <c r="W190" s="10">
        <f>[2]หน้าผ้า!AL199</f>
        <v>0</v>
      </c>
      <c r="X190" s="10">
        <f>[2]หน้าผ้า!AM199</f>
        <v>0</v>
      </c>
      <c r="Y190" s="10">
        <f>[2]หน้าผ้า!AN199</f>
        <v>0</v>
      </c>
      <c r="Z190" s="9" t="str">
        <f>[2]หน้าผ้า!AO199</f>
        <v>WSWT2625850SM</v>
      </c>
      <c r="AA190" s="8">
        <f>[2]หน้าผ้า!AQ199</f>
        <v>74599.799999999988</v>
      </c>
      <c r="AB190" s="8">
        <f>[2]หน้าผ้า!AR199</f>
        <v>24866.6</v>
      </c>
      <c r="AC190" s="8">
        <f>[2]หน้าผ้า!AS199</f>
        <v>49733.2</v>
      </c>
      <c r="AD190" s="8">
        <f>[2]หน้าผ้า!AT199</f>
        <v>6216.65</v>
      </c>
      <c r="AE190" s="8">
        <f>[2]หน้าผ้า!AU199</f>
        <v>68383.149999999994</v>
      </c>
      <c r="AF190" s="8" t="str">
        <f>[2]หน้าผ้า!AI199</f>
        <v>ระบุในSD</v>
      </c>
      <c r="AG190" s="1" t="str">
        <f>[3]หน้าผ้า!DC202</f>
        <v>ยังไม่ได้พิมพ์</v>
      </c>
      <c r="AH190" s="1">
        <f>[2]หน้าผ้า!DL199</f>
        <v>0</v>
      </c>
      <c r="AI190" s="1" t="str">
        <f>[2]หน้าผ้า!DM199</f>
        <v>Lead time</v>
      </c>
      <c r="AJ190" s="3">
        <f>[2]หน้าผ้า!DN199</f>
        <v>0</v>
      </c>
      <c r="AK190" s="3">
        <f>[2]หน้าผ้า!DQ199</f>
        <v>0</v>
      </c>
      <c r="AL190" s="3">
        <f>[2]หน้าผ้า!DR199</f>
        <v>0</v>
      </c>
      <c r="AM190" s="3">
        <f>[2]หน้าผ้า!DS199</f>
        <v>0</v>
      </c>
      <c r="AN190" s="3">
        <f>[2]หน้าผ้า!DT199</f>
        <v>0</v>
      </c>
      <c r="AO190" s="3">
        <f>[2]หน้าผ้า!DU199</f>
        <v>0</v>
      </c>
      <c r="AP190" s="3">
        <f>[2]หน้าผ้า!DP199</f>
        <v>0</v>
      </c>
      <c r="AQ190" s="3">
        <f>[2]หน้าผ้า!DW199</f>
        <v>0</v>
      </c>
      <c r="AR190" s="3">
        <f>[2]หน้าผ้า!DX199</f>
        <v>0</v>
      </c>
      <c r="AS190" s="3">
        <f>[2]หน้าผ้า!DY199</f>
        <v>0</v>
      </c>
      <c r="AT190" s="3">
        <f>[2]หน้าผ้า!DZ199</f>
        <v>0</v>
      </c>
      <c r="AU190" s="3">
        <f>[2]หน้าผ้า!EA199</f>
        <v>0</v>
      </c>
      <c r="AV190" s="1">
        <f>[2]หน้าผ้า!EB199</f>
        <v>0</v>
      </c>
      <c r="AW190" s="2">
        <f>[2]หน้าผ้า!EC199</f>
        <v>0</v>
      </c>
      <c r="AX190" s="2">
        <f>[2]หน้าผ้า!ED199</f>
        <v>0</v>
      </c>
      <c r="AY190" s="2">
        <f>[2]หน้าผ้า!AG199</f>
        <v>0</v>
      </c>
      <c r="AZ190" s="2">
        <f>[2]หน้าผ้า!EG199</f>
        <v>0</v>
      </c>
      <c r="BA190" s="2">
        <f>[2]หน้าผ้า!EH199</f>
        <v>0</v>
      </c>
      <c r="BB190" s="2">
        <f>[2]หน้าผ้า!EI199</f>
        <v>0</v>
      </c>
      <c r="BC190" s="1" t="str">
        <f>[2]หน้าผ้า!BZ199</f>
        <v>WRWT260850/WRWT25850</v>
      </c>
      <c r="BD190" s="56">
        <f>[2]หน้าผ้า!CA199</f>
        <v>0</v>
      </c>
    </row>
    <row r="191" spans="1:56" ht="27.75" customHeight="1" x14ac:dyDescent="0.45">
      <c r="A191" s="3">
        <f>[2]หน้าผ้า!C200</f>
        <v>0</v>
      </c>
      <c r="B191" s="14">
        <f>[2]หน้าผ้า!B200</f>
        <v>0</v>
      </c>
      <c r="C191" s="9">
        <f>[2]หน้าผ้า!E200</f>
        <v>0</v>
      </c>
      <c r="D191" s="13">
        <f>[2]หน้าผ้า!F200</f>
        <v>0</v>
      </c>
      <c r="E191" s="9">
        <f>[2]หน้าผ้า!G200</f>
        <v>28</v>
      </c>
      <c r="F191" s="9">
        <f>[2]หน้าผ้า!H200</f>
        <v>41</v>
      </c>
      <c r="G191" s="9" t="str">
        <f>[2]หน้าผ้า!I200</f>
        <v>ขาว</v>
      </c>
      <c r="H191" s="9">
        <f>[2]หน้าผ้า!J200</f>
        <v>0</v>
      </c>
      <c r="I191" s="9">
        <f>[2]หน้าผ้า!L200</f>
        <v>122</v>
      </c>
      <c r="J191" s="9" t="str">
        <f>[2]หน้าผ้า!M200</f>
        <v>+</v>
      </c>
      <c r="K191" s="9">
        <f>[2]หน้าผ้า!N200</f>
        <v>3</v>
      </c>
      <c r="L191" s="9">
        <f>[2]หน้าผ้า!R200</f>
        <v>0</v>
      </c>
      <c r="M191" s="10">
        <f>[2]หน้าผ้า!T200</f>
        <v>0</v>
      </c>
      <c r="N191" s="9">
        <f>[2]หน้าผ้า!U200</f>
        <v>0</v>
      </c>
      <c r="O191" s="9">
        <f>[2]หน้าผ้า!V200</f>
        <v>0</v>
      </c>
      <c r="P191" s="10">
        <f>[2]หน้าผ้า!AB200</f>
        <v>0</v>
      </c>
      <c r="Q191" s="10">
        <f>[2]หน้าผ้า!AC200</f>
        <v>0</v>
      </c>
      <c r="R191" s="10">
        <f>[2]หน้าผ้า!AD200</f>
        <v>0</v>
      </c>
      <c r="S191" s="9">
        <f>[2]หน้าผ้า!Z200</f>
        <v>0</v>
      </c>
      <c r="T191" s="12">
        <f>[2]หน้าผ้า!X200</f>
        <v>0</v>
      </c>
      <c r="U191" s="11">
        <f>[2]หน้าผ้า!AA200</f>
        <v>0</v>
      </c>
      <c r="V191" s="10">
        <f>[2]หน้าผ้า!AJ200</f>
        <v>0</v>
      </c>
      <c r="W191" s="10">
        <f>[2]หน้าผ้า!AL200</f>
        <v>0</v>
      </c>
      <c r="X191" s="10">
        <f>[2]หน้าผ้า!AM200</f>
        <v>0</v>
      </c>
      <c r="Y191" s="10">
        <f>[2]หน้าผ้า!AN200</f>
        <v>0</v>
      </c>
      <c r="Z191" s="9" t="str">
        <f>[2]หน้าผ้า!AO200</f>
        <v>WSWT2825800</v>
      </c>
      <c r="AA191" s="8" t="e">
        <f>[2]หน้าผ้า!AQ200</f>
        <v>#REF!</v>
      </c>
      <c r="AB191" s="8" t="e">
        <f>[2]หน้าผ้า!AR200</f>
        <v>#REF!</v>
      </c>
      <c r="AC191" s="8" t="e">
        <f>[2]หน้าผ้า!AS200</f>
        <v>#REF!</v>
      </c>
      <c r="AD191" s="8" t="e">
        <f>[2]หน้าผ้า!AT200</f>
        <v>#REF!</v>
      </c>
      <c r="AE191" s="8" t="e">
        <f>[2]หน้าผ้า!AU200</f>
        <v>#REF!</v>
      </c>
      <c r="AF191" s="8" t="str">
        <f>[2]หน้าผ้า!AI200</f>
        <v>ระบุในSD</v>
      </c>
      <c r="AG191" s="1" t="str">
        <f>[3]หน้าผ้า!DC203</f>
        <v>ผ้าขาว</v>
      </c>
      <c r="AH191" s="1">
        <f>[2]หน้าผ้า!DL200</f>
        <v>0</v>
      </c>
      <c r="AI191" s="1" t="str">
        <f>[2]หน้าผ้า!DM200</f>
        <v>Lead time</v>
      </c>
      <c r="AJ191" s="3">
        <f>[2]หน้าผ้า!DN200</f>
        <v>0</v>
      </c>
      <c r="AK191" s="3">
        <f>[2]หน้าผ้า!DQ200</f>
        <v>0</v>
      </c>
      <c r="AL191" s="3">
        <f>[2]หน้าผ้า!DR200</f>
        <v>0</v>
      </c>
      <c r="AM191" s="3">
        <f>[2]หน้าผ้า!DS200</f>
        <v>0</v>
      </c>
      <c r="AN191" s="3">
        <f>[2]หน้าผ้า!DT200</f>
        <v>0</v>
      </c>
      <c r="AO191" s="3">
        <f>[2]หน้าผ้า!DU200</f>
        <v>0</v>
      </c>
      <c r="AP191" s="3">
        <f>[2]หน้าผ้า!DP200</f>
        <v>0</v>
      </c>
      <c r="AQ191" s="3">
        <f>[2]หน้าผ้า!DW200</f>
        <v>0</v>
      </c>
      <c r="AR191" s="3">
        <f>[2]หน้าผ้า!DX200</f>
        <v>0</v>
      </c>
      <c r="AS191" s="3">
        <f>[2]หน้าผ้า!DY200</f>
        <v>0</v>
      </c>
      <c r="AT191" s="3">
        <f>[2]หน้าผ้า!DZ200</f>
        <v>0</v>
      </c>
      <c r="AU191" s="3">
        <f>[2]หน้าผ้า!EA200</f>
        <v>0</v>
      </c>
      <c r="AV191" s="1">
        <f>[2]หน้าผ้า!EB200</f>
        <v>0</v>
      </c>
      <c r="AW191" s="2">
        <f>[2]หน้าผ้า!EC200</f>
        <v>0</v>
      </c>
      <c r="AX191" s="2">
        <f>[2]หน้าผ้า!ED200</f>
        <v>0</v>
      </c>
      <c r="AY191" s="2">
        <f>[2]หน้าผ้า!AG200</f>
        <v>0</v>
      </c>
      <c r="AZ191" s="2">
        <f>[2]หน้าผ้า!EG200</f>
        <v>0</v>
      </c>
      <c r="BA191" s="2">
        <f>[2]หน้าผ้า!EH200</f>
        <v>0</v>
      </c>
      <c r="BB191" s="2">
        <f>[2]หน้าผ้า!EI200</f>
        <v>0</v>
      </c>
      <c r="BC191" s="1" t="str">
        <f>[2]หน้าผ้า!BZ200</f>
        <v>WRWT25850/WRWT25800</v>
      </c>
      <c r="BD191" s="56">
        <f>[2]หน้าผ้า!CA200</f>
        <v>0</v>
      </c>
    </row>
    <row r="192" spans="1:56" ht="27.75" customHeight="1" x14ac:dyDescent="0.45">
      <c r="A192" s="3">
        <f>[2]หน้าผ้า!C201</f>
        <v>45895</v>
      </c>
      <c r="B192" s="14" t="str">
        <f>[2]หน้าผ้า!B201</f>
        <v>MK68-001032</v>
      </c>
      <c r="C192" s="9" t="str">
        <f>[2]หน้าผ้า!E201</f>
        <v>บจก.ไทยร่วมใจน้ำมันพืช</v>
      </c>
      <c r="D192" s="13" t="str">
        <f>[2]หน้าผ้า!F201</f>
        <v>TRJ</v>
      </c>
      <c r="E192" s="9">
        <f>[2]หน้าผ้า!G201</f>
        <v>28</v>
      </c>
      <c r="F192" s="9">
        <f>[2]หน้าผ้า!H201</f>
        <v>41</v>
      </c>
      <c r="G192" s="9" t="str">
        <f>[2]หน้าผ้า!I201</f>
        <v>ขาว</v>
      </c>
      <c r="H192" s="9">
        <f>[2]หน้าผ้า!J201</f>
        <v>0</v>
      </c>
      <c r="I192" s="9">
        <f>[2]หน้าผ้า!L201</f>
        <v>120</v>
      </c>
      <c r="J192" s="9" t="str">
        <f>[2]หน้าผ้า!M201</f>
        <v>+</v>
      </c>
      <c r="K192" s="9">
        <f>[2]หน้าผ้า!N201</f>
        <v>3</v>
      </c>
      <c r="L192" s="9" t="str">
        <f>[2]หน้าผ้า!R201</f>
        <v>ไม่</v>
      </c>
      <c r="M192" s="10" t="str">
        <f>[2]หน้าผ้า!T201</f>
        <v>ไม่สวมถุงใน</v>
      </c>
      <c r="N192" s="9">
        <f>[2]หน้าผ้า!U201</f>
        <v>0</v>
      </c>
      <c r="O192" s="9">
        <f>[2]หน้าผ้า!V201</f>
        <v>0</v>
      </c>
      <c r="P192" s="10">
        <f>[2]หน้าผ้า!AB201</f>
        <v>0</v>
      </c>
      <c r="Q192" s="10">
        <f>[2]หน้าผ้า!AC201</f>
        <v>0</v>
      </c>
      <c r="R192" s="10">
        <f>[2]หน้าผ้า!AD201</f>
        <v>0</v>
      </c>
      <c r="S192" s="9" t="str">
        <f>[2]หน้าผ้า!Z201</f>
        <v>500กระสอบ</v>
      </c>
      <c r="T192" s="12">
        <f>[2]หน้าผ้า!X201</f>
        <v>45909</v>
      </c>
      <c r="U192" s="11">
        <f>[2]หน้าผ้า!AA201</f>
        <v>13000</v>
      </c>
      <c r="V192" s="10">
        <f>[2]หน้าผ้า!AJ201</f>
        <v>13000</v>
      </c>
      <c r="W192" s="10">
        <f>[2]หน้าผ้า!AL201</f>
        <v>0</v>
      </c>
      <c r="X192" s="10">
        <f>[2]หน้าผ้า!AM201</f>
        <v>53544</v>
      </c>
      <c r="Y192" s="10">
        <f>[2]หน้าผ้า!AN201</f>
        <v>0</v>
      </c>
      <c r="Z192" s="9" t="str">
        <f>[2]หน้าผ้า!AO201</f>
        <v>WSWT2825850</v>
      </c>
      <c r="AA192" s="8">
        <f>[2]หน้าผ้า!AQ201</f>
        <v>0</v>
      </c>
      <c r="AB192" s="8">
        <f>[2]หน้าผ้า!AR201</f>
        <v>0</v>
      </c>
      <c r="AC192" s="8">
        <f>[2]หน้าผ้า!AS201</f>
        <v>0</v>
      </c>
      <c r="AD192" s="8">
        <f>[2]หน้าผ้า!AT201</f>
        <v>0</v>
      </c>
      <c r="AE192" s="8">
        <f>[2]หน้าผ้า!AU201</f>
        <v>0</v>
      </c>
      <c r="AF192" s="8">
        <f>[2]หน้าผ้า!AI201</f>
        <v>0</v>
      </c>
      <c r="AG192" s="1" t="str">
        <f>[3]หน้าผ้า!DC204</f>
        <v>พร้อมส่ง</v>
      </c>
      <c r="AH192" s="1" t="str">
        <f>[2]หน้าผ้า!DL201</f>
        <v>P7</v>
      </c>
      <c r="AI192" s="1">
        <f>[2]หน้าผ้า!DM201</f>
        <v>2</v>
      </c>
      <c r="AJ192" s="3">
        <f>[2]หน้าผ้า!DN201</f>
        <v>45909</v>
      </c>
      <c r="AK192" s="3">
        <f>[2]หน้าผ้า!DQ201</f>
        <v>0</v>
      </c>
      <c r="AL192" s="3">
        <f>[2]หน้าผ้า!DR201</f>
        <v>45900</v>
      </c>
      <c r="AM192" s="3">
        <f>[2]หน้าผ้า!DS201</f>
        <v>45907</v>
      </c>
      <c r="AN192" s="3">
        <f>[2]หน้าผ้า!DT201</f>
        <v>45908</v>
      </c>
      <c r="AO192" s="3">
        <f>[2]หน้าผ้า!DU201</f>
        <v>45908</v>
      </c>
      <c r="AP192" s="3">
        <f>[2]หน้าผ้า!DP201</f>
        <v>45904</v>
      </c>
      <c r="AQ192" s="3">
        <f>[2]หน้าผ้า!DW201</f>
        <v>0</v>
      </c>
      <c r="AR192" s="3">
        <f>[2]หน้าผ้า!DX201</f>
        <v>0</v>
      </c>
      <c r="AS192" s="3">
        <f>[2]หน้าผ้า!DY201</f>
        <v>0</v>
      </c>
      <c r="AT192" s="3">
        <f>[2]หน้าผ้า!DZ201</f>
        <v>0</v>
      </c>
      <c r="AU192" s="3">
        <f>[2]หน้าผ้า!EA201</f>
        <v>0</v>
      </c>
      <c r="AV192" s="1">
        <f>[2]หน้าผ้า!EB201</f>
        <v>0</v>
      </c>
      <c r="AW192" s="2" t="str">
        <f>[2]หน้าผ้า!EC201</f>
        <v>งานพิมพ์</v>
      </c>
      <c r="AX192" s="2" t="str">
        <f>[2]หน้าผ้า!ED201</f>
        <v xml:space="preserve"> /</v>
      </c>
      <c r="AY192" s="2" t="str">
        <f>[2]หน้าผ้า!AG201</f>
        <v>มีน้ำหนักต่ำ รอผสม</v>
      </c>
      <c r="AZ192" s="2">
        <f>[2]หน้าผ้า!EG201</f>
        <v>0</v>
      </c>
      <c r="BA192" s="2">
        <f>[2]หน้าผ้า!EH201</f>
        <v>0</v>
      </c>
      <c r="BB192" s="2">
        <f>[2]หน้าผ้า!EI201</f>
        <v>0</v>
      </c>
      <c r="BC192" s="1" t="str">
        <f>[2]หน้าผ้า!BZ201</f>
        <v>WRWT25850/WRWT25850</v>
      </c>
      <c r="BD192" s="56">
        <f>[2]หน้าผ้า!CA201</f>
        <v>0</v>
      </c>
    </row>
    <row r="193" spans="1:56" ht="27.75" customHeight="1" x14ac:dyDescent="0.45">
      <c r="A193" s="3" t="str">
        <f>[2]หน้าผ้า!C202</f>
        <v>ประมาณการ</v>
      </c>
      <c r="B193" s="14" t="str">
        <f>[2]หน้าผ้า!B202</f>
        <v>ประมาณการ</v>
      </c>
      <c r="C193" s="9" t="str">
        <f>[2]หน้าผ้า!E202</f>
        <v>บจก.ไทยร่วมใจน้ำมันพืช</v>
      </c>
      <c r="D193" s="13" t="str">
        <f>[2]หน้าผ้า!F202</f>
        <v>TRJ</v>
      </c>
      <c r="E193" s="9">
        <f>[2]หน้าผ้า!G202</f>
        <v>28</v>
      </c>
      <c r="F193" s="9">
        <f>[2]หน้าผ้า!H202</f>
        <v>41</v>
      </c>
      <c r="G193" s="9" t="str">
        <f>[2]หน้าผ้า!I202</f>
        <v>ขาว</v>
      </c>
      <c r="H193" s="9">
        <f>[2]หน้าผ้า!J202</f>
        <v>0</v>
      </c>
      <c r="I193" s="9">
        <f>[2]หน้าผ้า!L202</f>
        <v>120</v>
      </c>
      <c r="J193" s="9" t="str">
        <f>[2]หน้าผ้า!M202</f>
        <v>+</v>
      </c>
      <c r="K193" s="9">
        <f>[2]หน้าผ้า!N202</f>
        <v>3</v>
      </c>
      <c r="L193" s="9" t="str">
        <f>[2]หน้าผ้า!R202</f>
        <v>ไม่</v>
      </c>
      <c r="M193" s="10" t="str">
        <f>[2]หน้าผ้า!T202</f>
        <v>ไม่สวมถุงใน</v>
      </c>
      <c r="N193" s="9">
        <f>[2]หน้าผ้า!U202</f>
        <v>0</v>
      </c>
      <c r="O193" s="9">
        <f>[2]หน้าผ้า!V202</f>
        <v>0</v>
      </c>
      <c r="P193" s="10">
        <f>[2]หน้าผ้า!AB202</f>
        <v>0</v>
      </c>
      <c r="Q193" s="10">
        <f>[2]หน้าผ้า!AC202</f>
        <v>0</v>
      </c>
      <c r="R193" s="10">
        <f>[2]หน้าผ้า!AD202</f>
        <v>0</v>
      </c>
      <c r="S193" s="9" t="str">
        <f>[2]หน้าผ้า!Z202</f>
        <v>500กระสอบ</v>
      </c>
      <c r="T193" s="12">
        <f>[2]หน้าผ้า!X202</f>
        <v>45920</v>
      </c>
      <c r="U193" s="11">
        <f>[2]หน้าผ้า!AA202</f>
        <v>50000</v>
      </c>
      <c r="V193" s="10">
        <f>[2]หน้าผ้า!AJ202</f>
        <v>0</v>
      </c>
      <c r="W193" s="10">
        <f>[2]หน้าผ้า!AL202</f>
        <v>50000</v>
      </c>
      <c r="X193" s="10">
        <f>[2]หน้าผ้า!AM202</f>
        <v>0</v>
      </c>
      <c r="Y193" s="10">
        <f>[2]หน้าผ้า!AN202</f>
        <v>52500</v>
      </c>
      <c r="Z193" s="9" t="str">
        <f>[2]หน้าผ้า!AO202</f>
        <v>WSWT2825850</v>
      </c>
      <c r="AA193" s="8">
        <f>[2]หน้าผ้า!AQ202</f>
        <v>59372.5</v>
      </c>
      <c r="AB193" s="8">
        <f>[2]หน้าผ้า!AR202</f>
        <v>12130</v>
      </c>
      <c r="AC193" s="8">
        <f>[2]หน้าผ้า!AS202</f>
        <v>47242.5</v>
      </c>
      <c r="AD193" s="8">
        <f>[2]หน้าผ้า!AT202</f>
        <v>0</v>
      </c>
      <c r="AE193" s="8">
        <f>[2]หน้าผ้า!AU202</f>
        <v>0</v>
      </c>
      <c r="AF193" s="8">
        <f>[2]หน้าผ้า!AI202</f>
        <v>0</v>
      </c>
      <c r="AG193" s="1" t="str">
        <f>[3]หน้าผ้า!DC205</f>
        <v>พร้อมส่ง</v>
      </c>
      <c r="AH193" s="1" t="str">
        <f>[2]หน้าผ้า!DL202</f>
        <v>P7</v>
      </c>
      <c r="AI193" s="1">
        <f>[2]หน้าผ้า!DM202</f>
        <v>2</v>
      </c>
      <c r="AJ193" s="3">
        <f>[2]หน้าผ้า!DN202</f>
        <v>45920</v>
      </c>
      <c r="AK193" s="3">
        <f>[2]หน้าผ้า!DQ202</f>
        <v>0</v>
      </c>
      <c r="AL193" s="3">
        <f>[2]หน้าผ้า!DR202</f>
        <v>45911</v>
      </c>
      <c r="AM193" s="3">
        <f>[2]หน้าผ้า!DS202</f>
        <v>45918</v>
      </c>
      <c r="AN193" s="3">
        <f>[2]หน้าผ้า!DT202</f>
        <v>45919</v>
      </c>
      <c r="AO193" s="3">
        <f>[2]หน้าผ้า!DU202</f>
        <v>45919</v>
      </c>
      <c r="AP193" s="3">
        <f>[2]หน้าผ้า!DP202</f>
        <v>45915</v>
      </c>
      <c r="AQ193" s="3">
        <f>[2]หน้าผ้า!DW202</f>
        <v>0</v>
      </c>
      <c r="AR193" s="3">
        <f>[2]หน้าผ้า!DX202</f>
        <v>0</v>
      </c>
      <c r="AS193" s="3">
        <f>[2]หน้าผ้า!DY202</f>
        <v>0</v>
      </c>
      <c r="AT193" s="3">
        <f>[2]หน้าผ้า!DZ202</f>
        <v>0</v>
      </c>
      <c r="AU193" s="3">
        <f>[2]หน้าผ้า!EA202</f>
        <v>0</v>
      </c>
      <c r="AV193" s="1">
        <f>[2]หน้าผ้า!EB202</f>
        <v>0</v>
      </c>
      <c r="AW193" s="2" t="str">
        <f>[2]หน้าผ้า!EC202</f>
        <v>งานพิมพ์</v>
      </c>
      <c r="AX193" s="2" t="str">
        <f>[2]หน้าผ้า!ED202</f>
        <v>รอART</v>
      </c>
      <c r="AY193" s="2">
        <f>[2]หน้าผ้า!AG202</f>
        <v>0</v>
      </c>
      <c r="AZ193" s="2">
        <f>[2]หน้าผ้า!EG202</f>
        <v>0</v>
      </c>
      <c r="BA193" s="2">
        <f>[2]หน้าผ้า!EH202</f>
        <v>0</v>
      </c>
      <c r="BB193" s="2">
        <f>[2]หน้าผ้า!EI202</f>
        <v>0</v>
      </c>
      <c r="BC193" s="1" t="str">
        <f>[2]หน้าผ้า!BZ202</f>
        <v>WRWT25850/WRWT25850</v>
      </c>
      <c r="BD193" s="56">
        <f>[2]หน้าผ้า!CA202</f>
        <v>5309.5320833333335</v>
      </c>
    </row>
    <row r="194" spans="1:56" ht="27.75" customHeight="1" x14ac:dyDescent="0.45">
      <c r="A194" s="3" t="str">
        <f>[2]หน้าผ้า!C203</f>
        <v>ประมาณการ</v>
      </c>
      <c r="B194" s="14" t="str">
        <f>[2]หน้าผ้า!B203</f>
        <v>ประมาณการ</v>
      </c>
      <c r="C194" s="9" t="str">
        <f>[2]หน้าผ้า!E203</f>
        <v>บจก.ที.ซี.ยูเนี่ยน อโกรเทค</v>
      </c>
      <c r="D194" s="13" t="str">
        <f>[2]หน้าผ้า!F203</f>
        <v>ไม่พิมพ์</v>
      </c>
      <c r="E194" s="9">
        <f>[2]หน้าผ้า!G203</f>
        <v>28</v>
      </c>
      <c r="F194" s="9">
        <f>[2]หน้าผ้า!H203</f>
        <v>47</v>
      </c>
      <c r="G194" s="9" t="str">
        <f>[2]หน้าผ้า!I203</f>
        <v>ขาว</v>
      </c>
      <c r="H194" s="9" t="str">
        <f>[2]หน้าผ้า!J203</f>
        <v>ใส</v>
      </c>
      <c r="I194" s="9">
        <f>[2]หน้าผ้า!L203</f>
        <v>180</v>
      </c>
      <c r="J194" s="9" t="str">
        <f>[2]หน้าผ้า!M203</f>
        <v>±</v>
      </c>
      <c r="K194" s="9">
        <f>[2]หน้าผ้า!N203</f>
        <v>5</v>
      </c>
      <c r="L194" s="9" t="str">
        <f>[2]หน้าผ้า!R203</f>
        <v>ไม่</v>
      </c>
      <c r="M194" s="10" t="str">
        <f>[2]หน้าผ้า!T203</f>
        <v>ไม่สวมถุงใน</v>
      </c>
      <c r="N194" s="9">
        <f>[2]หน้าผ้า!U203</f>
        <v>0</v>
      </c>
      <c r="O194" s="9">
        <f>[2]หน้าผ้า!V203</f>
        <v>0</v>
      </c>
      <c r="P194" s="10">
        <f>[2]หน้าผ้า!AB203</f>
        <v>0</v>
      </c>
      <c r="Q194" s="10">
        <f>[2]หน้าผ้า!AC203</f>
        <v>0</v>
      </c>
      <c r="R194" s="10">
        <f>[2]หน้าผ้า!AD203</f>
        <v>0</v>
      </c>
      <c r="S194" s="9" t="str">
        <f>[2]หน้าผ้า!Z203</f>
        <v xml:space="preserve">300กระสอบแบนเต็มใบ </v>
      </c>
      <c r="T194" s="12">
        <f>[2]หน้าผ้า!X203</f>
        <v>45925</v>
      </c>
      <c r="U194" s="11">
        <f>[2]หน้าผ้า!AA203</f>
        <v>5000</v>
      </c>
      <c r="V194" s="10">
        <f>[2]หน้าผ้า!AJ203</f>
        <v>0</v>
      </c>
      <c r="W194" s="10">
        <f>[2]หน้าผ้า!AL203</f>
        <v>5000</v>
      </c>
      <c r="X194" s="10">
        <f>[2]หน้าผ้า!AM203</f>
        <v>0</v>
      </c>
      <c r="Y194" s="10">
        <f>[2]หน้าผ้า!AN203</f>
        <v>0</v>
      </c>
      <c r="Z194" s="9" t="str">
        <f>[2]หน้าผ้า!AO203</f>
        <v>WSWT2825850</v>
      </c>
      <c r="AA194" s="8">
        <f>[2]หน้าผ้า!AQ203</f>
        <v>6775.4500000000007</v>
      </c>
      <c r="AB194" s="8">
        <f>[2]หน้าผ้า!AR203</f>
        <v>0</v>
      </c>
      <c r="AC194" s="8">
        <f>[2]หน้าผ้า!AS203</f>
        <v>6775.4500000000007</v>
      </c>
      <c r="AD194" s="8">
        <f>[2]หน้าผ้า!AT203</f>
        <v>0</v>
      </c>
      <c r="AE194" s="8">
        <f>[2]หน้าผ้า!AU203</f>
        <v>6775.4500000000007</v>
      </c>
      <c r="AF194" s="8">
        <f>[2]หน้าผ้า!AI203</f>
        <v>0</v>
      </c>
      <c r="AG194" s="1">
        <f>[3]หน้าผ้า!DC206</f>
        <v>0</v>
      </c>
      <c r="AH194" s="1" t="str">
        <f>[2]หน้าผ้า!DL203</f>
        <v>P11</v>
      </c>
      <c r="AI194" s="1">
        <f>[2]หน้าผ้า!DM203</f>
        <v>2</v>
      </c>
      <c r="AJ194" s="3">
        <f>[2]หน้าผ้า!DN203</f>
        <v>45925</v>
      </c>
      <c r="AK194" s="3">
        <f>[2]หน้าผ้า!DQ203</f>
        <v>45923</v>
      </c>
      <c r="AL194" s="3">
        <f>[2]หน้าผ้า!DR203</f>
        <v>0</v>
      </c>
      <c r="AM194" s="3">
        <f>[2]หน้าผ้า!DS203</f>
        <v>0</v>
      </c>
      <c r="AN194" s="3">
        <f>[2]หน้าผ้า!DT203</f>
        <v>0</v>
      </c>
      <c r="AO194" s="3">
        <f>[2]หน้าผ้า!DU203</f>
        <v>45924</v>
      </c>
      <c r="AP194" s="3">
        <f>[2]หน้าผ้า!DP203</f>
        <v>45920</v>
      </c>
      <c r="AQ194" s="3">
        <f>[2]หน้าผ้า!DW203</f>
        <v>0</v>
      </c>
      <c r="AR194" s="3">
        <f>[2]หน้าผ้า!DX203</f>
        <v>0</v>
      </c>
      <c r="AS194" s="3">
        <f>[2]หน้าผ้า!DY203</f>
        <v>0</v>
      </c>
      <c r="AT194" s="3">
        <f>[2]หน้าผ้า!DZ203</f>
        <v>0</v>
      </c>
      <c r="AU194" s="3">
        <f>[2]หน้าผ้า!EA203</f>
        <v>0</v>
      </c>
      <c r="AV194" s="1">
        <f>[2]หน้าผ้า!EB203</f>
        <v>0</v>
      </c>
      <c r="AW194" s="2" t="str">
        <f>[2]หน้าผ้า!EC203</f>
        <v>งานเคลือบ+ตัด</v>
      </c>
      <c r="AX194" s="2">
        <f>[2]หน้าผ้า!ED203</f>
        <v>0</v>
      </c>
      <c r="AY194" s="2">
        <f>[2]หน้าผ้า!AG203</f>
        <v>0</v>
      </c>
      <c r="AZ194" s="2">
        <f>[2]หน้าผ้า!EG203</f>
        <v>0</v>
      </c>
      <c r="BA194" s="2">
        <f>[2]หน้าผ้า!EH203</f>
        <v>0</v>
      </c>
      <c r="BB194" s="2">
        <f>[2]หน้าผ้า!EI203</f>
        <v>0</v>
      </c>
      <c r="BC194" s="1" t="str">
        <f>[2]หน้าผ้า!BZ203</f>
        <v>WRWT25850/WRWT25850</v>
      </c>
      <c r="BD194" s="56">
        <f>[2]หน้าผ้า!CA203</f>
        <v>761.48529722222236</v>
      </c>
    </row>
    <row r="195" spans="1:56" ht="27.75" customHeight="1" x14ac:dyDescent="0.45">
      <c r="A195" s="3">
        <f>[2]หน้าผ้า!C204</f>
        <v>0</v>
      </c>
      <c r="B195" s="14">
        <f>[2]หน้าผ้า!B204</f>
        <v>0</v>
      </c>
      <c r="C195" s="9">
        <f>[2]หน้าผ้า!E204</f>
        <v>0</v>
      </c>
      <c r="D195" s="13">
        <f>[2]หน้าผ้า!F204</f>
        <v>0</v>
      </c>
      <c r="E195" s="9">
        <f>[2]หน้าผ้า!G204</f>
        <v>28</v>
      </c>
      <c r="F195" s="9">
        <f>[2]หน้าผ้า!H204</f>
        <v>43</v>
      </c>
      <c r="G195" s="9">
        <f>[2]หน้าผ้า!I204</f>
        <v>0</v>
      </c>
      <c r="H195" s="9">
        <f>[2]หน้าผ้า!J204</f>
        <v>0</v>
      </c>
      <c r="I195" s="9">
        <f>[2]หน้าผ้า!L204</f>
        <v>130</v>
      </c>
      <c r="J195" s="9" t="str">
        <f>[2]หน้าผ้า!M204</f>
        <v>±</v>
      </c>
      <c r="K195" s="9">
        <f>[2]หน้าผ้า!N204</f>
        <v>3</v>
      </c>
      <c r="L195" s="9">
        <f>[2]หน้าผ้า!R204</f>
        <v>0</v>
      </c>
      <c r="M195" s="10">
        <f>[2]หน้าผ้า!T204</f>
        <v>0</v>
      </c>
      <c r="N195" s="9">
        <f>[2]หน้าผ้า!U204</f>
        <v>0</v>
      </c>
      <c r="O195" s="9">
        <f>[2]หน้าผ้า!V204</f>
        <v>0</v>
      </c>
      <c r="P195" s="10">
        <f>[2]หน้าผ้า!AB204</f>
        <v>0</v>
      </c>
      <c r="Q195" s="10">
        <f>[2]หน้าผ้า!AC204</f>
        <v>0</v>
      </c>
      <c r="R195" s="10">
        <f>[2]หน้าผ้า!AD204</f>
        <v>0</v>
      </c>
      <c r="S195" s="9">
        <f>[2]หน้าผ้า!Z204</f>
        <v>0</v>
      </c>
      <c r="T195" s="12">
        <f>[2]หน้าผ้า!X204</f>
        <v>0</v>
      </c>
      <c r="U195" s="11">
        <f>[2]หน้าผ้า!AA204</f>
        <v>0</v>
      </c>
      <c r="V195" s="10">
        <f>[2]หน้าผ้า!AJ204</f>
        <v>0</v>
      </c>
      <c r="W195" s="10">
        <f>[2]หน้าผ้า!AL204</f>
        <v>0</v>
      </c>
      <c r="X195" s="10">
        <f>[2]หน้าผ้า!AM204</f>
        <v>0</v>
      </c>
      <c r="Y195" s="10">
        <f>[2]หน้าผ้า!AN204</f>
        <v>0</v>
      </c>
      <c r="Z195" s="9" t="str">
        <f>[2]หน้าผ้า!AO204</f>
        <v>WSWT2825850</v>
      </c>
      <c r="AA195" s="8">
        <f>[2]หน้าผ้า!AQ204</f>
        <v>66147.95</v>
      </c>
      <c r="AB195" s="8">
        <f>[2]หน้าผ้า!AR204</f>
        <v>12130</v>
      </c>
      <c r="AC195" s="8">
        <f>[2]หน้าผ้า!AS204</f>
        <v>54017.95</v>
      </c>
      <c r="AD195" s="8">
        <f>[2]หน้าผ้า!AT204</f>
        <v>0</v>
      </c>
      <c r="AE195" s="8">
        <f>[2]หน้าผ้า!AU204</f>
        <v>6775.4500000000007</v>
      </c>
      <c r="AF195" s="8" t="str">
        <f>[2]หน้าผ้า!AI204</f>
        <v>ระบุในSD</v>
      </c>
      <c r="AG195" s="1">
        <f>[3]หน้าผ้า!DC207</f>
        <v>0</v>
      </c>
      <c r="AH195" s="1">
        <f>[2]หน้าผ้า!DL204</f>
        <v>0</v>
      </c>
      <c r="AI195" s="1">
        <f>[2]หน้าผ้า!DM204</f>
        <v>0</v>
      </c>
      <c r="AJ195" s="3">
        <f>[2]หน้าผ้า!DN204</f>
        <v>0</v>
      </c>
      <c r="AK195" s="3">
        <f>[2]หน้าผ้า!DQ204</f>
        <v>0</v>
      </c>
      <c r="AL195" s="3">
        <f>[2]หน้าผ้า!DR204</f>
        <v>0</v>
      </c>
      <c r="AM195" s="3">
        <f>[2]หน้าผ้า!DS204</f>
        <v>0</v>
      </c>
      <c r="AN195" s="3">
        <f>[2]หน้าผ้า!DT204</f>
        <v>0</v>
      </c>
      <c r="AO195" s="3">
        <f>[2]หน้าผ้า!DU204</f>
        <v>0</v>
      </c>
      <c r="AP195" s="3">
        <f>[2]หน้าผ้า!DP204</f>
        <v>0</v>
      </c>
      <c r="AQ195" s="3">
        <f>[2]หน้าผ้า!DW204</f>
        <v>0</v>
      </c>
      <c r="AR195" s="3">
        <f>[2]หน้าผ้า!DX204</f>
        <v>0</v>
      </c>
      <c r="AS195" s="3">
        <f>[2]หน้าผ้า!DY204</f>
        <v>0</v>
      </c>
      <c r="AT195" s="3">
        <f>[2]หน้าผ้า!DZ204</f>
        <v>0</v>
      </c>
      <c r="AU195" s="3">
        <f>[2]หน้าผ้า!EA204</f>
        <v>0</v>
      </c>
      <c r="AV195" s="1">
        <f>[2]หน้าผ้า!EB204</f>
        <v>0</v>
      </c>
      <c r="AW195" s="2">
        <f>[2]หน้าผ้า!EC204</f>
        <v>0</v>
      </c>
      <c r="AX195" s="2">
        <f>[2]หน้าผ้า!ED204</f>
        <v>0</v>
      </c>
      <c r="AY195" s="2">
        <f>[2]หน้าผ้า!AG204</f>
        <v>0</v>
      </c>
      <c r="AZ195" s="2">
        <f>[2]หน้าผ้า!EG204</f>
        <v>0</v>
      </c>
      <c r="BA195" s="2">
        <f>[2]หน้าผ้า!EH204</f>
        <v>0</v>
      </c>
      <c r="BB195" s="2">
        <f>[2]หน้าผ้า!EI204</f>
        <v>0</v>
      </c>
      <c r="BC195" s="1" t="str">
        <f>[2]หน้าผ้า!BZ204</f>
        <v>WRWT280850/WRWT25850</v>
      </c>
      <c r="BD195" s="56">
        <f>[2]หน้าผ้า!CA204</f>
        <v>0</v>
      </c>
    </row>
    <row r="196" spans="1:56" ht="27.75" customHeight="1" x14ac:dyDescent="0.45">
      <c r="A196" s="3">
        <f>[2]หน้าผ้า!C205</f>
        <v>0</v>
      </c>
      <c r="B196" s="14">
        <f>[2]หน้าผ้า!B205</f>
        <v>0</v>
      </c>
      <c r="C196" s="9">
        <f>[2]หน้าผ้า!E205</f>
        <v>0</v>
      </c>
      <c r="D196" s="13">
        <f>[2]หน้าผ้า!F205</f>
        <v>0</v>
      </c>
      <c r="E196" s="9">
        <f>[2]หน้าผ้า!G205</f>
        <v>30</v>
      </c>
      <c r="F196" s="9">
        <f>[2]หน้าผ้า!H205</f>
        <v>41</v>
      </c>
      <c r="G196" s="9">
        <f>[2]หน้าผ้า!I205</f>
        <v>0</v>
      </c>
      <c r="H196" s="9">
        <f>[2]หน้าผ้า!J205</f>
        <v>0</v>
      </c>
      <c r="I196" s="9">
        <f>[2]หน้าผ้า!L205</f>
        <v>122</v>
      </c>
      <c r="J196" s="9" t="str">
        <f>[2]หน้าผ้า!M205</f>
        <v>±</v>
      </c>
      <c r="K196" s="9">
        <f>[2]หน้าผ้า!N205</f>
        <v>5</v>
      </c>
      <c r="L196" s="9">
        <f>[2]หน้าผ้า!R205</f>
        <v>0</v>
      </c>
      <c r="M196" s="10">
        <f>[2]หน้าผ้า!T205</f>
        <v>0</v>
      </c>
      <c r="N196" s="9">
        <f>[2]หน้าผ้า!U205</f>
        <v>0</v>
      </c>
      <c r="O196" s="9">
        <f>[2]หน้าผ้า!V205</f>
        <v>0</v>
      </c>
      <c r="P196" s="10">
        <f>[2]หน้าผ้า!AB205</f>
        <v>0</v>
      </c>
      <c r="Q196" s="10">
        <f>[2]หน้าผ้า!AC205</f>
        <v>0</v>
      </c>
      <c r="R196" s="10">
        <f>[2]หน้าผ้า!AD205</f>
        <v>0</v>
      </c>
      <c r="S196" s="9">
        <f>[2]หน้าผ้า!Z205</f>
        <v>0</v>
      </c>
      <c r="T196" s="12">
        <f>[2]หน้าผ้า!X205</f>
        <v>0</v>
      </c>
      <c r="U196" s="11">
        <f>[2]หน้าผ้า!AA205</f>
        <v>0</v>
      </c>
      <c r="V196" s="10">
        <f>[2]หน้าผ้า!AJ205</f>
        <v>0</v>
      </c>
      <c r="W196" s="10">
        <f>[2]หน้าผ้า!AL205</f>
        <v>0</v>
      </c>
      <c r="X196" s="10">
        <f>[2]หน้าผ้า!AM205</f>
        <v>0</v>
      </c>
      <c r="Y196" s="10">
        <f>[2]หน้าผ้า!AN205</f>
        <v>0</v>
      </c>
      <c r="Z196" s="9" t="str">
        <f>[2]หน้าผ้า!AO205</f>
        <v>WSWT3025800</v>
      </c>
      <c r="AA196" s="8" t="e">
        <f>[2]หน้าผ้า!AQ205</f>
        <v>#REF!</v>
      </c>
      <c r="AB196" s="8" t="e">
        <f>[2]หน้าผ้า!AR205</f>
        <v>#REF!</v>
      </c>
      <c r="AC196" s="8" t="e">
        <f>[2]หน้าผ้า!AS205</f>
        <v>#REF!</v>
      </c>
      <c r="AD196" s="8" t="e">
        <f>[2]หน้าผ้า!AT205</f>
        <v>#REF!</v>
      </c>
      <c r="AE196" s="8" t="e">
        <f>[2]หน้าผ้า!AU205</f>
        <v>#REF!</v>
      </c>
      <c r="AF196" s="8" t="str">
        <f>[2]หน้าผ้า!AI205</f>
        <v>ระบุในSD</v>
      </c>
      <c r="AG196" s="1">
        <f>[3]หน้าผ้า!DC208</f>
        <v>0</v>
      </c>
      <c r="AH196" s="1">
        <f>[2]หน้าผ้า!DL205</f>
        <v>0</v>
      </c>
      <c r="AI196" s="1" t="str">
        <f>[2]หน้าผ้า!DM205</f>
        <v>Lead time</v>
      </c>
      <c r="AJ196" s="3">
        <f>[2]หน้าผ้า!DN205</f>
        <v>0</v>
      </c>
      <c r="AK196" s="3">
        <f>[2]หน้าผ้า!DQ205</f>
        <v>0</v>
      </c>
      <c r="AL196" s="3">
        <f>[2]หน้าผ้า!DR205</f>
        <v>0</v>
      </c>
      <c r="AM196" s="3">
        <f>[2]หน้าผ้า!DS205</f>
        <v>0</v>
      </c>
      <c r="AN196" s="3">
        <f>[2]หน้าผ้า!DT205</f>
        <v>0</v>
      </c>
      <c r="AO196" s="3">
        <f>[2]หน้าผ้า!DU205</f>
        <v>0</v>
      </c>
      <c r="AP196" s="3">
        <f>[2]หน้าผ้า!DP205</f>
        <v>0</v>
      </c>
      <c r="AQ196" s="3">
        <f>[2]หน้าผ้า!DW205</f>
        <v>0</v>
      </c>
      <c r="AR196" s="3">
        <f>[2]หน้าผ้า!DX205</f>
        <v>0</v>
      </c>
      <c r="AS196" s="3">
        <f>[2]หน้าผ้า!DY205</f>
        <v>0</v>
      </c>
      <c r="AT196" s="3">
        <f>[2]หน้าผ้า!DZ205</f>
        <v>0</v>
      </c>
      <c r="AU196" s="3">
        <f>[2]หน้าผ้า!EA205</f>
        <v>0</v>
      </c>
      <c r="AV196" s="1">
        <f>[2]หน้าผ้า!EB205</f>
        <v>0</v>
      </c>
      <c r="AW196" s="2">
        <f>[2]หน้าผ้า!EC205</f>
        <v>0</v>
      </c>
      <c r="AX196" s="2">
        <f>[2]หน้าผ้า!ED205</f>
        <v>0</v>
      </c>
      <c r="AY196" s="2">
        <f>[2]หน้าผ้า!AG205</f>
        <v>0</v>
      </c>
      <c r="AZ196" s="2">
        <f>[2]หน้าผ้า!EG205</f>
        <v>0</v>
      </c>
      <c r="BA196" s="2">
        <f>[2]หน้าผ้า!EH205</f>
        <v>0</v>
      </c>
      <c r="BB196" s="2">
        <f>[2]หน้าผ้า!EI205</f>
        <v>0</v>
      </c>
      <c r="BC196" s="1" t="str">
        <f>[2]หน้าผ้า!BZ205</f>
        <v>WRWT25800/WRWT28750</v>
      </c>
      <c r="BD196" s="56">
        <f>[2]หน้าผ้า!CA205</f>
        <v>0</v>
      </c>
    </row>
    <row r="197" spans="1:56" ht="27.75" customHeight="1" x14ac:dyDescent="0.45">
      <c r="A197" s="3">
        <f>[2]หน้าผ้า!C206</f>
        <v>0</v>
      </c>
      <c r="B197" s="14">
        <f>[2]หน้าผ้า!B206</f>
        <v>0</v>
      </c>
      <c r="C197" s="9">
        <f>[2]หน้าผ้า!E206</f>
        <v>0</v>
      </c>
      <c r="D197" s="13">
        <f>[2]หน้าผ้า!F206</f>
        <v>0</v>
      </c>
      <c r="E197" s="9">
        <f>[2]หน้าผ้า!G206</f>
        <v>0</v>
      </c>
      <c r="F197" s="9">
        <f>[2]หน้าผ้า!H206</f>
        <v>0</v>
      </c>
      <c r="G197" s="9">
        <f>[2]หน้าผ้า!I206</f>
        <v>0</v>
      </c>
      <c r="H197" s="9">
        <f>[2]หน้าผ้า!J206</f>
        <v>0</v>
      </c>
      <c r="I197" s="9">
        <f>[2]หน้าผ้า!L206</f>
        <v>0</v>
      </c>
      <c r="J197" s="9">
        <f>[2]หน้าผ้า!M206</f>
        <v>0</v>
      </c>
      <c r="K197" s="9">
        <f>[2]หน้าผ้า!N206</f>
        <v>0</v>
      </c>
      <c r="L197" s="9">
        <f>[2]หน้าผ้า!R206</f>
        <v>0</v>
      </c>
      <c r="M197" s="10">
        <f>[2]หน้าผ้า!T206</f>
        <v>0</v>
      </c>
      <c r="N197" s="9">
        <f>[2]หน้าผ้า!U206</f>
        <v>0</v>
      </c>
      <c r="O197" s="9">
        <f>[2]หน้าผ้า!V206</f>
        <v>0</v>
      </c>
      <c r="P197" s="10">
        <f>[2]หน้าผ้า!AB206</f>
        <v>0</v>
      </c>
      <c r="Q197" s="10">
        <f>[2]หน้าผ้า!AC206</f>
        <v>0</v>
      </c>
      <c r="R197" s="10">
        <f>[2]หน้าผ้า!AD206</f>
        <v>0</v>
      </c>
      <c r="S197" s="9">
        <f>[2]หน้าผ้า!Z206</f>
        <v>0</v>
      </c>
      <c r="T197" s="12" t="str">
        <f>[2]หน้าผ้า!X206</f>
        <v>ค้างส่งทั้งหมด</v>
      </c>
      <c r="U197" s="11">
        <f>[2]หน้าผ้า!AA206</f>
        <v>2433098</v>
      </c>
      <c r="V197" s="10">
        <f>[2]หน้าผ้า!AJ206</f>
        <v>164046</v>
      </c>
      <c r="W197" s="10">
        <f>[2]หน้าผ้า!AL206</f>
        <v>0</v>
      </c>
      <c r="X197" s="10">
        <f>[2]หน้าผ้า!AM206</f>
        <v>0</v>
      </c>
      <c r="Y197" s="10">
        <f>[2]หน้าผ้า!AN206</f>
        <v>0</v>
      </c>
      <c r="Z197" s="9">
        <f>[2]หน้าผ้า!AO206</f>
        <v>0</v>
      </c>
      <c r="AA197" s="8" t="e">
        <f>[2]หน้าผ้า!AQ206</f>
        <v>#REF!</v>
      </c>
      <c r="AB197" s="8" t="e">
        <f>[2]หน้าผ้า!AR206</f>
        <v>#REF!</v>
      </c>
      <c r="AC197" s="8" t="e">
        <f>[2]หน้าผ้า!AS206</f>
        <v>#REF!</v>
      </c>
      <c r="AD197" s="8">
        <f>[2]หน้าผ้า!AT206</f>
        <v>0</v>
      </c>
      <c r="AE197" s="8">
        <f>[2]หน้าผ้า!AU206</f>
        <v>0</v>
      </c>
      <c r="AF197" s="8">
        <f>[2]หน้าผ้า!AI206</f>
        <v>0</v>
      </c>
      <c r="AG197" s="1" t="str">
        <f>[3]หน้าผ้า!DC209</f>
        <v xml:space="preserve"> </v>
      </c>
      <c r="AH197" s="1">
        <f>[2]หน้าผ้า!DL206</f>
        <v>0</v>
      </c>
      <c r="AI197" s="1" t="str">
        <f>[2]หน้าผ้า!DM206</f>
        <v>Lead time</v>
      </c>
      <c r="AJ197" s="3">
        <f>[2]หน้าผ้า!DN206</f>
        <v>0</v>
      </c>
      <c r="AK197" s="3">
        <f>[2]หน้าผ้า!DQ206</f>
        <v>0</v>
      </c>
      <c r="AL197" s="3">
        <f>[2]หน้าผ้า!DR206</f>
        <v>0</v>
      </c>
      <c r="AM197" s="3">
        <f>[2]หน้าผ้า!DS206</f>
        <v>0</v>
      </c>
      <c r="AN197" s="3">
        <f>[2]หน้าผ้า!DT206</f>
        <v>0</v>
      </c>
      <c r="AO197" s="3">
        <f>[2]หน้าผ้า!DU206</f>
        <v>0</v>
      </c>
      <c r="AP197" s="3">
        <f>[2]หน้าผ้า!DP206</f>
        <v>-5</v>
      </c>
      <c r="AQ197" s="3">
        <f>[2]หน้าผ้า!DW206</f>
        <v>0</v>
      </c>
      <c r="AR197" s="3">
        <f>[2]หน้าผ้า!DX206</f>
        <v>0</v>
      </c>
      <c r="AS197" s="3">
        <f>[2]หน้าผ้า!DY206</f>
        <v>0</v>
      </c>
      <c r="AT197" s="3">
        <f>[2]หน้าผ้า!DZ206</f>
        <v>0</v>
      </c>
      <c r="AU197" s="3">
        <f>[2]หน้าผ้า!EA206</f>
        <v>0</v>
      </c>
      <c r="AV197" s="1">
        <f>[2]หน้าผ้า!EB206</f>
        <v>0</v>
      </c>
      <c r="AW197" s="2">
        <f>[2]หน้าผ้า!EC206</f>
        <v>0</v>
      </c>
      <c r="AX197" s="2">
        <f>[2]หน้าผ้า!ED206</f>
        <v>0</v>
      </c>
      <c r="AY197" s="2">
        <f>[2]หน้าผ้า!AG206</f>
        <v>0</v>
      </c>
      <c r="AZ197" s="2">
        <f>[2]หน้าผ้า!EG206</f>
        <v>0</v>
      </c>
      <c r="BA197" s="2">
        <f>[2]หน้าผ้า!EH206</f>
        <v>0</v>
      </c>
      <c r="BB197" s="2">
        <f>[2]หน้าผ้า!EI206</f>
        <v>0</v>
      </c>
      <c r="BC197" s="1">
        <f>[2]หน้าผ้า!BZ206</f>
        <v>0</v>
      </c>
      <c r="BD197" s="56">
        <f>[2]หน้าผ้า!CA206</f>
        <v>144772.60525236663</v>
      </c>
    </row>
    <row r="198" spans="1:56" ht="27.75" customHeight="1" x14ac:dyDescent="0.45">
      <c r="A198" s="3">
        <f>[2]หน้าผ้า!C207</f>
        <v>0</v>
      </c>
      <c r="B198" s="14">
        <f>[2]หน้าผ้า!B207</f>
        <v>0</v>
      </c>
      <c r="C198" s="9">
        <f>[2]หน้าผ้า!E207</f>
        <v>0</v>
      </c>
      <c r="D198" s="13">
        <f>[2]หน้าผ้า!F207</f>
        <v>0</v>
      </c>
      <c r="E198" s="9">
        <f>[2]หน้าผ้า!G207</f>
        <v>0</v>
      </c>
      <c r="F198" s="9">
        <f>[2]หน้าผ้า!H207</f>
        <v>0</v>
      </c>
      <c r="G198" s="9">
        <f>[2]หน้าผ้า!I207</f>
        <v>0</v>
      </c>
      <c r="H198" s="9">
        <f>[2]หน้าผ้า!J207</f>
        <v>0</v>
      </c>
      <c r="I198" s="9">
        <f>[2]หน้าผ้า!L207</f>
        <v>0</v>
      </c>
      <c r="J198" s="9">
        <f>[2]หน้าผ้า!M207</f>
        <v>0</v>
      </c>
      <c r="K198" s="9">
        <f>[2]หน้าผ้า!N207</f>
        <v>0</v>
      </c>
      <c r="L198" s="9">
        <f>[2]หน้าผ้า!R207</f>
        <v>0</v>
      </c>
      <c r="M198" s="10">
        <f>[2]หน้าผ้า!T207</f>
        <v>0</v>
      </c>
      <c r="N198" s="9">
        <f>[2]หน้าผ้า!U207</f>
        <v>0</v>
      </c>
      <c r="O198" s="9">
        <f>[2]หน้าผ้า!V207</f>
        <v>0</v>
      </c>
      <c r="P198" s="10">
        <f>[2]หน้าผ้า!AB207</f>
        <v>0</v>
      </c>
      <c r="Q198" s="10">
        <f>[2]หน้าผ้า!AC207</f>
        <v>0</v>
      </c>
      <c r="R198" s="10">
        <f>[2]หน้าผ้า!AD207</f>
        <v>0</v>
      </c>
      <c r="S198" s="9">
        <f>[2]หน้าผ้า!Z207</f>
        <v>140000</v>
      </c>
      <c r="T198" s="12">
        <f>[2]หน้าผ้า!X207</f>
        <v>0</v>
      </c>
      <c r="U198" s="11">
        <f>[2]หน้าผ้า!AA207</f>
        <v>17.379271428571428</v>
      </c>
      <c r="V198" s="10">
        <f>[2]หน้าผ้า!AJ207</f>
        <v>0</v>
      </c>
      <c r="W198" s="10">
        <f>[2]หน้าผ้า!AL207</f>
        <v>0</v>
      </c>
      <c r="X198" s="10">
        <f>[2]หน้าผ้า!AM207</f>
        <v>0</v>
      </c>
      <c r="Y198" s="10">
        <f>[2]หน้าผ้า!AN207</f>
        <v>0</v>
      </c>
      <c r="Z198" s="9">
        <f>[2]หน้าผ้า!AO207</f>
        <v>0</v>
      </c>
      <c r="AA198" s="8" t="e">
        <f>[2]หน้าผ้า!AQ207</f>
        <v>#REF!</v>
      </c>
      <c r="AB198" s="8">
        <f>[2]หน้าผ้า!AR207</f>
        <v>0</v>
      </c>
      <c r="AC198" s="8" t="e">
        <f>[2]หน้าผ้า!AS207</f>
        <v>#REF!</v>
      </c>
      <c r="AD198" s="8">
        <f>[2]หน้าผ้า!AT207</f>
        <v>0</v>
      </c>
      <c r="AE198" s="8">
        <f>[2]หน้าผ้า!AU207</f>
        <v>0</v>
      </c>
      <c r="AF198" s="8">
        <f>[2]หน้าผ้า!AI207</f>
        <v>0</v>
      </c>
      <c r="AG198" s="1">
        <f>[3]หน้าผ้า!DC210</f>
        <v>0</v>
      </c>
      <c r="AH198" s="1" t="str">
        <f>[2]หน้าผ้า!DL207</f>
        <v>P1</v>
      </c>
      <c r="AI198" s="1">
        <f>[2]หน้าผ้า!DM207</f>
        <v>2</v>
      </c>
      <c r="AJ198" s="3">
        <f>[2]หน้าผ้า!DN207</f>
        <v>0</v>
      </c>
      <c r="AK198" s="3">
        <f>[2]หน้าผ้า!DQ207</f>
        <v>0</v>
      </c>
      <c r="AL198" s="3">
        <f>[2]หน้าผ้า!DR207</f>
        <v>-9</v>
      </c>
      <c r="AM198" s="3">
        <f>[2]หน้าผ้า!DS207</f>
        <v>-2</v>
      </c>
      <c r="AN198" s="3">
        <f>[2]หน้าผ้า!DT207</f>
        <v>0</v>
      </c>
      <c r="AO198" s="3">
        <f>[2]หน้าผ้า!DU207</f>
        <v>-1</v>
      </c>
      <c r="AP198" s="3">
        <f>[2]หน้าผ้า!DP207</f>
        <v>-5</v>
      </c>
      <c r="AQ198" s="3">
        <f>[2]หน้าผ้า!DW207</f>
        <v>0</v>
      </c>
      <c r="AR198" s="3">
        <f>[2]หน้าผ้า!DX207</f>
        <v>0</v>
      </c>
      <c r="AS198" s="3">
        <f>[2]หน้าผ้า!DY207</f>
        <v>0</v>
      </c>
      <c r="AT198" s="3">
        <f>[2]หน้าผ้า!DZ207</f>
        <v>0</v>
      </c>
      <c r="AU198" s="3">
        <f>[2]หน้าผ้า!EA207</f>
        <v>0</v>
      </c>
      <c r="AV198" s="1">
        <f>[2]หน้าผ้า!EB207</f>
        <v>0</v>
      </c>
      <c r="AW198" s="2" t="str">
        <f>[2]หน้าผ้า!EC207</f>
        <v>งานพิมพ์</v>
      </c>
      <c r="AX198" s="2" t="str">
        <f>[2]หน้าผ้า!ED207</f>
        <v>รอART</v>
      </c>
      <c r="AY198" s="2">
        <f>[2]หน้าผ้า!AG207</f>
        <v>0</v>
      </c>
      <c r="AZ198" s="2">
        <f>[2]หน้าผ้า!EG207</f>
        <v>0</v>
      </c>
      <c r="BA198" s="2">
        <f>[2]หน้าผ้า!EH207</f>
        <v>0</v>
      </c>
      <c r="BB198" s="2">
        <f>[2]หน้าผ้า!EI207</f>
        <v>0</v>
      </c>
      <c r="BC198" s="1">
        <f>[2]หน้าผ้า!BZ207</f>
        <v>0</v>
      </c>
      <c r="BD198" s="56" t="str">
        <f>[2]หน้าผ้า!CA207</f>
        <v>ห้ามลบ</v>
      </c>
    </row>
    <row r="199" spans="1:56" ht="27.75" customHeight="1" x14ac:dyDescent="0.45">
      <c r="A199" s="3">
        <f>[2]หน้าผ้า!C208</f>
        <v>0</v>
      </c>
      <c r="B199" s="14">
        <f>[2]หน้าผ้า!B208</f>
        <v>0</v>
      </c>
      <c r="C199" s="9">
        <f>[2]หน้าผ้า!E208</f>
        <v>0</v>
      </c>
      <c r="D199" s="13">
        <f>[2]หน้าผ้า!F208</f>
        <v>0</v>
      </c>
      <c r="E199" s="9">
        <f>[2]หน้าผ้า!G208</f>
        <v>0</v>
      </c>
      <c r="F199" s="9">
        <f>[2]หน้าผ้า!H208</f>
        <v>0</v>
      </c>
      <c r="G199" s="9">
        <f>[2]หน้าผ้า!I208</f>
        <v>0</v>
      </c>
      <c r="H199" s="9">
        <f>[2]หน้าผ้า!J208</f>
        <v>0</v>
      </c>
      <c r="I199" s="9">
        <f>[2]หน้าผ้า!L208</f>
        <v>0</v>
      </c>
      <c r="J199" s="9">
        <f>[2]หน้าผ้า!M208</f>
        <v>0</v>
      </c>
      <c r="K199" s="9">
        <f>[2]หน้าผ้า!N208</f>
        <v>0</v>
      </c>
      <c r="L199" s="9">
        <f>[2]หน้าผ้า!R208</f>
        <v>0</v>
      </c>
      <c r="M199" s="10">
        <f>[2]หน้าผ้า!T208</f>
        <v>0</v>
      </c>
      <c r="N199" s="9">
        <f>[2]หน้าผ้า!U208</f>
        <v>0</v>
      </c>
      <c r="O199" s="9">
        <f>[2]หน้าผ้า!V208</f>
        <v>0</v>
      </c>
      <c r="P199" s="10">
        <f>[2]หน้าผ้า!AB208</f>
        <v>0</v>
      </c>
      <c r="Q199" s="10">
        <f>[2]หน้าผ้า!AC208</f>
        <v>0</v>
      </c>
      <c r="R199" s="10">
        <f>[2]หน้าผ้า!AD208</f>
        <v>0</v>
      </c>
      <c r="S199" s="9">
        <f>[2]หน้าผ้า!Z208</f>
        <v>0</v>
      </c>
      <c r="T199" s="12" t="str">
        <f>[2]หน้าผ้า!X208</f>
        <v>ประมาณการ</v>
      </c>
      <c r="U199" s="11">
        <f>[2]หน้าผ้า!AA208</f>
        <v>1088000</v>
      </c>
      <c r="V199" s="10">
        <f>[2]หน้าผ้า!AJ208</f>
        <v>0</v>
      </c>
      <c r="W199" s="10">
        <f>[2]หน้าผ้า!AL208</f>
        <v>0</v>
      </c>
      <c r="X199" s="10">
        <f>[2]หน้าผ้า!AM208</f>
        <v>0</v>
      </c>
      <c r="Y199" s="10">
        <f>[2]หน้าผ้า!AN208</f>
        <v>0</v>
      </c>
      <c r="Z199" s="9">
        <f>[2]หน้าผ้า!AO208</f>
        <v>0</v>
      </c>
      <c r="AA199" s="8">
        <f>[2]หน้าผ้า!AQ208</f>
        <v>0</v>
      </c>
      <c r="AB199" s="8">
        <f>[2]หน้าผ้า!AR208</f>
        <v>0</v>
      </c>
      <c r="AC199" s="8">
        <f>[2]หน้าผ้า!AS208</f>
        <v>0</v>
      </c>
      <c r="AD199" s="8">
        <f>[2]หน้าผ้า!AT208</f>
        <v>0</v>
      </c>
      <c r="AE199" s="8">
        <f>[2]หน้าผ้า!AU208</f>
        <v>0</v>
      </c>
      <c r="AF199" s="8">
        <f>[2]หน้าผ้า!AI208</f>
        <v>0</v>
      </c>
      <c r="AG199" s="1">
        <f>[3]หน้าผ้า!DC211</f>
        <v>0</v>
      </c>
      <c r="AH199" s="1" t="str">
        <f>[2]หน้าผ้า!DL208</f>
        <v>P3</v>
      </c>
      <c r="AI199" s="1">
        <f>[2]หน้าผ้า!DM208</f>
        <v>1</v>
      </c>
      <c r="AJ199" s="3" t="str">
        <f>[2]หน้าผ้า!DN208</f>
        <v>ประมาณการ</v>
      </c>
      <c r="AK199" s="3">
        <f>[2]หน้าผ้า!DQ208</f>
        <v>0</v>
      </c>
      <c r="AL199" s="3">
        <f>[2]หน้าผ้า!DR208</f>
        <v>0</v>
      </c>
      <c r="AM199" s="3">
        <f>[2]หน้าผ้า!DS208</f>
        <v>0</v>
      </c>
      <c r="AN199" s="3">
        <f>[2]หน้าผ้า!DT208</f>
        <v>0</v>
      </c>
      <c r="AO199" s="3" t="e">
        <f>[2]หน้าผ้า!DU208</f>
        <v>#VALUE!</v>
      </c>
      <c r="AP199" s="3" t="e">
        <f>[2]หน้าผ้า!DP208</f>
        <v>#VALUE!</v>
      </c>
      <c r="AQ199" s="3">
        <f>[2]หน้าผ้า!DW208</f>
        <v>0</v>
      </c>
      <c r="AR199" s="3">
        <f>[2]หน้าผ้า!DX208</f>
        <v>0</v>
      </c>
      <c r="AS199" s="3">
        <f>[2]หน้าผ้า!DY208</f>
        <v>0</v>
      </c>
      <c r="AT199" s="3">
        <f>[2]หน้าผ้า!DZ208</f>
        <v>0</v>
      </c>
      <c r="AU199" s="3">
        <f>[2]หน้าผ้า!EA208</f>
        <v>0</v>
      </c>
      <c r="AV199" s="1">
        <f>[2]หน้าผ้า!EB208</f>
        <v>0</v>
      </c>
      <c r="AW199" s="2" t="str">
        <f>[2]หน้าผ้า!EC208</f>
        <v>ตัด</v>
      </c>
      <c r="AX199" s="2">
        <f>[2]หน้าผ้า!ED208</f>
        <v>0</v>
      </c>
      <c r="AY199" s="2">
        <f>[2]หน้าผ้า!AG208</f>
        <v>0</v>
      </c>
      <c r="AZ199" s="2">
        <f>[2]หน้าผ้า!EG208</f>
        <v>0</v>
      </c>
      <c r="BA199" s="2">
        <f>[2]หน้าผ้า!EH208</f>
        <v>0</v>
      </c>
      <c r="BB199" s="2">
        <f>[2]หน้าผ้า!EI208</f>
        <v>0</v>
      </c>
      <c r="BC199" s="1">
        <f>[2]หน้าผ้า!BZ208</f>
        <v>0</v>
      </c>
      <c r="BD199" s="56">
        <f>[2]หน้าผ้า!CA208</f>
        <v>0</v>
      </c>
    </row>
    <row r="200" spans="1:56" ht="27.75" customHeight="1" x14ac:dyDescent="0.45">
      <c r="A200" s="3">
        <f>[2]หน้าผ้า!C209</f>
        <v>0</v>
      </c>
      <c r="B200" s="14">
        <f>[2]หน้าผ้า!B209</f>
        <v>0</v>
      </c>
      <c r="C200" s="9">
        <f>[2]หน้าผ้า!E209</f>
        <v>0</v>
      </c>
      <c r="D200" s="13">
        <f>[2]หน้าผ้า!F209</f>
        <v>0</v>
      </c>
      <c r="E200" s="9">
        <f>[2]หน้าผ้า!G209</f>
        <v>0</v>
      </c>
      <c r="F200" s="9">
        <f>[2]หน้าผ้า!H209</f>
        <v>0</v>
      </c>
      <c r="G200" s="9">
        <f>[2]หน้าผ้า!I209</f>
        <v>0</v>
      </c>
      <c r="H200" s="9">
        <f>[2]หน้าผ้า!J209</f>
        <v>0</v>
      </c>
      <c r="I200" s="9">
        <f>[2]หน้าผ้า!L209</f>
        <v>0</v>
      </c>
      <c r="J200" s="9">
        <f>[2]หน้าผ้า!M209</f>
        <v>0</v>
      </c>
      <c r="K200" s="9">
        <f>[2]หน้าผ้า!N209</f>
        <v>0</v>
      </c>
      <c r="L200" s="9">
        <f>[2]หน้าผ้า!R209</f>
        <v>0</v>
      </c>
      <c r="M200" s="10">
        <f>[2]หน้าผ้า!T209</f>
        <v>0</v>
      </c>
      <c r="N200" s="9">
        <f>[2]หน้าผ้า!U209</f>
        <v>0</v>
      </c>
      <c r="O200" s="9">
        <f>[2]หน้าผ้า!V209</f>
        <v>0</v>
      </c>
      <c r="P200" s="10">
        <f>[2]หน้าผ้า!AB209</f>
        <v>0</v>
      </c>
      <c r="Q200" s="10">
        <f>[2]หน้าผ้า!AC209</f>
        <v>0</v>
      </c>
      <c r="R200" s="10">
        <f>[2]หน้าผ้า!AD209</f>
        <v>0</v>
      </c>
      <c r="S200" s="9">
        <f>[2]หน้าผ้า!Z209</f>
        <v>0</v>
      </c>
      <c r="T200" s="12" t="str">
        <f>[2]หน้าผ้า!X209</f>
        <v>รอแจ้ง</v>
      </c>
      <c r="U200" s="11">
        <f>[2]หน้าผ้า!AA209</f>
        <v>1060019</v>
      </c>
      <c r="V200" s="10">
        <f>[2]หน้าผ้า!AJ209</f>
        <v>0</v>
      </c>
      <c r="W200" s="10">
        <f>[2]หน้าผ้า!AL209</f>
        <v>0</v>
      </c>
      <c r="X200" s="10">
        <f>[2]หน้าผ้า!AM209</f>
        <v>0</v>
      </c>
      <c r="Y200" s="10">
        <f>[2]หน้าผ้า!AN209</f>
        <v>0</v>
      </c>
      <c r="Z200" s="9">
        <f>[2]หน้าผ้า!AO209</f>
        <v>0</v>
      </c>
      <c r="AA200" s="8">
        <f>[2]หน้าผ้า!AQ209</f>
        <v>0</v>
      </c>
      <c r="AB200" s="8">
        <f>[2]หน้าผ้า!AR209</f>
        <v>0</v>
      </c>
      <c r="AC200" s="8">
        <f>[2]หน้าผ้า!AS209</f>
        <v>883247.48082000006</v>
      </c>
      <c r="AD200" s="8">
        <f>[2]หน้าผ้า!AT209</f>
        <v>0</v>
      </c>
      <c r="AE200" s="8">
        <f>[2]หน้าผ้า!AU209</f>
        <v>0</v>
      </c>
      <c r="AF200" s="8">
        <f>[2]หน้าผ้า!AI209</f>
        <v>0</v>
      </c>
      <c r="AG200" s="1">
        <f>[3]หน้าผ้า!DC212</f>
        <v>0</v>
      </c>
      <c r="AH200" s="1" t="str">
        <f>[2]หน้าผ้า!DL209</f>
        <v>P2</v>
      </c>
      <c r="AI200" s="1">
        <f>[2]หน้าผ้า!DM209</f>
        <v>3</v>
      </c>
      <c r="AJ200" s="3" t="str">
        <f>[2]หน้าผ้า!DN209</f>
        <v>รอแจ้ง</v>
      </c>
      <c r="AK200" s="3" t="e">
        <f>[2]หน้าผ้า!DQ209</f>
        <v>#VALUE!</v>
      </c>
      <c r="AL200" s="3" t="e">
        <f>[2]หน้าผ้า!DR209</f>
        <v>#VALUE!</v>
      </c>
      <c r="AM200" s="3" t="e">
        <f>[2]หน้าผ้า!DS209</f>
        <v>#VALUE!</v>
      </c>
      <c r="AN200" s="3">
        <f>[2]หน้าผ้า!DT209</f>
        <v>0</v>
      </c>
      <c r="AO200" s="3" t="e">
        <f>[2]หน้าผ้า!DU209</f>
        <v>#VALUE!</v>
      </c>
      <c r="AP200" s="3" t="e">
        <f>[2]หน้าผ้า!DP209</f>
        <v>#VALUE!</v>
      </c>
      <c r="AQ200" s="3">
        <f>[2]หน้าผ้า!DW209</f>
        <v>0</v>
      </c>
      <c r="AR200" s="3">
        <f>[2]หน้าผ้า!DX209</f>
        <v>0</v>
      </c>
      <c r="AS200" s="3">
        <f>[2]หน้าผ้า!DY209</f>
        <v>0</v>
      </c>
      <c r="AT200" s="3">
        <f>[2]หน้าผ้า!DZ209</f>
        <v>0</v>
      </c>
      <c r="AU200" s="3">
        <f>[2]หน้าผ้า!EA209</f>
        <v>0</v>
      </c>
      <c r="AV200" s="1">
        <f>[2]หน้าผ้า!EB209</f>
        <v>0</v>
      </c>
      <c r="AW200" s="2" t="str">
        <f>[2]หน้าผ้า!EC209</f>
        <v>งานเคลือบ+พิมพ์</v>
      </c>
      <c r="AX200" s="2">
        <f>[2]หน้าผ้า!ED209</f>
        <v>0</v>
      </c>
      <c r="AY200" s="2">
        <f>[2]หน้าผ้า!AG209</f>
        <v>0</v>
      </c>
      <c r="AZ200" s="2">
        <f>[2]หน้าผ้า!EG209</f>
        <v>0</v>
      </c>
      <c r="BA200" s="2">
        <f>[2]หน้าผ้า!EH209</f>
        <v>0</v>
      </c>
      <c r="BB200" s="2">
        <f>[2]หน้าผ้า!EI209</f>
        <v>0</v>
      </c>
      <c r="BC200" s="1">
        <f>[2]หน้าผ้า!BZ209</f>
        <v>0</v>
      </c>
      <c r="BD200" s="56">
        <f>[2]หน้าผ้า!CA209</f>
        <v>0</v>
      </c>
    </row>
    <row r="201" spans="1:56" ht="27.75" customHeight="1" x14ac:dyDescent="0.45">
      <c r="A201" s="3">
        <f>[2]หน้าผ้า!C210</f>
        <v>0</v>
      </c>
      <c r="B201" s="14">
        <f>[2]หน้าผ้า!B210</f>
        <v>0</v>
      </c>
      <c r="C201" s="9">
        <f>[2]หน้าผ้า!E210</f>
        <v>0</v>
      </c>
      <c r="D201" s="13">
        <f>[2]หน้าผ้า!F210</f>
        <v>0</v>
      </c>
      <c r="E201" s="9">
        <f>[2]หน้าผ้า!G210</f>
        <v>0</v>
      </c>
      <c r="F201" s="9">
        <f>[2]หน้าผ้า!H210</f>
        <v>0</v>
      </c>
      <c r="G201" s="9">
        <f>[2]หน้าผ้า!I210</f>
        <v>0</v>
      </c>
      <c r="H201" s="9">
        <f>[2]หน้าผ้า!J210</f>
        <v>0</v>
      </c>
      <c r="I201" s="9">
        <f>[2]หน้าผ้า!L210</f>
        <v>0</v>
      </c>
      <c r="J201" s="9">
        <f>[2]หน้าผ้า!M210</f>
        <v>0</v>
      </c>
      <c r="K201" s="9">
        <f>[2]หน้าผ้า!N210</f>
        <v>0</v>
      </c>
      <c r="L201" s="9">
        <f>[2]หน้าผ้า!R210</f>
        <v>0</v>
      </c>
      <c r="M201" s="10">
        <f>[2]หน้าผ้า!T210</f>
        <v>0</v>
      </c>
      <c r="N201" s="9">
        <f>[2]หน้าผ้า!U210</f>
        <v>0</v>
      </c>
      <c r="O201" s="9">
        <f>[2]หน้าผ้า!V210</f>
        <v>0</v>
      </c>
      <c r="P201" s="10">
        <f>[2]หน้าผ้า!AB210</f>
        <v>0</v>
      </c>
      <c r="Q201" s="10">
        <f>[2]หน้าผ้า!AC210</f>
        <v>0</v>
      </c>
      <c r="R201" s="10">
        <f>[2]หน้าผ้า!AD210</f>
        <v>0</v>
      </c>
      <c r="S201" s="9">
        <f>[2]หน้าผ้า!Z210</f>
        <v>0</v>
      </c>
      <c r="T201" s="12" t="str">
        <f>[2]หน้าผ้า!X210</f>
        <v>รอส่ง</v>
      </c>
      <c r="U201" s="11">
        <f>[2]หน้าผ้า!AA210</f>
        <v>25000</v>
      </c>
      <c r="V201" s="10">
        <f>[2]หน้าผ้า!AJ210</f>
        <v>0</v>
      </c>
      <c r="W201" s="10">
        <f>[2]หน้าผ้า!AL210</f>
        <v>0</v>
      </c>
      <c r="X201" s="10">
        <f>[2]หน้าผ้า!AM210</f>
        <v>0</v>
      </c>
      <c r="Y201" s="10">
        <f>[2]หน้าผ้า!AN210</f>
        <v>0</v>
      </c>
      <c r="Z201" s="9">
        <f>[2]หน้าผ้า!AO210</f>
        <v>0</v>
      </c>
      <c r="AA201" s="8">
        <f>[2]หน้าผ้า!AQ210</f>
        <v>0</v>
      </c>
      <c r="AB201" s="8">
        <f>[2]หน้าผ้า!AR210</f>
        <v>0</v>
      </c>
      <c r="AC201" s="8">
        <f>[2]หน้าผ้า!AS210</f>
        <v>0</v>
      </c>
      <c r="AD201" s="8">
        <f>[2]หน้าผ้า!AT210</f>
        <v>0</v>
      </c>
      <c r="AE201" s="8">
        <f>[2]หน้าผ้า!AU210</f>
        <v>0</v>
      </c>
      <c r="AF201" s="8">
        <f>[2]หน้าผ้า!AI210</f>
        <v>0</v>
      </c>
      <c r="AG201" s="1">
        <f>[3]หน้าผ้า!DC213</f>
        <v>0</v>
      </c>
      <c r="AH201" s="1" t="str">
        <f>[2]หน้าผ้า!DL210</f>
        <v>P6</v>
      </c>
      <c r="AI201" s="1">
        <f>[2]หน้าผ้า!DM210</f>
        <v>4</v>
      </c>
      <c r="AJ201" s="3" t="str">
        <f>[2]หน้าผ้า!DN210</f>
        <v>รอส่ง</v>
      </c>
      <c r="AK201" s="3" t="e">
        <f>[2]หน้าผ้า!DQ210</f>
        <v>#VALUE!</v>
      </c>
      <c r="AL201" s="3" t="e">
        <f>[2]หน้าผ้า!DR210</f>
        <v>#VALUE!</v>
      </c>
      <c r="AM201" s="3" t="e">
        <f>[2]หน้าผ้า!DS210</f>
        <v>#VALUE!</v>
      </c>
      <c r="AN201" s="3" t="e">
        <f>[2]หน้าผ้า!DT210</f>
        <v>#VALUE!</v>
      </c>
      <c r="AO201" s="3" t="e">
        <f>[2]หน้าผ้า!DU210</f>
        <v>#VALUE!</v>
      </c>
      <c r="AP201" s="3" t="e">
        <f>[2]หน้าผ้า!DP210</f>
        <v>#VALUE!</v>
      </c>
      <c r="AQ201" s="3">
        <f>[2]หน้าผ้า!DW210</f>
        <v>0</v>
      </c>
      <c r="AR201" s="3">
        <f>[2]หน้าผ้า!DX210</f>
        <v>0</v>
      </c>
      <c r="AS201" s="3">
        <f>[2]หน้าผ้า!DY210</f>
        <v>0</v>
      </c>
      <c r="AT201" s="3">
        <f>[2]หน้าผ้า!DZ210</f>
        <v>0</v>
      </c>
      <c r="AU201" s="3">
        <f>[2]หน้าผ้า!EA210</f>
        <v>0</v>
      </c>
      <c r="AV201" s="1">
        <f>[2]หน้าผ้า!EB210</f>
        <v>0</v>
      </c>
      <c r="AW201" s="2" t="str">
        <f>[2]หน้าผ้า!EC210</f>
        <v>งานเคลือบ+พิมพ์</v>
      </c>
      <c r="AX201" s="2">
        <f>[2]หน้าผ้า!ED210</f>
        <v>0</v>
      </c>
      <c r="AY201" s="2">
        <f>[2]หน้าผ้า!AG210</f>
        <v>0</v>
      </c>
      <c r="AZ201" s="2">
        <f>[2]หน้าผ้า!EG210</f>
        <v>0</v>
      </c>
      <c r="BA201" s="2">
        <f>[2]หน้าผ้า!EH210</f>
        <v>0</v>
      </c>
      <c r="BB201" s="2">
        <f>[2]หน้าผ้า!EI210</f>
        <v>0</v>
      </c>
      <c r="BC201" s="1">
        <f>[2]หน้าผ้า!BZ210</f>
        <v>0</v>
      </c>
      <c r="BD201" s="56">
        <f>[2]หน้าผ้า!CA210</f>
        <v>0</v>
      </c>
    </row>
    <row r="202" spans="1:56" ht="27.75" customHeight="1" x14ac:dyDescent="0.45">
      <c r="A202" s="3">
        <f>[2]หน้าผ้า!C211</f>
        <v>0</v>
      </c>
      <c r="B202" s="14">
        <f>[2]หน้าผ้า!B211</f>
        <v>0</v>
      </c>
      <c r="C202" s="9">
        <f>[2]หน้าผ้า!E211</f>
        <v>0</v>
      </c>
      <c r="D202" s="13">
        <f>[2]หน้าผ้า!F211</f>
        <v>0</v>
      </c>
      <c r="E202" s="9">
        <f>[2]หน้าผ้า!G211</f>
        <v>0</v>
      </c>
      <c r="F202" s="9">
        <f>[2]หน้าผ้า!H211</f>
        <v>0</v>
      </c>
      <c r="G202" s="9">
        <f>[2]หน้าผ้า!I211</f>
        <v>0</v>
      </c>
      <c r="H202" s="9">
        <f>[2]หน้าผ้า!J211</f>
        <v>0</v>
      </c>
      <c r="I202" s="9">
        <f>[2]หน้าผ้า!L211</f>
        <v>0</v>
      </c>
      <c r="J202" s="9">
        <f>[2]หน้าผ้า!M211</f>
        <v>0</v>
      </c>
      <c r="K202" s="9">
        <f>[2]หน้าผ้า!N211</f>
        <v>0</v>
      </c>
      <c r="L202" s="9">
        <f>[2]หน้าผ้า!R211</f>
        <v>0</v>
      </c>
      <c r="M202" s="10">
        <f>[2]หน้าผ้า!T211</f>
        <v>0</v>
      </c>
      <c r="N202" s="9">
        <f>[2]หน้าผ้า!U211</f>
        <v>0</v>
      </c>
      <c r="O202" s="9">
        <f>[2]หน้าผ้า!V211</f>
        <v>0</v>
      </c>
      <c r="P202" s="10">
        <f>[2]หน้าผ้า!AB211</f>
        <v>0</v>
      </c>
      <c r="Q202" s="10">
        <f>[2]หน้าผ้า!AC211</f>
        <v>0</v>
      </c>
      <c r="R202" s="10">
        <f>[2]หน้าผ้า!AD211</f>
        <v>0</v>
      </c>
      <c r="S202" s="9">
        <f>[2]หน้าผ้า!Z211</f>
        <v>0</v>
      </c>
      <c r="T202" s="12" t="str">
        <f>[2]หน้าผ้า!X211</f>
        <v>มีกำหนดส่ง</v>
      </c>
      <c r="U202" s="11">
        <f>[2]หน้าผ้า!AA211</f>
        <v>260079</v>
      </c>
      <c r="V202" s="10">
        <f>[2]หน้าผ้า!AJ211</f>
        <v>0</v>
      </c>
      <c r="W202" s="10">
        <f>[2]หน้าผ้า!AL211</f>
        <v>0</v>
      </c>
      <c r="X202" s="10">
        <f>[2]หน้าผ้า!AM211</f>
        <v>0</v>
      </c>
      <c r="Y202" s="10">
        <f>[2]หน้าผ้า!AN211</f>
        <v>0</v>
      </c>
      <c r="Z202" s="9">
        <f>[2]หน้าผ้า!AO211</f>
        <v>0</v>
      </c>
      <c r="AA202" s="8">
        <f>[2]หน้าผ้า!AQ211</f>
        <v>0</v>
      </c>
      <c r="AB202" s="8">
        <f>[2]หน้าผ้า!AR211</f>
        <v>0</v>
      </c>
      <c r="AC202" s="8" t="e">
        <f>[2]หน้าผ้า!AS211</f>
        <v>#REF!</v>
      </c>
      <c r="AD202" s="8" t="e">
        <f>[2]หน้าผ้า!AT211</f>
        <v>#REF!</v>
      </c>
      <c r="AE202" s="8">
        <f>[2]หน้าผ้า!AU211</f>
        <v>0</v>
      </c>
      <c r="AF202" s="8">
        <f>[2]หน้าผ้า!AI211</f>
        <v>0</v>
      </c>
      <c r="AG202" s="1">
        <f>[3]หน้าผ้า!DC214</f>
        <v>0</v>
      </c>
      <c r="AH202" s="1" t="str">
        <f>[2]หน้าผ้า!DL211</f>
        <v>P11</v>
      </c>
      <c r="AI202" s="1">
        <f>[2]หน้าผ้า!DM211</f>
        <v>2</v>
      </c>
      <c r="AJ202" s="3" t="str">
        <f>[2]หน้าผ้า!DN211</f>
        <v>มีกำหนดส่ง</v>
      </c>
      <c r="AK202" s="3" t="e">
        <f>[2]หน้าผ้า!DQ211</f>
        <v>#VALUE!</v>
      </c>
      <c r="AL202" s="3">
        <f>[2]หน้าผ้า!DR211</f>
        <v>0</v>
      </c>
      <c r="AM202" s="3">
        <f>[2]หน้าผ้า!DS211</f>
        <v>0</v>
      </c>
      <c r="AN202" s="3">
        <f>[2]หน้าผ้า!DT211</f>
        <v>0</v>
      </c>
      <c r="AO202" s="3" t="e">
        <f>[2]หน้าผ้า!DU211</f>
        <v>#VALUE!</v>
      </c>
      <c r="AP202" s="3" t="e">
        <f>[2]หน้าผ้า!DP211</f>
        <v>#VALUE!</v>
      </c>
      <c r="AQ202" s="3">
        <f>[2]หน้าผ้า!DW211</f>
        <v>0</v>
      </c>
      <c r="AR202" s="3">
        <f>[2]หน้าผ้า!DX211</f>
        <v>0</v>
      </c>
      <c r="AS202" s="3">
        <f>[2]หน้าผ้า!DY211</f>
        <v>0</v>
      </c>
      <c r="AT202" s="3">
        <f>[2]หน้าผ้า!DZ211</f>
        <v>0</v>
      </c>
      <c r="AU202" s="3">
        <f>[2]หน้าผ้า!EA211</f>
        <v>0</v>
      </c>
      <c r="AV202" s="1">
        <f>[2]หน้าผ้า!EB211</f>
        <v>0</v>
      </c>
      <c r="AW202" s="2" t="str">
        <f>[2]หน้าผ้า!EC211</f>
        <v>งานเคลือบ+ตัด</v>
      </c>
      <c r="AX202" s="2">
        <f>[2]หน้าผ้า!ED211</f>
        <v>0</v>
      </c>
      <c r="AY202" s="2">
        <f>[2]หน้าผ้า!AG211</f>
        <v>0</v>
      </c>
      <c r="AZ202" s="2">
        <f>[2]หน้าผ้า!EG211</f>
        <v>0</v>
      </c>
      <c r="BA202" s="2">
        <f>[2]หน้าผ้า!EH211</f>
        <v>0</v>
      </c>
      <c r="BB202" s="2">
        <f>[2]หน้าผ้า!EI211</f>
        <v>0</v>
      </c>
      <c r="BC202" s="1">
        <f>[2]หน้าผ้า!BZ211</f>
        <v>0</v>
      </c>
      <c r="BD202" s="56">
        <f>[2]หน้าผ้า!CA211</f>
        <v>0</v>
      </c>
    </row>
    <row r="203" spans="1:56" ht="27.75" customHeight="1" x14ac:dyDescent="0.45">
      <c r="A203" s="3">
        <f>[2]หน้าผ้า!C212</f>
        <v>0</v>
      </c>
      <c r="B203" s="14">
        <f>[2]หน้าผ้า!B212</f>
        <v>0</v>
      </c>
      <c r="C203" s="9" t="str">
        <f>[2]หน้าผ้า!E212</f>
        <v>ผู้สั่งผลิต..................................................</v>
      </c>
      <c r="D203" s="13">
        <f>[2]หน้าผ้า!F212</f>
        <v>0</v>
      </c>
      <c r="E203" s="9">
        <f>[2]หน้าผ้า!G212</f>
        <v>0</v>
      </c>
      <c r="F203" s="9">
        <f>[2]หน้าผ้า!H212</f>
        <v>0</v>
      </c>
      <c r="G203" s="9" t="str">
        <f>[2]หน้าผ้า!I212</f>
        <v xml:space="preserve"> </v>
      </c>
      <c r="H203" s="9">
        <f>[2]หน้าผ้า!J212</f>
        <v>0</v>
      </c>
      <c r="I203" s="9">
        <f>[2]หน้าผ้า!L212</f>
        <v>0</v>
      </c>
      <c r="J203" s="9" t="str">
        <f>[2]หน้าผ้า!M212</f>
        <v xml:space="preserve"> </v>
      </c>
      <c r="K203" s="9">
        <f>[2]หน้าผ้า!N212</f>
        <v>0</v>
      </c>
      <c r="L203" s="9">
        <f>[2]หน้าผ้า!R212</f>
        <v>0</v>
      </c>
      <c r="M203" s="10">
        <f>[2]หน้าผ้า!T212</f>
        <v>0</v>
      </c>
      <c r="N203" s="9">
        <f>[2]หน้าผ้า!U212</f>
        <v>0</v>
      </c>
      <c r="O203" s="9">
        <f>[2]หน้าผ้า!V212</f>
        <v>0</v>
      </c>
      <c r="P203" s="10">
        <f>[2]หน้าผ้า!AB212</f>
        <v>0</v>
      </c>
      <c r="Q203" s="10">
        <f>[2]หน้าผ้า!AC212</f>
        <v>0</v>
      </c>
      <c r="R203" s="10">
        <f>[2]หน้าผ้า!AD212</f>
        <v>0</v>
      </c>
      <c r="S203" s="9">
        <f>[2]หน้าผ้า!Z212</f>
        <v>0</v>
      </c>
      <c r="T203" s="12">
        <f>[2]หน้าผ้า!X212</f>
        <v>0</v>
      </c>
      <c r="U203" s="11">
        <f>[2]หน้าผ้า!AA212</f>
        <v>0</v>
      </c>
      <c r="V203" s="10">
        <f>[2]หน้าผ้า!AJ212</f>
        <v>0</v>
      </c>
      <c r="W203" s="10">
        <f>[2]หน้าผ้า!AL212</f>
        <v>0</v>
      </c>
      <c r="X203" s="10">
        <f>[2]หน้าผ้า!AM212</f>
        <v>0</v>
      </c>
      <c r="Y203" s="10">
        <f>[2]หน้าผ้า!AN212</f>
        <v>0</v>
      </c>
      <c r="Z203" s="9">
        <f>[2]หน้าผ้า!AO212</f>
        <v>0</v>
      </c>
      <c r="AA203" s="8">
        <f>[2]หน้าผ้า!AQ212</f>
        <v>0</v>
      </c>
      <c r="AB203" s="8">
        <f>[2]หน้าผ้า!AR212</f>
        <v>0</v>
      </c>
      <c r="AC203" s="8">
        <f>[2]หน้าผ้า!AS212</f>
        <v>0</v>
      </c>
      <c r="AD203" s="8">
        <f>[2]หน้าผ้า!AT212</f>
        <v>0</v>
      </c>
      <c r="AE203" s="8">
        <f>[2]หน้าผ้า!AU212</f>
        <v>0</v>
      </c>
      <c r="AF203" s="8">
        <f>[2]หน้าผ้า!AI212</f>
        <v>0</v>
      </c>
      <c r="AG203" s="1">
        <f>[3]หน้าผ้า!DC215</f>
        <v>0</v>
      </c>
      <c r="AH203" s="1" t="str">
        <f>[2]หน้าผ้า!DL212</f>
        <v>P9</v>
      </c>
      <c r="AI203" s="1">
        <f>[2]หน้าผ้า!DM212</f>
        <v>3</v>
      </c>
      <c r="AJ203" s="3">
        <f>[2]หน้าผ้า!DN212</f>
        <v>0</v>
      </c>
      <c r="AK203" s="3">
        <f>[2]หน้าผ้า!DQ212</f>
        <v>0</v>
      </c>
      <c r="AL203" s="3">
        <f>[2]หน้าผ้า!DR212</f>
        <v>-10</v>
      </c>
      <c r="AM203" s="3">
        <f>[2]หน้าผ้า!DS212</f>
        <v>-3</v>
      </c>
      <c r="AN203" s="3">
        <f>[2]หน้าผ้า!DT212</f>
        <v>-2</v>
      </c>
      <c r="AO203" s="3">
        <f>[2]หน้าผ้า!DU212</f>
        <v>-1</v>
      </c>
      <c r="AP203" s="3">
        <f>[2]หน้าผ้า!DP212</f>
        <v>-5</v>
      </c>
      <c r="AQ203" s="3">
        <f>[2]หน้าผ้า!DW212</f>
        <v>0</v>
      </c>
      <c r="AR203" s="3">
        <f>[2]หน้าผ้า!DX212</f>
        <v>0</v>
      </c>
      <c r="AS203" s="3">
        <f>[2]หน้าผ้า!DY212</f>
        <v>0</v>
      </c>
      <c r="AT203" s="3">
        <f>[2]หน้าผ้า!DZ212</f>
        <v>0</v>
      </c>
      <c r="AU203" s="3">
        <f>[2]หน้าผ้า!EA212</f>
        <v>0</v>
      </c>
      <c r="AV203" s="1">
        <f>[2]หน้าผ้า!EB212</f>
        <v>0</v>
      </c>
      <c r="AW203" s="2" t="str">
        <f>[2]หน้าผ้า!EC212</f>
        <v>งานพิมพ์</v>
      </c>
      <c r="AX203" s="2">
        <f>[2]หน้าผ้า!ED212</f>
        <v>0</v>
      </c>
      <c r="AY203" s="2">
        <f>[2]หน้าผ้า!AG212</f>
        <v>0</v>
      </c>
      <c r="AZ203" s="2">
        <f>[2]หน้าผ้า!EG212</f>
        <v>0</v>
      </c>
      <c r="BA203" s="2">
        <f>[2]หน้าผ้า!EH212</f>
        <v>0</v>
      </c>
      <c r="BB203" s="2">
        <f>[2]หน้าผ้า!EI212</f>
        <v>0</v>
      </c>
      <c r="BC203" s="1">
        <f>[2]หน้าผ้า!BZ212</f>
        <v>0</v>
      </c>
      <c r="BD203" s="56">
        <f>[2]หน้าผ้า!CA212</f>
        <v>0</v>
      </c>
    </row>
    <row r="204" spans="1:56" ht="27.75" customHeight="1" x14ac:dyDescent="0.45">
      <c r="A204" s="3">
        <f>[2]หน้าผ้า!C213</f>
        <v>0</v>
      </c>
      <c r="B204" s="14">
        <f>[2]หน้าผ้า!B213</f>
        <v>0</v>
      </c>
      <c r="C204" s="9" t="str">
        <f>[2]หน้าผ้า!E213</f>
        <v>เจ้าหน้าที่วางแผนการผลิต</v>
      </c>
      <c r="D204" s="13">
        <f>[2]หน้าผ้า!F213</f>
        <v>0</v>
      </c>
      <c r="E204" s="9">
        <f>[2]หน้าผ้า!G213</f>
        <v>0</v>
      </c>
      <c r="F204" s="9">
        <f>[2]หน้าผ้า!H213</f>
        <v>0</v>
      </c>
      <c r="G204" s="9">
        <f>[2]หน้าผ้า!I213</f>
        <v>0</v>
      </c>
      <c r="H204" s="9">
        <f>[2]หน้าผ้า!J213</f>
        <v>0</v>
      </c>
      <c r="I204" s="9">
        <f>[2]หน้าผ้า!L213</f>
        <v>0</v>
      </c>
      <c r="J204" s="9" t="str">
        <f>[2]หน้าผ้า!M213</f>
        <v>ผู้อนุมัติ..................................................</v>
      </c>
      <c r="K204" s="9">
        <f>[2]หน้าผ้า!N213</f>
        <v>0</v>
      </c>
      <c r="L204" s="9">
        <f>[2]หน้าผ้า!R213</f>
        <v>0</v>
      </c>
      <c r="M204" s="10">
        <f>[2]หน้าผ้า!T213</f>
        <v>0</v>
      </c>
      <c r="N204" s="9">
        <f>[2]หน้าผ้า!U213</f>
        <v>0</v>
      </c>
      <c r="O204" s="9">
        <f>[2]หน้าผ้า!V213</f>
        <v>0</v>
      </c>
      <c r="P204" s="10">
        <f>[2]หน้าผ้า!AB213</f>
        <v>0</v>
      </c>
      <c r="Q204" s="10">
        <f>[2]หน้าผ้า!AC213</f>
        <v>0</v>
      </c>
      <c r="R204" s="10">
        <f>[2]หน้าผ้า!AD213</f>
        <v>0</v>
      </c>
      <c r="S204" s="9">
        <f>[2]หน้าผ้า!Z213</f>
        <v>0</v>
      </c>
      <c r="T204" s="12">
        <f>[2]หน้าผ้า!X213</f>
        <v>0</v>
      </c>
      <c r="U204" s="11">
        <f>[2]หน้าผ้า!AA213</f>
        <v>0</v>
      </c>
      <c r="V204" s="10">
        <f>[2]หน้าผ้า!AJ213</f>
        <v>0</v>
      </c>
      <c r="W204" s="10">
        <f>[2]หน้าผ้า!AL213</f>
        <v>0</v>
      </c>
      <c r="X204" s="10">
        <f>[2]หน้าผ้า!AM213</f>
        <v>0</v>
      </c>
      <c r="Y204" s="10">
        <f>[2]หน้าผ้า!AN213</f>
        <v>0</v>
      </c>
      <c r="Z204" s="9">
        <f>[2]หน้าผ้า!AO213</f>
        <v>0</v>
      </c>
      <c r="AA204" s="8">
        <f>[2]หน้าผ้า!AQ213</f>
        <v>0</v>
      </c>
      <c r="AB204" s="8">
        <f>[2]หน้าผ้า!AR213</f>
        <v>0</v>
      </c>
      <c r="AC204" s="8">
        <f>[2]หน้าผ้า!AS213</f>
        <v>0</v>
      </c>
      <c r="AD204" s="8" t="str">
        <f>[2]หน้าผ้า!AT213</f>
        <v xml:space="preserve"> </v>
      </c>
      <c r="AE204" s="8">
        <f>[2]หน้าผ้า!AU213</f>
        <v>0</v>
      </c>
      <c r="AF204" s="8">
        <f>[2]หน้าผ้า!AI213</f>
        <v>0</v>
      </c>
      <c r="AG204" s="1">
        <f>[3]หน้าผ้า!DC216</f>
        <v>0</v>
      </c>
      <c r="AH204" s="1" t="str">
        <f>[2]หน้าผ้า!DL213</f>
        <v>P4</v>
      </c>
      <c r="AI204" s="1">
        <f>[2]หน้าผ้า!DM213</f>
        <v>3</v>
      </c>
      <c r="AJ204" s="3">
        <f>[2]หน้าผ้า!DN213</f>
        <v>0</v>
      </c>
      <c r="AK204" s="3">
        <f>[2]หน้าผ้า!DQ213</f>
        <v>0</v>
      </c>
      <c r="AL204" s="3">
        <f>[2]หน้าผ้า!DR213</f>
        <v>-10</v>
      </c>
      <c r="AM204" s="3">
        <f>[2]หน้าผ้า!DS213</f>
        <v>-3</v>
      </c>
      <c r="AN204" s="3">
        <f>[2]หน้าผ้า!DT213</f>
        <v>0</v>
      </c>
      <c r="AO204" s="3">
        <f>[2]หน้าผ้า!DU213</f>
        <v>-2</v>
      </c>
      <c r="AP204" s="3">
        <f>[2]หน้าผ้า!DP213</f>
        <v>-5</v>
      </c>
      <c r="AQ204" s="3">
        <f>[2]หน้าผ้า!DW213</f>
        <v>-1</v>
      </c>
      <c r="AR204" s="3">
        <f>[2]หน้าผ้า!DX213</f>
        <v>0</v>
      </c>
      <c r="AS204" s="3">
        <f>[2]หน้าผ้า!DY213</f>
        <v>0</v>
      </c>
      <c r="AT204" s="3">
        <f>[2]หน้าผ้า!DZ213</f>
        <v>0</v>
      </c>
      <c r="AU204" s="3">
        <f>[2]หน้าผ้า!EA213</f>
        <v>0</v>
      </c>
      <c r="AV204" s="1">
        <f>[2]หน้าผ้า!EB213</f>
        <v>0</v>
      </c>
      <c r="AW204" s="2" t="str">
        <f>[2]หน้าผ้า!EC213</f>
        <v>งานพิมพ์</v>
      </c>
      <c r="AX204" s="2">
        <f>[2]หน้าผ้า!ED213</f>
        <v>0</v>
      </c>
      <c r="AY204" s="2">
        <f>[2]หน้าผ้า!AG213</f>
        <v>0</v>
      </c>
      <c r="AZ204" s="2">
        <f>[2]หน้าผ้า!EG213</f>
        <v>0</v>
      </c>
      <c r="BA204" s="2">
        <f>[2]หน้าผ้า!EH213</f>
        <v>0</v>
      </c>
      <c r="BB204" s="2">
        <f>[2]หน้าผ้า!EI213</f>
        <v>0</v>
      </c>
      <c r="BC204" s="1">
        <f>[2]หน้าผ้า!BZ213</f>
        <v>0</v>
      </c>
      <c r="BD204" s="56">
        <f>[2]หน้าผ้า!CA213</f>
        <v>0</v>
      </c>
    </row>
    <row r="205" spans="1:56" ht="27.75" customHeight="1" x14ac:dyDescent="0.45">
      <c r="A205" s="3">
        <f>[2]หน้าผ้า!C214</f>
        <v>0</v>
      </c>
      <c r="B205" s="14">
        <f>[2]หน้าผ้า!B214</f>
        <v>0</v>
      </c>
      <c r="C205" s="9" t="str">
        <f>[2]หน้าผ้า!E214</f>
        <v xml:space="preserve">        /         /        .</v>
      </c>
      <c r="D205" s="13">
        <f>[2]หน้าผ้า!F214</f>
        <v>0</v>
      </c>
      <c r="E205" s="9">
        <f>[2]หน้าผ้า!G214</f>
        <v>0</v>
      </c>
      <c r="F205" s="9">
        <f>[2]หน้าผ้า!H214</f>
        <v>0</v>
      </c>
      <c r="G205" s="9">
        <f>[2]หน้าผ้า!I214</f>
        <v>0</v>
      </c>
      <c r="H205" s="9">
        <f>[2]หน้าผ้า!J214</f>
        <v>0</v>
      </c>
      <c r="I205" s="9">
        <f>[2]หน้าผ้า!L214</f>
        <v>0</v>
      </c>
      <c r="J205" s="9" t="str">
        <f>[2]หน้าผ้า!M214</f>
        <v>ผู้จัดการฝ่ายผลิต</v>
      </c>
      <c r="K205" s="9">
        <f>[2]หน้าผ้า!N214</f>
        <v>0</v>
      </c>
      <c r="L205" s="9">
        <f>[2]หน้าผ้า!R214</f>
        <v>0</v>
      </c>
      <c r="M205" s="10">
        <f>[2]หน้าผ้า!T214</f>
        <v>0</v>
      </c>
      <c r="N205" s="9">
        <f>[2]หน้าผ้า!U214</f>
        <v>0</v>
      </c>
      <c r="O205" s="9" t="str">
        <f>[2]หน้าผ้า!V214</f>
        <v xml:space="preserve"> </v>
      </c>
      <c r="P205" s="10">
        <f>[2]หน้าผ้า!AB214</f>
        <v>0</v>
      </c>
      <c r="Q205" s="10">
        <f>[2]หน้าผ้า!AC214</f>
        <v>0</v>
      </c>
      <c r="R205" s="10">
        <f>[2]หน้าผ้า!AD214</f>
        <v>0</v>
      </c>
      <c r="S205" s="9">
        <f>[2]หน้าผ้า!Z214</f>
        <v>0</v>
      </c>
      <c r="T205" s="12">
        <f>[2]หน้าผ้า!X214</f>
        <v>0</v>
      </c>
      <c r="U205" s="11">
        <f>[2]หน้าผ้า!AA214</f>
        <v>0</v>
      </c>
      <c r="V205" s="10">
        <f>[2]หน้าผ้า!AJ214</f>
        <v>0</v>
      </c>
      <c r="W205" s="10">
        <f>[2]หน้าผ้า!AL214</f>
        <v>0</v>
      </c>
      <c r="X205" s="10">
        <f>[2]หน้าผ้า!AM214</f>
        <v>0</v>
      </c>
      <c r="Y205" s="10">
        <f>[2]หน้าผ้า!AN214</f>
        <v>0</v>
      </c>
      <c r="Z205" s="9">
        <f>[2]หน้าผ้า!AO214</f>
        <v>0</v>
      </c>
      <c r="AA205" s="8">
        <f>[2]หน้าผ้า!AQ214</f>
        <v>0</v>
      </c>
      <c r="AB205" s="8">
        <f>[2]หน้าผ้า!AR214</f>
        <v>0</v>
      </c>
      <c r="AC205" s="8">
        <f>[2]หน้าผ้า!AS214</f>
        <v>0</v>
      </c>
      <c r="AD205" s="8">
        <f>[2]หน้าผ้า!AT214</f>
        <v>0</v>
      </c>
      <c r="AE205" s="8">
        <f>[2]หน้าผ้า!AU214</f>
        <v>0</v>
      </c>
      <c r="AF205" s="8">
        <f>[2]หน้าผ้า!AI214</f>
        <v>0</v>
      </c>
      <c r="AG205" s="1">
        <f>[3]หน้าผ้า!DC217</f>
        <v>0</v>
      </c>
      <c r="AH205" s="1" t="str">
        <f>[2]หน้าผ้า!DL214</f>
        <v>P7</v>
      </c>
      <c r="AI205" s="1">
        <f>[2]หน้าผ้า!DM214</f>
        <v>2</v>
      </c>
      <c r="AJ205" s="3">
        <f>[2]หน้าผ้า!DN214</f>
        <v>0</v>
      </c>
      <c r="AK205" s="3">
        <f>[2]หน้าผ้า!DQ214</f>
        <v>0</v>
      </c>
      <c r="AL205" s="3">
        <f>[2]หน้าผ้า!DR214</f>
        <v>-9</v>
      </c>
      <c r="AM205" s="3">
        <f>[2]หน้าผ้า!DS214</f>
        <v>-2</v>
      </c>
      <c r="AN205" s="3">
        <f>[2]หน้าผ้า!DT214</f>
        <v>-1</v>
      </c>
      <c r="AO205" s="3">
        <f>[2]หน้าผ้า!DU214</f>
        <v>-1</v>
      </c>
      <c r="AP205" s="3">
        <f>[2]หน้าผ้า!DP214</f>
        <v>-5</v>
      </c>
      <c r="AQ205" s="3">
        <f>[2]หน้าผ้า!DW214</f>
        <v>0</v>
      </c>
      <c r="AR205" s="3">
        <f>[2]หน้าผ้า!DX214</f>
        <v>0</v>
      </c>
      <c r="AS205" s="3">
        <f>[2]หน้าผ้า!DY214</f>
        <v>0</v>
      </c>
      <c r="AT205" s="3">
        <f>[2]หน้าผ้า!DZ214</f>
        <v>0</v>
      </c>
      <c r="AU205" s="3">
        <f>[2]หน้าผ้า!EA214</f>
        <v>0</v>
      </c>
      <c r="AV205" s="1">
        <f>[2]หน้าผ้า!EB214</f>
        <v>0</v>
      </c>
      <c r="AW205" s="2" t="str">
        <f>[2]หน้าผ้า!EC214</f>
        <v>งานพิมพ์</v>
      </c>
      <c r="AX205" s="2">
        <f>[2]หน้าผ้า!ED214</f>
        <v>0</v>
      </c>
      <c r="AY205" s="2">
        <f>[2]หน้าผ้า!AG214</f>
        <v>0</v>
      </c>
      <c r="AZ205" s="2">
        <f>[2]หน้าผ้า!EG214</f>
        <v>0</v>
      </c>
      <c r="BA205" s="2">
        <f>[2]หน้าผ้า!EH214</f>
        <v>0</v>
      </c>
      <c r="BB205" s="2">
        <f>[2]หน้าผ้า!EI214</f>
        <v>0</v>
      </c>
      <c r="BC205" s="1">
        <f>[2]หน้าผ้า!BZ214</f>
        <v>0</v>
      </c>
      <c r="BD205" s="56">
        <f>[2]หน้าผ้า!CA214</f>
        <v>0</v>
      </c>
    </row>
    <row r="206" spans="1:56" ht="27.75" customHeight="1" x14ac:dyDescent="0.45">
      <c r="A206" s="3">
        <f>[2]หน้าผ้า!C215</f>
        <v>0</v>
      </c>
      <c r="B206" s="14">
        <f>[2]หน้าผ้า!B215</f>
        <v>0</v>
      </c>
      <c r="C206" s="9">
        <f>[2]หน้าผ้า!E215</f>
        <v>0</v>
      </c>
      <c r="D206" s="13">
        <f>[2]หน้าผ้า!F215</f>
        <v>0</v>
      </c>
      <c r="E206" s="9">
        <f>[2]หน้าผ้า!G215</f>
        <v>0</v>
      </c>
      <c r="F206" s="9">
        <f>[2]หน้าผ้า!H215</f>
        <v>0</v>
      </c>
      <c r="G206" s="9">
        <f>[2]หน้าผ้า!I215</f>
        <v>0</v>
      </c>
      <c r="H206" s="9">
        <f>[2]หน้าผ้า!J215</f>
        <v>0</v>
      </c>
      <c r="I206" s="9">
        <f>[2]หน้าผ้า!L215</f>
        <v>0</v>
      </c>
      <c r="J206" s="9" t="str">
        <f>[2]หน้าผ้า!M215</f>
        <v xml:space="preserve">        /         /        .</v>
      </c>
      <c r="K206" s="9">
        <f>[2]หน้าผ้า!N215</f>
        <v>0</v>
      </c>
      <c r="L206" s="9">
        <f>[2]หน้าผ้า!R215</f>
        <v>0</v>
      </c>
      <c r="M206" s="10">
        <f>[2]หน้าผ้า!T215</f>
        <v>0</v>
      </c>
      <c r="N206" s="9">
        <f>[2]หน้าผ้า!U215</f>
        <v>0</v>
      </c>
      <c r="O206" s="9">
        <f>[2]หน้าผ้า!V215</f>
        <v>0</v>
      </c>
      <c r="P206" s="10">
        <f>[2]หน้าผ้า!AB215</f>
        <v>0</v>
      </c>
      <c r="Q206" s="10">
        <f>[2]หน้าผ้า!AC215</f>
        <v>0</v>
      </c>
      <c r="R206" s="10">
        <f>[2]หน้าผ้า!AD215</f>
        <v>0</v>
      </c>
      <c r="S206" s="9">
        <f>[2]หน้าผ้า!Z215</f>
        <v>0</v>
      </c>
      <c r="T206" s="12">
        <f>[2]หน้าผ้า!X215</f>
        <v>0</v>
      </c>
      <c r="U206" s="11">
        <f>[2]หน้าผ้า!AA215</f>
        <v>0</v>
      </c>
      <c r="V206" s="10">
        <f>[2]หน้าผ้า!AJ215</f>
        <v>0</v>
      </c>
      <c r="W206" s="10">
        <f>[2]หน้าผ้า!AL215</f>
        <v>0</v>
      </c>
      <c r="X206" s="10">
        <f>[2]หน้าผ้า!AM215</f>
        <v>0</v>
      </c>
      <c r="Y206" s="10">
        <f>[2]หน้าผ้า!AN215</f>
        <v>0</v>
      </c>
      <c r="Z206" s="9">
        <f>[2]หน้าผ้า!AO215</f>
        <v>0</v>
      </c>
      <c r="AA206" s="8">
        <f>[2]หน้าผ้า!AQ215</f>
        <v>0</v>
      </c>
      <c r="AB206" s="8">
        <f>[2]หน้าผ้า!AR215</f>
        <v>0</v>
      </c>
      <c r="AC206" s="8">
        <f>[2]หน้าผ้า!AS215</f>
        <v>0</v>
      </c>
      <c r="AD206" s="8">
        <f>[2]หน้าผ้า!AT215</f>
        <v>0</v>
      </c>
      <c r="AE206" s="8">
        <f>[2]หน้าผ้า!AU215</f>
        <v>0</v>
      </c>
      <c r="AF206" s="8">
        <f>[2]หน้าผ้า!AI215</f>
        <v>0</v>
      </c>
      <c r="AG206" s="1">
        <f>[3]หน้าผ้า!DC218</f>
        <v>0</v>
      </c>
      <c r="AH206" s="1" t="str">
        <f>[2]หน้าผ้า!DL215</f>
        <v>P8</v>
      </c>
      <c r="AI206" s="1">
        <f>[2]หน้าผ้า!DM215</f>
        <v>4</v>
      </c>
      <c r="AJ206" s="3">
        <f>[2]หน้าผ้า!DN215</f>
        <v>0</v>
      </c>
      <c r="AK206" s="3">
        <f>[2]หน้าผ้า!DQ215</f>
        <v>-4</v>
      </c>
      <c r="AL206" s="3">
        <f>[2]หน้าผ้า!DR215</f>
        <v>-10</v>
      </c>
      <c r="AM206" s="3">
        <f>[2]หน้าผ้า!DS215</f>
        <v>-3</v>
      </c>
      <c r="AN206" s="3">
        <f>[2]หน้าผ้า!DT215</f>
        <v>-2</v>
      </c>
      <c r="AO206" s="3">
        <f>[2]หน้าผ้า!DU215</f>
        <v>-2</v>
      </c>
      <c r="AP206" s="3">
        <f>[2]หน้าผ้า!DP215</f>
        <v>-5</v>
      </c>
      <c r="AQ206" s="3">
        <f>[2]หน้าผ้า!DW215</f>
        <v>-1</v>
      </c>
      <c r="AR206" s="3">
        <f>[2]หน้าผ้า!DX215</f>
        <v>0</v>
      </c>
      <c r="AS206" s="3">
        <f>[2]หน้าผ้า!DY215</f>
        <v>0</v>
      </c>
      <c r="AT206" s="3">
        <f>[2]หน้าผ้า!DZ215</f>
        <v>0</v>
      </c>
      <c r="AU206" s="3">
        <f>[2]หน้าผ้า!EA215</f>
        <v>0</v>
      </c>
      <c r="AV206" s="1">
        <f>[2]หน้าผ้า!EB215</f>
        <v>0</v>
      </c>
      <c r="AW206" s="2" t="str">
        <f>[2]หน้าผ้า!EC215</f>
        <v>งานเคลือบ+พิมพ์</v>
      </c>
      <c r="AX206" s="2">
        <f>[2]หน้าผ้า!ED215</f>
        <v>0</v>
      </c>
      <c r="AY206" s="2">
        <f>[2]หน้าผ้า!AG215</f>
        <v>0</v>
      </c>
      <c r="AZ206" s="2">
        <f>[2]หน้าผ้า!EG215</f>
        <v>0</v>
      </c>
      <c r="BA206" s="2">
        <f>[2]หน้าผ้า!EH215</f>
        <v>0</v>
      </c>
      <c r="BB206" s="2">
        <f>[2]หน้าผ้า!EI215</f>
        <v>0</v>
      </c>
      <c r="BC206" s="1">
        <f>[2]หน้าผ้า!BZ215</f>
        <v>0</v>
      </c>
      <c r="BD206" s="56">
        <f>[2]หน้าผ้า!CA215</f>
        <v>0</v>
      </c>
    </row>
    <row r="207" spans="1:56" ht="27.75" customHeight="1" x14ac:dyDescent="0.45">
      <c r="A207" s="3">
        <f>[2]หน้าผ้า!C216</f>
        <v>0</v>
      </c>
      <c r="B207" s="14">
        <f>[2]หน้าผ้า!B216</f>
        <v>0</v>
      </c>
      <c r="C207" s="9">
        <f>[2]หน้าผ้า!E216</f>
        <v>0</v>
      </c>
      <c r="D207" s="13" t="str">
        <f>[2]หน้าผ้า!F216</f>
        <v xml:space="preserve"> </v>
      </c>
      <c r="E207" s="9" t="str">
        <f>[2]หน้าผ้า!G216</f>
        <v xml:space="preserve"> </v>
      </c>
      <c r="F207" s="9">
        <f>[2]หน้าผ้า!H216</f>
        <v>0</v>
      </c>
      <c r="G207" s="9">
        <f>[2]หน้าผ้า!I216</f>
        <v>0</v>
      </c>
      <c r="H207" s="9">
        <f>[2]หน้าผ้า!J216</f>
        <v>0</v>
      </c>
      <c r="I207" s="9">
        <f>[2]หน้าผ้า!L216</f>
        <v>0</v>
      </c>
      <c r="J207" s="9">
        <f>[2]หน้าผ้า!M216</f>
        <v>0</v>
      </c>
      <c r="K207" s="9">
        <f>[2]หน้าผ้า!N216</f>
        <v>0</v>
      </c>
      <c r="L207" s="9">
        <f>[2]หน้าผ้า!R216</f>
        <v>0</v>
      </c>
      <c r="M207" s="10">
        <f>[2]หน้าผ้า!T216</f>
        <v>0</v>
      </c>
      <c r="N207" s="9">
        <f>[2]หน้าผ้า!U216</f>
        <v>0</v>
      </c>
      <c r="O207" s="9">
        <f>[2]หน้าผ้า!V216</f>
        <v>0</v>
      </c>
      <c r="P207" s="10">
        <f>[2]หน้าผ้า!AB216</f>
        <v>0</v>
      </c>
      <c r="Q207" s="10">
        <f>[2]หน้าผ้า!AC216</f>
        <v>0</v>
      </c>
      <c r="R207" s="10">
        <f>[2]หน้าผ้า!AD216</f>
        <v>0</v>
      </c>
      <c r="S207" s="9">
        <f>[2]หน้าผ้า!Z216</f>
        <v>0</v>
      </c>
      <c r="T207" s="12">
        <f>[2]หน้าผ้า!X216</f>
        <v>0</v>
      </c>
      <c r="U207" s="11">
        <f>[2]หน้าผ้า!AA216</f>
        <v>0</v>
      </c>
      <c r="V207" s="10">
        <f>[2]หน้าผ้า!AJ216</f>
        <v>0</v>
      </c>
      <c r="W207" s="10">
        <f>[2]หน้าผ้า!AL216</f>
        <v>0</v>
      </c>
      <c r="X207" s="10">
        <f>[2]หน้าผ้า!AM216</f>
        <v>0</v>
      </c>
      <c r="Y207" s="10">
        <f>[2]หน้าผ้า!AN216</f>
        <v>0</v>
      </c>
      <c r="Z207" s="9">
        <f>[2]หน้าผ้า!AO216</f>
        <v>0</v>
      </c>
      <c r="AA207" s="8">
        <f>[2]หน้าผ้า!AQ216</f>
        <v>0</v>
      </c>
      <c r="AB207" s="8">
        <f>[2]หน้าผ้า!AR216</f>
        <v>0</v>
      </c>
      <c r="AC207" s="8">
        <f>[2]หน้าผ้า!AS216</f>
        <v>0</v>
      </c>
      <c r="AD207" s="8">
        <f>[2]หน้าผ้า!AT216</f>
        <v>0</v>
      </c>
      <c r="AE207" s="8">
        <f>[2]หน้าผ้า!AU216</f>
        <v>0</v>
      </c>
      <c r="AF207" s="8">
        <f>[2]หน้าผ้า!AI216</f>
        <v>0</v>
      </c>
      <c r="AG207" s="1">
        <f>[3]หน้าผ้า!DC219</f>
        <v>0</v>
      </c>
      <c r="AH207" s="1" t="str">
        <f>[2]หน้าผ้า!DL216</f>
        <v>P13</v>
      </c>
      <c r="AI207" s="1">
        <f>[2]หน้าผ้า!DM216</f>
        <v>2</v>
      </c>
      <c r="AJ207" s="3">
        <f>[2]หน้าผ้า!DN216</f>
        <v>0</v>
      </c>
      <c r="AK207" s="3">
        <f>[2]หน้าผ้า!DQ216</f>
        <v>0</v>
      </c>
      <c r="AL207" s="3">
        <f>[2]หน้าผ้า!DR216</f>
        <v>0</v>
      </c>
      <c r="AM207" s="3">
        <f>[2]หน้าผ้า!DS216</f>
        <v>0</v>
      </c>
      <c r="AN207" s="3">
        <f>[2]หน้าผ้า!DT216</f>
        <v>0</v>
      </c>
      <c r="AO207" s="3">
        <f>[2]หน้าผ้า!DU216</f>
        <v>-2</v>
      </c>
      <c r="AP207" s="3">
        <f>[2]หน้าผ้า!DP216</f>
        <v>-5</v>
      </c>
      <c r="AQ207" s="3">
        <f>[2]หน้าผ้า!DW216</f>
        <v>-1</v>
      </c>
      <c r="AR207" s="3">
        <f>[2]หน้าผ้า!DX216</f>
        <v>0</v>
      </c>
      <c r="AS207" s="3">
        <f>[2]หน้าผ้า!DY216</f>
        <v>0</v>
      </c>
      <c r="AT207" s="3">
        <f>[2]หน้าผ้า!DZ216</f>
        <v>0</v>
      </c>
      <c r="AU207" s="3">
        <f>[2]หน้าผ้า!EA216</f>
        <v>0</v>
      </c>
      <c r="AV207" s="1">
        <f>[2]หน้าผ้า!EB216</f>
        <v>0</v>
      </c>
      <c r="AW207" s="2" t="str">
        <f>[2]หน้าผ้า!EC216</f>
        <v>ตัด</v>
      </c>
      <c r="AX207" s="2">
        <f>[2]หน้าผ้า!ED216</f>
        <v>0</v>
      </c>
      <c r="AY207" s="2">
        <f>[2]หน้าผ้า!AG216</f>
        <v>0</v>
      </c>
      <c r="AZ207" s="2">
        <f>[2]หน้าผ้า!EG216</f>
        <v>0</v>
      </c>
      <c r="BA207" s="2">
        <f>[2]หน้าผ้า!EH216</f>
        <v>0</v>
      </c>
      <c r="BB207" s="2">
        <f>[2]หน้าผ้า!EI216</f>
        <v>0</v>
      </c>
      <c r="BC207" s="1">
        <f>[2]หน้าผ้า!BZ216</f>
        <v>0</v>
      </c>
      <c r="BD207" s="56">
        <f>[2]หน้าผ้า!CA216</f>
        <v>0</v>
      </c>
    </row>
    <row r="208" spans="1:56" ht="27.75" customHeight="1" x14ac:dyDescent="0.45">
      <c r="A208" s="3">
        <f>[2]หน้าผ้า!C217</f>
        <v>0</v>
      </c>
      <c r="B208" s="14">
        <f>[2]หน้าผ้า!B217</f>
        <v>0</v>
      </c>
      <c r="C208" s="9">
        <f>[2]หน้าผ้า!E217</f>
        <v>0</v>
      </c>
      <c r="D208" s="13">
        <f>[2]หน้าผ้า!F217</f>
        <v>0</v>
      </c>
      <c r="E208" s="9">
        <f>[2]หน้าผ้า!G217</f>
        <v>0</v>
      </c>
      <c r="F208" s="9">
        <f>[2]หน้าผ้า!H217</f>
        <v>0</v>
      </c>
      <c r="G208" s="9">
        <f>[2]หน้าผ้า!I217</f>
        <v>0</v>
      </c>
      <c r="H208" s="9">
        <f>[2]หน้าผ้า!J217</f>
        <v>0</v>
      </c>
      <c r="I208" s="9">
        <f>[2]หน้าผ้า!L217</f>
        <v>0</v>
      </c>
      <c r="J208" s="9">
        <f>[2]หน้าผ้า!M217</f>
        <v>0</v>
      </c>
      <c r="K208" s="9">
        <f>[2]หน้าผ้า!N217</f>
        <v>0</v>
      </c>
      <c r="L208" s="9">
        <f>[2]หน้าผ้า!R217</f>
        <v>0</v>
      </c>
      <c r="M208" s="10">
        <f>[2]หน้าผ้า!T217</f>
        <v>0</v>
      </c>
      <c r="N208" s="9">
        <f>[2]หน้าผ้า!U217</f>
        <v>0</v>
      </c>
      <c r="O208" s="9" t="str">
        <f>[2]หน้าผ้า!V217</f>
        <v xml:space="preserve"> </v>
      </c>
      <c r="P208" s="10">
        <f>[2]หน้าผ้า!AB217</f>
        <v>0</v>
      </c>
      <c r="Q208" s="10">
        <f>[2]หน้าผ้า!AC217</f>
        <v>0</v>
      </c>
      <c r="R208" s="10">
        <f>[2]หน้าผ้า!AD217</f>
        <v>0</v>
      </c>
      <c r="S208" s="9">
        <f>[2]หน้าผ้า!Z217</f>
        <v>0</v>
      </c>
      <c r="T208" s="12">
        <f>[2]หน้าผ้า!X217</f>
        <v>0</v>
      </c>
      <c r="U208" s="11">
        <f>[2]หน้าผ้า!AA217</f>
        <v>0</v>
      </c>
      <c r="V208" s="10">
        <f>[2]หน้าผ้า!AJ217</f>
        <v>0</v>
      </c>
      <c r="W208" s="10">
        <f>[2]หน้าผ้า!AL217</f>
        <v>0</v>
      </c>
      <c r="X208" s="10">
        <f>[2]หน้าผ้า!AM217</f>
        <v>0</v>
      </c>
      <c r="Y208" s="10">
        <f>[2]หน้าผ้า!AN217</f>
        <v>0</v>
      </c>
      <c r="Z208" s="9">
        <f>[2]หน้าผ้า!AO217</f>
        <v>0</v>
      </c>
      <c r="AA208" s="8">
        <f>[2]หน้าผ้า!AQ217</f>
        <v>0</v>
      </c>
      <c r="AB208" s="8">
        <f>[2]หน้าผ้า!AR217</f>
        <v>0</v>
      </c>
      <c r="AC208" s="8">
        <f>[2]หน้าผ้า!AS217</f>
        <v>0</v>
      </c>
      <c r="AD208" s="8">
        <f>[2]หน้าผ้า!AT217</f>
        <v>0</v>
      </c>
      <c r="AE208" s="8">
        <f>[2]หน้าผ้า!AU217</f>
        <v>0</v>
      </c>
      <c r="AF208" s="8">
        <f>[2]หน้าผ้า!AI217</f>
        <v>0</v>
      </c>
      <c r="AG208" s="1">
        <f>[3]หน้าผ้า!DC220</f>
        <v>0</v>
      </c>
      <c r="AH208" s="1" t="str">
        <f>[2]หน้าผ้า!DL217</f>
        <v>P10</v>
      </c>
      <c r="AI208" s="1">
        <f>[2]หน้าผ้า!DM217</f>
        <v>3</v>
      </c>
      <c r="AJ208" s="3">
        <f>[2]หน้าผ้า!DN217</f>
        <v>0</v>
      </c>
      <c r="AK208" s="3">
        <f>[2]หน้าผ้า!DQ217</f>
        <v>-3</v>
      </c>
      <c r="AL208" s="3">
        <f>[2]หน้าผ้า!DR217</f>
        <v>-9</v>
      </c>
      <c r="AM208" s="3">
        <f>[2]หน้าผ้า!DS217</f>
        <v>-2</v>
      </c>
      <c r="AN208" s="3">
        <f>[2]หน้าผ้า!DT217</f>
        <v>0</v>
      </c>
      <c r="AO208" s="3">
        <f>[2]หน้าผ้า!DU217</f>
        <v>-1</v>
      </c>
      <c r="AP208" s="3">
        <f>[2]หน้าผ้า!DP217</f>
        <v>-5</v>
      </c>
      <c r="AQ208" s="3">
        <f>[2]หน้าผ้า!DW217</f>
        <v>0</v>
      </c>
      <c r="AR208" s="3">
        <f>[2]หน้าผ้า!DX217</f>
        <v>0</v>
      </c>
      <c r="AS208" s="3">
        <f>[2]หน้าผ้า!DY217</f>
        <v>0</v>
      </c>
      <c r="AT208" s="3">
        <f>[2]หน้าผ้า!DZ217</f>
        <v>0</v>
      </c>
      <c r="AU208" s="3">
        <f>[2]หน้าผ้า!EA217</f>
        <v>0</v>
      </c>
      <c r="AV208" s="1">
        <f>[2]หน้าผ้า!EB217</f>
        <v>0</v>
      </c>
      <c r="AW208" s="2" t="str">
        <f>[2]หน้าผ้า!EC217</f>
        <v>งานเคลือบ+พิมพ์</v>
      </c>
      <c r="AX208" s="2">
        <f>[2]หน้าผ้า!ED217</f>
        <v>0</v>
      </c>
      <c r="AY208" s="2">
        <f>[2]หน้าผ้า!AG217</f>
        <v>0</v>
      </c>
      <c r="AZ208" s="2">
        <f>[2]หน้าผ้า!EG217</f>
        <v>0</v>
      </c>
      <c r="BA208" s="2">
        <f>[2]หน้าผ้า!EH217</f>
        <v>0</v>
      </c>
      <c r="BB208" s="2">
        <f>[2]หน้าผ้า!EI217</f>
        <v>0</v>
      </c>
      <c r="BC208" s="1">
        <f>[2]หน้าผ้า!BZ217</f>
        <v>0</v>
      </c>
      <c r="BD208" s="56">
        <f>[2]หน้าผ้า!CA217</f>
        <v>0</v>
      </c>
    </row>
    <row r="209" spans="1:56" ht="27.75" customHeight="1" x14ac:dyDescent="0.45">
      <c r="A209" s="3">
        <f>[2]หน้าผ้า!C218</f>
        <v>0</v>
      </c>
      <c r="B209" s="14">
        <f>[2]หน้าผ้า!B218</f>
        <v>0</v>
      </c>
      <c r="C209" s="9">
        <f>[2]หน้าผ้า!E218</f>
        <v>0</v>
      </c>
      <c r="D209" s="13">
        <f>[2]หน้าผ้า!F218</f>
        <v>0</v>
      </c>
      <c r="E209" s="9">
        <f>[2]หน้าผ้า!G218</f>
        <v>0</v>
      </c>
      <c r="F209" s="9">
        <f>[2]หน้าผ้า!H218</f>
        <v>0</v>
      </c>
      <c r="G209" s="9">
        <f>[2]หน้าผ้า!I218</f>
        <v>0</v>
      </c>
      <c r="H209" s="9">
        <f>[2]หน้าผ้า!J218</f>
        <v>0</v>
      </c>
      <c r="I209" s="9">
        <f>[2]หน้าผ้า!L218</f>
        <v>0</v>
      </c>
      <c r="J209" s="9">
        <f>[2]หน้าผ้า!M218</f>
        <v>0</v>
      </c>
      <c r="K209" s="9">
        <f>[2]หน้าผ้า!N218</f>
        <v>0</v>
      </c>
      <c r="L209" s="9">
        <f>[2]หน้าผ้า!R218</f>
        <v>0</v>
      </c>
      <c r="M209" s="10">
        <f>[2]หน้าผ้า!T218</f>
        <v>0</v>
      </c>
      <c r="N209" s="9">
        <f>[2]หน้าผ้า!U218</f>
        <v>0</v>
      </c>
      <c r="O209" s="9">
        <f>[2]หน้าผ้า!V218</f>
        <v>0</v>
      </c>
      <c r="P209" s="10">
        <f>[2]หน้าผ้า!AB218</f>
        <v>0</v>
      </c>
      <c r="Q209" s="10">
        <f>[2]หน้าผ้า!AC218</f>
        <v>0</v>
      </c>
      <c r="R209" s="10">
        <f>[2]หน้าผ้า!AD218</f>
        <v>0</v>
      </c>
      <c r="S209" s="9">
        <f>[2]หน้าผ้า!Z218</f>
        <v>0</v>
      </c>
      <c r="T209" s="12">
        <f>[2]หน้าผ้า!X218</f>
        <v>0</v>
      </c>
      <c r="U209" s="11" t="str">
        <f>[2]หน้าผ้า!AA218</f>
        <v xml:space="preserve"> </v>
      </c>
      <c r="V209" s="10" t="str">
        <f>[2]หน้าผ้า!AJ218</f>
        <v>.</v>
      </c>
      <c r="W209" s="10">
        <f>[2]หน้าผ้า!AL218</f>
        <v>0</v>
      </c>
      <c r="X209" s="10">
        <f>[2]หน้าผ้า!AM218</f>
        <v>0</v>
      </c>
      <c r="Y209" s="10">
        <f>[2]หน้าผ้า!AN218</f>
        <v>0</v>
      </c>
      <c r="Z209" s="9">
        <f>[2]หน้าผ้า!AO218</f>
        <v>0</v>
      </c>
      <c r="AA209" s="8">
        <f>[2]หน้าผ้า!AQ218</f>
        <v>0</v>
      </c>
      <c r="AB209" s="8">
        <f>[2]หน้าผ้า!AR218</f>
        <v>0</v>
      </c>
      <c r="AC209" s="8">
        <f>[2]หน้าผ้า!AS218</f>
        <v>0</v>
      </c>
      <c r="AD209" s="8">
        <f>[2]หน้าผ้า!AT218</f>
        <v>0</v>
      </c>
      <c r="AE209" s="8">
        <f>[2]หน้าผ้า!AU218</f>
        <v>0</v>
      </c>
      <c r="AF209" s="8">
        <f>[2]หน้าผ้า!AI218</f>
        <v>0</v>
      </c>
      <c r="AG209" s="1">
        <f>[3]หน้าผ้า!DC221</f>
        <v>0</v>
      </c>
      <c r="AH209" s="1">
        <f>[2]หน้าผ้า!DL218</f>
        <v>0</v>
      </c>
      <c r="AI209" s="1" t="str">
        <f>[2]หน้าผ้า!DM218</f>
        <v>Lead time</v>
      </c>
      <c r="AJ209" s="3">
        <f>[2]หน้าผ้า!DN218</f>
        <v>0</v>
      </c>
      <c r="AK209" s="3">
        <f>[2]หน้าผ้า!DQ218</f>
        <v>0</v>
      </c>
      <c r="AL209" s="3">
        <f>[2]หน้าผ้า!DR218</f>
        <v>0</v>
      </c>
      <c r="AM209" s="3">
        <f>[2]หน้าผ้า!DS218</f>
        <v>0</v>
      </c>
      <c r="AN209" s="3">
        <f>[2]หน้าผ้า!DT218</f>
        <v>0</v>
      </c>
      <c r="AO209" s="3">
        <f>[2]หน้าผ้า!DU218</f>
        <v>0</v>
      </c>
      <c r="AP209" s="3">
        <f>[2]หน้าผ้า!DP218</f>
        <v>-5</v>
      </c>
      <c r="AQ209" s="3">
        <f>[2]หน้าผ้า!DW218</f>
        <v>0</v>
      </c>
      <c r="AR209" s="3">
        <f>[2]หน้าผ้า!DX218</f>
        <v>0</v>
      </c>
      <c r="AS209" s="3">
        <f>[2]หน้าผ้า!DY218</f>
        <v>0</v>
      </c>
      <c r="AT209" s="3">
        <f>[2]หน้าผ้า!DZ218</f>
        <v>0</v>
      </c>
      <c r="AU209" s="3">
        <f>[2]หน้าผ้า!EA218</f>
        <v>0</v>
      </c>
      <c r="AV209" s="1">
        <f>[2]หน้าผ้า!EB218</f>
        <v>0</v>
      </c>
      <c r="AW209" s="2">
        <f>[2]หน้าผ้า!EC218</f>
        <v>0</v>
      </c>
      <c r="AX209" s="2">
        <f>[2]หน้าผ้า!ED218</f>
        <v>0</v>
      </c>
      <c r="AY209" s="2">
        <f>[2]หน้าผ้า!AG218</f>
        <v>0</v>
      </c>
      <c r="AZ209" s="2">
        <f>[2]หน้าผ้า!EG218</f>
        <v>0</v>
      </c>
      <c r="BA209" s="2">
        <f>[2]หน้าผ้า!EH218</f>
        <v>0</v>
      </c>
      <c r="BB209" s="2">
        <f>[2]หน้าผ้า!EI218</f>
        <v>0</v>
      </c>
      <c r="BC209" s="1">
        <f>[2]หน้าผ้า!BZ218</f>
        <v>0</v>
      </c>
      <c r="BD209" s="56">
        <f>[2]หน้าผ้า!CA218</f>
        <v>0</v>
      </c>
    </row>
    <row r="210" spans="1:56" ht="27.75" customHeight="1" x14ac:dyDescent="0.45">
      <c r="A210" s="3">
        <f>[2]หน้าผ้า!C219</f>
        <v>0</v>
      </c>
      <c r="B210" s="14">
        <f>[2]หน้าผ้า!B219</f>
        <v>0</v>
      </c>
      <c r="C210" s="9">
        <f>[2]หน้าผ้า!E219</f>
        <v>0</v>
      </c>
      <c r="D210" s="13">
        <f>[2]หน้าผ้า!F219</f>
        <v>0</v>
      </c>
      <c r="E210" s="9">
        <f>[2]หน้าผ้า!G219</f>
        <v>0</v>
      </c>
      <c r="F210" s="9">
        <f>[2]หน้าผ้า!H219</f>
        <v>0</v>
      </c>
      <c r="G210" s="9">
        <f>[2]หน้าผ้า!I219</f>
        <v>0</v>
      </c>
      <c r="H210" s="9">
        <f>[2]หน้าผ้า!J219</f>
        <v>0</v>
      </c>
      <c r="I210" s="9">
        <f>[2]หน้าผ้า!L219</f>
        <v>0</v>
      </c>
      <c r="J210" s="9">
        <f>[2]หน้าผ้า!M219</f>
        <v>0</v>
      </c>
      <c r="K210" s="9">
        <f>[2]หน้าผ้า!N219</f>
        <v>0</v>
      </c>
      <c r="L210" s="9">
        <f>[2]หน้าผ้า!R219</f>
        <v>0</v>
      </c>
      <c r="M210" s="10">
        <f>[2]หน้าผ้า!T219</f>
        <v>0</v>
      </c>
      <c r="N210" s="9">
        <f>[2]หน้าผ้า!U219</f>
        <v>0</v>
      </c>
      <c r="O210" s="9">
        <f>[2]หน้าผ้า!V219</f>
        <v>0</v>
      </c>
      <c r="P210" s="10">
        <f>[2]หน้าผ้า!AB219</f>
        <v>0</v>
      </c>
      <c r="Q210" s="10">
        <f>[2]หน้าผ้า!AC219</f>
        <v>0</v>
      </c>
      <c r="R210" s="10">
        <f>[2]หน้าผ้า!AD219</f>
        <v>0</v>
      </c>
      <c r="S210" s="9">
        <f>[2]หน้าผ้า!Z219</f>
        <v>0</v>
      </c>
      <c r="T210" s="12">
        <f>[2]หน้าผ้า!X219</f>
        <v>0</v>
      </c>
      <c r="U210" s="11">
        <f>[2]หน้าผ้า!AA219</f>
        <v>0</v>
      </c>
      <c r="V210" s="10">
        <f>[2]หน้าผ้า!AJ219</f>
        <v>0</v>
      </c>
      <c r="W210" s="10">
        <f>[2]หน้าผ้า!AL219</f>
        <v>0</v>
      </c>
      <c r="X210" s="10">
        <f>[2]หน้าผ้า!AM219</f>
        <v>0</v>
      </c>
      <c r="Y210" s="10">
        <f>[2]หน้าผ้า!AN219</f>
        <v>0</v>
      </c>
      <c r="Z210" s="9">
        <f>[2]หน้าผ้า!AO219</f>
        <v>0</v>
      </c>
      <c r="AA210" s="8">
        <f>[2]หน้าผ้า!AQ219</f>
        <v>0</v>
      </c>
      <c r="AB210" s="8">
        <f>[2]หน้าผ้า!AR219</f>
        <v>0</v>
      </c>
      <c r="AC210" s="8">
        <f>[2]หน้าผ้า!AS219</f>
        <v>0</v>
      </c>
      <c r="AD210" s="8">
        <f>[2]หน้าผ้า!AT219</f>
        <v>0</v>
      </c>
      <c r="AE210" s="8">
        <f>[2]หน้าผ้า!AU219</f>
        <v>0</v>
      </c>
      <c r="AF210" s="8">
        <f>[2]หน้าผ้า!AI219</f>
        <v>0</v>
      </c>
      <c r="AG210" s="1">
        <f>[3]หน้าผ้า!DC222</f>
        <v>0</v>
      </c>
      <c r="AH210" s="1" t="str">
        <f>[2]หน้าผ้า!DL219</f>
        <v>P5.2</v>
      </c>
      <c r="AI210" s="1">
        <f>[2]หน้าผ้า!DM219</f>
        <v>4</v>
      </c>
      <c r="AJ210" s="3">
        <f>[2]หน้าผ้า!DN219</f>
        <v>0</v>
      </c>
      <c r="AK210" s="3">
        <f>[2]หน้าผ้า!DQ219</f>
        <v>0</v>
      </c>
      <c r="AL210" s="3">
        <f>[2]หน้าผ้า!DR219</f>
        <v>-11</v>
      </c>
      <c r="AM210" s="3">
        <f>[2]หน้าผ้า!DS219</f>
        <v>-4</v>
      </c>
      <c r="AN210" s="3">
        <f>[2]หน้าผ้า!DT219</f>
        <v>-3</v>
      </c>
      <c r="AO210" s="3">
        <f>[2]หน้าผ้า!DU219</f>
        <v>-3</v>
      </c>
      <c r="AP210" s="3">
        <f>[2]หน้าผ้า!DP219</f>
        <v>-15</v>
      </c>
      <c r="AQ210" s="3">
        <f>[2]หน้าผ้า!DW219</f>
        <v>-2</v>
      </c>
      <c r="AR210" s="3">
        <f>[2]หน้าผ้า!DX219</f>
        <v>-1</v>
      </c>
      <c r="AS210" s="3">
        <f>[2]หน้าผ้า!DY219</f>
        <v>0</v>
      </c>
      <c r="AT210" s="3">
        <f>[2]หน้าผ้า!DZ219</f>
        <v>0</v>
      </c>
      <c r="AU210" s="3">
        <f>[2]หน้าผ้า!EA219</f>
        <v>0</v>
      </c>
      <c r="AV210" s="1">
        <f>[2]หน้าผ้า!EB219</f>
        <v>0</v>
      </c>
      <c r="AW210" s="2">
        <f>[2]หน้าผ้า!EC219</f>
        <v>0</v>
      </c>
      <c r="AX210" s="2">
        <f>[2]หน้าผ้า!ED219</f>
        <v>0</v>
      </c>
      <c r="AY210" s="2">
        <f>[2]หน้าผ้า!AG219</f>
        <v>0</v>
      </c>
      <c r="AZ210" s="2">
        <f>[2]หน้าผ้า!EG219</f>
        <v>0</v>
      </c>
      <c r="BA210" s="2">
        <f>[2]หน้าผ้า!EH219</f>
        <v>0</v>
      </c>
      <c r="BB210" s="2">
        <f>[2]หน้าผ้า!EI219</f>
        <v>0</v>
      </c>
      <c r="BC210" s="1">
        <f>[2]หน้าผ้า!BZ219</f>
        <v>0</v>
      </c>
      <c r="BD210" s="56">
        <f>[2]หน้าผ้า!CA219</f>
        <v>0</v>
      </c>
    </row>
    <row r="211" spans="1:56" ht="27.75" customHeight="1" x14ac:dyDescent="0.45">
      <c r="A211" s="3">
        <f>[2]หน้าผ้า!C220</f>
        <v>0</v>
      </c>
      <c r="B211" s="14">
        <f>[2]หน้าผ้า!B220</f>
        <v>0</v>
      </c>
      <c r="C211" s="9">
        <f>[2]หน้าผ้า!E220</f>
        <v>0</v>
      </c>
      <c r="D211" s="13">
        <f>[2]หน้าผ้า!F220</f>
        <v>0</v>
      </c>
      <c r="E211" s="9">
        <f>[2]หน้าผ้า!G220</f>
        <v>0</v>
      </c>
      <c r="F211" s="9">
        <f>[2]หน้าผ้า!H220</f>
        <v>0</v>
      </c>
      <c r="G211" s="9">
        <f>[2]หน้าผ้า!I220</f>
        <v>0</v>
      </c>
      <c r="H211" s="9">
        <f>[2]หน้าผ้า!J220</f>
        <v>0</v>
      </c>
      <c r="I211" s="9">
        <f>[2]หน้าผ้า!L220</f>
        <v>0</v>
      </c>
      <c r="J211" s="9">
        <f>[2]หน้าผ้า!M220</f>
        <v>0</v>
      </c>
      <c r="K211" s="9">
        <f>[2]หน้าผ้า!N220</f>
        <v>0</v>
      </c>
      <c r="L211" s="9">
        <f>[2]หน้าผ้า!R220</f>
        <v>0</v>
      </c>
      <c r="M211" s="10">
        <f>[2]หน้าผ้า!T220</f>
        <v>0</v>
      </c>
      <c r="N211" s="9">
        <f>[2]หน้าผ้า!U220</f>
        <v>0</v>
      </c>
      <c r="O211" s="9">
        <f>[2]หน้าผ้า!V220</f>
        <v>0</v>
      </c>
      <c r="P211" s="10">
        <f>[2]หน้าผ้า!AB220</f>
        <v>0</v>
      </c>
      <c r="Q211" s="10">
        <f>[2]หน้าผ้า!AC220</f>
        <v>0</v>
      </c>
      <c r="R211" s="10">
        <f>[2]หน้าผ้า!AD220</f>
        <v>0</v>
      </c>
      <c r="S211" s="9">
        <f>[2]หน้าผ้า!Z220</f>
        <v>0</v>
      </c>
      <c r="T211" s="12">
        <f>[2]หน้าผ้า!X220</f>
        <v>0</v>
      </c>
      <c r="U211" s="11">
        <f>[2]หน้าผ้า!AA220</f>
        <v>0</v>
      </c>
      <c r="V211" s="10">
        <f>[2]หน้าผ้า!AJ220</f>
        <v>0</v>
      </c>
      <c r="W211" s="10">
        <f>[2]หน้าผ้า!AL220</f>
        <v>0</v>
      </c>
      <c r="X211" s="10">
        <f>[2]หน้าผ้า!AM220</f>
        <v>0</v>
      </c>
      <c r="Y211" s="10">
        <f>[2]หน้าผ้า!AN220</f>
        <v>0</v>
      </c>
      <c r="Z211" s="9">
        <f>[2]หน้าผ้า!AO220</f>
        <v>0</v>
      </c>
      <c r="AA211" s="8">
        <f>[2]หน้าผ้า!AQ220</f>
        <v>0</v>
      </c>
      <c r="AB211" s="8">
        <f>[2]หน้าผ้า!AR220</f>
        <v>0</v>
      </c>
      <c r="AC211" s="8">
        <f>[2]หน้าผ้า!AS220</f>
        <v>0</v>
      </c>
      <c r="AD211" s="8">
        <f>[2]หน้าผ้า!AT220</f>
        <v>0</v>
      </c>
      <c r="AE211" s="8">
        <f>[2]หน้าผ้า!AU220</f>
        <v>0</v>
      </c>
      <c r="AF211" s="8">
        <f>[2]หน้าผ้า!AI220</f>
        <v>0</v>
      </c>
      <c r="AG211" s="1">
        <f>[3]หน้าผ้า!DC223</f>
        <v>0</v>
      </c>
      <c r="AH211" s="1" t="str">
        <f>[2]หน้าผ้า!DL220</f>
        <v>P5.3</v>
      </c>
      <c r="AI211" s="1">
        <f>[2]หน้าผ้า!DM220</f>
        <v>6</v>
      </c>
      <c r="AJ211" s="3">
        <f>[2]หน้าผ้า!DN220</f>
        <v>0</v>
      </c>
      <c r="AK211" s="3">
        <f>[2]หน้าผ้า!DQ220</f>
        <v>-6</v>
      </c>
      <c r="AL211" s="3">
        <f>[2]หน้าผ้า!DR220</f>
        <v>-12</v>
      </c>
      <c r="AM211" s="3">
        <f>[2]หน้าผ้า!DS220</f>
        <v>-5</v>
      </c>
      <c r="AN211" s="3">
        <f>[2]หน้าผ้า!DT220</f>
        <v>-4</v>
      </c>
      <c r="AO211" s="3">
        <f>[2]หน้าผ้า!DU220</f>
        <v>-3</v>
      </c>
      <c r="AP211" s="3">
        <f>[2]หน้าผ้า!DP220</f>
        <v>-15</v>
      </c>
      <c r="AQ211" s="3">
        <f>[2]หน้าผ้า!DW220</f>
        <v>-2</v>
      </c>
      <c r="AR211" s="3">
        <f>[2]หน้าผ้า!DX220</f>
        <v>-1</v>
      </c>
      <c r="AS211" s="3">
        <f>[2]หน้าผ้า!DY220</f>
        <v>0</v>
      </c>
      <c r="AT211" s="3">
        <f>[2]หน้าผ้า!DZ220</f>
        <v>0</v>
      </c>
      <c r="AU211" s="3">
        <f>[2]หน้าผ้า!EA220</f>
        <v>0</v>
      </c>
      <c r="AV211" s="1">
        <f>[2]หน้าผ้า!EB220</f>
        <v>0</v>
      </c>
      <c r="AW211" s="2">
        <f>[2]หน้าผ้า!EC220</f>
        <v>0</v>
      </c>
      <c r="AX211" s="2">
        <f>[2]หน้าผ้า!ED220</f>
        <v>0</v>
      </c>
      <c r="AY211" s="2">
        <f>[2]หน้าผ้า!AG220</f>
        <v>0</v>
      </c>
      <c r="AZ211" s="2">
        <f>[2]หน้าผ้า!EG220</f>
        <v>0</v>
      </c>
      <c r="BA211" s="2">
        <f>[2]หน้าผ้า!EH220</f>
        <v>0</v>
      </c>
      <c r="BB211" s="2">
        <f>[2]หน้าผ้า!EI220</f>
        <v>0</v>
      </c>
      <c r="BC211" s="1">
        <f>[2]หน้าผ้า!BZ220</f>
        <v>0</v>
      </c>
      <c r="BD211" s="56">
        <f>[2]หน้าผ้า!CA220</f>
        <v>0</v>
      </c>
    </row>
    <row r="212" spans="1:56" ht="27.75" customHeight="1" x14ac:dyDescent="0.45">
      <c r="A212" s="3">
        <f>[2]หน้าผ้า!C221</f>
        <v>0</v>
      </c>
      <c r="B212" s="14">
        <f>[2]หน้าผ้า!B221</f>
        <v>0</v>
      </c>
      <c r="C212" s="9">
        <f>[2]หน้าผ้า!E221</f>
        <v>0</v>
      </c>
      <c r="D212" s="13">
        <f>[2]หน้าผ้า!F221</f>
        <v>0</v>
      </c>
      <c r="E212" s="9">
        <f>[2]หน้าผ้า!G221</f>
        <v>0</v>
      </c>
      <c r="F212" s="9">
        <f>[2]หน้าผ้า!H221</f>
        <v>0</v>
      </c>
      <c r="G212" s="9">
        <f>[2]หน้าผ้า!I221</f>
        <v>0</v>
      </c>
      <c r="H212" s="9">
        <f>[2]หน้าผ้า!J221</f>
        <v>0</v>
      </c>
      <c r="I212" s="9">
        <f>[2]หน้าผ้า!L221</f>
        <v>0</v>
      </c>
      <c r="J212" s="9">
        <f>[2]หน้าผ้า!M221</f>
        <v>0</v>
      </c>
      <c r="K212" s="9">
        <f>[2]หน้าผ้า!N221</f>
        <v>0</v>
      </c>
      <c r="L212" s="9">
        <f>[2]หน้าผ้า!R221</f>
        <v>0</v>
      </c>
      <c r="M212" s="10">
        <f>[2]หน้าผ้า!T221</f>
        <v>0</v>
      </c>
      <c r="N212" s="9">
        <f>[2]หน้าผ้า!U221</f>
        <v>0</v>
      </c>
      <c r="O212" s="9">
        <f>[2]หน้าผ้า!V221</f>
        <v>0</v>
      </c>
      <c r="P212" s="10">
        <f>[2]หน้าผ้า!AB221</f>
        <v>0</v>
      </c>
      <c r="Q212" s="10">
        <f>[2]หน้าผ้า!AC221</f>
        <v>0</v>
      </c>
      <c r="R212" s="10">
        <f>[2]หน้าผ้า!AD221</f>
        <v>0</v>
      </c>
      <c r="S212" s="9">
        <f>[2]หน้าผ้า!Z221</f>
        <v>0</v>
      </c>
      <c r="T212" s="12">
        <f>[2]หน้าผ้า!X221</f>
        <v>0</v>
      </c>
      <c r="U212" s="11">
        <f>[2]หน้าผ้า!AA221</f>
        <v>0</v>
      </c>
      <c r="V212" s="10">
        <f>[2]หน้าผ้า!AJ221</f>
        <v>0</v>
      </c>
      <c r="W212" s="10">
        <f>[2]หน้าผ้า!AL221</f>
        <v>0</v>
      </c>
      <c r="X212" s="10">
        <f>[2]หน้าผ้า!AM221</f>
        <v>0</v>
      </c>
      <c r="Y212" s="10">
        <f>[2]หน้าผ้า!AN221</f>
        <v>0</v>
      </c>
      <c r="Z212" s="9">
        <f>[2]หน้าผ้า!AO221</f>
        <v>0</v>
      </c>
      <c r="AA212" s="8">
        <f>[2]หน้าผ้า!AQ221</f>
        <v>0</v>
      </c>
      <c r="AB212" s="8">
        <f>[2]หน้าผ้า!AR221</f>
        <v>0</v>
      </c>
      <c r="AC212" s="8">
        <f>[2]หน้าผ้า!AS221</f>
        <v>0</v>
      </c>
      <c r="AD212" s="8">
        <f>[2]หน้าผ้า!AT221</f>
        <v>0</v>
      </c>
      <c r="AE212" s="8">
        <f>[2]หน้าผ้า!AU221</f>
        <v>0</v>
      </c>
      <c r="AF212" s="8">
        <f>[2]หน้าผ้า!AI221</f>
        <v>0</v>
      </c>
      <c r="AG212" s="1">
        <f>[3]หน้าผ้า!DC224</f>
        <v>0</v>
      </c>
      <c r="AH212" s="1">
        <f>[2]หน้าผ้า!DL221</f>
        <v>0</v>
      </c>
      <c r="AI212" s="1">
        <f>[2]หน้าผ้า!DM221</f>
        <v>0</v>
      </c>
      <c r="AJ212" s="3">
        <f>[2]หน้าผ้า!DN221</f>
        <v>0</v>
      </c>
      <c r="AK212" s="3">
        <f>[2]หน้าผ้า!DQ221</f>
        <v>0</v>
      </c>
      <c r="AL212" s="3">
        <f>[2]หน้าผ้า!DR221</f>
        <v>0</v>
      </c>
      <c r="AM212" s="3">
        <f>[2]หน้าผ้า!DS221</f>
        <v>0</v>
      </c>
      <c r="AN212" s="3">
        <f>[2]หน้าผ้า!DT221</f>
        <v>0</v>
      </c>
      <c r="AO212" s="3">
        <f>[2]หน้าผ้า!DU221</f>
        <v>0</v>
      </c>
      <c r="AP212" s="3">
        <f>[2]หน้าผ้า!DP221</f>
        <v>0</v>
      </c>
      <c r="AQ212" s="3">
        <f>[2]หน้าผ้า!DW221</f>
        <v>0</v>
      </c>
      <c r="AR212" s="3">
        <f>[2]หน้าผ้า!DX221</f>
        <v>0</v>
      </c>
      <c r="AS212" s="3">
        <f>[2]หน้าผ้า!DY221</f>
        <v>0</v>
      </c>
      <c r="AT212" s="3">
        <f>[2]หน้าผ้า!DZ221</f>
        <v>0</v>
      </c>
      <c r="AU212" s="3">
        <f>[2]หน้าผ้า!EA221</f>
        <v>0</v>
      </c>
      <c r="AV212" s="1">
        <f>[2]หน้าผ้า!EB221</f>
        <v>0</v>
      </c>
      <c r="AW212" s="2">
        <f>[2]หน้าผ้า!EC221</f>
        <v>0</v>
      </c>
      <c r="AX212" s="2">
        <f>[2]หน้าผ้า!ED221</f>
        <v>0</v>
      </c>
      <c r="AY212" s="2">
        <f>[2]หน้าผ้า!AG221</f>
        <v>0</v>
      </c>
      <c r="AZ212" s="2">
        <f>[2]หน้าผ้า!EG221</f>
        <v>0</v>
      </c>
      <c r="BA212" s="2">
        <f>[2]หน้าผ้า!EH221</f>
        <v>0</v>
      </c>
      <c r="BB212" s="2">
        <f>[2]หน้าผ้า!EI221</f>
        <v>0</v>
      </c>
      <c r="BC212" s="1">
        <f>[2]หน้าผ้า!BZ221</f>
        <v>0</v>
      </c>
      <c r="BD212" s="56">
        <f>[2]หน้าผ้า!CA221</f>
        <v>0</v>
      </c>
    </row>
    <row r="213" spans="1:56" ht="27.75" customHeight="1" x14ac:dyDescent="0.45">
      <c r="A213" s="3">
        <f>[2]หน้าผ้า!C222</f>
        <v>0</v>
      </c>
      <c r="B213" s="14">
        <f>[2]หน้าผ้า!B222</f>
        <v>0</v>
      </c>
      <c r="C213" s="9">
        <f>[2]หน้าผ้า!E222</f>
        <v>0</v>
      </c>
      <c r="D213" s="13">
        <f>[2]หน้าผ้า!F222</f>
        <v>0</v>
      </c>
      <c r="E213" s="9">
        <f>[2]หน้าผ้า!G222</f>
        <v>0</v>
      </c>
      <c r="F213" s="9">
        <f>[2]หน้าผ้า!H222</f>
        <v>0</v>
      </c>
      <c r="G213" s="9">
        <f>[2]หน้าผ้า!I222</f>
        <v>0</v>
      </c>
      <c r="H213" s="9">
        <f>[2]หน้าผ้า!J222</f>
        <v>0</v>
      </c>
      <c r="I213" s="9">
        <f>[2]หน้าผ้า!L222</f>
        <v>0</v>
      </c>
      <c r="J213" s="9">
        <f>[2]หน้าผ้า!M222</f>
        <v>0</v>
      </c>
      <c r="K213" s="9">
        <f>[2]หน้าผ้า!N222</f>
        <v>0</v>
      </c>
      <c r="L213" s="9">
        <f>[2]หน้าผ้า!R222</f>
        <v>0</v>
      </c>
      <c r="M213" s="10">
        <f>[2]หน้าผ้า!T222</f>
        <v>0</v>
      </c>
      <c r="N213" s="9">
        <f>[2]หน้าผ้า!U222</f>
        <v>0</v>
      </c>
      <c r="O213" s="9">
        <f>[2]หน้าผ้า!V222</f>
        <v>0</v>
      </c>
      <c r="P213" s="10">
        <f>[2]หน้าผ้า!AB222</f>
        <v>0</v>
      </c>
      <c r="Q213" s="10">
        <f>[2]หน้าผ้า!AC222</f>
        <v>0</v>
      </c>
      <c r="R213" s="10">
        <f>[2]หน้าผ้า!AD222</f>
        <v>0</v>
      </c>
      <c r="S213" s="9">
        <f>[2]หน้าผ้า!Z222</f>
        <v>0</v>
      </c>
      <c r="T213" s="12">
        <f>[2]หน้าผ้า!X222</f>
        <v>0</v>
      </c>
      <c r="U213" s="11">
        <f>[2]หน้าผ้า!AA222</f>
        <v>0</v>
      </c>
      <c r="V213" s="10">
        <f>[2]หน้าผ้า!AJ222</f>
        <v>0</v>
      </c>
      <c r="W213" s="10">
        <f>[2]หน้าผ้า!AL222</f>
        <v>0</v>
      </c>
      <c r="X213" s="10">
        <f>[2]หน้าผ้า!AM222</f>
        <v>0</v>
      </c>
      <c r="Y213" s="10">
        <f>[2]หน้าผ้า!AN222</f>
        <v>0</v>
      </c>
      <c r="Z213" s="9">
        <f>[2]หน้าผ้า!AO222</f>
        <v>0</v>
      </c>
      <c r="AA213" s="8">
        <f>[2]หน้าผ้า!AQ222</f>
        <v>0</v>
      </c>
      <c r="AB213" s="8">
        <f>[2]หน้าผ้า!AR222</f>
        <v>0</v>
      </c>
      <c r="AC213" s="8">
        <f>[2]หน้าผ้า!AS222</f>
        <v>0</v>
      </c>
      <c r="AD213" s="8">
        <f>[2]หน้าผ้า!AT222</f>
        <v>0</v>
      </c>
      <c r="AE213" s="8">
        <f>[2]หน้าผ้า!AU222</f>
        <v>0</v>
      </c>
      <c r="AF213" s="8">
        <f>[2]หน้าผ้า!AI222</f>
        <v>0</v>
      </c>
      <c r="AG213" s="1">
        <f>[3]หน้าผ้า!DC225</f>
        <v>0</v>
      </c>
      <c r="AH213" s="1">
        <f>[2]หน้าผ้า!DL222</f>
        <v>0</v>
      </c>
      <c r="AI213" s="1">
        <f>[2]หน้าผ้า!DM222</f>
        <v>0</v>
      </c>
      <c r="AJ213" s="3">
        <f>[2]หน้าผ้า!DN222</f>
        <v>0</v>
      </c>
      <c r="AK213" s="3">
        <f>[2]หน้าผ้า!DQ222</f>
        <v>0</v>
      </c>
      <c r="AL213" s="3">
        <f>[2]หน้าผ้า!DR222</f>
        <v>0</v>
      </c>
      <c r="AM213" s="3">
        <f>[2]หน้าผ้า!DS222</f>
        <v>0</v>
      </c>
      <c r="AN213" s="3">
        <f>[2]หน้าผ้า!DT222</f>
        <v>0</v>
      </c>
      <c r="AO213" s="3">
        <f>[2]หน้าผ้า!DU222</f>
        <v>0</v>
      </c>
      <c r="AP213" s="3">
        <f>[2]หน้าผ้า!DP222</f>
        <v>0</v>
      </c>
      <c r="AQ213" s="3">
        <f>[2]หน้าผ้า!DW222</f>
        <v>0</v>
      </c>
      <c r="AR213" s="3">
        <f>[2]หน้าผ้า!DX222</f>
        <v>0</v>
      </c>
      <c r="AS213" s="3">
        <f>[2]หน้าผ้า!DY222</f>
        <v>0</v>
      </c>
      <c r="AT213" s="3">
        <f>[2]หน้าผ้า!DZ222</f>
        <v>0</v>
      </c>
      <c r="AU213" s="3">
        <f>[2]หน้าผ้า!EA222</f>
        <v>0</v>
      </c>
      <c r="AV213" s="1">
        <f>[2]หน้าผ้า!EB222</f>
        <v>0</v>
      </c>
      <c r="AW213" s="2">
        <f>[2]หน้าผ้า!EC222</f>
        <v>0</v>
      </c>
      <c r="AX213" s="2">
        <f>[2]หน้าผ้า!ED222</f>
        <v>0</v>
      </c>
      <c r="AY213" s="2">
        <f>[2]หน้าผ้า!AG222</f>
        <v>0</v>
      </c>
      <c r="AZ213" s="2">
        <f>[2]หน้าผ้า!EG222</f>
        <v>0</v>
      </c>
      <c r="BA213" s="2">
        <f>[2]หน้าผ้า!EH222</f>
        <v>0</v>
      </c>
      <c r="BB213" s="2">
        <f>[2]หน้าผ้า!EI222</f>
        <v>0</v>
      </c>
      <c r="BC213" s="1">
        <f>[2]หน้าผ้า!BZ222</f>
        <v>0</v>
      </c>
      <c r="BD213" s="56">
        <f>[2]หน้าผ้า!CA222</f>
        <v>0</v>
      </c>
    </row>
    <row r="214" spans="1:56" ht="27.75" customHeight="1" x14ac:dyDescent="0.45">
      <c r="A214" s="3">
        <f>[2]หน้าผ้า!C223</f>
        <v>0</v>
      </c>
      <c r="B214" s="14">
        <f>[2]หน้าผ้า!B223</f>
        <v>0</v>
      </c>
      <c r="C214" s="9">
        <f>[2]หน้าผ้า!E223</f>
        <v>0</v>
      </c>
      <c r="D214" s="13">
        <f>[2]หน้าผ้า!F223</f>
        <v>0</v>
      </c>
      <c r="E214" s="9">
        <f>[2]หน้าผ้า!G223</f>
        <v>0</v>
      </c>
      <c r="F214" s="9">
        <f>[2]หน้าผ้า!H223</f>
        <v>0</v>
      </c>
      <c r="G214" s="9">
        <f>[2]หน้าผ้า!I223</f>
        <v>0</v>
      </c>
      <c r="H214" s="9">
        <f>[2]หน้าผ้า!J223</f>
        <v>0</v>
      </c>
      <c r="I214" s="9">
        <f>[2]หน้าผ้า!L223</f>
        <v>0</v>
      </c>
      <c r="J214" s="9">
        <f>[2]หน้าผ้า!M223</f>
        <v>0</v>
      </c>
      <c r="K214" s="9">
        <f>[2]หน้าผ้า!N223</f>
        <v>0</v>
      </c>
      <c r="L214" s="9">
        <f>[2]หน้าผ้า!R223</f>
        <v>0</v>
      </c>
      <c r="M214" s="10">
        <f>[2]หน้าผ้า!T223</f>
        <v>0</v>
      </c>
      <c r="N214" s="9">
        <f>[2]หน้าผ้า!U223</f>
        <v>0</v>
      </c>
      <c r="O214" s="9">
        <f>[2]หน้าผ้า!V223</f>
        <v>0</v>
      </c>
      <c r="P214" s="10">
        <f>[2]หน้าผ้า!AB223</f>
        <v>0</v>
      </c>
      <c r="Q214" s="10">
        <f>[2]หน้าผ้า!AC223</f>
        <v>0</v>
      </c>
      <c r="R214" s="10">
        <f>[2]หน้าผ้า!AD223</f>
        <v>0</v>
      </c>
      <c r="S214" s="9">
        <f>[2]หน้าผ้า!Z223</f>
        <v>0</v>
      </c>
      <c r="T214" s="12">
        <f>[2]หน้าผ้า!X223</f>
        <v>0</v>
      </c>
      <c r="U214" s="11">
        <f>[2]หน้าผ้า!AA223</f>
        <v>0</v>
      </c>
      <c r="V214" s="10">
        <f>[2]หน้าผ้า!AJ223</f>
        <v>0</v>
      </c>
      <c r="W214" s="10">
        <f>[2]หน้าผ้า!AL223</f>
        <v>0</v>
      </c>
      <c r="X214" s="10">
        <f>[2]หน้าผ้า!AM223</f>
        <v>0</v>
      </c>
      <c r="Y214" s="10">
        <f>[2]หน้าผ้า!AN223</f>
        <v>0</v>
      </c>
      <c r="Z214" s="9">
        <f>[2]หน้าผ้า!AO223</f>
        <v>0</v>
      </c>
      <c r="AA214" s="8">
        <f>[2]หน้าผ้า!AQ223</f>
        <v>0</v>
      </c>
      <c r="AB214" s="8">
        <f>[2]หน้าผ้า!AR223</f>
        <v>0</v>
      </c>
      <c r="AC214" s="8">
        <f>[2]หน้าผ้า!AS223</f>
        <v>0</v>
      </c>
      <c r="AD214" s="8">
        <f>[2]หน้าผ้า!AT223</f>
        <v>0</v>
      </c>
      <c r="AE214" s="8">
        <f>[2]หน้าผ้า!AU223</f>
        <v>0</v>
      </c>
      <c r="AF214" s="8">
        <f>[2]หน้าผ้า!AI223</f>
        <v>0</v>
      </c>
      <c r="AG214" s="1">
        <f>[3]หน้าผ้า!DC226</f>
        <v>0</v>
      </c>
      <c r="AH214" s="1">
        <f>[2]หน้าผ้า!DL223</f>
        <v>0</v>
      </c>
      <c r="AI214" s="1">
        <f>[2]หน้าผ้า!DM223</f>
        <v>0</v>
      </c>
      <c r="AJ214" s="3">
        <f>[2]หน้าผ้า!DN223</f>
        <v>0</v>
      </c>
      <c r="AK214" s="3">
        <f>[2]หน้าผ้า!DQ223</f>
        <v>0</v>
      </c>
      <c r="AL214" s="3">
        <f>[2]หน้าผ้า!DR223</f>
        <v>0</v>
      </c>
      <c r="AM214" s="3">
        <f>[2]หน้าผ้า!DS223</f>
        <v>0</v>
      </c>
      <c r="AN214" s="3">
        <f>[2]หน้าผ้า!DT223</f>
        <v>0</v>
      </c>
      <c r="AO214" s="3">
        <f>[2]หน้าผ้า!DU223</f>
        <v>0</v>
      </c>
      <c r="AP214" s="3">
        <f>[2]หน้าผ้า!DP223</f>
        <v>0</v>
      </c>
      <c r="AQ214" s="3">
        <f>[2]หน้าผ้า!DW223</f>
        <v>0</v>
      </c>
      <c r="AR214" s="3">
        <f>[2]หน้าผ้า!DX223</f>
        <v>0</v>
      </c>
      <c r="AS214" s="3">
        <f>[2]หน้าผ้า!DY223</f>
        <v>0</v>
      </c>
      <c r="AT214" s="3">
        <f>[2]หน้าผ้า!DZ223</f>
        <v>0</v>
      </c>
      <c r="AU214" s="3">
        <f>[2]หน้าผ้า!EA223</f>
        <v>0</v>
      </c>
      <c r="AV214" s="1">
        <f>[2]หน้าผ้า!EB223</f>
        <v>0</v>
      </c>
      <c r="AW214" s="2">
        <f>[2]หน้าผ้า!EC223</f>
        <v>0</v>
      </c>
      <c r="AX214" s="2">
        <f>[2]หน้าผ้า!ED223</f>
        <v>0</v>
      </c>
      <c r="AY214" s="2">
        <f>[2]หน้าผ้า!AG223</f>
        <v>0</v>
      </c>
      <c r="AZ214" s="2">
        <f>[2]หน้าผ้า!EG223</f>
        <v>0</v>
      </c>
      <c r="BA214" s="2">
        <f>[2]หน้าผ้า!EH223</f>
        <v>0</v>
      </c>
      <c r="BB214" s="2">
        <f>[2]หน้าผ้า!EI223</f>
        <v>0</v>
      </c>
      <c r="BC214" s="1">
        <f>[2]หน้าผ้า!BZ223</f>
        <v>0</v>
      </c>
      <c r="BD214" s="56">
        <f>[2]หน้าผ้า!CA223</f>
        <v>0</v>
      </c>
    </row>
    <row r="215" spans="1:56" ht="27.75" customHeight="1" x14ac:dyDescent="0.45">
      <c r="A215" s="3">
        <f>[2]หน้าผ้า!C224</f>
        <v>0</v>
      </c>
      <c r="B215" s="14">
        <f>[2]หน้าผ้า!B224</f>
        <v>0</v>
      </c>
      <c r="C215" s="9">
        <f>[2]หน้าผ้า!E224</f>
        <v>0</v>
      </c>
      <c r="D215" s="13">
        <f>[2]หน้าผ้า!F224</f>
        <v>0</v>
      </c>
      <c r="E215" s="9">
        <f>[2]หน้าผ้า!G224</f>
        <v>0</v>
      </c>
      <c r="F215" s="9">
        <f>[2]หน้าผ้า!H224</f>
        <v>0</v>
      </c>
      <c r="G215" s="9">
        <f>[2]หน้าผ้า!I224</f>
        <v>0</v>
      </c>
      <c r="H215" s="9">
        <f>[2]หน้าผ้า!J224</f>
        <v>0</v>
      </c>
      <c r="I215" s="9">
        <f>[2]หน้าผ้า!L224</f>
        <v>0</v>
      </c>
      <c r="J215" s="9">
        <f>[2]หน้าผ้า!M224</f>
        <v>0</v>
      </c>
      <c r="K215" s="9">
        <f>[2]หน้าผ้า!N224</f>
        <v>0</v>
      </c>
      <c r="L215" s="9">
        <f>[2]หน้าผ้า!R224</f>
        <v>0</v>
      </c>
      <c r="M215" s="10">
        <f>[2]หน้าผ้า!T224</f>
        <v>0</v>
      </c>
      <c r="N215" s="9">
        <f>[2]หน้าผ้า!U224</f>
        <v>0</v>
      </c>
      <c r="O215" s="9">
        <f>[2]หน้าผ้า!V224</f>
        <v>0</v>
      </c>
      <c r="P215" s="10">
        <f>[2]หน้าผ้า!AB224</f>
        <v>0</v>
      </c>
      <c r="Q215" s="10">
        <f>[2]หน้าผ้า!AC224</f>
        <v>0</v>
      </c>
      <c r="R215" s="10">
        <f>[2]หน้าผ้า!AD224</f>
        <v>0</v>
      </c>
      <c r="S215" s="9">
        <f>[2]หน้าผ้า!Z224</f>
        <v>0</v>
      </c>
      <c r="T215" s="12">
        <f>[2]หน้าผ้า!X224</f>
        <v>0</v>
      </c>
      <c r="U215" s="11">
        <f>[2]หน้าผ้า!AA224</f>
        <v>0</v>
      </c>
      <c r="V215" s="10">
        <f>[2]หน้าผ้า!AJ224</f>
        <v>0</v>
      </c>
      <c r="W215" s="10">
        <f>[2]หน้าผ้า!AL224</f>
        <v>0</v>
      </c>
      <c r="X215" s="10">
        <f>[2]หน้าผ้า!AM224</f>
        <v>0</v>
      </c>
      <c r="Y215" s="10">
        <f>[2]หน้าผ้า!AN224</f>
        <v>0</v>
      </c>
      <c r="Z215" s="9">
        <f>[2]หน้าผ้า!AO224</f>
        <v>0</v>
      </c>
      <c r="AA215" s="8">
        <f>[2]หน้าผ้า!AQ224</f>
        <v>0</v>
      </c>
      <c r="AB215" s="8">
        <f>[2]หน้าผ้า!AR224</f>
        <v>0</v>
      </c>
      <c r="AC215" s="8">
        <f>[2]หน้าผ้า!AS224</f>
        <v>0</v>
      </c>
      <c r="AD215" s="8">
        <f>[2]หน้าผ้า!AT224</f>
        <v>0</v>
      </c>
      <c r="AE215" s="8">
        <f>[2]หน้าผ้า!AU224</f>
        <v>0</v>
      </c>
      <c r="AF215" s="8">
        <f>[2]หน้าผ้า!AI224</f>
        <v>0</v>
      </c>
      <c r="AG215" s="1">
        <f>[3]หน้าผ้า!DC227</f>
        <v>0</v>
      </c>
      <c r="AH215" s="1">
        <f>[2]หน้าผ้า!DL224</f>
        <v>0</v>
      </c>
      <c r="AI215" s="1">
        <f>[2]หน้าผ้า!DM224</f>
        <v>0</v>
      </c>
      <c r="AJ215" s="3">
        <f>[2]หน้าผ้า!DN224</f>
        <v>0</v>
      </c>
      <c r="AK215" s="3">
        <f>[2]หน้าผ้า!DQ224</f>
        <v>0</v>
      </c>
      <c r="AL215" s="3">
        <f>[2]หน้าผ้า!DR224</f>
        <v>0</v>
      </c>
      <c r="AM215" s="3">
        <f>[2]หน้าผ้า!DS224</f>
        <v>0</v>
      </c>
      <c r="AN215" s="3">
        <f>[2]หน้าผ้า!DT224</f>
        <v>0</v>
      </c>
      <c r="AO215" s="3">
        <f>[2]หน้าผ้า!DU224</f>
        <v>0</v>
      </c>
      <c r="AP215" s="3">
        <f>[2]หน้าผ้า!DP224</f>
        <v>0</v>
      </c>
      <c r="AQ215" s="3">
        <f>[2]หน้าผ้า!DW224</f>
        <v>0</v>
      </c>
      <c r="AR215" s="3">
        <f>[2]หน้าผ้า!DX224</f>
        <v>0</v>
      </c>
      <c r="AS215" s="3">
        <f>[2]หน้าผ้า!DY224</f>
        <v>0</v>
      </c>
      <c r="AT215" s="3">
        <f>[2]หน้าผ้า!DZ224</f>
        <v>0</v>
      </c>
      <c r="AU215" s="3">
        <f>[2]หน้าผ้า!EA224</f>
        <v>0</v>
      </c>
      <c r="AV215" s="1">
        <f>[2]หน้าผ้า!EB224</f>
        <v>0</v>
      </c>
      <c r="AW215" s="2">
        <f>[2]หน้าผ้า!EC224</f>
        <v>0</v>
      </c>
      <c r="AX215" s="2">
        <f>[2]หน้าผ้า!ED224</f>
        <v>0</v>
      </c>
      <c r="AY215" s="2">
        <f>[2]หน้าผ้า!AG224</f>
        <v>0</v>
      </c>
      <c r="AZ215" s="2">
        <f>[2]หน้าผ้า!EG224</f>
        <v>0</v>
      </c>
      <c r="BA215" s="2">
        <f>[2]หน้าผ้า!EH224</f>
        <v>0</v>
      </c>
      <c r="BB215" s="2">
        <f>[2]หน้าผ้า!EI224</f>
        <v>0</v>
      </c>
      <c r="BC215" s="1">
        <f>[2]หน้าผ้า!BZ224</f>
        <v>0</v>
      </c>
      <c r="BD215" s="56">
        <f>[2]หน้าผ้า!CA224</f>
        <v>0</v>
      </c>
    </row>
    <row r="216" spans="1:56" ht="27.75" customHeight="1" x14ac:dyDescent="0.45">
      <c r="A216" s="3">
        <f>[2]หน้าผ้า!C225</f>
        <v>0</v>
      </c>
      <c r="B216" s="14">
        <f>[2]หน้าผ้า!B225</f>
        <v>0</v>
      </c>
      <c r="C216" s="9">
        <f>[2]หน้าผ้า!E225</f>
        <v>0</v>
      </c>
      <c r="D216" s="13">
        <f>[2]หน้าผ้า!F225</f>
        <v>0</v>
      </c>
      <c r="E216" s="9">
        <f>[2]หน้าผ้า!G225</f>
        <v>0</v>
      </c>
      <c r="F216" s="9">
        <f>[2]หน้าผ้า!H225</f>
        <v>0</v>
      </c>
      <c r="G216" s="9">
        <f>[2]หน้าผ้า!I225</f>
        <v>0</v>
      </c>
      <c r="H216" s="9">
        <f>[2]หน้าผ้า!J225</f>
        <v>0</v>
      </c>
      <c r="I216" s="9">
        <f>[2]หน้าผ้า!L225</f>
        <v>0</v>
      </c>
      <c r="J216" s="9">
        <f>[2]หน้าผ้า!M225</f>
        <v>0</v>
      </c>
      <c r="K216" s="9">
        <f>[2]หน้าผ้า!N225</f>
        <v>0</v>
      </c>
      <c r="L216" s="9">
        <f>[2]หน้าผ้า!R225</f>
        <v>0</v>
      </c>
      <c r="M216" s="10">
        <f>[2]หน้าผ้า!T225</f>
        <v>0</v>
      </c>
      <c r="N216" s="9">
        <f>[2]หน้าผ้า!U225</f>
        <v>0</v>
      </c>
      <c r="O216" s="9">
        <f>[2]หน้าผ้า!V225</f>
        <v>0</v>
      </c>
      <c r="P216" s="10">
        <f>[2]หน้าผ้า!AB225</f>
        <v>0</v>
      </c>
      <c r="Q216" s="10">
        <f>[2]หน้าผ้า!AC225</f>
        <v>0</v>
      </c>
      <c r="R216" s="10">
        <f>[2]หน้าผ้า!AD225</f>
        <v>0</v>
      </c>
      <c r="S216" s="9">
        <f>[2]หน้าผ้า!Z225</f>
        <v>0</v>
      </c>
      <c r="T216" s="12">
        <f>[2]หน้าผ้า!X225</f>
        <v>0</v>
      </c>
      <c r="U216" s="11">
        <f>[2]หน้าผ้า!AA225</f>
        <v>0</v>
      </c>
      <c r="V216" s="10">
        <f>[2]หน้าผ้า!AJ225</f>
        <v>0</v>
      </c>
      <c r="W216" s="10">
        <f>[2]หน้าผ้า!AL225</f>
        <v>0</v>
      </c>
      <c r="X216" s="10">
        <f>[2]หน้าผ้า!AM225</f>
        <v>0</v>
      </c>
      <c r="Y216" s="10">
        <f>[2]หน้าผ้า!AN225</f>
        <v>0</v>
      </c>
      <c r="Z216" s="9">
        <f>[2]หน้าผ้า!AO225</f>
        <v>0</v>
      </c>
      <c r="AA216" s="8">
        <f>[2]หน้าผ้า!AQ225</f>
        <v>0</v>
      </c>
      <c r="AB216" s="8">
        <f>[2]หน้าผ้า!AR225</f>
        <v>0</v>
      </c>
      <c r="AC216" s="8">
        <f>[2]หน้าผ้า!AS225</f>
        <v>0</v>
      </c>
      <c r="AD216" s="8">
        <f>[2]หน้าผ้า!AT225</f>
        <v>0</v>
      </c>
      <c r="AE216" s="8">
        <f>[2]หน้าผ้า!AU225</f>
        <v>0</v>
      </c>
      <c r="AF216" s="8">
        <f>[2]หน้าผ้า!AI225</f>
        <v>0</v>
      </c>
      <c r="AG216" s="1">
        <f>[3]หน้าผ้า!DC228</f>
        <v>0</v>
      </c>
      <c r="AH216" s="1">
        <f>[2]หน้าผ้า!DL225</f>
        <v>0</v>
      </c>
      <c r="AI216" s="1">
        <f>[2]หน้าผ้า!DM225</f>
        <v>0</v>
      </c>
      <c r="AJ216" s="3">
        <f>[2]หน้าผ้า!DN225</f>
        <v>0</v>
      </c>
      <c r="AK216" s="3">
        <f>[2]หน้าผ้า!DQ225</f>
        <v>0</v>
      </c>
      <c r="AL216" s="3">
        <f>[2]หน้าผ้า!DR225</f>
        <v>0</v>
      </c>
      <c r="AM216" s="3">
        <f>[2]หน้าผ้า!DS225</f>
        <v>0</v>
      </c>
      <c r="AN216" s="3">
        <f>[2]หน้าผ้า!DT225</f>
        <v>0</v>
      </c>
      <c r="AO216" s="3">
        <f>[2]หน้าผ้า!DU225</f>
        <v>0</v>
      </c>
      <c r="AP216" s="3">
        <f>[2]หน้าผ้า!DP225</f>
        <v>0</v>
      </c>
      <c r="AQ216" s="3">
        <f>[2]หน้าผ้า!DW225</f>
        <v>0</v>
      </c>
      <c r="AR216" s="3">
        <f>[2]หน้าผ้า!DX225</f>
        <v>0</v>
      </c>
      <c r="AS216" s="3">
        <f>[2]หน้าผ้า!DY225</f>
        <v>0</v>
      </c>
      <c r="AT216" s="3">
        <f>[2]หน้าผ้า!DZ225</f>
        <v>0</v>
      </c>
      <c r="AU216" s="3">
        <f>[2]หน้าผ้า!EA225</f>
        <v>0</v>
      </c>
      <c r="AV216" s="1">
        <f>[2]หน้าผ้า!EB225</f>
        <v>0</v>
      </c>
      <c r="AW216" s="2">
        <f>[2]หน้าผ้า!EC225</f>
        <v>0</v>
      </c>
      <c r="AX216" s="2">
        <f>[2]หน้าผ้า!ED225</f>
        <v>0</v>
      </c>
      <c r="AY216" s="2">
        <f>[2]หน้าผ้า!AG225</f>
        <v>0</v>
      </c>
      <c r="AZ216" s="2">
        <f>[2]หน้าผ้า!EG225</f>
        <v>0</v>
      </c>
      <c r="BA216" s="2">
        <f>[2]หน้าผ้า!EH225</f>
        <v>0</v>
      </c>
      <c r="BB216" s="2">
        <f>[2]หน้าผ้า!EI225</f>
        <v>0</v>
      </c>
      <c r="BC216" s="1">
        <f>[2]หน้าผ้า!BZ225</f>
        <v>0</v>
      </c>
      <c r="BD216" s="56">
        <f>[2]หน้าผ้า!CA225</f>
        <v>0</v>
      </c>
    </row>
    <row r="217" spans="1:56" ht="27.75" customHeight="1" x14ac:dyDescent="0.45">
      <c r="A217" s="3">
        <f>[2]หน้าผ้า!C226</f>
        <v>0</v>
      </c>
      <c r="B217" s="14">
        <f>[2]หน้าผ้า!B226</f>
        <v>0</v>
      </c>
      <c r="C217" s="9">
        <f>[2]หน้าผ้า!E226</f>
        <v>0</v>
      </c>
      <c r="D217" s="13">
        <f>[2]หน้าผ้า!F226</f>
        <v>0</v>
      </c>
      <c r="E217" s="9">
        <f>[2]หน้าผ้า!G226</f>
        <v>0</v>
      </c>
      <c r="F217" s="9">
        <f>[2]หน้าผ้า!H226</f>
        <v>0</v>
      </c>
      <c r="G217" s="9">
        <f>[2]หน้าผ้า!I226</f>
        <v>0</v>
      </c>
      <c r="H217" s="9">
        <f>[2]หน้าผ้า!J226</f>
        <v>0</v>
      </c>
      <c r="I217" s="9">
        <f>[2]หน้าผ้า!L226</f>
        <v>0</v>
      </c>
      <c r="J217" s="9">
        <f>[2]หน้าผ้า!M226</f>
        <v>0</v>
      </c>
      <c r="K217" s="9">
        <f>[2]หน้าผ้า!N226</f>
        <v>0</v>
      </c>
      <c r="L217" s="9">
        <f>[2]หน้าผ้า!R226</f>
        <v>0</v>
      </c>
      <c r="M217" s="10">
        <f>[2]หน้าผ้า!T226</f>
        <v>0</v>
      </c>
      <c r="N217" s="9">
        <f>[2]หน้าผ้า!U226</f>
        <v>0</v>
      </c>
      <c r="O217" s="9">
        <f>[2]หน้าผ้า!V226</f>
        <v>0</v>
      </c>
      <c r="P217" s="10">
        <f>[2]หน้าผ้า!AB226</f>
        <v>0</v>
      </c>
      <c r="Q217" s="10">
        <f>[2]หน้าผ้า!AC226</f>
        <v>0</v>
      </c>
      <c r="R217" s="10">
        <f>[2]หน้าผ้า!AD226</f>
        <v>0</v>
      </c>
      <c r="S217" s="9">
        <f>[2]หน้าผ้า!Z226</f>
        <v>0</v>
      </c>
      <c r="T217" s="12">
        <f>[2]หน้าผ้า!X226</f>
        <v>0</v>
      </c>
      <c r="U217" s="11">
        <f>[2]หน้าผ้า!AA226</f>
        <v>0</v>
      </c>
      <c r="V217" s="10">
        <f>[2]หน้าผ้า!AJ226</f>
        <v>0</v>
      </c>
      <c r="W217" s="10">
        <f>[2]หน้าผ้า!AL226</f>
        <v>0</v>
      </c>
      <c r="X217" s="10">
        <f>[2]หน้าผ้า!AM226</f>
        <v>0</v>
      </c>
      <c r="Y217" s="10">
        <f>[2]หน้าผ้า!AN226</f>
        <v>0</v>
      </c>
      <c r="Z217" s="9">
        <f>[2]หน้าผ้า!AO226</f>
        <v>0</v>
      </c>
      <c r="AA217" s="8">
        <f>[2]หน้าผ้า!AQ226</f>
        <v>0</v>
      </c>
      <c r="AB217" s="8">
        <f>[2]หน้าผ้า!AR226</f>
        <v>0</v>
      </c>
      <c r="AC217" s="8">
        <f>[2]หน้าผ้า!AS226</f>
        <v>0</v>
      </c>
      <c r="AD217" s="8">
        <f>[2]หน้าผ้า!AT226</f>
        <v>0</v>
      </c>
      <c r="AE217" s="8">
        <f>[2]หน้าผ้า!AU226</f>
        <v>0</v>
      </c>
      <c r="AF217" s="8">
        <f>[2]หน้าผ้า!AI226</f>
        <v>0</v>
      </c>
      <c r="AG217" s="1">
        <f>[3]หน้าผ้า!DC229</f>
        <v>0</v>
      </c>
      <c r="AH217" s="1">
        <f>[2]หน้าผ้า!DL226</f>
        <v>0</v>
      </c>
      <c r="AI217" s="1">
        <f>[2]หน้าผ้า!DM226</f>
        <v>0</v>
      </c>
      <c r="AJ217" s="3">
        <f>[2]หน้าผ้า!DN226</f>
        <v>0</v>
      </c>
      <c r="AK217" s="3">
        <f>[2]หน้าผ้า!DQ226</f>
        <v>0</v>
      </c>
      <c r="AL217" s="3">
        <f>[2]หน้าผ้า!DR226</f>
        <v>0</v>
      </c>
      <c r="AM217" s="3">
        <f>[2]หน้าผ้า!DS226</f>
        <v>0</v>
      </c>
      <c r="AN217" s="3">
        <f>[2]หน้าผ้า!DT226</f>
        <v>0</v>
      </c>
      <c r="AO217" s="3">
        <f>[2]หน้าผ้า!DU226</f>
        <v>0</v>
      </c>
      <c r="AP217" s="3">
        <f>[2]หน้าผ้า!DP226</f>
        <v>0</v>
      </c>
      <c r="AQ217" s="3">
        <f>[2]หน้าผ้า!DW226</f>
        <v>0</v>
      </c>
      <c r="AR217" s="3">
        <f>[2]หน้าผ้า!DX226</f>
        <v>0</v>
      </c>
      <c r="AS217" s="3">
        <f>[2]หน้าผ้า!DY226</f>
        <v>0</v>
      </c>
      <c r="AT217" s="3">
        <f>[2]หน้าผ้า!DZ226</f>
        <v>0</v>
      </c>
      <c r="AU217" s="3">
        <f>[2]หน้าผ้า!EA226</f>
        <v>0</v>
      </c>
      <c r="AV217" s="1">
        <f>[2]หน้าผ้า!EB226</f>
        <v>0</v>
      </c>
      <c r="AW217" s="2">
        <f>[2]หน้าผ้า!EC226</f>
        <v>0</v>
      </c>
      <c r="AX217" s="2">
        <f>[2]หน้าผ้า!ED226</f>
        <v>0</v>
      </c>
      <c r="AY217" s="2">
        <f>[2]หน้าผ้า!AG226</f>
        <v>0</v>
      </c>
      <c r="AZ217" s="2">
        <f>[2]หน้าผ้า!EG226</f>
        <v>0</v>
      </c>
      <c r="BA217" s="2">
        <f>[2]หน้าผ้า!EH226</f>
        <v>0</v>
      </c>
      <c r="BB217" s="2">
        <f>[2]หน้าผ้า!EI226</f>
        <v>0</v>
      </c>
      <c r="BC217" s="1">
        <f>[2]หน้าผ้า!BZ226</f>
        <v>0</v>
      </c>
      <c r="BD217" s="56">
        <f>[2]หน้าผ้า!CA226</f>
        <v>0</v>
      </c>
    </row>
    <row r="218" spans="1:56" ht="27.75" customHeight="1" x14ac:dyDescent="0.45">
      <c r="A218" s="3">
        <f>[2]หน้าผ้า!C227</f>
        <v>0</v>
      </c>
      <c r="B218" s="14">
        <f>[2]หน้าผ้า!B227</f>
        <v>0</v>
      </c>
      <c r="C218" s="9">
        <f>[2]หน้าผ้า!E227</f>
        <v>0</v>
      </c>
      <c r="D218" s="13">
        <f>[2]หน้าผ้า!F227</f>
        <v>0</v>
      </c>
      <c r="E218" s="9">
        <f>[2]หน้าผ้า!G227</f>
        <v>0</v>
      </c>
      <c r="F218" s="9">
        <f>[2]หน้าผ้า!H227</f>
        <v>0</v>
      </c>
      <c r="G218" s="9">
        <f>[2]หน้าผ้า!I227</f>
        <v>0</v>
      </c>
      <c r="H218" s="9">
        <f>[2]หน้าผ้า!J227</f>
        <v>0</v>
      </c>
      <c r="I218" s="9">
        <f>[2]หน้าผ้า!L227</f>
        <v>0</v>
      </c>
      <c r="J218" s="9">
        <f>[2]หน้าผ้า!M227</f>
        <v>0</v>
      </c>
      <c r="K218" s="9">
        <f>[2]หน้าผ้า!N227</f>
        <v>0</v>
      </c>
      <c r="L218" s="9">
        <f>[2]หน้าผ้า!R227</f>
        <v>0</v>
      </c>
      <c r="M218" s="10">
        <f>[2]หน้าผ้า!T227</f>
        <v>0</v>
      </c>
      <c r="N218" s="9">
        <f>[2]หน้าผ้า!U227</f>
        <v>0</v>
      </c>
      <c r="O218" s="9">
        <f>[2]หน้าผ้า!V227</f>
        <v>0</v>
      </c>
      <c r="P218" s="10">
        <f>[2]หน้าผ้า!AB227</f>
        <v>0</v>
      </c>
      <c r="Q218" s="10">
        <f>[2]หน้าผ้า!AC227</f>
        <v>0</v>
      </c>
      <c r="R218" s="10">
        <f>[2]หน้าผ้า!AD227</f>
        <v>0</v>
      </c>
      <c r="S218" s="9">
        <f>[2]หน้าผ้า!Z227</f>
        <v>0</v>
      </c>
      <c r="T218" s="12">
        <f>[2]หน้าผ้า!X227</f>
        <v>0</v>
      </c>
      <c r="U218" s="11">
        <f>[2]หน้าผ้า!AA227</f>
        <v>0</v>
      </c>
      <c r="V218" s="10">
        <f>[2]หน้าผ้า!AJ227</f>
        <v>0</v>
      </c>
      <c r="W218" s="10">
        <f>[2]หน้าผ้า!AL227</f>
        <v>0</v>
      </c>
      <c r="X218" s="10">
        <f>[2]หน้าผ้า!AM227</f>
        <v>0</v>
      </c>
      <c r="Y218" s="10">
        <f>[2]หน้าผ้า!AN227</f>
        <v>0</v>
      </c>
      <c r="Z218" s="9">
        <f>[2]หน้าผ้า!AO227</f>
        <v>0</v>
      </c>
      <c r="AA218" s="8">
        <f>[2]หน้าผ้า!AQ227</f>
        <v>0</v>
      </c>
      <c r="AB218" s="8">
        <f>[2]หน้าผ้า!AR227</f>
        <v>0</v>
      </c>
      <c r="AC218" s="8">
        <f>[2]หน้าผ้า!AS227</f>
        <v>0</v>
      </c>
      <c r="AD218" s="8">
        <f>[2]หน้าผ้า!AT227</f>
        <v>0</v>
      </c>
      <c r="AE218" s="8">
        <f>[2]หน้าผ้า!AU227</f>
        <v>0</v>
      </c>
      <c r="AF218" s="8">
        <f>[2]หน้าผ้า!AI227</f>
        <v>0</v>
      </c>
      <c r="AG218" s="1">
        <f>[3]หน้าผ้า!DC230</f>
        <v>0</v>
      </c>
      <c r="AH218" s="1">
        <f>[2]หน้าผ้า!DL227</f>
        <v>0</v>
      </c>
      <c r="AI218" s="1">
        <f>[2]หน้าผ้า!DM227</f>
        <v>0</v>
      </c>
      <c r="AJ218" s="3">
        <f>[2]หน้าผ้า!DN227</f>
        <v>0</v>
      </c>
      <c r="AK218" s="3">
        <f>[2]หน้าผ้า!DQ227</f>
        <v>0</v>
      </c>
      <c r="AL218" s="3">
        <f>[2]หน้าผ้า!DR227</f>
        <v>0</v>
      </c>
      <c r="AM218" s="3">
        <f>[2]หน้าผ้า!DS227</f>
        <v>0</v>
      </c>
      <c r="AN218" s="3">
        <f>[2]หน้าผ้า!DT227</f>
        <v>0</v>
      </c>
      <c r="AO218" s="3">
        <f>[2]หน้าผ้า!DU227</f>
        <v>0</v>
      </c>
      <c r="AP218" s="3">
        <f>[2]หน้าผ้า!DP227</f>
        <v>0</v>
      </c>
      <c r="AQ218" s="3">
        <f>[2]หน้าผ้า!DW227</f>
        <v>0</v>
      </c>
      <c r="AR218" s="3">
        <f>[2]หน้าผ้า!DX227</f>
        <v>0</v>
      </c>
      <c r="AS218" s="3">
        <f>[2]หน้าผ้า!DY227</f>
        <v>0</v>
      </c>
      <c r="AT218" s="3">
        <f>[2]หน้าผ้า!DZ227</f>
        <v>0</v>
      </c>
      <c r="AU218" s="3">
        <f>[2]หน้าผ้า!EA227</f>
        <v>0</v>
      </c>
      <c r="AV218" s="1">
        <f>[2]หน้าผ้า!EB227</f>
        <v>0</v>
      </c>
      <c r="AW218" s="2">
        <f>[2]หน้าผ้า!EC227</f>
        <v>0</v>
      </c>
      <c r="AX218" s="2">
        <f>[2]หน้าผ้า!ED227</f>
        <v>0</v>
      </c>
      <c r="AY218" s="2">
        <f>[2]หน้าผ้า!AG227</f>
        <v>0</v>
      </c>
      <c r="AZ218" s="2">
        <f>[2]หน้าผ้า!EG227</f>
        <v>0</v>
      </c>
      <c r="BA218" s="2">
        <f>[2]หน้าผ้า!EH227</f>
        <v>0</v>
      </c>
      <c r="BB218" s="2">
        <f>[2]หน้าผ้า!EI227</f>
        <v>0</v>
      </c>
      <c r="BC218" s="1">
        <f>[2]หน้าผ้า!BZ227</f>
        <v>0</v>
      </c>
      <c r="BD218" s="56">
        <f>[2]หน้าผ้า!CA227</f>
        <v>0</v>
      </c>
    </row>
    <row r="219" spans="1:56" ht="27.75" customHeight="1" x14ac:dyDescent="0.45">
      <c r="A219" s="3">
        <f>[2]หน้าผ้า!C228</f>
        <v>0</v>
      </c>
      <c r="B219" s="14">
        <f>[2]หน้าผ้า!B228</f>
        <v>0</v>
      </c>
      <c r="C219" s="9">
        <f>[2]หน้าผ้า!E228</f>
        <v>0</v>
      </c>
      <c r="D219" s="13">
        <f>[2]หน้าผ้า!F228</f>
        <v>0</v>
      </c>
      <c r="E219" s="9">
        <f>[2]หน้าผ้า!G228</f>
        <v>0</v>
      </c>
      <c r="F219" s="9">
        <f>[2]หน้าผ้า!H228</f>
        <v>0</v>
      </c>
      <c r="G219" s="9">
        <f>[2]หน้าผ้า!I228</f>
        <v>0</v>
      </c>
      <c r="H219" s="9">
        <f>[2]หน้าผ้า!J228</f>
        <v>0</v>
      </c>
      <c r="I219" s="9">
        <f>[2]หน้าผ้า!L228</f>
        <v>0</v>
      </c>
      <c r="J219" s="9">
        <f>[2]หน้าผ้า!M228</f>
        <v>0</v>
      </c>
      <c r="K219" s="9">
        <f>[2]หน้าผ้า!N228</f>
        <v>0</v>
      </c>
      <c r="L219" s="9">
        <f>[2]หน้าผ้า!R228</f>
        <v>0</v>
      </c>
      <c r="M219" s="10">
        <f>[2]หน้าผ้า!T228</f>
        <v>0</v>
      </c>
      <c r="N219" s="9">
        <f>[2]หน้าผ้า!U228</f>
        <v>0</v>
      </c>
      <c r="O219" s="9">
        <f>[2]หน้าผ้า!V228</f>
        <v>0</v>
      </c>
      <c r="P219" s="10">
        <f>[2]หน้าผ้า!AB228</f>
        <v>0</v>
      </c>
      <c r="Q219" s="10">
        <f>[2]หน้าผ้า!AC228</f>
        <v>0</v>
      </c>
      <c r="R219" s="10">
        <f>[2]หน้าผ้า!AD228</f>
        <v>0</v>
      </c>
      <c r="S219" s="9">
        <f>[2]หน้าผ้า!Z228</f>
        <v>0</v>
      </c>
      <c r="T219" s="12">
        <f>[2]หน้าผ้า!X228</f>
        <v>0</v>
      </c>
      <c r="U219" s="11">
        <f>[2]หน้าผ้า!AA228</f>
        <v>0</v>
      </c>
      <c r="V219" s="10">
        <f>[2]หน้าผ้า!AJ228</f>
        <v>0</v>
      </c>
      <c r="W219" s="10">
        <f>[2]หน้าผ้า!AL228</f>
        <v>0</v>
      </c>
      <c r="X219" s="10">
        <f>[2]หน้าผ้า!AM228</f>
        <v>0</v>
      </c>
      <c r="Y219" s="10">
        <f>[2]หน้าผ้า!AN228</f>
        <v>0</v>
      </c>
      <c r="Z219" s="9">
        <f>[2]หน้าผ้า!AO228</f>
        <v>0</v>
      </c>
      <c r="AA219" s="8">
        <f>[2]หน้าผ้า!AQ228</f>
        <v>0</v>
      </c>
      <c r="AB219" s="8">
        <f>[2]หน้าผ้า!AR228</f>
        <v>0</v>
      </c>
      <c r="AC219" s="8">
        <f>[2]หน้าผ้า!AS228</f>
        <v>0</v>
      </c>
      <c r="AD219" s="8">
        <f>[2]หน้าผ้า!AT228</f>
        <v>0</v>
      </c>
      <c r="AE219" s="8">
        <f>[2]หน้าผ้า!AU228</f>
        <v>0</v>
      </c>
      <c r="AF219" s="8">
        <f>[2]หน้าผ้า!AI228</f>
        <v>0</v>
      </c>
      <c r="AG219" s="1">
        <f>[3]หน้าผ้า!DC231</f>
        <v>0</v>
      </c>
      <c r="AH219" s="1">
        <f>[2]หน้าผ้า!DL228</f>
        <v>0</v>
      </c>
      <c r="AI219" s="1">
        <f>[2]หน้าผ้า!DM228</f>
        <v>0</v>
      </c>
      <c r="AJ219" s="3">
        <f>[2]หน้าผ้า!DN228</f>
        <v>0</v>
      </c>
      <c r="AK219" s="3">
        <f>[2]หน้าผ้า!DQ228</f>
        <v>0</v>
      </c>
      <c r="AL219" s="3">
        <f>[2]หน้าผ้า!DR228</f>
        <v>0</v>
      </c>
      <c r="AM219" s="3">
        <f>[2]หน้าผ้า!DS228</f>
        <v>0</v>
      </c>
      <c r="AN219" s="3">
        <f>[2]หน้าผ้า!DT228</f>
        <v>0</v>
      </c>
      <c r="AO219" s="3">
        <f>[2]หน้าผ้า!DU228</f>
        <v>0</v>
      </c>
      <c r="AP219" s="3">
        <f>[2]หน้าผ้า!DP228</f>
        <v>0</v>
      </c>
      <c r="AQ219" s="3">
        <f>[2]หน้าผ้า!DW228</f>
        <v>0</v>
      </c>
      <c r="AR219" s="3">
        <f>[2]หน้าผ้า!DX228</f>
        <v>0</v>
      </c>
      <c r="AS219" s="3">
        <f>[2]หน้าผ้า!DY228</f>
        <v>0</v>
      </c>
      <c r="AT219" s="3">
        <f>[2]หน้าผ้า!DZ228</f>
        <v>0</v>
      </c>
      <c r="AU219" s="3">
        <f>[2]หน้าผ้า!EA228</f>
        <v>0</v>
      </c>
      <c r="AV219" s="1">
        <f>[2]หน้าผ้า!EB228</f>
        <v>0</v>
      </c>
      <c r="AW219" s="2">
        <f>[2]หน้าผ้า!EC228</f>
        <v>0</v>
      </c>
      <c r="AX219" s="2">
        <f>[2]หน้าผ้า!ED228</f>
        <v>0</v>
      </c>
      <c r="AY219" s="2">
        <f>[2]หน้าผ้า!AG228</f>
        <v>0</v>
      </c>
      <c r="AZ219" s="2">
        <f>[2]หน้าผ้า!EG228</f>
        <v>0</v>
      </c>
      <c r="BA219" s="2">
        <f>[2]หน้าผ้า!EH228</f>
        <v>0</v>
      </c>
      <c r="BB219" s="2">
        <f>[2]หน้าผ้า!EI228</f>
        <v>0</v>
      </c>
      <c r="BC219" s="1">
        <f>[2]หน้าผ้า!BZ228</f>
        <v>0</v>
      </c>
      <c r="BD219" s="56">
        <f>[2]หน้าผ้า!CA228</f>
        <v>0</v>
      </c>
    </row>
    <row r="220" spans="1:56" ht="27.75" customHeight="1" x14ac:dyDescent="0.45">
      <c r="A220" s="3">
        <f>[2]หน้าผ้า!C229</f>
        <v>0</v>
      </c>
      <c r="B220" s="14">
        <f>[2]หน้าผ้า!B229</f>
        <v>0</v>
      </c>
      <c r="C220" s="9">
        <f>[2]หน้าผ้า!E229</f>
        <v>0</v>
      </c>
      <c r="D220" s="13">
        <f>[2]หน้าผ้า!F229</f>
        <v>0</v>
      </c>
      <c r="E220" s="9">
        <f>[2]หน้าผ้า!G229</f>
        <v>0</v>
      </c>
      <c r="F220" s="9">
        <f>[2]หน้าผ้า!H229</f>
        <v>0</v>
      </c>
      <c r="G220" s="9">
        <f>[2]หน้าผ้า!I229</f>
        <v>0</v>
      </c>
      <c r="H220" s="9">
        <f>[2]หน้าผ้า!J229</f>
        <v>0</v>
      </c>
      <c r="I220" s="9">
        <f>[2]หน้าผ้า!L229</f>
        <v>0</v>
      </c>
      <c r="J220" s="9">
        <f>[2]หน้าผ้า!M229</f>
        <v>0</v>
      </c>
      <c r="K220" s="9">
        <f>[2]หน้าผ้า!N229</f>
        <v>0</v>
      </c>
      <c r="L220" s="9">
        <f>[2]หน้าผ้า!R229</f>
        <v>0</v>
      </c>
      <c r="M220" s="10">
        <f>[2]หน้าผ้า!T229</f>
        <v>0</v>
      </c>
      <c r="N220" s="9">
        <f>[2]หน้าผ้า!U229</f>
        <v>0</v>
      </c>
      <c r="O220" s="9">
        <f>[2]หน้าผ้า!V229</f>
        <v>0</v>
      </c>
      <c r="P220" s="10">
        <f>[2]หน้าผ้า!AB229</f>
        <v>0</v>
      </c>
      <c r="Q220" s="10">
        <f>[2]หน้าผ้า!AC229</f>
        <v>0</v>
      </c>
      <c r="R220" s="10">
        <f>[2]หน้าผ้า!AD229</f>
        <v>0</v>
      </c>
      <c r="S220" s="9">
        <f>[2]หน้าผ้า!Z229</f>
        <v>0</v>
      </c>
      <c r="T220" s="12">
        <f>[2]หน้าผ้า!X229</f>
        <v>0</v>
      </c>
      <c r="U220" s="11">
        <f>[2]หน้าผ้า!AA229</f>
        <v>0</v>
      </c>
      <c r="V220" s="10">
        <f>[2]หน้าผ้า!AJ229</f>
        <v>0</v>
      </c>
      <c r="W220" s="10">
        <f>[2]หน้าผ้า!AL229</f>
        <v>0</v>
      </c>
      <c r="X220" s="10">
        <f>[2]หน้าผ้า!AM229</f>
        <v>0</v>
      </c>
      <c r="Y220" s="10">
        <f>[2]หน้าผ้า!AN229</f>
        <v>0</v>
      </c>
      <c r="Z220" s="9">
        <f>[2]หน้าผ้า!AO229</f>
        <v>0</v>
      </c>
      <c r="AA220" s="8">
        <f>[2]หน้าผ้า!AQ229</f>
        <v>0</v>
      </c>
      <c r="AB220" s="8">
        <f>[2]หน้าผ้า!AR229</f>
        <v>0</v>
      </c>
      <c r="AC220" s="8">
        <f>[2]หน้าผ้า!AS229</f>
        <v>0</v>
      </c>
      <c r="AD220" s="8">
        <f>[2]หน้าผ้า!AT229</f>
        <v>0</v>
      </c>
      <c r="AE220" s="8">
        <f>[2]หน้าผ้า!AU229</f>
        <v>0</v>
      </c>
      <c r="AF220" s="8">
        <f>[2]หน้าผ้า!AI229</f>
        <v>0</v>
      </c>
      <c r="AG220" s="1">
        <f>[3]หน้าผ้า!DC232</f>
        <v>0</v>
      </c>
      <c r="AH220" s="1">
        <f>[2]หน้าผ้า!DL229</f>
        <v>0</v>
      </c>
      <c r="AI220" s="1">
        <f>[2]หน้าผ้า!DM229</f>
        <v>0</v>
      </c>
      <c r="AJ220" s="3">
        <f>[2]หน้าผ้า!DN229</f>
        <v>0</v>
      </c>
      <c r="AK220" s="3">
        <f>[2]หน้าผ้า!DQ229</f>
        <v>0</v>
      </c>
      <c r="AL220" s="3">
        <f>[2]หน้าผ้า!DR229</f>
        <v>0</v>
      </c>
      <c r="AM220" s="3">
        <f>[2]หน้าผ้า!DS229</f>
        <v>0</v>
      </c>
      <c r="AN220" s="3">
        <f>[2]หน้าผ้า!DT229</f>
        <v>0</v>
      </c>
      <c r="AO220" s="3">
        <f>[2]หน้าผ้า!DU229</f>
        <v>0</v>
      </c>
      <c r="AP220" s="3">
        <f>[2]หน้าผ้า!DP229</f>
        <v>0</v>
      </c>
      <c r="AQ220" s="3">
        <f>[2]หน้าผ้า!DW229</f>
        <v>0</v>
      </c>
      <c r="AR220" s="3">
        <f>[2]หน้าผ้า!DX229</f>
        <v>0</v>
      </c>
      <c r="AS220" s="3">
        <f>[2]หน้าผ้า!DY229</f>
        <v>0</v>
      </c>
      <c r="AT220" s="3">
        <f>[2]หน้าผ้า!DZ229</f>
        <v>0</v>
      </c>
      <c r="AU220" s="3">
        <f>[2]หน้าผ้า!EA229</f>
        <v>0</v>
      </c>
      <c r="AV220" s="1">
        <f>[2]หน้าผ้า!EB229</f>
        <v>0</v>
      </c>
      <c r="AW220" s="2">
        <f>[2]หน้าผ้า!EC229</f>
        <v>0</v>
      </c>
      <c r="AX220" s="2">
        <f>[2]หน้าผ้า!ED229</f>
        <v>0</v>
      </c>
      <c r="AY220" s="2">
        <f>[2]หน้าผ้า!AG229</f>
        <v>0</v>
      </c>
      <c r="AZ220" s="2">
        <f>[2]หน้าผ้า!EG229</f>
        <v>0</v>
      </c>
      <c r="BA220" s="2">
        <f>[2]หน้าผ้า!EH229</f>
        <v>0</v>
      </c>
      <c r="BB220" s="2">
        <f>[2]หน้าผ้า!EI229</f>
        <v>0</v>
      </c>
      <c r="BC220" s="1">
        <f>[2]หน้าผ้า!BZ229</f>
        <v>0</v>
      </c>
      <c r="BD220" s="56">
        <f>[2]หน้าผ้า!CA229</f>
        <v>0</v>
      </c>
    </row>
    <row r="221" spans="1:56" ht="27.75" customHeight="1" x14ac:dyDescent="0.45">
      <c r="A221" s="3">
        <f>[2]หน้าผ้า!C230</f>
        <v>0</v>
      </c>
      <c r="B221" s="14">
        <f>[2]หน้าผ้า!B230</f>
        <v>0</v>
      </c>
      <c r="C221" s="9">
        <f>[2]หน้าผ้า!E230</f>
        <v>0</v>
      </c>
      <c r="D221" s="13">
        <f>[2]หน้าผ้า!F230</f>
        <v>0</v>
      </c>
      <c r="E221" s="9">
        <f>[2]หน้าผ้า!G230</f>
        <v>0</v>
      </c>
      <c r="F221" s="9">
        <f>[2]หน้าผ้า!H230</f>
        <v>0</v>
      </c>
      <c r="G221" s="9">
        <f>[2]หน้าผ้า!I230</f>
        <v>0</v>
      </c>
      <c r="H221" s="9">
        <f>[2]หน้าผ้า!J230</f>
        <v>0</v>
      </c>
      <c r="I221" s="9">
        <f>[2]หน้าผ้า!L230</f>
        <v>0</v>
      </c>
      <c r="J221" s="9">
        <f>[2]หน้าผ้า!M230</f>
        <v>0</v>
      </c>
      <c r="K221" s="9">
        <f>[2]หน้าผ้า!N230</f>
        <v>0</v>
      </c>
      <c r="L221" s="9">
        <f>[2]หน้าผ้า!R230</f>
        <v>0</v>
      </c>
      <c r="M221" s="10">
        <f>[2]หน้าผ้า!T230</f>
        <v>0</v>
      </c>
      <c r="N221" s="9">
        <f>[2]หน้าผ้า!U230</f>
        <v>0</v>
      </c>
      <c r="O221" s="9">
        <f>[2]หน้าผ้า!V230</f>
        <v>0</v>
      </c>
      <c r="P221" s="10">
        <f>[2]หน้าผ้า!AB230</f>
        <v>0</v>
      </c>
      <c r="Q221" s="10">
        <f>[2]หน้าผ้า!AC230</f>
        <v>0</v>
      </c>
      <c r="R221" s="10">
        <f>[2]หน้าผ้า!AD230</f>
        <v>0</v>
      </c>
      <c r="S221" s="9">
        <f>[2]หน้าผ้า!Z230</f>
        <v>0</v>
      </c>
      <c r="T221" s="12">
        <f>[2]หน้าผ้า!X230</f>
        <v>0</v>
      </c>
      <c r="U221" s="11">
        <f>[2]หน้าผ้า!AA230</f>
        <v>0</v>
      </c>
      <c r="V221" s="10">
        <f>[2]หน้าผ้า!AJ230</f>
        <v>0</v>
      </c>
      <c r="W221" s="10">
        <f>[2]หน้าผ้า!AL230</f>
        <v>0</v>
      </c>
      <c r="X221" s="10">
        <f>[2]หน้าผ้า!AM230</f>
        <v>0</v>
      </c>
      <c r="Y221" s="10">
        <f>[2]หน้าผ้า!AN230</f>
        <v>0</v>
      </c>
      <c r="Z221" s="9">
        <f>[2]หน้าผ้า!AO230</f>
        <v>0</v>
      </c>
      <c r="AA221" s="8">
        <f>[2]หน้าผ้า!AQ230</f>
        <v>0</v>
      </c>
      <c r="AB221" s="8">
        <f>[2]หน้าผ้า!AR230</f>
        <v>0</v>
      </c>
      <c r="AC221" s="8">
        <f>[2]หน้าผ้า!AS230</f>
        <v>0</v>
      </c>
      <c r="AD221" s="8">
        <f>[2]หน้าผ้า!AT230</f>
        <v>0</v>
      </c>
      <c r="AE221" s="8">
        <f>[2]หน้าผ้า!AU230</f>
        <v>0</v>
      </c>
      <c r="AF221" s="8">
        <f>[2]หน้าผ้า!AI230</f>
        <v>0</v>
      </c>
      <c r="AG221" s="1">
        <f>[3]หน้าผ้า!DC233</f>
        <v>0</v>
      </c>
      <c r="AH221" s="1">
        <f>[2]หน้าผ้า!DL230</f>
        <v>0</v>
      </c>
      <c r="AI221" s="1">
        <f>[2]หน้าผ้า!DM230</f>
        <v>0</v>
      </c>
      <c r="AJ221" s="3">
        <f>[2]หน้าผ้า!DN230</f>
        <v>0</v>
      </c>
      <c r="AK221" s="3">
        <f>[2]หน้าผ้า!DQ230</f>
        <v>0</v>
      </c>
      <c r="AL221" s="3">
        <f>[2]หน้าผ้า!DR230</f>
        <v>0</v>
      </c>
      <c r="AM221" s="3">
        <f>[2]หน้าผ้า!DS230</f>
        <v>0</v>
      </c>
      <c r="AN221" s="3">
        <f>[2]หน้าผ้า!DT230</f>
        <v>0</v>
      </c>
      <c r="AO221" s="3">
        <f>[2]หน้าผ้า!DU230</f>
        <v>0</v>
      </c>
      <c r="AP221" s="3">
        <f>[2]หน้าผ้า!DP230</f>
        <v>0</v>
      </c>
      <c r="AQ221" s="3">
        <f>[2]หน้าผ้า!DW230</f>
        <v>0</v>
      </c>
      <c r="AR221" s="3">
        <f>[2]หน้าผ้า!DX230</f>
        <v>0</v>
      </c>
      <c r="AS221" s="3">
        <f>[2]หน้าผ้า!DY230</f>
        <v>0</v>
      </c>
      <c r="AT221" s="3">
        <f>[2]หน้าผ้า!DZ230</f>
        <v>0</v>
      </c>
      <c r="AU221" s="3">
        <f>[2]หน้าผ้า!EA230</f>
        <v>0</v>
      </c>
      <c r="AV221" s="1">
        <f>[2]หน้าผ้า!EB230</f>
        <v>0</v>
      </c>
      <c r="AW221" s="2">
        <f>[2]หน้าผ้า!EC230</f>
        <v>0</v>
      </c>
      <c r="AX221" s="2">
        <f>[2]หน้าผ้า!ED230</f>
        <v>0</v>
      </c>
      <c r="AY221" s="2">
        <f>[2]หน้าผ้า!AG230</f>
        <v>0</v>
      </c>
      <c r="AZ221" s="2">
        <f>[2]หน้าผ้า!EG230</f>
        <v>0</v>
      </c>
      <c r="BA221" s="2">
        <f>[2]หน้าผ้า!EH230</f>
        <v>0</v>
      </c>
      <c r="BB221" s="2">
        <f>[2]หน้าผ้า!EI230</f>
        <v>0</v>
      </c>
      <c r="BC221" s="1">
        <f>[2]หน้าผ้า!BZ230</f>
        <v>0</v>
      </c>
      <c r="BD221" s="56">
        <f>[2]หน้าผ้า!CA230</f>
        <v>0</v>
      </c>
    </row>
    <row r="222" spans="1:56" ht="27.75" customHeight="1" x14ac:dyDescent="0.45">
      <c r="A222" s="3">
        <f>[2]หน้าผ้า!C231</f>
        <v>0</v>
      </c>
      <c r="B222" s="14">
        <f>[2]หน้าผ้า!B231</f>
        <v>0</v>
      </c>
      <c r="C222" s="9">
        <f>[2]หน้าผ้า!E231</f>
        <v>0</v>
      </c>
      <c r="D222" s="13">
        <f>[2]หน้าผ้า!F231</f>
        <v>0</v>
      </c>
      <c r="E222" s="9">
        <f>[2]หน้าผ้า!G231</f>
        <v>0</v>
      </c>
      <c r="F222" s="9">
        <f>[2]หน้าผ้า!H231</f>
        <v>0</v>
      </c>
      <c r="G222" s="9">
        <f>[2]หน้าผ้า!I231</f>
        <v>0</v>
      </c>
      <c r="H222" s="9">
        <f>[2]หน้าผ้า!J231</f>
        <v>0</v>
      </c>
      <c r="I222" s="9">
        <f>[2]หน้าผ้า!L231</f>
        <v>0</v>
      </c>
      <c r="J222" s="9">
        <f>[2]หน้าผ้า!M231</f>
        <v>0</v>
      </c>
      <c r="K222" s="9">
        <f>[2]หน้าผ้า!N231</f>
        <v>0</v>
      </c>
      <c r="L222" s="9">
        <f>[2]หน้าผ้า!R231</f>
        <v>0</v>
      </c>
      <c r="M222" s="10">
        <f>[2]หน้าผ้า!T231</f>
        <v>0</v>
      </c>
      <c r="N222" s="9">
        <f>[2]หน้าผ้า!U231</f>
        <v>0</v>
      </c>
      <c r="O222" s="9">
        <f>[2]หน้าผ้า!V231</f>
        <v>0</v>
      </c>
      <c r="P222" s="10">
        <f>[2]หน้าผ้า!AB231</f>
        <v>0</v>
      </c>
      <c r="Q222" s="10">
        <f>[2]หน้าผ้า!AC231</f>
        <v>0</v>
      </c>
      <c r="R222" s="10">
        <f>[2]หน้าผ้า!AD231</f>
        <v>0</v>
      </c>
      <c r="S222" s="9">
        <f>[2]หน้าผ้า!Z231</f>
        <v>0</v>
      </c>
      <c r="T222" s="12">
        <f>[2]หน้าผ้า!X231</f>
        <v>0</v>
      </c>
      <c r="U222" s="11">
        <f>[2]หน้าผ้า!AA231</f>
        <v>0</v>
      </c>
      <c r="V222" s="10">
        <f>[2]หน้าผ้า!AJ231</f>
        <v>0</v>
      </c>
      <c r="W222" s="10">
        <f>[2]หน้าผ้า!AL231</f>
        <v>0</v>
      </c>
      <c r="X222" s="10">
        <f>[2]หน้าผ้า!AM231</f>
        <v>0</v>
      </c>
      <c r="Y222" s="10">
        <f>[2]หน้าผ้า!AN231</f>
        <v>0</v>
      </c>
      <c r="Z222" s="9">
        <f>[2]หน้าผ้า!AO231</f>
        <v>0</v>
      </c>
      <c r="AA222" s="8">
        <f>[2]หน้าผ้า!AQ231</f>
        <v>0</v>
      </c>
      <c r="AB222" s="8">
        <f>[2]หน้าผ้า!AR231</f>
        <v>0</v>
      </c>
      <c r="AC222" s="8">
        <f>[2]หน้าผ้า!AS231</f>
        <v>0</v>
      </c>
      <c r="AD222" s="8">
        <f>[2]หน้าผ้า!AT231</f>
        <v>0</v>
      </c>
      <c r="AE222" s="8">
        <f>[2]หน้าผ้า!AU231</f>
        <v>0</v>
      </c>
      <c r="AF222" s="8">
        <f>[2]หน้าผ้า!AI231</f>
        <v>0</v>
      </c>
      <c r="AG222" s="1">
        <f>[3]หน้าผ้า!DC234</f>
        <v>0</v>
      </c>
      <c r="AH222" s="1">
        <f>[2]หน้าผ้า!DL231</f>
        <v>0</v>
      </c>
      <c r="AI222" s="1">
        <f>[2]หน้าผ้า!DM231</f>
        <v>0</v>
      </c>
      <c r="AJ222" s="3">
        <f>[2]หน้าผ้า!DN231</f>
        <v>0</v>
      </c>
      <c r="AK222" s="3">
        <f>[2]หน้าผ้า!DQ231</f>
        <v>0</v>
      </c>
      <c r="AL222" s="3">
        <f>[2]หน้าผ้า!DR231</f>
        <v>0</v>
      </c>
      <c r="AM222" s="3">
        <f>[2]หน้าผ้า!DS231</f>
        <v>0</v>
      </c>
      <c r="AN222" s="3">
        <f>[2]หน้าผ้า!DT231</f>
        <v>0</v>
      </c>
      <c r="AO222" s="3">
        <f>[2]หน้าผ้า!DU231</f>
        <v>0</v>
      </c>
      <c r="AP222" s="3">
        <f>[2]หน้าผ้า!DP231</f>
        <v>0</v>
      </c>
      <c r="AQ222" s="3">
        <f>[2]หน้าผ้า!DW231</f>
        <v>0</v>
      </c>
      <c r="AR222" s="3">
        <f>[2]หน้าผ้า!DX231</f>
        <v>0</v>
      </c>
      <c r="AS222" s="3">
        <f>[2]หน้าผ้า!DY231</f>
        <v>0</v>
      </c>
      <c r="AT222" s="3">
        <f>[2]หน้าผ้า!DZ231</f>
        <v>0</v>
      </c>
      <c r="AU222" s="3">
        <f>[2]หน้าผ้า!EA231</f>
        <v>0</v>
      </c>
      <c r="AV222" s="1">
        <f>[2]หน้าผ้า!EB231</f>
        <v>0</v>
      </c>
      <c r="AW222" s="2">
        <f>[2]หน้าผ้า!EC231</f>
        <v>0</v>
      </c>
      <c r="AX222" s="2">
        <f>[2]หน้าผ้า!ED231</f>
        <v>0</v>
      </c>
      <c r="AY222" s="2">
        <f>[2]หน้าผ้า!AG231</f>
        <v>0</v>
      </c>
      <c r="AZ222" s="2">
        <f>[2]หน้าผ้า!EG231</f>
        <v>0</v>
      </c>
      <c r="BA222" s="2">
        <f>[2]หน้าผ้า!EH231</f>
        <v>0</v>
      </c>
      <c r="BB222" s="2">
        <f>[2]หน้าผ้า!EI231</f>
        <v>0</v>
      </c>
      <c r="BC222" s="1">
        <f>[2]หน้าผ้า!BZ231</f>
        <v>0</v>
      </c>
      <c r="BD222" s="56">
        <f>[2]หน้าผ้า!CA231</f>
        <v>0</v>
      </c>
    </row>
    <row r="223" spans="1:56" ht="27.75" customHeight="1" x14ac:dyDescent="0.45">
      <c r="A223" s="3">
        <f>[2]หน้าผ้า!C232</f>
        <v>0</v>
      </c>
      <c r="B223" s="14">
        <f>[2]หน้าผ้า!B232</f>
        <v>0</v>
      </c>
      <c r="C223" s="9">
        <f>[2]หน้าผ้า!E232</f>
        <v>0</v>
      </c>
      <c r="D223" s="13">
        <f>[2]หน้าผ้า!F232</f>
        <v>0</v>
      </c>
      <c r="E223" s="9">
        <f>[2]หน้าผ้า!G232</f>
        <v>0</v>
      </c>
      <c r="F223" s="9">
        <f>[2]หน้าผ้า!H232</f>
        <v>0</v>
      </c>
      <c r="G223" s="9">
        <f>[2]หน้าผ้า!I232</f>
        <v>0</v>
      </c>
      <c r="H223" s="9">
        <f>[2]หน้าผ้า!J232</f>
        <v>0</v>
      </c>
      <c r="I223" s="9">
        <f>[2]หน้าผ้า!L232</f>
        <v>0</v>
      </c>
      <c r="J223" s="9">
        <f>[2]หน้าผ้า!M232</f>
        <v>0</v>
      </c>
      <c r="K223" s="9">
        <f>[2]หน้าผ้า!N232</f>
        <v>0</v>
      </c>
      <c r="L223" s="9">
        <f>[2]หน้าผ้า!R232</f>
        <v>0</v>
      </c>
      <c r="M223" s="10">
        <f>[2]หน้าผ้า!T232</f>
        <v>0</v>
      </c>
      <c r="N223" s="9">
        <f>[2]หน้าผ้า!U232</f>
        <v>0</v>
      </c>
      <c r="O223" s="9">
        <f>[2]หน้าผ้า!V232</f>
        <v>0</v>
      </c>
      <c r="P223" s="10">
        <f>[2]หน้าผ้า!AB232</f>
        <v>0</v>
      </c>
      <c r="Q223" s="10">
        <f>[2]หน้าผ้า!AC232</f>
        <v>0</v>
      </c>
      <c r="R223" s="10">
        <f>[2]หน้าผ้า!AD232</f>
        <v>0</v>
      </c>
      <c r="S223" s="9">
        <f>[2]หน้าผ้า!Z232</f>
        <v>0</v>
      </c>
      <c r="T223" s="12">
        <f>[2]หน้าผ้า!X232</f>
        <v>0</v>
      </c>
      <c r="U223" s="11">
        <f>[2]หน้าผ้า!AA232</f>
        <v>0</v>
      </c>
      <c r="V223" s="10">
        <f>[2]หน้าผ้า!AJ232</f>
        <v>0</v>
      </c>
      <c r="W223" s="10">
        <f>[2]หน้าผ้า!AL232</f>
        <v>0</v>
      </c>
      <c r="X223" s="10">
        <f>[2]หน้าผ้า!AM232</f>
        <v>0</v>
      </c>
      <c r="Y223" s="10">
        <f>[2]หน้าผ้า!AN232</f>
        <v>0</v>
      </c>
      <c r="Z223" s="9">
        <f>[2]หน้าผ้า!AO232</f>
        <v>0</v>
      </c>
      <c r="AA223" s="8">
        <f>[2]หน้าผ้า!AQ232</f>
        <v>0</v>
      </c>
      <c r="AB223" s="8">
        <f>[2]หน้าผ้า!AR232</f>
        <v>0</v>
      </c>
      <c r="AC223" s="8">
        <f>[2]หน้าผ้า!AS232</f>
        <v>0</v>
      </c>
      <c r="AD223" s="8">
        <f>[2]หน้าผ้า!AT232</f>
        <v>0</v>
      </c>
      <c r="AE223" s="8">
        <f>[2]หน้าผ้า!AU232</f>
        <v>0</v>
      </c>
      <c r="AF223" s="8">
        <f>[2]หน้าผ้า!AI232</f>
        <v>0</v>
      </c>
      <c r="AG223" s="1">
        <f>[3]หน้าผ้า!DC235</f>
        <v>0</v>
      </c>
      <c r="AH223" s="1">
        <f>[2]หน้าผ้า!DL232</f>
        <v>0</v>
      </c>
      <c r="AI223" s="1">
        <f>[2]หน้าผ้า!DM232</f>
        <v>0</v>
      </c>
      <c r="AJ223" s="3">
        <f>[2]หน้าผ้า!DN232</f>
        <v>0</v>
      </c>
      <c r="AK223" s="3">
        <f>[2]หน้าผ้า!DQ232</f>
        <v>0</v>
      </c>
      <c r="AL223" s="3">
        <f>[2]หน้าผ้า!DR232</f>
        <v>0</v>
      </c>
      <c r="AM223" s="3">
        <f>[2]หน้าผ้า!DS232</f>
        <v>0</v>
      </c>
      <c r="AN223" s="3">
        <f>[2]หน้าผ้า!DT232</f>
        <v>0</v>
      </c>
      <c r="AO223" s="3">
        <f>[2]หน้าผ้า!DU232</f>
        <v>0</v>
      </c>
      <c r="AP223" s="3">
        <f>[2]หน้าผ้า!DP232</f>
        <v>0</v>
      </c>
      <c r="AQ223" s="3">
        <f>[2]หน้าผ้า!DW232</f>
        <v>0</v>
      </c>
      <c r="AR223" s="3">
        <f>[2]หน้าผ้า!DX232</f>
        <v>0</v>
      </c>
      <c r="AS223" s="3">
        <f>[2]หน้าผ้า!DY232</f>
        <v>0</v>
      </c>
      <c r="AT223" s="3">
        <f>[2]หน้าผ้า!DZ232</f>
        <v>0</v>
      </c>
      <c r="AU223" s="3">
        <f>[2]หน้าผ้า!EA232</f>
        <v>0</v>
      </c>
      <c r="AV223" s="1">
        <f>[2]หน้าผ้า!EB232</f>
        <v>0</v>
      </c>
      <c r="AW223" s="2">
        <f>[2]หน้าผ้า!EC232</f>
        <v>0</v>
      </c>
      <c r="AX223" s="2">
        <f>[2]หน้าผ้า!ED232</f>
        <v>0</v>
      </c>
      <c r="AY223" s="2">
        <f>[2]หน้าผ้า!AG232</f>
        <v>0</v>
      </c>
      <c r="AZ223" s="2">
        <f>[2]หน้าผ้า!EG232</f>
        <v>0</v>
      </c>
      <c r="BA223" s="2">
        <f>[2]หน้าผ้า!EH232</f>
        <v>0</v>
      </c>
      <c r="BB223" s="2">
        <f>[2]หน้าผ้า!EI232</f>
        <v>0</v>
      </c>
      <c r="BC223" s="1">
        <f>[2]หน้าผ้า!BZ232</f>
        <v>0</v>
      </c>
      <c r="BD223" s="56">
        <f>[2]หน้าผ้า!CA232</f>
        <v>0</v>
      </c>
    </row>
    <row r="224" spans="1:56" ht="27.75" customHeight="1" x14ac:dyDescent="0.45">
      <c r="A224" s="3">
        <f>[2]หน้าผ้า!C233</f>
        <v>0</v>
      </c>
      <c r="B224" s="14">
        <f>[2]หน้าผ้า!B233</f>
        <v>0</v>
      </c>
      <c r="C224" s="9">
        <f>[2]หน้าผ้า!E233</f>
        <v>0</v>
      </c>
      <c r="D224" s="13">
        <f>[2]หน้าผ้า!F233</f>
        <v>0</v>
      </c>
      <c r="E224" s="9">
        <f>[2]หน้าผ้า!G233</f>
        <v>0</v>
      </c>
      <c r="F224" s="9">
        <f>[2]หน้าผ้า!H233</f>
        <v>0</v>
      </c>
      <c r="G224" s="9">
        <f>[2]หน้าผ้า!I233</f>
        <v>0</v>
      </c>
      <c r="H224" s="9">
        <f>[2]หน้าผ้า!J233</f>
        <v>0</v>
      </c>
      <c r="I224" s="9">
        <f>[2]หน้าผ้า!L233</f>
        <v>0</v>
      </c>
      <c r="J224" s="9">
        <f>[2]หน้าผ้า!M233</f>
        <v>0</v>
      </c>
      <c r="K224" s="9">
        <f>[2]หน้าผ้า!N233</f>
        <v>0</v>
      </c>
      <c r="L224" s="9">
        <f>[2]หน้าผ้า!R233</f>
        <v>0</v>
      </c>
      <c r="M224" s="10">
        <f>[2]หน้าผ้า!T233</f>
        <v>0</v>
      </c>
      <c r="N224" s="9">
        <f>[2]หน้าผ้า!U233</f>
        <v>0</v>
      </c>
      <c r="O224" s="9">
        <f>[2]หน้าผ้า!V233</f>
        <v>0</v>
      </c>
      <c r="P224" s="10">
        <f>[2]หน้าผ้า!AB233</f>
        <v>0</v>
      </c>
      <c r="Q224" s="10">
        <f>[2]หน้าผ้า!AC233</f>
        <v>0</v>
      </c>
      <c r="R224" s="10">
        <f>[2]หน้าผ้า!AD233</f>
        <v>0</v>
      </c>
      <c r="S224" s="9">
        <f>[2]หน้าผ้า!Z233</f>
        <v>0</v>
      </c>
      <c r="T224" s="12">
        <f>[2]หน้าผ้า!X233</f>
        <v>0</v>
      </c>
      <c r="U224" s="11">
        <f>[2]หน้าผ้า!AA233</f>
        <v>0</v>
      </c>
      <c r="V224" s="10">
        <f>[2]หน้าผ้า!AJ233</f>
        <v>0</v>
      </c>
      <c r="W224" s="10">
        <f>[2]หน้าผ้า!AL233</f>
        <v>0</v>
      </c>
      <c r="X224" s="10">
        <f>[2]หน้าผ้า!AM233</f>
        <v>0</v>
      </c>
      <c r="Y224" s="10">
        <f>[2]หน้าผ้า!AN233</f>
        <v>0</v>
      </c>
      <c r="Z224" s="9">
        <f>[2]หน้าผ้า!AO233</f>
        <v>0</v>
      </c>
      <c r="AA224" s="8">
        <f>[2]หน้าผ้า!AQ233</f>
        <v>0</v>
      </c>
      <c r="AB224" s="8">
        <f>[2]หน้าผ้า!AR233</f>
        <v>0</v>
      </c>
      <c r="AC224" s="8">
        <f>[2]หน้าผ้า!AS233</f>
        <v>0</v>
      </c>
      <c r="AD224" s="8">
        <f>[2]หน้าผ้า!AT233</f>
        <v>0</v>
      </c>
      <c r="AE224" s="8">
        <f>[2]หน้าผ้า!AU233</f>
        <v>0</v>
      </c>
      <c r="AF224" s="8">
        <f>[2]หน้าผ้า!AI233</f>
        <v>0</v>
      </c>
      <c r="AG224" s="1">
        <f>[3]หน้าผ้า!DC236</f>
        <v>0</v>
      </c>
      <c r="AH224" s="1">
        <f>[2]หน้าผ้า!DL233</f>
        <v>0</v>
      </c>
      <c r="AI224" s="1">
        <f>[2]หน้าผ้า!DM233</f>
        <v>0</v>
      </c>
      <c r="AJ224" s="3">
        <f>[2]หน้าผ้า!DN233</f>
        <v>0</v>
      </c>
      <c r="AK224" s="3">
        <f>[2]หน้าผ้า!DQ233</f>
        <v>0</v>
      </c>
      <c r="AL224" s="3">
        <f>[2]หน้าผ้า!DR233</f>
        <v>0</v>
      </c>
      <c r="AM224" s="3">
        <f>[2]หน้าผ้า!DS233</f>
        <v>0</v>
      </c>
      <c r="AN224" s="3">
        <f>[2]หน้าผ้า!DT233</f>
        <v>0</v>
      </c>
      <c r="AO224" s="3">
        <f>[2]หน้าผ้า!DU233</f>
        <v>0</v>
      </c>
      <c r="AP224" s="3">
        <f>[2]หน้าผ้า!DP233</f>
        <v>0</v>
      </c>
      <c r="AQ224" s="3">
        <f>[2]หน้าผ้า!DW233</f>
        <v>0</v>
      </c>
      <c r="AR224" s="3">
        <f>[2]หน้าผ้า!DX233</f>
        <v>0</v>
      </c>
      <c r="AS224" s="3">
        <f>[2]หน้าผ้า!DY233</f>
        <v>0</v>
      </c>
      <c r="AT224" s="3">
        <f>[2]หน้าผ้า!DZ233</f>
        <v>0</v>
      </c>
      <c r="AU224" s="3">
        <f>[2]หน้าผ้า!EA233</f>
        <v>0</v>
      </c>
      <c r="AV224" s="1">
        <f>[2]หน้าผ้า!EB233</f>
        <v>0</v>
      </c>
      <c r="AW224" s="2">
        <f>[2]หน้าผ้า!EC233</f>
        <v>0</v>
      </c>
      <c r="AX224" s="2">
        <f>[2]หน้าผ้า!ED233</f>
        <v>0</v>
      </c>
      <c r="AY224" s="2">
        <f>[2]หน้าผ้า!AG233</f>
        <v>0</v>
      </c>
      <c r="AZ224" s="2">
        <f>[2]หน้าผ้า!EG233</f>
        <v>0</v>
      </c>
      <c r="BA224" s="2">
        <f>[2]หน้าผ้า!EH233</f>
        <v>0</v>
      </c>
      <c r="BB224" s="2">
        <f>[2]หน้าผ้า!EI233</f>
        <v>0</v>
      </c>
      <c r="BC224" s="1">
        <f>[2]หน้าผ้า!BZ233</f>
        <v>0</v>
      </c>
      <c r="BD224" s="56">
        <f>[2]หน้าผ้า!CA233</f>
        <v>0</v>
      </c>
    </row>
    <row r="225" spans="1:56" ht="27.75" customHeight="1" x14ac:dyDescent="0.45">
      <c r="A225" s="3">
        <f>[2]หน้าผ้า!C234</f>
        <v>0</v>
      </c>
      <c r="B225" s="14">
        <f>[2]หน้าผ้า!B234</f>
        <v>0</v>
      </c>
      <c r="C225" s="9">
        <f>[2]หน้าผ้า!E234</f>
        <v>0</v>
      </c>
      <c r="D225" s="13">
        <f>[2]หน้าผ้า!F234</f>
        <v>0</v>
      </c>
      <c r="E225" s="9">
        <f>[2]หน้าผ้า!G234</f>
        <v>0</v>
      </c>
      <c r="F225" s="9">
        <f>[2]หน้าผ้า!H234</f>
        <v>0</v>
      </c>
      <c r="G225" s="9">
        <f>[2]หน้าผ้า!I234</f>
        <v>0</v>
      </c>
      <c r="H225" s="9">
        <f>[2]หน้าผ้า!J234</f>
        <v>0</v>
      </c>
      <c r="I225" s="9">
        <f>[2]หน้าผ้า!L234</f>
        <v>0</v>
      </c>
      <c r="J225" s="9">
        <f>[2]หน้าผ้า!M234</f>
        <v>0</v>
      </c>
      <c r="K225" s="9">
        <f>[2]หน้าผ้า!N234</f>
        <v>0</v>
      </c>
      <c r="L225" s="9">
        <f>[2]หน้าผ้า!R234</f>
        <v>0</v>
      </c>
      <c r="M225" s="10">
        <f>[2]หน้าผ้า!T234</f>
        <v>0</v>
      </c>
      <c r="N225" s="9">
        <f>[2]หน้าผ้า!U234</f>
        <v>0</v>
      </c>
      <c r="O225" s="9">
        <f>[2]หน้าผ้า!V234</f>
        <v>0</v>
      </c>
      <c r="P225" s="10">
        <f>[2]หน้าผ้า!AB234</f>
        <v>0</v>
      </c>
      <c r="Q225" s="10">
        <f>[2]หน้าผ้า!AC234</f>
        <v>0</v>
      </c>
      <c r="R225" s="10">
        <f>[2]หน้าผ้า!AD234</f>
        <v>0</v>
      </c>
      <c r="S225" s="9">
        <f>[2]หน้าผ้า!Z234</f>
        <v>0</v>
      </c>
      <c r="T225" s="12">
        <f>[2]หน้าผ้า!X234</f>
        <v>0</v>
      </c>
      <c r="U225" s="11">
        <f>[2]หน้าผ้า!AA234</f>
        <v>0</v>
      </c>
      <c r="V225" s="10">
        <f>[2]หน้าผ้า!AJ234</f>
        <v>0</v>
      </c>
      <c r="W225" s="10">
        <f>[2]หน้าผ้า!AL234</f>
        <v>0</v>
      </c>
      <c r="X225" s="10">
        <f>[2]หน้าผ้า!AM234</f>
        <v>0</v>
      </c>
      <c r="Y225" s="10">
        <f>[2]หน้าผ้า!AN234</f>
        <v>0</v>
      </c>
      <c r="Z225" s="9">
        <f>[2]หน้าผ้า!AO234</f>
        <v>0</v>
      </c>
      <c r="AA225" s="8">
        <f>[2]หน้าผ้า!AQ234</f>
        <v>0</v>
      </c>
      <c r="AB225" s="8">
        <f>[2]หน้าผ้า!AR234</f>
        <v>0</v>
      </c>
      <c r="AC225" s="8">
        <f>[2]หน้าผ้า!AS234</f>
        <v>0</v>
      </c>
      <c r="AD225" s="8">
        <f>[2]หน้าผ้า!AT234</f>
        <v>0</v>
      </c>
      <c r="AE225" s="8">
        <f>[2]หน้าผ้า!AU234</f>
        <v>0</v>
      </c>
      <c r="AF225" s="8">
        <f>[2]หน้าผ้า!AI234</f>
        <v>0</v>
      </c>
      <c r="AG225" s="1">
        <f>[3]หน้าผ้า!DC237</f>
        <v>0</v>
      </c>
      <c r="AH225" s="1">
        <f>[2]หน้าผ้า!DL234</f>
        <v>0</v>
      </c>
      <c r="AI225" s="1">
        <f>[2]หน้าผ้า!DM234</f>
        <v>0</v>
      </c>
      <c r="AJ225" s="3">
        <f>[2]หน้าผ้า!DN234</f>
        <v>0</v>
      </c>
      <c r="AK225" s="3">
        <f>[2]หน้าผ้า!DQ234</f>
        <v>0</v>
      </c>
      <c r="AL225" s="3">
        <f>[2]หน้าผ้า!DR234</f>
        <v>0</v>
      </c>
      <c r="AM225" s="3">
        <f>[2]หน้าผ้า!DS234</f>
        <v>0</v>
      </c>
      <c r="AN225" s="3">
        <f>[2]หน้าผ้า!DT234</f>
        <v>0</v>
      </c>
      <c r="AO225" s="3">
        <f>[2]หน้าผ้า!DU234</f>
        <v>0</v>
      </c>
      <c r="AP225" s="3">
        <f>[2]หน้าผ้า!DP234</f>
        <v>0</v>
      </c>
      <c r="AQ225" s="3">
        <f>[2]หน้าผ้า!DW234</f>
        <v>0</v>
      </c>
      <c r="AR225" s="3">
        <f>[2]หน้าผ้า!DX234</f>
        <v>0</v>
      </c>
      <c r="AS225" s="3">
        <f>[2]หน้าผ้า!DY234</f>
        <v>0</v>
      </c>
      <c r="AT225" s="3">
        <f>[2]หน้าผ้า!DZ234</f>
        <v>0</v>
      </c>
      <c r="AU225" s="3">
        <f>[2]หน้าผ้า!EA234</f>
        <v>0</v>
      </c>
      <c r="AV225" s="1">
        <f>[2]หน้าผ้า!EB234</f>
        <v>0</v>
      </c>
      <c r="AW225" s="2">
        <f>[2]หน้าผ้า!EC234</f>
        <v>0</v>
      </c>
      <c r="AX225" s="2">
        <f>[2]หน้าผ้า!ED234</f>
        <v>0</v>
      </c>
      <c r="AY225" s="2">
        <f>[2]หน้าผ้า!AG234</f>
        <v>0</v>
      </c>
      <c r="AZ225" s="2">
        <f>[2]หน้าผ้า!EG234</f>
        <v>0</v>
      </c>
      <c r="BA225" s="2">
        <f>[2]หน้าผ้า!EH234</f>
        <v>0</v>
      </c>
      <c r="BB225" s="2">
        <f>[2]หน้าผ้า!EI234</f>
        <v>0</v>
      </c>
      <c r="BC225" s="1">
        <f>[2]หน้าผ้า!BZ234</f>
        <v>0</v>
      </c>
      <c r="BD225" s="56">
        <f>[2]หน้าผ้า!CA234</f>
        <v>0</v>
      </c>
    </row>
    <row r="226" spans="1:56" ht="27.75" customHeight="1" x14ac:dyDescent="0.45">
      <c r="A226" s="3">
        <f>[2]หน้าผ้า!C235</f>
        <v>0</v>
      </c>
      <c r="B226" s="14">
        <f>[2]หน้าผ้า!B235</f>
        <v>0</v>
      </c>
      <c r="C226" s="9">
        <f>[2]หน้าผ้า!E235</f>
        <v>0</v>
      </c>
      <c r="D226" s="13">
        <f>[2]หน้าผ้า!F235</f>
        <v>0</v>
      </c>
      <c r="E226" s="9">
        <f>[2]หน้าผ้า!G235</f>
        <v>0</v>
      </c>
      <c r="F226" s="9">
        <f>[2]หน้าผ้า!H235</f>
        <v>0</v>
      </c>
      <c r="G226" s="9">
        <f>[2]หน้าผ้า!I235</f>
        <v>0</v>
      </c>
      <c r="H226" s="9">
        <f>[2]หน้าผ้า!J235</f>
        <v>0</v>
      </c>
      <c r="I226" s="9">
        <f>[2]หน้าผ้า!L235</f>
        <v>0</v>
      </c>
      <c r="J226" s="9">
        <f>[2]หน้าผ้า!M235</f>
        <v>0</v>
      </c>
      <c r="K226" s="9">
        <f>[2]หน้าผ้า!N235</f>
        <v>0</v>
      </c>
      <c r="L226" s="9">
        <f>[2]หน้าผ้า!R235</f>
        <v>0</v>
      </c>
      <c r="M226" s="10">
        <f>[2]หน้าผ้า!T235</f>
        <v>0</v>
      </c>
      <c r="N226" s="9">
        <f>[2]หน้าผ้า!U235</f>
        <v>0</v>
      </c>
      <c r="O226" s="9">
        <f>[2]หน้าผ้า!V235</f>
        <v>0</v>
      </c>
      <c r="P226" s="10">
        <f>[2]หน้าผ้า!AB235</f>
        <v>0</v>
      </c>
      <c r="Q226" s="10">
        <f>[2]หน้าผ้า!AC235</f>
        <v>0</v>
      </c>
      <c r="R226" s="10">
        <f>[2]หน้าผ้า!AD235</f>
        <v>0</v>
      </c>
      <c r="S226" s="9">
        <f>[2]หน้าผ้า!Z235</f>
        <v>0</v>
      </c>
      <c r="T226" s="12">
        <f>[2]หน้าผ้า!X235</f>
        <v>0</v>
      </c>
      <c r="U226" s="11">
        <f>[2]หน้าผ้า!AA235</f>
        <v>0</v>
      </c>
      <c r="V226" s="10">
        <f>[2]หน้าผ้า!AJ235</f>
        <v>0</v>
      </c>
      <c r="W226" s="10">
        <f>[2]หน้าผ้า!AL235</f>
        <v>0</v>
      </c>
      <c r="X226" s="10">
        <f>[2]หน้าผ้า!AM235</f>
        <v>0</v>
      </c>
      <c r="Y226" s="10">
        <f>[2]หน้าผ้า!AN235</f>
        <v>0</v>
      </c>
      <c r="Z226" s="9">
        <f>[2]หน้าผ้า!AO235</f>
        <v>0</v>
      </c>
      <c r="AA226" s="8">
        <f>[2]หน้าผ้า!AQ235</f>
        <v>0</v>
      </c>
      <c r="AB226" s="8">
        <f>[2]หน้าผ้า!AR235</f>
        <v>0</v>
      </c>
      <c r="AC226" s="8">
        <f>[2]หน้าผ้า!AS235</f>
        <v>0</v>
      </c>
      <c r="AD226" s="8">
        <f>[2]หน้าผ้า!AT235</f>
        <v>0</v>
      </c>
      <c r="AE226" s="8">
        <f>[2]หน้าผ้า!AU235</f>
        <v>0</v>
      </c>
      <c r="AF226" s="8">
        <f>[2]หน้าผ้า!AI235</f>
        <v>0</v>
      </c>
      <c r="AG226" s="1">
        <f>[3]หน้าผ้า!DC238</f>
        <v>0</v>
      </c>
      <c r="AH226" s="1">
        <f>[2]หน้าผ้า!DL235</f>
        <v>0</v>
      </c>
      <c r="AI226" s="1">
        <f>[2]หน้าผ้า!DM235</f>
        <v>0</v>
      </c>
      <c r="AJ226" s="3">
        <f>[2]หน้าผ้า!DN235</f>
        <v>0</v>
      </c>
      <c r="AK226" s="3">
        <f>[2]หน้าผ้า!DQ235</f>
        <v>0</v>
      </c>
      <c r="AL226" s="3">
        <f>[2]หน้าผ้า!DR235</f>
        <v>0</v>
      </c>
      <c r="AM226" s="3">
        <f>[2]หน้าผ้า!DS235</f>
        <v>0</v>
      </c>
      <c r="AN226" s="3">
        <f>[2]หน้าผ้า!DT235</f>
        <v>0</v>
      </c>
      <c r="AO226" s="3">
        <f>[2]หน้าผ้า!DU235</f>
        <v>0</v>
      </c>
      <c r="AP226" s="3">
        <f>[2]หน้าผ้า!DP235</f>
        <v>0</v>
      </c>
      <c r="AQ226" s="3">
        <f>[2]หน้าผ้า!DW235</f>
        <v>0</v>
      </c>
      <c r="AR226" s="3">
        <f>[2]หน้าผ้า!DX235</f>
        <v>0</v>
      </c>
      <c r="AS226" s="3">
        <f>[2]หน้าผ้า!DY235</f>
        <v>0</v>
      </c>
      <c r="AT226" s="3">
        <f>[2]หน้าผ้า!DZ235</f>
        <v>0</v>
      </c>
      <c r="AU226" s="3">
        <f>[2]หน้าผ้า!EA235</f>
        <v>0</v>
      </c>
      <c r="AV226" s="1">
        <f>[2]หน้าผ้า!EB235</f>
        <v>0</v>
      </c>
      <c r="AW226" s="2">
        <f>[2]หน้าผ้า!EC235</f>
        <v>0</v>
      </c>
      <c r="AX226" s="2">
        <f>[2]หน้าผ้า!ED235</f>
        <v>0</v>
      </c>
      <c r="AY226" s="2">
        <f>[2]หน้าผ้า!AG235</f>
        <v>0</v>
      </c>
      <c r="AZ226" s="2">
        <f>[2]หน้าผ้า!EG235</f>
        <v>0</v>
      </c>
      <c r="BA226" s="2">
        <f>[2]หน้าผ้า!EH235</f>
        <v>0</v>
      </c>
      <c r="BB226" s="2">
        <f>[2]หน้าผ้า!EI235</f>
        <v>0</v>
      </c>
      <c r="BC226" s="1">
        <f>[2]หน้าผ้า!BZ235</f>
        <v>0</v>
      </c>
      <c r="BD226" s="56">
        <f>[2]หน้าผ้า!CA235</f>
        <v>0</v>
      </c>
    </row>
    <row r="227" spans="1:56" ht="27.75" customHeight="1" x14ac:dyDescent="0.45">
      <c r="A227" s="3">
        <f>[2]หน้าผ้า!C236</f>
        <v>0</v>
      </c>
      <c r="B227" s="14">
        <f>[2]หน้าผ้า!B236</f>
        <v>0</v>
      </c>
      <c r="C227" s="9">
        <f>[2]หน้าผ้า!E236</f>
        <v>0</v>
      </c>
      <c r="D227" s="13">
        <f>[2]หน้าผ้า!F236</f>
        <v>0</v>
      </c>
      <c r="E227" s="9">
        <f>[2]หน้าผ้า!G236</f>
        <v>0</v>
      </c>
      <c r="F227" s="9">
        <f>[2]หน้าผ้า!H236</f>
        <v>0</v>
      </c>
      <c r="G227" s="9">
        <f>[2]หน้าผ้า!I236</f>
        <v>0</v>
      </c>
      <c r="H227" s="9">
        <f>[2]หน้าผ้า!J236</f>
        <v>0</v>
      </c>
      <c r="I227" s="9">
        <f>[2]หน้าผ้า!L236</f>
        <v>0</v>
      </c>
      <c r="J227" s="9">
        <f>[2]หน้าผ้า!M236</f>
        <v>0</v>
      </c>
      <c r="K227" s="9">
        <f>[2]หน้าผ้า!N236</f>
        <v>0</v>
      </c>
      <c r="L227" s="9">
        <f>[2]หน้าผ้า!R236</f>
        <v>0</v>
      </c>
      <c r="M227" s="10">
        <f>[2]หน้าผ้า!T236</f>
        <v>0</v>
      </c>
      <c r="N227" s="9">
        <f>[2]หน้าผ้า!U236</f>
        <v>0</v>
      </c>
      <c r="O227" s="9">
        <f>[2]หน้าผ้า!V236</f>
        <v>0</v>
      </c>
      <c r="P227" s="10">
        <f>[2]หน้าผ้า!AB236</f>
        <v>0</v>
      </c>
      <c r="Q227" s="10">
        <f>[2]หน้าผ้า!AC236</f>
        <v>0</v>
      </c>
      <c r="R227" s="10">
        <f>[2]หน้าผ้า!AD236</f>
        <v>0</v>
      </c>
      <c r="S227" s="9">
        <f>[2]หน้าผ้า!Z236</f>
        <v>0</v>
      </c>
      <c r="T227" s="12">
        <f>[2]หน้าผ้า!X236</f>
        <v>0</v>
      </c>
      <c r="U227" s="11">
        <f>[2]หน้าผ้า!AA236</f>
        <v>0</v>
      </c>
      <c r="V227" s="10">
        <f>[2]หน้าผ้า!AJ236</f>
        <v>0</v>
      </c>
      <c r="W227" s="10">
        <f>[2]หน้าผ้า!AL236</f>
        <v>0</v>
      </c>
      <c r="X227" s="10">
        <f>[2]หน้าผ้า!AM236</f>
        <v>0</v>
      </c>
      <c r="Y227" s="10">
        <f>[2]หน้าผ้า!AN236</f>
        <v>0</v>
      </c>
      <c r="Z227" s="9">
        <f>[2]หน้าผ้า!AO236</f>
        <v>0</v>
      </c>
      <c r="AA227" s="8">
        <f>[2]หน้าผ้า!AQ236</f>
        <v>0</v>
      </c>
      <c r="AB227" s="8">
        <f>[2]หน้าผ้า!AR236</f>
        <v>0</v>
      </c>
      <c r="AC227" s="8">
        <f>[2]หน้าผ้า!AS236</f>
        <v>0</v>
      </c>
      <c r="AD227" s="8">
        <f>[2]หน้าผ้า!AT236</f>
        <v>0</v>
      </c>
      <c r="AE227" s="8">
        <f>[2]หน้าผ้า!AU236</f>
        <v>0</v>
      </c>
      <c r="AF227" s="8">
        <f>[2]หน้าผ้า!AI236</f>
        <v>0</v>
      </c>
      <c r="AG227" s="1">
        <f>[3]หน้าผ้า!DC239</f>
        <v>0</v>
      </c>
      <c r="AH227" s="1">
        <f>[2]หน้าผ้า!DL236</f>
        <v>0</v>
      </c>
      <c r="AI227" s="1">
        <f>[2]หน้าผ้า!DM236</f>
        <v>0</v>
      </c>
      <c r="AJ227" s="3">
        <f>[2]หน้าผ้า!DN236</f>
        <v>0</v>
      </c>
      <c r="AK227" s="3">
        <f>[2]หน้าผ้า!DQ236</f>
        <v>0</v>
      </c>
      <c r="AL227" s="3">
        <f>[2]หน้าผ้า!DR236</f>
        <v>0</v>
      </c>
      <c r="AM227" s="3">
        <f>[2]หน้าผ้า!DS236</f>
        <v>0</v>
      </c>
      <c r="AN227" s="3">
        <f>[2]หน้าผ้า!DT236</f>
        <v>0</v>
      </c>
      <c r="AO227" s="3">
        <f>[2]หน้าผ้า!DU236</f>
        <v>0</v>
      </c>
      <c r="AP227" s="3">
        <f>[2]หน้าผ้า!DP236</f>
        <v>0</v>
      </c>
      <c r="AQ227" s="3">
        <f>[2]หน้าผ้า!DW236</f>
        <v>0</v>
      </c>
      <c r="AR227" s="3">
        <f>[2]หน้าผ้า!DX236</f>
        <v>0</v>
      </c>
      <c r="AS227" s="3">
        <f>[2]หน้าผ้า!DY236</f>
        <v>0</v>
      </c>
      <c r="AT227" s="3">
        <f>[2]หน้าผ้า!DZ236</f>
        <v>0</v>
      </c>
      <c r="AU227" s="3">
        <f>[2]หน้าผ้า!EA236</f>
        <v>0</v>
      </c>
      <c r="AV227" s="1">
        <f>[2]หน้าผ้า!EB236</f>
        <v>0</v>
      </c>
      <c r="AW227" s="2">
        <f>[2]หน้าผ้า!EC236</f>
        <v>0</v>
      </c>
      <c r="AX227" s="2">
        <f>[2]หน้าผ้า!ED236</f>
        <v>0</v>
      </c>
      <c r="AY227" s="2">
        <f>[2]หน้าผ้า!AG236</f>
        <v>0</v>
      </c>
      <c r="AZ227" s="2">
        <f>[2]หน้าผ้า!EG236</f>
        <v>0</v>
      </c>
      <c r="BA227" s="2">
        <f>[2]หน้าผ้า!EH236</f>
        <v>0</v>
      </c>
      <c r="BB227" s="2">
        <f>[2]หน้าผ้า!EI236</f>
        <v>0</v>
      </c>
      <c r="BC227" s="1">
        <f>[2]หน้าผ้า!BZ236</f>
        <v>0</v>
      </c>
      <c r="BD227" s="56">
        <f>[2]หน้าผ้า!CA236</f>
        <v>0</v>
      </c>
    </row>
    <row r="228" spans="1:56" ht="27.75" customHeight="1" x14ac:dyDescent="0.45">
      <c r="A228" s="3">
        <f>[2]หน้าผ้า!C237</f>
        <v>0</v>
      </c>
      <c r="B228" s="14">
        <f>[2]หน้าผ้า!B237</f>
        <v>0</v>
      </c>
      <c r="C228" s="9">
        <f>[2]หน้าผ้า!E237</f>
        <v>0</v>
      </c>
      <c r="D228" s="13">
        <f>[2]หน้าผ้า!F237</f>
        <v>0</v>
      </c>
      <c r="E228" s="9">
        <f>[2]หน้าผ้า!G237</f>
        <v>0</v>
      </c>
      <c r="F228" s="9" t="str">
        <f>[2]หน้าผ้า!H237</f>
        <v xml:space="preserve"> </v>
      </c>
      <c r="G228" s="9">
        <f>[2]หน้าผ้า!I237</f>
        <v>0</v>
      </c>
      <c r="H228" s="9">
        <f>[2]หน้าผ้า!J237</f>
        <v>0</v>
      </c>
      <c r="I228" s="9">
        <f>[2]หน้าผ้า!L237</f>
        <v>0</v>
      </c>
      <c r="J228" s="9">
        <f>[2]หน้าผ้า!M237</f>
        <v>0</v>
      </c>
      <c r="K228" s="9">
        <f>[2]หน้าผ้า!N237</f>
        <v>0</v>
      </c>
      <c r="L228" s="9">
        <f>[2]หน้าผ้า!R237</f>
        <v>0</v>
      </c>
      <c r="M228" s="10">
        <f>[2]หน้าผ้า!T237</f>
        <v>0</v>
      </c>
      <c r="N228" s="9">
        <f>[2]หน้าผ้า!U237</f>
        <v>0</v>
      </c>
      <c r="O228" s="9">
        <f>[2]หน้าผ้า!V237</f>
        <v>0</v>
      </c>
      <c r="P228" s="10">
        <f>[2]หน้าผ้า!AB237</f>
        <v>0</v>
      </c>
      <c r="Q228" s="10">
        <f>[2]หน้าผ้า!AC237</f>
        <v>0</v>
      </c>
      <c r="R228" s="10">
        <f>[2]หน้าผ้า!AD237</f>
        <v>0</v>
      </c>
      <c r="S228" s="9">
        <f>[2]หน้าผ้า!Z237</f>
        <v>0</v>
      </c>
      <c r="T228" s="12">
        <f>[2]หน้าผ้า!X237</f>
        <v>0</v>
      </c>
      <c r="U228" s="11">
        <f>[2]หน้าผ้า!AA237</f>
        <v>0</v>
      </c>
      <c r="V228" s="10">
        <f>[2]หน้าผ้า!AJ237</f>
        <v>0</v>
      </c>
      <c r="W228" s="10">
        <f>[2]หน้าผ้า!AL237</f>
        <v>0</v>
      </c>
      <c r="X228" s="10">
        <f>[2]หน้าผ้า!AM237</f>
        <v>0</v>
      </c>
      <c r="Y228" s="10">
        <f>[2]หน้าผ้า!AN237</f>
        <v>0</v>
      </c>
      <c r="Z228" s="9">
        <f>[2]หน้าผ้า!AO237</f>
        <v>0</v>
      </c>
      <c r="AA228" s="8">
        <f>[2]หน้าผ้า!AQ237</f>
        <v>0</v>
      </c>
      <c r="AB228" s="8">
        <f>[2]หน้าผ้า!AR237</f>
        <v>0</v>
      </c>
      <c r="AC228" s="8">
        <f>[2]หน้าผ้า!AS237</f>
        <v>0</v>
      </c>
      <c r="AD228" s="8">
        <f>[2]หน้าผ้า!AT237</f>
        <v>0</v>
      </c>
      <c r="AE228" s="8">
        <f>[2]หน้าผ้า!AU237</f>
        <v>0</v>
      </c>
      <c r="AF228" s="8">
        <f>[2]หน้าผ้า!AI237</f>
        <v>0</v>
      </c>
      <c r="AG228" s="1">
        <f>[3]หน้าผ้า!DC240</f>
        <v>0</v>
      </c>
      <c r="AH228" s="1">
        <f>[2]หน้าผ้า!DL237</f>
        <v>0</v>
      </c>
      <c r="AI228" s="1">
        <f>[2]หน้าผ้า!DM237</f>
        <v>0</v>
      </c>
      <c r="AJ228" s="3">
        <f>[2]หน้าผ้า!DN237</f>
        <v>0</v>
      </c>
      <c r="AK228" s="3">
        <f>[2]หน้าผ้า!DQ237</f>
        <v>0</v>
      </c>
      <c r="AL228" s="3">
        <f>[2]หน้าผ้า!DR237</f>
        <v>0</v>
      </c>
      <c r="AM228" s="3">
        <f>[2]หน้าผ้า!DS237</f>
        <v>0</v>
      </c>
      <c r="AN228" s="3">
        <f>[2]หน้าผ้า!DT237</f>
        <v>0</v>
      </c>
      <c r="AO228" s="3">
        <f>[2]หน้าผ้า!DU237</f>
        <v>0</v>
      </c>
      <c r="AP228" s="3">
        <f>[2]หน้าผ้า!DP237</f>
        <v>0</v>
      </c>
      <c r="AQ228" s="3">
        <f>[2]หน้าผ้า!DW237</f>
        <v>0</v>
      </c>
      <c r="AR228" s="3">
        <f>[2]หน้าผ้า!DX237</f>
        <v>0</v>
      </c>
      <c r="AS228" s="3">
        <f>[2]หน้าผ้า!DY237</f>
        <v>0</v>
      </c>
      <c r="AT228" s="3">
        <f>[2]หน้าผ้า!DZ237</f>
        <v>0</v>
      </c>
      <c r="AU228" s="3">
        <f>[2]หน้าผ้า!EA237</f>
        <v>0</v>
      </c>
      <c r="AV228" s="1">
        <f>[2]หน้าผ้า!EB237</f>
        <v>0</v>
      </c>
      <c r="AW228" s="2">
        <f>[2]หน้าผ้า!EC237</f>
        <v>0</v>
      </c>
      <c r="AX228" s="2">
        <f>[2]หน้าผ้า!ED237</f>
        <v>0</v>
      </c>
      <c r="AY228" s="2">
        <f>[2]หน้าผ้า!AG237</f>
        <v>0</v>
      </c>
      <c r="AZ228" s="2">
        <f>[2]หน้าผ้า!EG237</f>
        <v>0</v>
      </c>
      <c r="BA228" s="2">
        <f>[2]หน้าผ้า!EH237</f>
        <v>0</v>
      </c>
      <c r="BB228" s="2">
        <f>[2]หน้าผ้า!EI237</f>
        <v>0</v>
      </c>
      <c r="BC228" s="1">
        <f>[2]หน้าผ้า!BZ237</f>
        <v>0</v>
      </c>
      <c r="BD228" s="56">
        <f>[2]หน้าผ้า!CA237</f>
        <v>0</v>
      </c>
    </row>
    <row r="229" spans="1:56" ht="27.75" customHeight="1" x14ac:dyDescent="0.45">
      <c r="A229" s="3">
        <f>[2]หน้าผ้า!C238</f>
        <v>0</v>
      </c>
      <c r="B229" s="14">
        <f>[2]หน้าผ้า!B238</f>
        <v>0</v>
      </c>
      <c r="C229" s="9">
        <f>[2]หน้าผ้า!E238</f>
        <v>0</v>
      </c>
      <c r="D229" s="13">
        <f>[2]หน้าผ้า!F238</f>
        <v>0</v>
      </c>
      <c r="E229" s="9">
        <f>[2]หน้าผ้า!G238</f>
        <v>0</v>
      </c>
      <c r="F229" s="9">
        <f>[2]หน้าผ้า!H238</f>
        <v>0</v>
      </c>
      <c r="G229" s="9">
        <f>[2]หน้าผ้า!I238</f>
        <v>0</v>
      </c>
      <c r="H229" s="9">
        <f>[2]หน้าผ้า!J238</f>
        <v>0</v>
      </c>
      <c r="I229" s="9">
        <f>[2]หน้าผ้า!L238</f>
        <v>0</v>
      </c>
      <c r="J229" s="9">
        <f>[2]หน้าผ้า!M238</f>
        <v>0</v>
      </c>
      <c r="K229" s="9">
        <f>[2]หน้าผ้า!N238</f>
        <v>0</v>
      </c>
      <c r="L229" s="9">
        <f>[2]หน้าผ้า!R238</f>
        <v>0</v>
      </c>
      <c r="M229" s="10">
        <f>[2]หน้าผ้า!T238</f>
        <v>0</v>
      </c>
      <c r="N229" s="9">
        <f>[2]หน้าผ้า!U238</f>
        <v>0</v>
      </c>
      <c r="O229" s="9">
        <f>[2]หน้าผ้า!V238</f>
        <v>0</v>
      </c>
      <c r="P229" s="10">
        <f>[2]หน้าผ้า!AB238</f>
        <v>0</v>
      </c>
      <c r="Q229" s="10">
        <f>[2]หน้าผ้า!AC238</f>
        <v>0</v>
      </c>
      <c r="R229" s="10">
        <f>[2]หน้าผ้า!AD238</f>
        <v>0</v>
      </c>
      <c r="S229" s="9">
        <f>[2]หน้าผ้า!Z238</f>
        <v>0</v>
      </c>
      <c r="T229" s="12">
        <f>[2]หน้าผ้า!X238</f>
        <v>0</v>
      </c>
      <c r="U229" s="11">
        <f>[2]หน้าผ้า!AA238</f>
        <v>0</v>
      </c>
      <c r="V229" s="10">
        <f>[2]หน้าผ้า!AJ238</f>
        <v>0</v>
      </c>
      <c r="W229" s="10">
        <f>[2]หน้าผ้า!AL238</f>
        <v>0</v>
      </c>
      <c r="X229" s="10">
        <f>[2]หน้าผ้า!AM238</f>
        <v>0</v>
      </c>
      <c r="Y229" s="10">
        <f>[2]หน้าผ้า!AN238</f>
        <v>0</v>
      </c>
      <c r="Z229" s="9">
        <f>[2]หน้าผ้า!AO238</f>
        <v>0</v>
      </c>
      <c r="AA229" s="8">
        <f>[2]หน้าผ้า!AQ238</f>
        <v>0</v>
      </c>
      <c r="AB229" s="8">
        <f>[2]หน้าผ้า!AR238</f>
        <v>0</v>
      </c>
      <c r="AC229" s="8">
        <f>[2]หน้าผ้า!AS238</f>
        <v>0</v>
      </c>
      <c r="AD229" s="8">
        <f>[2]หน้าผ้า!AT238</f>
        <v>0</v>
      </c>
      <c r="AE229" s="8">
        <f>[2]หน้าผ้า!AU238</f>
        <v>0</v>
      </c>
      <c r="AF229" s="8">
        <f>[2]หน้าผ้า!AI238</f>
        <v>0</v>
      </c>
      <c r="AG229" s="1">
        <f>[3]หน้าผ้า!DC241</f>
        <v>0</v>
      </c>
      <c r="AH229" s="1">
        <f>[2]หน้าผ้า!DL238</f>
        <v>0</v>
      </c>
      <c r="AI229" s="1">
        <f>[2]หน้าผ้า!DM238</f>
        <v>0</v>
      </c>
      <c r="AJ229" s="3">
        <f>[2]หน้าผ้า!DN238</f>
        <v>0</v>
      </c>
      <c r="AK229" s="3">
        <f>[2]หน้าผ้า!DQ238</f>
        <v>0</v>
      </c>
      <c r="AL229" s="3">
        <f>[2]หน้าผ้า!DR238</f>
        <v>0</v>
      </c>
      <c r="AM229" s="3">
        <f>[2]หน้าผ้า!DS238</f>
        <v>0</v>
      </c>
      <c r="AN229" s="3">
        <f>[2]หน้าผ้า!DT238</f>
        <v>0</v>
      </c>
      <c r="AO229" s="3">
        <f>[2]หน้าผ้า!DU238</f>
        <v>0</v>
      </c>
      <c r="AP229" s="3">
        <f>[2]หน้าผ้า!DP238</f>
        <v>0</v>
      </c>
      <c r="AQ229" s="3">
        <f>[2]หน้าผ้า!DW238</f>
        <v>0</v>
      </c>
      <c r="AR229" s="3">
        <f>[2]หน้าผ้า!DX238</f>
        <v>0</v>
      </c>
      <c r="AS229" s="3">
        <f>[2]หน้าผ้า!DY238</f>
        <v>0</v>
      </c>
      <c r="AT229" s="3">
        <f>[2]หน้าผ้า!DZ238</f>
        <v>0</v>
      </c>
      <c r="AU229" s="3">
        <f>[2]หน้าผ้า!EA238</f>
        <v>0</v>
      </c>
      <c r="AV229" s="1">
        <f>[2]หน้าผ้า!EB238</f>
        <v>0</v>
      </c>
      <c r="AW229" s="2">
        <f>[2]หน้าผ้า!EC238</f>
        <v>0</v>
      </c>
      <c r="AX229" s="2">
        <f>[2]หน้าผ้า!ED238</f>
        <v>0</v>
      </c>
      <c r="AY229" s="2">
        <f>[2]หน้าผ้า!AG238</f>
        <v>0</v>
      </c>
      <c r="AZ229" s="2">
        <f>[2]หน้าผ้า!EG238</f>
        <v>0</v>
      </c>
      <c r="BA229" s="2">
        <f>[2]หน้าผ้า!EH238</f>
        <v>0</v>
      </c>
      <c r="BB229" s="2">
        <f>[2]หน้าผ้า!EI238</f>
        <v>0</v>
      </c>
      <c r="BC229" s="1">
        <f>[2]หน้าผ้า!BZ238</f>
        <v>0</v>
      </c>
      <c r="BD229" s="56">
        <f>[2]หน้าผ้า!CA238</f>
        <v>0</v>
      </c>
    </row>
    <row r="230" spans="1:56" ht="27.75" customHeight="1" x14ac:dyDescent="0.45">
      <c r="A230" s="3">
        <f>[2]หน้าผ้า!C239</f>
        <v>0</v>
      </c>
      <c r="B230" s="14">
        <f>[2]หน้าผ้า!B239</f>
        <v>0</v>
      </c>
      <c r="C230" s="9">
        <f>[2]หน้าผ้า!E239</f>
        <v>0</v>
      </c>
      <c r="D230" s="13">
        <f>[2]หน้าผ้า!F239</f>
        <v>0</v>
      </c>
      <c r="E230" s="9">
        <f>[2]หน้าผ้า!G239</f>
        <v>0</v>
      </c>
      <c r="F230" s="9">
        <f>[2]หน้าผ้า!H239</f>
        <v>0</v>
      </c>
      <c r="G230" s="9">
        <f>[2]หน้าผ้า!I239</f>
        <v>0</v>
      </c>
      <c r="H230" s="9">
        <f>[2]หน้าผ้า!J239</f>
        <v>0</v>
      </c>
      <c r="I230" s="9">
        <f>[2]หน้าผ้า!L239</f>
        <v>0</v>
      </c>
      <c r="J230" s="9">
        <f>[2]หน้าผ้า!M239</f>
        <v>0</v>
      </c>
      <c r="K230" s="9">
        <f>[2]หน้าผ้า!N239</f>
        <v>0</v>
      </c>
      <c r="L230" s="9">
        <f>[2]หน้าผ้า!R239</f>
        <v>0</v>
      </c>
      <c r="M230" s="10">
        <f>[2]หน้าผ้า!T239</f>
        <v>0</v>
      </c>
      <c r="N230" s="9">
        <f>[2]หน้าผ้า!U239</f>
        <v>0</v>
      </c>
      <c r="O230" s="9">
        <f>[2]หน้าผ้า!V239</f>
        <v>0</v>
      </c>
      <c r="P230" s="10">
        <f>[2]หน้าผ้า!AB239</f>
        <v>0</v>
      </c>
      <c r="Q230" s="10">
        <f>[2]หน้าผ้า!AC239</f>
        <v>0</v>
      </c>
      <c r="R230" s="10">
        <f>[2]หน้าผ้า!AD239</f>
        <v>0</v>
      </c>
      <c r="S230" s="9">
        <f>[2]หน้าผ้า!Z239</f>
        <v>0</v>
      </c>
      <c r="T230" s="12">
        <f>[2]หน้าผ้า!X239</f>
        <v>0</v>
      </c>
      <c r="U230" s="11">
        <f>[2]หน้าผ้า!AA239</f>
        <v>0</v>
      </c>
      <c r="V230" s="10">
        <f>[2]หน้าผ้า!AJ239</f>
        <v>0</v>
      </c>
      <c r="W230" s="10">
        <f>[2]หน้าผ้า!AL239</f>
        <v>0</v>
      </c>
      <c r="X230" s="10">
        <f>[2]หน้าผ้า!AM239</f>
        <v>0</v>
      </c>
      <c r="Y230" s="10">
        <f>[2]หน้าผ้า!AN239</f>
        <v>0</v>
      </c>
      <c r="Z230" s="9">
        <f>[2]หน้าผ้า!AO239</f>
        <v>0</v>
      </c>
      <c r="AA230" s="8">
        <f>[2]หน้าผ้า!AQ239</f>
        <v>0</v>
      </c>
      <c r="AB230" s="8">
        <f>[2]หน้าผ้า!AR239</f>
        <v>0</v>
      </c>
      <c r="AC230" s="8">
        <f>[2]หน้าผ้า!AS239</f>
        <v>0</v>
      </c>
      <c r="AD230" s="8">
        <f>[2]หน้าผ้า!AT239</f>
        <v>0</v>
      </c>
      <c r="AE230" s="8">
        <f>[2]หน้าผ้า!AU239</f>
        <v>0</v>
      </c>
      <c r="AF230" s="8">
        <f>[2]หน้าผ้า!AI239</f>
        <v>0</v>
      </c>
      <c r="AG230" s="1">
        <f>[3]หน้าผ้า!DC242</f>
        <v>0</v>
      </c>
      <c r="AH230" s="1">
        <f>[2]หน้าผ้า!DL239</f>
        <v>0</v>
      </c>
      <c r="AI230" s="1">
        <f>[2]หน้าผ้า!DM239</f>
        <v>0</v>
      </c>
      <c r="AJ230" s="3">
        <f>[2]หน้าผ้า!DN239</f>
        <v>0</v>
      </c>
      <c r="AK230" s="3">
        <f>[2]หน้าผ้า!DQ239</f>
        <v>0</v>
      </c>
      <c r="AL230" s="3">
        <f>[2]หน้าผ้า!DR239</f>
        <v>0</v>
      </c>
      <c r="AM230" s="3">
        <f>[2]หน้าผ้า!DS239</f>
        <v>0</v>
      </c>
      <c r="AN230" s="3">
        <f>[2]หน้าผ้า!DT239</f>
        <v>0</v>
      </c>
      <c r="AO230" s="3">
        <f>[2]หน้าผ้า!DU239</f>
        <v>0</v>
      </c>
      <c r="AP230" s="3">
        <f>[2]หน้าผ้า!DP239</f>
        <v>0</v>
      </c>
      <c r="AQ230" s="3">
        <f>[2]หน้าผ้า!DW239</f>
        <v>0</v>
      </c>
      <c r="AR230" s="3">
        <f>[2]หน้าผ้า!DX239</f>
        <v>0</v>
      </c>
      <c r="AS230" s="3">
        <f>[2]หน้าผ้า!DY239</f>
        <v>0</v>
      </c>
      <c r="AT230" s="3">
        <f>[2]หน้าผ้า!DZ239</f>
        <v>0</v>
      </c>
      <c r="AU230" s="3">
        <f>[2]หน้าผ้า!EA239</f>
        <v>0</v>
      </c>
      <c r="AV230" s="1">
        <f>[2]หน้าผ้า!EB239</f>
        <v>0</v>
      </c>
      <c r="AW230" s="2">
        <f>[2]หน้าผ้า!EC239</f>
        <v>0</v>
      </c>
      <c r="AX230" s="2">
        <f>[2]หน้าผ้า!ED239</f>
        <v>0</v>
      </c>
      <c r="AY230" s="2">
        <f>[2]หน้าผ้า!AG239</f>
        <v>0</v>
      </c>
      <c r="AZ230" s="2">
        <f>[2]หน้าผ้า!EG239</f>
        <v>0</v>
      </c>
      <c r="BA230" s="2">
        <f>[2]หน้าผ้า!EH239</f>
        <v>0</v>
      </c>
      <c r="BB230" s="2">
        <f>[2]หน้าผ้า!EI239</f>
        <v>0</v>
      </c>
      <c r="BC230" s="1">
        <f>[2]หน้าผ้า!BZ239</f>
        <v>0</v>
      </c>
      <c r="BD230" s="56">
        <f>[2]หน้าผ้า!CA239</f>
        <v>0</v>
      </c>
    </row>
    <row r="231" spans="1:56" ht="27.75" customHeight="1" x14ac:dyDescent="0.45">
      <c r="A231" s="3">
        <f>[2]หน้าผ้า!C240</f>
        <v>0</v>
      </c>
      <c r="B231" s="14">
        <f>[2]หน้าผ้า!B240</f>
        <v>0</v>
      </c>
      <c r="C231" s="9">
        <f>[2]หน้าผ้า!E240</f>
        <v>0</v>
      </c>
      <c r="D231" s="13">
        <f>[2]หน้าผ้า!F240</f>
        <v>0</v>
      </c>
      <c r="E231" s="9">
        <f>[2]หน้าผ้า!G240</f>
        <v>0</v>
      </c>
      <c r="F231" s="9">
        <f>[2]หน้าผ้า!H240</f>
        <v>0</v>
      </c>
      <c r="G231" s="9">
        <f>[2]หน้าผ้า!I240</f>
        <v>0</v>
      </c>
      <c r="H231" s="9">
        <f>[2]หน้าผ้า!J240</f>
        <v>0</v>
      </c>
      <c r="I231" s="9">
        <f>[2]หน้าผ้า!L240</f>
        <v>0</v>
      </c>
      <c r="J231" s="9">
        <f>[2]หน้าผ้า!M240</f>
        <v>0</v>
      </c>
      <c r="K231" s="9">
        <f>[2]หน้าผ้า!N240</f>
        <v>0</v>
      </c>
      <c r="L231" s="9">
        <f>[2]หน้าผ้า!R240</f>
        <v>0</v>
      </c>
      <c r="M231" s="10">
        <f>[2]หน้าผ้า!T240</f>
        <v>0</v>
      </c>
      <c r="N231" s="9">
        <f>[2]หน้าผ้า!U240</f>
        <v>0</v>
      </c>
      <c r="O231" s="9">
        <f>[2]หน้าผ้า!V240</f>
        <v>0</v>
      </c>
      <c r="P231" s="10">
        <f>[2]หน้าผ้า!AB240</f>
        <v>0</v>
      </c>
      <c r="Q231" s="10">
        <f>[2]หน้าผ้า!AC240</f>
        <v>0</v>
      </c>
      <c r="R231" s="10">
        <f>[2]หน้าผ้า!AD240</f>
        <v>0</v>
      </c>
      <c r="S231" s="9">
        <f>[2]หน้าผ้า!Z240</f>
        <v>0</v>
      </c>
      <c r="T231" s="12">
        <f>[2]หน้าผ้า!X240</f>
        <v>0</v>
      </c>
      <c r="U231" s="11">
        <f>[2]หน้าผ้า!AA240</f>
        <v>0</v>
      </c>
      <c r="V231" s="10">
        <f>[2]หน้าผ้า!AJ240</f>
        <v>0</v>
      </c>
      <c r="W231" s="10">
        <f>[2]หน้าผ้า!AL240</f>
        <v>0</v>
      </c>
      <c r="X231" s="10">
        <f>[2]หน้าผ้า!AM240</f>
        <v>0</v>
      </c>
      <c r="Y231" s="10">
        <f>[2]หน้าผ้า!AN240</f>
        <v>0</v>
      </c>
      <c r="Z231" s="9">
        <f>[2]หน้าผ้า!AO240</f>
        <v>0</v>
      </c>
      <c r="AA231" s="8">
        <f>[2]หน้าผ้า!AQ240</f>
        <v>0</v>
      </c>
      <c r="AB231" s="8">
        <f>[2]หน้าผ้า!AR240</f>
        <v>0</v>
      </c>
      <c r="AC231" s="8">
        <f>[2]หน้าผ้า!AS240</f>
        <v>0</v>
      </c>
      <c r="AD231" s="8">
        <f>[2]หน้าผ้า!AT240</f>
        <v>0</v>
      </c>
      <c r="AE231" s="8">
        <f>[2]หน้าผ้า!AU240</f>
        <v>0</v>
      </c>
      <c r="AF231" s="8">
        <f>[2]หน้าผ้า!AI240</f>
        <v>0</v>
      </c>
      <c r="AG231" s="1">
        <f>[3]หน้าผ้า!DC243</f>
        <v>0</v>
      </c>
      <c r="AH231" s="1">
        <f>[2]หน้าผ้า!DL240</f>
        <v>0</v>
      </c>
      <c r="AI231" s="1">
        <f>[2]หน้าผ้า!DM240</f>
        <v>0</v>
      </c>
      <c r="AJ231" s="3">
        <f>[2]หน้าผ้า!DN240</f>
        <v>0</v>
      </c>
      <c r="AK231" s="3">
        <f>[2]หน้าผ้า!DQ240</f>
        <v>0</v>
      </c>
      <c r="AL231" s="3">
        <f>[2]หน้าผ้า!DR240</f>
        <v>0</v>
      </c>
      <c r="AM231" s="3">
        <f>[2]หน้าผ้า!DS240</f>
        <v>0</v>
      </c>
      <c r="AN231" s="3">
        <f>[2]หน้าผ้า!DT240</f>
        <v>0</v>
      </c>
      <c r="AO231" s="3">
        <f>[2]หน้าผ้า!DU240</f>
        <v>0</v>
      </c>
      <c r="AP231" s="3">
        <f>[2]หน้าผ้า!DP240</f>
        <v>0</v>
      </c>
      <c r="AQ231" s="3">
        <f>[2]หน้าผ้า!DW240</f>
        <v>0</v>
      </c>
      <c r="AR231" s="3">
        <f>[2]หน้าผ้า!DX240</f>
        <v>0</v>
      </c>
      <c r="AS231" s="3">
        <f>[2]หน้าผ้า!DY240</f>
        <v>0</v>
      </c>
      <c r="AT231" s="3">
        <f>[2]หน้าผ้า!DZ240</f>
        <v>0</v>
      </c>
      <c r="AU231" s="3">
        <f>[2]หน้าผ้า!EA240</f>
        <v>0</v>
      </c>
      <c r="AV231" s="1">
        <f>[2]หน้าผ้า!EB240</f>
        <v>0</v>
      </c>
      <c r="AW231" s="2">
        <f>[2]หน้าผ้า!EC240</f>
        <v>0</v>
      </c>
      <c r="AX231" s="2">
        <f>[2]หน้าผ้า!ED240</f>
        <v>0</v>
      </c>
      <c r="AY231" s="2">
        <f>[2]หน้าผ้า!AG240</f>
        <v>0</v>
      </c>
      <c r="AZ231" s="2">
        <f>[2]หน้าผ้า!EG240</f>
        <v>0</v>
      </c>
      <c r="BA231" s="2">
        <f>[2]หน้าผ้า!EH240</f>
        <v>0</v>
      </c>
      <c r="BB231" s="2">
        <f>[2]หน้าผ้า!EI240</f>
        <v>0</v>
      </c>
      <c r="BC231" s="1">
        <f>[2]หน้าผ้า!BZ240</f>
        <v>0</v>
      </c>
      <c r="BD231" s="56">
        <f>[2]หน้าผ้า!CA240</f>
        <v>0</v>
      </c>
    </row>
    <row r="232" spans="1:56" ht="27.75" customHeight="1" x14ac:dyDescent="0.45">
      <c r="A232" s="3">
        <f>[2]หน้าผ้า!C241</f>
        <v>0</v>
      </c>
      <c r="B232" s="14">
        <f>[2]หน้าผ้า!B241</f>
        <v>0</v>
      </c>
      <c r="C232" s="9">
        <f>[2]หน้าผ้า!E241</f>
        <v>0</v>
      </c>
      <c r="D232" s="13">
        <f>[2]หน้าผ้า!F241</f>
        <v>0</v>
      </c>
      <c r="E232" s="9">
        <f>[2]หน้าผ้า!G241</f>
        <v>0</v>
      </c>
      <c r="F232" s="9">
        <f>[2]หน้าผ้า!H241</f>
        <v>0</v>
      </c>
      <c r="G232" s="9">
        <f>[2]หน้าผ้า!I241</f>
        <v>0</v>
      </c>
      <c r="H232" s="9">
        <f>[2]หน้าผ้า!J241</f>
        <v>0</v>
      </c>
      <c r="I232" s="9">
        <f>[2]หน้าผ้า!L241</f>
        <v>0</v>
      </c>
      <c r="J232" s="9">
        <f>[2]หน้าผ้า!M241</f>
        <v>0</v>
      </c>
      <c r="K232" s="9">
        <f>[2]หน้าผ้า!N241</f>
        <v>0</v>
      </c>
      <c r="L232" s="9">
        <f>[2]หน้าผ้า!R241</f>
        <v>0</v>
      </c>
      <c r="M232" s="10">
        <f>[2]หน้าผ้า!T241</f>
        <v>0</v>
      </c>
      <c r="N232" s="9">
        <f>[2]หน้าผ้า!U241</f>
        <v>0</v>
      </c>
      <c r="O232" s="9">
        <f>[2]หน้าผ้า!V241</f>
        <v>0</v>
      </c>
      <c r="P232" s="10">
        <f>[2]หน้าผ้า!AB241</f>
        <v>0</v>
      </c>
      <c r="Q232" s="10">
        <f>[2]หน้าผ้า!AC241</f>
        <v>0</v>
      </c>
      <c r="R232" s="10">
        <f>[2]หน้าผ้า!AD241</f>
        <v>0</v>
      </c>
      <c r="S232" s="9">
        <f>[2]หน้าผ้า!Z241</f>
        <v>0</v>
      </c>
      <c r="T232" s="12">
        <f>[2]หน้าผ้า!X241</f>
        <v>0</v>
      </c>
      <c r="U232" s="11">
        <f>[2]หน้าผ้า!AA241</f>
        <v>0</v>
      </c>
      <c r="V232" s="10">
        <f>[2]หน้าผ้า!AJ241</f>
        <v>0</v>
      </c>
      <c r="W232" s="10">
        <f>[2]หน้าผ้า!AL241</f>
        <v>0</v>
      </c>
      <c r="X232" s="10">
        <f>[2]หน้าผ้า!AM241</f>
        <v>0</v>
      </c>
      <c r="Y232" s="10">
        <f>[2]หน้าผ้า!AN241</f>
        <v>0</v>
      </c>
      <c r="Z232" s="9">
        <f>[2]หน้าผ้า!AO241</f>
        <v>0</v>
      </c>
      <c r="AA232" s="8">
        <f>[2]หน้าผ้า!AQ241</f>
        <v>0</v>
      </c>
      <c r="AB232" s="8">
        <f>[2]หน้าผ้า!AR241</f>
        <v>0</v>
      </c>
      <c r="AC232" s="8">
        <f>[2]หน้าผ้า!AS241</f>
        <v>0</v>
      </c>
      <c r="AD232" s="8">
        <f>[2]หน้าผ้า!AT241</f>
        <v>0</v>
      </c>
      <c r="AE232" s="8">
        <f>[2]หน้าผ้า!AU241</f>
        <v>0</v>
      </c>
      <c r="AF232" s="8">
        <f>[2]หน้าผ้า!AI241</f>
        <v>0</v>
      </c>
      <c r="AG232" s="1">
        <f>[3]หน้าผ้า!DC244</f>
        <v>0</v>
      </c>
      <c r="AH232" s="1">
        <f>[2]หน้าผ้า!DL241</f>
        <v>0</v>
      </c>
      <c r="AI232" s="1">
        <f>[2]หน้าผ้า!DM241</f>
        <v>0</v>
      </c>
      <c r="AJ232" s="3">
        <f>[2]หน้าผ้า!DN241</f>
        <v>0</v>
      </c>
      <c r="AK232" s="3">
        <f>[2]หน้าผ้า!DQ241</f>
        <v>0</v>
      </c>
      <c r="AL232" s="3">
        <f>[2]หน้าผ้า!DR241</f>
        <v>0</v>
      </c>
      <c r="AM232" s="3">
        <f>[2]หน้าผ้า!DS241</f>
        <v>0</v>
      </c>
      <c r="AN232" s="3">
        <f>[2]หน้าผ้า!DT241</f>
        <v>0</v>
      </c>
      <c r="AO232" s="3">
        <f>[2]หน้าผ้า!DU241</f>
        <v>0</v>
      </c>
      <c r="AP232" s="3">
        <f>[2]หน้าผ้า!DP241</f>
        <v>0</v>
      </c>
      <c r="AQ232" s="3">
        <f>[2]หน้าผ้า!DW241</f>
        <v>0</v>
      </c>
      <c r="AR232" s="3">
        <f>[2]หน้าผ้า!DX241</f>
        <v>0</v>
      </c>
      <c r="AS232" s="3">
        <f>[2]หน้าผ้า!DY241</f>
        <v>0</v>
      </c>
      <c r="AT232" s="3">
        <f>[2]หน้าผ้า!DZ241</f>
        <v>0</v>
      </c>
      <c r="AU232" s="3">
        <f>[2]หน้าผ้า!EA241</f>
        <v>0</v>
      </c>
      <c r="AV232" s="1">
        <f>[2]หน้าผ้า!EB241</f>
        <v>0</v>
      </c>
      <c r="AW232" s="2">
        <f>[2]หน้าผ้า!EC241</f>
        <v>0</v>
      </c>
      <c r="AX232" s="2">
        <f>[2]หน้าผ้า!ED241</f>
        <v>0</v>
      </c>
      <c r="AY232" s="2">
        <f>[2]หน้าผ้า!AG241</f>
        <v>0</v>
      </c>
      <c r="AZ232" s="2">
        <f>[2]หน้าผ้า!EG241</f>
        <v>0</v>
      </c>
      <c r="BA232" s="2">
        <f>[2]หน้าผ้า!EH241</f>
        <v>0</v>
      </c>
      <c r="BB232" s="2">
        <f>[2]หน้าผ้า!EI241</f>
        <v>0</v>
      </c>
      <c r="BC232" s="1">
        <f>[2]หน้าผ้า!BZ241</f>
        <v>0</v>
      </c>
      <c r="BD232" s="56">
        <f>[2]หน้าผ้า!CA241</f>
        <v>0</v>
      </c>
    </row>
    <row r="233" spans="1:56" ht="27.75" customHeight="1" x14ac:dyDescent="0.45">
      <c r="A233" s="3">
        <f>[2]หน้าผ้า!C242</f>
        <v>0</v>
      </c>
      <c r="B233" s="14">
        <f>[2]หน้าผ้า!B242</f>
        <v>0</v>
      </c>
      <c r="C233" s="9">
        <f>[2]หน้าผ้า!E242</f>
        <v>0</v>
      </c>
      <c r="D233" s="13">
        <f>[2]หน้าผ้า!F242</f>
        <v>0</v>
      </c>
      <c r="E233" s="9">
        <f>[2]หน้าผ้า!G242</f>
        <v>0</v>
      </c>
      <c r="F233" s="9">
        <f>[2]หน้าผ้า!H242</f>
        <v>0</v>
      </c>
      <c r="G233" s="9">
        <f>[2]หน้าผ้า!I242</f>
        <v>0</v>
      </c>
      <c r="H233" s="9">
        <f>[2]หน้าผ้า!J242</f>
        <v>0</v>
      </c>
      <c r="I233" s="9">
        <f>[2]หน้าผ้า!L242</f>
        <v>0</v>
      </c>
      <c r="J233" s="9">
        <f>[2]หน้าผ้า!M242</f>
        <v>0</v>
      </c>
      <c r="K233" s="9">
        <f>[2]หน้าผ้า!N242</f>
        <v>0</v>
      </c>
      <c r="L233" s="9">
        <f>[2]หน้าผ้า!R242</f>
        <v>0</v>
      </c>
      <c r="M233" s="10">
        <f>[2]หน้าผ้า!T242</f>
        <v>0</v>
      </c>
      <c r="N233" s="9">
        <f>[2]หน้าผ้า!U242</f>
        <v>0</v>
      </c>
      <c r="O233" s="9">
        <f>[2]หน้าผ้า!V242</f>
        <v>0</v>
      </c>
      <c r="P233" s="10">
        <f>[2]หน้าผ้า!AB242</f>
        <v>0</v>
      </c>
      <c r="Q233" s="10">
        <f>[2]หน้าผ้า!AC242</f>
        <v>0</v>
      </c>
      <c r="R233" s="10">
        <f>[2]หน้าผ้า!AD242</f>
        <v>0</v>
      </c>
      <c r="S233" s="9">
        <f>[2]หน้าผ้า!Z242</f>
        <v>0</v>
      </c>
      <c r="T233" s="12">
        <f>[2]หน้าผ้า!X242</f>
        <v>0</v>
      </c>
      <c r="U233" s="11">
        <f>[2]หน้าผ้า!AA242</f>
        <v>0</v>
      </c>
      <c r="V233" s="10">
        <f>[2]หน้าผ้า!AJ242</f>
        <v>0</v>
      </c>
      <c r="W233" s="10">
        <f>[2]หน้าผ้า!AL242</f>
        <v>0</v>
      </c>
      <c r="X233" s="10">
        <f>[2]หน้าผ้า!AM242</f>
        <v>0</v>
      </c>
      <c r="Y233" s="10">
        <f>[2]หน้าผ้า!AN242</f>
        <v>0</v>
      </c>
      <c r="Z233" s="9">
        <f>[2]หน้าผ้า!AO242</f>
        <v>0</v>
      </c>
      <c r="AA233" s="8">
        <f>[2]หน้าผ้า!AQ242</f>
        <v>0</v>
      </c>
      <c r="AB233" s="8">
        <f>[2]หน้าผ้า!AR242</f>
        <v>0</v>
      </c>
      <c r="AC233" s="8">
        <f>[2]หน้าผ้า!AS242</f>
        <v>0</v>
      </c>
      <c r="AD233" s="8">
        <f>[2]หน้าผ้า!AT242</f>
        <v>0</v>
      </c>
      <c r="AE233" s="8">
        <f>[2]หน้าผ้า!AU242</f>
        <v>0</v>
      </c>
      <c r="AF233" s="8">
        <f>[2]หน้าผ้า!AI242</f>
        <v>0</v>
      </c>
      <c r="AG233" s="1">
        <f>[3]หน้าผ้า!DC245</f>
        <v>0</v>
      </c>
      <c r="AH233" s="1">
        <f>[2]หน้าผ้า!DL242</f>
        <v>0</v>
      </c>
      <c r="AI233" s="1">
        <f>[2]หน้าผ้า!DM242</f>
        <v>0</v>
      </c>
      <c r="AJ233" s="3">
        <f>[2]หน้าผ้า!DN242</f>
        <v>0</v>
      </c>
      <c r="AK233" s="3">
        <f>[2]หน้าผ้า!DQ242</f>
        <v>0</v>
      </c>
      <c r="AL233" s="3">
        <f>[2]หน้าผ้า!DR242</f>
        <v>0</v>
      </c>
      <c r="AM233" s="3">
        <f>[2]หน้าผ้า!DS242</f>
        <v>0</v>
      </c>
      <c r="AN233" s="3">
        <f>[2]หน้าผ้า!DT242</f>
        <v>0</v>
      </c>
      <c r="AO233" s="3">
        <f>[2]หน้าผ้า!DU242</f>
        <v>0</v>
      </c>
      <c r="AP233" s="3">
        <f>[2]หน้าผ้า!DP242</f>
        <v>0</v>
      </c>
      <c r="AQ233" s="3">
        <f>[2]หน้าผ้า!DW242</f>
        <v>0</v>
      </c>
      <c r="AR233" s="3">
        <f>[2]หน้าผ้า!DX242</f>
        <v>0</v>
      </c>
      <c r="AS233" s="3">
        <f>[2]หน้าผ้า!DY242</f>
        <v>0</v>
      </c>
      <c r="AT233" s="3">
        <f>[2]หน้าผ้า!DZ242</f>
        <v>0</v>
      </c>
      <c r="AU233" s="3">
        <f>[2]หน้าผ้า!EA242</f>
        <v>0</v>
      </c>
      <c r="AV233" s="1">
        <f>[2]หน้าผ้า!EB242</f>
        <v>0</v>
      </c>
      <c r="AW233" s="2">
        <f>[2]หน้าผ้า!EC242</f>
        <v>0</v>
      </c>
      <c r="AX233" s="2">
        <f>[2]หน้าผ้า!ED242</f>
        <v>0</v>
      </c>
      <c r="AY233" s="2">
        <f>[2]หน้าผ้า!AG242</f>
        <v>0</v>
      </c>
      <c r="AZ233" s="2">
        <f>[2]หน้าผ้า!EG242</f>
        <v>0</v>
      </c>
      <c r="BA233" s="2">
        <f>[2]หน้าผ้า!EH242</f>
        <v>0</v>
      </c>
      <c r="BB233" s="2">
        <f>[2]หน้าผ้า!EI242</f>
        <v>0</v>
      </c>
      <c r="BC233" s="1">
        <f>[2]หน้าผ้า!BZ242</f>
        <v>0</v>
      </c>
      <c r="BD233" s="56">
        <f>[2]หน้าผ้า!CA242</f>
        <v>0</v>
      </c>
    </row>
    <row r="234" spans="1:56" ht="27.75" customHeight="1" x14ac:dyDescent="0.45">
      <c r="A234" s="3">
        <f>[2]หน้าผ้า!C243</f>
        <v>0</v>
      </c>
      <c r="B234" s="14">
        <f>[2]หน้าผ้า!B243</f>
        <v>0</v>
      </c>
      <c r="C234" s="9">
        <f>[2]หน้าผ้า!E243</f>
        <v>0</v>
      </c>
      <c r="D234" s="13">
        <f>[2]หน้าผ้า!F243</f>
        <v>0</v>
      </c>
      <c r="E234" s="9">
        <f>[2]หน้าผ้า!G243</f>
        <v>0</v>
      </c>
      <c r="F234" s="9">
        <f>[2]หน้าผ้า!H243</f>
        <v>0</v>
      </c>
      <c r="G234" s="9">
        <f>[2]หน้าผ้า!I243</f>
        <v>0</v>
      </c>
      <c r="H234" s="9">
        <f>[2]หน้าผ้า!J243</f>
        <v>0</v>
      </c>
      <c r="I234" s="9">
        <f>[2]หน้าผ้า!L243</f>
        <v>0</v>
      </c>
      <c r="J234" s="9">
        <f>[2]หน้าผ้า!M243</f>
        <v>0</v>
      </c>
      <c r="K234" s="9">
        <f>[2]หน้าผ้า!N243</f>
        <v>0</v>
      </c>
      <c r="L234" s="9">
        <f>[2]หน้าผ้า!R243</f>
        <v>0</v>
      </c>
      <c r="M234" s="10">
        <f>[2]หน้าผ้า!T243</f>
        <v>0</v>
      </c>
      <c r="N234" s="9">
        <f>[2]หน้าผ้า!U243</f>
        <v>0</v>
      </c>
      <c r="O234" s="9">
        <f>[2]หน้าผ้า!V243</f>
        <v>0</v>
      </c>
      <c r="P234" s="10">
        <f>[2]หน้าผ้า!AB243</f>
        <v>0</v>
      </c>
      <c r="Q234" s="10">
        <f>[2]หน้าผ้า!AC243</f>
        <v>0</v>
      </c>
      <c r="R234" s="10">
        <f>[2]หน้าผ้า!AD243</f>
        <v>0</v>
      </c>
      <c r="S234" s="9">
        <f>[2]หน้าผ้า!Z243</f>
        <v>0</v>
      </c>
      <c r="T234" s="12">
        <f>[2]หน้าผ้า!X243</f>
        <v>0</v>
      </c>
      <c r="U234" s="11">
        <f>[2]หน้าผ้า!AA243</f>
        <v>0</v>
      </c>
      <c r="V234" s="10">
        <f>[2]หน้าผ้า!AJ243</f>
        <v>0</v>
      </c>
      <c r="W234" s="10">
        <f>[2]หน้าผ้า!AL243</f>
        <v>0</v>
      </c>
      <c r="X234" s="10">
        <f>[2]หน้าผ้า!AM243</f>
        <v>0</v>
      </c>
      <c r="Y234" s="10">
        <f>[2]หน้าผ้า!AN243</f>
        <v>0</v>
      </c>
      <c r="Z234" s="9">
        <f>[2]หน้าผ้า!AO243</f>
        <v>0</v>
      </c>
      <c r="AA234" s="8">
        <f>[2]หน้าผ้า!AQ243</f>
        <v>0</v>
      </c>
      <c r="AB234" s="8">
        <f>[2]หน้าผ้า!AR243</f>
        <v>0</v>
      </c>
      <c r="AC234" s="8">
        <f>[2]หน้าผ้า!AS243</f>
        <v>0</v>
      </c>
      <c r="AD234" s="8">
        <f>[2]หน้าผ้า!AT243</f>
        <v>0</v>
      </c>
      <c r="AE234" s="8">
        <f>[2]หน้าผ้า!AU243</f>
        <v>0</v>
      </c>
      <c r="AF234" s="8">
        <f>[2]หน้าผ้า!AI243</f>
        <v>0</v>
      </c>
      <c r="AG234" s="1">
        <f>[3]หน้าผ้า!DC246</f>
        <v>0</v>
      </c>
      <c r="AH234" s="1">
        <f>[2]หน้าผ้า!DL243</f>
        <v>0</v>
      </c>
      <c r="AI234" s="1">
        <f>[2]หน้าผ้า!DM243</f>
        <v>0</v>
      </c>
      <c r="AJ234" s="3">
        <f>[2]หน้าผ้า!DN243</f>
        <v>0</v>
      </c>
      <c r="AK234" s="3">
        <f>[2]หน้าผ้า!DQ243</f>
        <v>0</v>
      </c>
      <c r="AL234" s="3">
        <f>[2]หน้าผ้า!DR243</f>
        <v>0</v>
      </c>
      <c r="AM234" s="3">
        <f>[2]หน้าผ้า!DS243</f>
        <v>0</v>
      </c>
      <c r="AN234" s="3">
        <f>[2]หน้าผ้า!DT243</f>
        <v>0</v>
      </c>
      <c r="AO234" s="3">
        <f>[2]หน้าผ้า!DU243</f>
        <v>0</v>
      </c>
      <c r="AP234" s="3">
        <f>[2]หน้าผ้า!DP243</f>
        <v>0</v>
      </c>
      <c r="AQ234" s="3">
        <f>[2]หน้าผ้า!DW243</f>
        <v>0</v>
      </c>
      <c r="AR234" s="3">
        <f>[2]หน้าผ้า!DX243</f>
        <v>0</v>
      </c>
      <c r="AS234" s="3">
        <f>[2]หน้าผ้า!DY243</f>
        <v>0</v>
      </c>
      <c r="AT234" s="3">
        <f>[2]หน้าผ้า!DZ243</f>
        <v>0</v>
      </c>
      <c r="AU234" s="3">
        <f>[2]หน้าผ้า!EA243</f>
        <v>0</v>
      </c>
      <c r="AV234" s="1">
        <f>[2]หน้าผ้า!EB243</f>
        <v>0</v>
      </c>
      <c r="AW234" s="2">
        <f>[2]หน้าผ้า!EC243</f>
        <v>0</v>
      </c>
      <c r="AX234" s="2">
        <f>[2]หน้าผ้า!ED243</f>
        <v>0</v>
      </c>
      <c r="AY234" s="2">
        <f>[2]หน้าผ้า!AG243</f>
        <v>0</v>
      </c>
      <c r="AZ234" s="2">
        <f>[2]หน้าผ้า!EG243</f>
        <v>0</v>
      </c>
      <c r="BA234" s="2">
        <f>[2]หน้าผ้า!EH243</f>
        <v>0</v>
      </c>
      <c r="BB234" s="2">
        <f>[2]หน้าผ้า!EI243</f>
        <v>0</v>
      </c>
      <c r="BC234" s="1">
        <f>[2]หน้าผ้า!BZ243</f>
        <v>0</v>
      </c>
      <c r="BD234" s="56">
        <f>[2]หน้าผ้า!CA243</f>
        <v>0</v>
      </c>
    </row>
    <row r="235" spans="1:56" ht="27.75" customHeight="1" x14ac:dyDescent="0.45">
      <c r="A235" s="3">
        <f>[2]หน้าผ้า!C244</f>
        <v>0</v>
      </c>
      <c r="B235" s="14">
        <f>[2]หน้าผ้า!B244</f>
        <v>0</v>
      </c>
      <c r="C235" s="9">
        <f>[2]หน้าผ้า!E244</f>
        <v>0</v>
      </c>
      <c r="D235" s="13">
        <f>[2]หน้าผ้า!F244</f>
        <v>0</v>
      </c>
      <c r="E235" s="9">
        <f>[2]หน้าผ้า!G244</f>
        <v>0</v>
      </c>
      <c r="F235" s="9">
        <f>[2]หน้าผ้า!H244</f>
        <v>0</v>
      </c>
      <c r="G235" s="9">
        <f>[2]หน้าผ้า!I244</f>
        <v>0</v>
      </c>
      <c r="H235" s="9">
        <f>[2]หน้าผ้า!J244</f>
        <v>0</v>
      </c>
      <c r="I235" s="9">
        <f>[2]หน้าผ้า!L244</f>
        <v>0</v>
      </c>
      <c r="J235" s="9">
        <f>[2]หน้าผ้า!M244</f>
        <v>0</v>
      </c>
      <c r="K235" s="9">
        <f>[2]หน้าผ้า!N244</f>
        <v>0</v>
      </c>
      <c r="L235" s="9">
        <f>[2]หน้าผ้า!R244</f>
        <v>0</v>
      </c>
      <c r="M235" s="10">
        <f>[2]หน้าผ้า!T244</f>
        <v>0</v>
      </c>
      <c r="N235" s="9">
        <f>[2]หน้าผ้า!U244</f>
        <v>0</v>
      </c>
      <c r="O235" s="9">
        <f>[2]หน้าผ้า!V244</f>
        <v>0</v>
      </c>
      <c r="P235" s="10">
        <f>[2]หน้าผ้า!AB244</f>
        <v>0</v>
      </c>
      <c r="Q235" s="10">
        <f>[2]หน้าผ้า!AC244</f>
        <v>0</v>
      </c>
      <c r="R235" s="10">
        <f>[2]หน้าผ้า!AD244</f>
        <v>0</v>
      </c>
      <c r="S235" s="9">
        <f>[2]หน้าผ้า!Z244</f>
        <v>0</v>
      </c>
      <c r="T235" s="12">
        <f>[2]หน้าผ้า!X244</f>
        <v>0</v>
      </c>
      <c r="U235" s="11">
        <f>[2]หน้าผ้า!AA244</f>
        <v>0</v>
      </c>
      <c r="V235" s="10">
        <f>[2]หน้าผ้า!AJ244</f>
        <v>0</v>
      </c>
      <c r="W235" s="10">
        <f>[2]หน้าผ้า!AL244</f>
        <v>0</v>
      </c>
      <c r="X235" s="10">
        <f>[2]หน้าผ้า!AM244</f>
        <v>0</v>
      </c>
      <c r="Y235" s="10">
        <f>[2]หน้าผ้า!AN244</f>
        <v>0</v>
      </c>
      <c r="Z235" s="9">
        <f>[2]หน้าผ้า!AO244</f>
        <v>0</v>
      </c>
      <c r="AA235" s="8">
        <f>[2]หน้าผ้า!AQ244</f>
        <v>0</v>
      </c>
      <c r="AB235" s="8">
        <f>[2]หน้าผ้า!AR244</f>
        <v>0</v>
      </c>
      <c r="AC235" s="8">
        <f>[2]หน้าผ้า!AS244</f>
        <v>0</v>
      </c>
      <c r="AD235" s="8">
        <f>[2]หน้าผ้า!AT244</f>
        <v>0</v>
      </c>
      <c r="AE235" s="8">
        <f>[2]หน้าผ้า!AU244</f>
        <v>0</v>
      </c>
      <c r="AF235" s="8">
        <f>[2]หน้าผ้า!AI244</f>
        <v>0</v>
      </c>
      <c r="AG235" s="1">
        <f>[3]หน้าผ้า!DC247</f>
        <v>0</v>
      </c>
      <c r="AH235" s="1">
        <f>[2]หน้าผ้า!DL244</f>
        <v>0</v>
      </c>
      <c r="AI235" s="1">
        <f>[2]หน้าผ้า!DM244</f>
        <v>0</v>
      </c>
      <c r="AJ235" s="3">
        <f>[2]หน้าผ้า!DN244</f>
        <v>0</v>
      </c>
      <c r="AK235" s="3">
        <f>[2]หน้าผ้า!DQ244</f>
        <v>0</v>
      </c>
      <c r="AL235" s="3">
        <f>[2]หน้าผ้า!DR244</f>
        <v>0</v>
      </c>
      <c r="AM235" s="3">
        <f>[2]หน้าผ้า!DS244</f>
        <v>0</v>
      </c>
      <c r="AN235" s="3">
        <f>[2]หน้าผ้า!DT244</f>
        <v>0</v>
      </c>
      <c r="AO235" s="3">
        <f>[2]หน้าผ้า!DU244</f>
        <v>0</v>
      </c>
      <c r="AP235" s="3">
        <f>[2]หน้าผ้า!DP244</f>
        <v>0</v>
      </c>
      <c r="AQ235" s="3">
        <f>[2]หน้าผ้า!DW244</f>
        <v>0</v>
      </c>
      <c r="AR235" s="3">
        <f>[2]หน้าผ้า!DX244</f>
        <v>0</v>
      </c>
      <c r="AS235" s="3">
        <f>[2]หน้าผ้า!DY244</f>
        <v>0</v>
      </c>
      <c r="AT235" s="3">
        <f>[2]หน้าผ้า!DZ244</f>
        <v>0</v>
      </c>
      <c r="AU235" s="3">
        <f>[2]หน้าผ้า!EA244</f>
        <v>0</v>
      </c>
      <c r="AV235" s="1">
        <f>[2]หน้าผ้า!EB244</f>
        <v>0</v>
      </c>
      <c r="AW235" s="2">
        <f>[2]หน้าผ้า!EC244</f>
        <v>0</v>
      </c>
      <c r="AX235" s="2">
        <f>[2]หน้าผ้า!ED244</f>
        <v>0</v>
      </c>
      <c r="AY235" s="2">
        <f>[2]หน้าผ้า!AG244</f>
        <v>0</v>
      </c>
      <c r="AZ235" s="2">
        <f>[2]หน้าผ้า!EG244</f>
        <v>0</v>
      </c>
      <c r="BA235" s="2">
        <f>[2]หน้าผ้า!EH244</f>
        <v>0</v>
      </c>
      <c r="BB235" s="2">
        <f>[2]หน้าผ้า!EI244</f>
        <v>0</v>
      </c>
      <c r="BC235" s="1">
        <f>[2]หน้าผ้า!BZ244</f>
        <v>0</v>
      </c>
      <c r="BD235" s="56">
        <f>[2]หน้าผ้า!CA244</f>
        <v>0</v>
      </c>
    </row>
    <row r="236" spans="1:56" ht="27.75" customHeight="1" x14ac:dyDescent="0.45">
      <c r="A236" s="3">
        <f>[2]หน้าผ้า!C245</f>
        <v>0</v>
      </c>
      <c r="B236" s="14">
        <f>[2]หน้าผ้า!B245</f>
        <v>0</v>
      </c>
      <c r="C236" s="9">
        <f>[2]หน้าผ้า!E245</f>
        <v>0</v>
      </c>
      <c r="D236" s="13">
        <f>[2]หน้าผ้า!F245</f>
        <v>0</v>
      </c>
      <c r="E236" s="9">
        <f>[2]หน้าผ้า!G245</f>
        <v>0</v>
      </c>
      <c r="F236" s="9">
        <f>[2]หน้าผ้า!H245</f>
        <v>0</v>
      </c>
      <c r="G236" s="9">
        <f>[2]หน้าผ้า!I245</f>
        <v>0</v>
      </c>
      <c r="H236" s="9">
        <f>[2]หน้าผ้า!J245</f>
        <v>0</v>
      </c>
      <c r="I236" s="9">
        <f>[2]หน้าผ้า!L245</f>
        <v>0</v>
      </c>
      <c r="J236" s="9">
        <f>[2]หน้าผ้า!M245</f>
        <v>0</v>
      </c>
      <c r="K236" s="9">
        <f>[2]หน้าผ้า!N245</f>
        <v>0</v>
      </c>
      <c r="L236" s="9">
        <f>[2]หน้าผ้า!R245</f>
        <v>0</v>
      </c>
      <c r="M236" s="10">
        <f>[2]หน้าผ้า!T245</f>
        <v>0</v>
      </c>
      <c r="N236" s="9">
        <f>[2]หน้าผ้า!U245</f>
        <v>0</v>
      </c>
      <c r="O236" s="9">
        <f>[2]หน้าผ้า!V245</f>
        <v>0</v>
      </c>
      <c r="P236" s="10">
        <f>[2]หน้าผ้า!AB245</f>
        <v>0</v>
      </c>
      <c r="Q236" s="10">
        <f>[2]หน้าผ้า!AC245</f>
        <v>0</v>
      </c>
      <c r="R236" s="10">
        <f>[2]หน้าผ้า!AD245</f>
        <v>0</v>
      </c>
      <c r="S236" s="9">
        <f>[2]หน้าผ้า!Z245</f>
        <v>0</v>
      </c>
      <c r="T236" s="12">
        <f>[2]หน้าผ้า!X245</f>
        <v>0</v>
      </c>
      <c r="U236" s="11">
        <f>[2]หน้าผ้า!AA245</f>
        <v>0</v>
      </c>
      <c r="V236" s="10">
        <f>[2]หน้าผ้า!AJ245</f>
        <v>0</v>
      </c>
      <c r="W236" s="10">
        <f>[2]หน้าผ้า!AL245</f>
        <v>0</v>
      </c>
      <c r="X236" s="10">
        <f>[2]หน้าผ้า!AM245</f>
        <v>0</v>
      </c>
      <c r="Y236" s="10">
        <f>[2]หน้าผ้า!AN245</f>
        <v>0</v>
      </c>
      <c r="Z236" s="9">
        <f>[2]หน้าผ้า!AO245</f>
        <v>0</v>
      </c>
      <c r="AA236" s="8">
        <f>[2]หน้าผ้า!AQ245</f>
        <v>0</v>
      </c>
      <c r="AB236" s="8">
        <f>[2]หน้าผ้า!AR245</f>
        <v>0</v>
      </c>
      <c r="AC236" s="8">
        <f>[2]หน้าผ้า!AS245</f>
        <v>0</v>
      </c>
      <c r="AD236" s="8">
        <f>[2]หน้าผ้า!AT245</f>
        <v>0</v>
      </c>
      <c r="AE236" s="8">
        <f>[2]หน้าผ้า!AU245</f>
        <v>0</v>
      </c>
      <c r="AF236" s="8">
        <f>[2]หน้าผ้า!AI245</f>
        <v>0</v>
      </c>
      <c r="AG236" s="1">
        <f>[3]หน้าผ้า!DC248</f>
        <v>0</v>
      </c>
      <c r="AH236" s="1">
        <f>[2]หน้าผ้า!DL245</f>
        <v>0</v>
      </c>
      <c r="AI236" s="1">
        <f>[2]หน้าผ้า!DM245</f>
        <v>0</v>
      </c>
      <c r="AJ236" s="3">
        <f>[2]หน้าผ้า!DN245</f>
        <v>0</v>
      </c>
      <c r="AK236" s="3">
        <f>[2]หน้าผ้า!DQ245</f>
        <v>0</v>
      </c>
      <c r="AL236" s="3">
        <f>[2]หน้าผ้า!DR245</f>
        <v>0</v>
      </c>
      <c r="AM236" s="3">
        <f>[2]หน้าผ้า!DS245</f>
        <v>0</v>
      </c>
      <c r="AN236" s="3">
        <f>[2]หน้าผ้า!DT245</f>
        <v>0</v>
      </c>
      <c r="AO236" s="3">
        <f>[2]หน้าผ้า!DU245</f>
        <v>0</v>
      </c>
      <c r="AP236" s="3">
        <f>[2]หน้าผ้า!DP245</f>
        <v>0</v>
      </c>
      <c r="AQ236" s="3">
        <f>[2]หน้าผ้า!DW245</f>
        <v>0</v>
      </c>
      <c r="AR236" s="3">
        <f>[2]หน้าผ้า!DX245</f>
        <v>0</v>
      </c>
      <c r="AS236" s="3">
        <f>[2]หน้าผ้า!DY245</f>
        <v>0</v>
      </c>
      <c r="AT236" s="3">
        <f>[2]หน้าผ้า!DZ245</f>
        <v>0</v>
      </c>
      <c r="AU236" s="3">
        <f>[2]หน้าผ้า!EA245</f>
        <v>0</v>
      </c>
      <c r="AV236" s="1">
        <f>[2]หน้าผ้า!EB245</f>
        <v>0</v>
      </c>
      <c r="AW236" s="2">
        <f>[2]หน้าผ้า!EC245</f>
        <v>0</v>
      </c>
      <c r="AX236" s="2">
        <f>[2]หน้าผ้า!ED245</f>
        <v>0</v>
      </c>
      <c r="AY236" s="2">
        <f>[2]หน้าผ้า!AG245</f>
        <v>0</v>
      </c>
      <c r="AZ236" s="2">
        <f>[2]หน้าผ้า!EG245</f>
        <v>0</v>
      </c>
      <c r="BA236" s="2">
        <f>[2]หน้าผ้า!EH245</f>
        <v>0</v>
      </c>
      <c r="BB236" s="2">
        <f>[2]หน้าผ้า!EI245</f>
        <v>0</v>
      </c>
      <c r="BC236" s="1">
        <f>[2]หน้าผ้า!BZ245</f>
        <v>0</v>
      </c>
      <c r="BD236" s="56">
        <f>[2]หน้าผ้า!CA245</f>
        <v>0</v>
      </c>
    </row>
    <row r="237" spans="1:56" ht="27.75" customHeight="1" x14ac:dyDescent="0.45">
      <c r="A237" s="3">
        <f>[2]หน้าผ้า!C246</f>
        <v>0</v>
      </c>
      <c r="B237" s="14">
        <f>[2]หน้าผ้า!B246</f>
        <v>0</v>
      </c>
      <c r="C237" s="9">
        <f>[2]หน้าผ้า!E246</f>
        <v>0</v>
      </c>
      <c r="D237" s="13">
        <f>[2]หน้าผ้า!F246</f>
        <v>0</v>
      </c>
      <c r="E237" s="9">
        <f>[2]หน้าผ้า!G246</f>
        <v>0</v>
      </c>
      <c r="F237" s="9">
        <f>[2]หน้าผ้า!H246</f>
        <v>0</v>
      </c>
      <c r="G237" s="9">
        <f>[2]หน้าผ้า!I246</f>
        <v>0</v>
      </c>
      <c r="H237" s="9">
        <f>[2]หน้าผ้า!J246</f>
        <v>0</v>
      </c>
      <c r="I237" s="9">
        <f>[2]หน้าผ้า!L246</f>
        <v>0</v>
      </c>
      <c r="J237" s="9">
        <f>[2]หน้าผ้า!M246</f>
        <v>0</v>
      </c>
      <c r="K237" s="9">
        <f>[2]หน้าผ้า!N246</f>
        <v>0</v>
      </c>
      <c r="L237" s="9">
        <f>[2]หน้าผ้า!R246</f>
        <v>0</v>
      </c>
      <c r="M237" s="10">
        <f>[2]หน้าผ้า!T246</f>
        <v>0</v>
      </c>
      <c r="N237" s="9">
        <f>[2]หน้าผ้า!U246</f>
        <v>0</v>
      </c>
      <c r="O237" s="9">
        <f>[2]หน้าผ้า!V246</f>
        <v>0</v>
      </c>
      <c r="P237" s="10">
        <f>[2]หน้าผ้า!AB246</f>
        <v>0</v>
      </c>
      <c r="Q237" s="10">
        <f>[2]หน้าผ้า!AC246</f>
        <v>0</v>
      </c>
      <c r="R237" s="10">
        <f>[2]หน้าผ้า!AD246</f>
        <v>0</v>
      </c>
      <c r="S237" s="9">
        <f>[2]หน้าผ้า!Z246</f>
        <v>0</v>
      </c>
      <c r="T237" s="12">
        <f>[2]หน้าผ้า!X246</f>
        <v>0</v>
      </c>
      <c r="U237" s="11">
        <f>[2]หน้าผ้า!AA246</f>
        <v>0</v>
      </c>
      <c r="V237" s="10">
        <f>[2]หน้าผ้า!AJ246</f>
        <v>0</v>
      </c>
      <c r="W237" s="10">
        <f>[2]หน้าผ้า!AL246</f>
        <v>0</v>
      </c>
      <c r="X237" s="10">
        <f>[2]หน้าผ้า!AM246</f>
        <v>0</v>
      </c>
      <c r="Y237" s="10">
        <f>[2]หน้าผ้า!AN246</f>
        <v>0</v>
      </c>
      <c r="Z237" s="9">
        <f>[2]หน้าผ้า!AO246</f>
        <v>0</v>
      </c>
      <c r="AA237" s="8">
        <f>[2]หน้าผ้า!AQ246</f>
        <v>0</v>
      </c>
      <c r="AB237" s="8">
        <f>[2]หน้าผ้า!AR246</f>
        <v>0</v>
      </c>
      <c r="AC237" s="8">
        <f>[2]หน้าผ้า!AS246</f>
        <v>0</v>
      </c>
      <c r="AD237" s="8">
        <f>[2]หน้าผ้า!AT246</f>
        <v>0</v>
      </c>
      <c r="AE237" s="8">
        <f>[2]หน้าผ้า!AU246</f>
        <v>0</v>
      </c>
      <c r="AF237" s="8">
        <f>[2]หน้าผ้า!AI246</f>
        <v>0</v>
      </c>
      <c r="AG237" s="1">
        <f>[3]หน้าผ้า!DC249</f>
        <v>0</v>
      </c>
      <c r="AH237" s="1">
        <f>[2]หน้าผ้า!DL246</f>
        <v>0</v>
      </c>
      <c r="AI237" s="1">
        <f>[2]หน้าผ้า!DM246</f>
        <v>0</v>
      </c>
      <c r="AJ237" s="3">
        <f>[2]หน้าผ้า!DN246</f>
        <v>0</v>
      </c>
      <c r="AK237" s="3">
        <f>[2]หน้าผ้า!DQ246</f>
        <v>0</v>
      </c>
      <c r="AL237" s="3">
        <f>[2]หน้าผ้า!DR246</f>
        <v>0</v>
      </c>
      <c r="AM237" s="3">
        <f>[2]หน้าผ้า!DS246</f>
        <v>0</v>
      </c>
      <c r="AN237" s="3">
        <f>[2]หน้าผ้า!DT246</f>
        <v>0</v>
      </c>
      <c r="AO237" s="3">
        <f>[2]หน้าผ้า!DU246</f>
        <v>0</v>
      </c>
      <c r="AP237" s="3">
        <f>[2]หน้าผ้า!DP246</f>
        <v>0</v>
      </c>
      <c r="AQ237" s="3">
        <f>[2]หน้าผ้า!DW246</f>
        <v>0</v>
      </c>
      <c r="AR237" s="3">
        <f>[2]หน้าผ้า!DX246</f>
        <v>0</v>
      </c>
      <c r="AS237" s="3">
        <f>[2]หน้าผ้า!DY246</f>
        <v>0</v>
      </c>
      <c r="AT237" s="3">
        <f>[2]หน้าผ้า!DZ246</f>
        <v>0</v>
      </c>
      <c r="AU237" s="3">
        <f>[2]หน้าผ้า!EA246</f>
        <v>0</v>
      </c>
      <c r="AV237" s="1">
        <f>[2]หน้าผ้า!EB246</f>
        <v>0</v>
      </c>
      <c r="AW237" s="2">
        <f>[2]หน้าผ้า!EC246</f>
        <v>0</v>
      </c>
      <c r="AX237" s="2">
        <f>[2]หน้าผ้า!ED246</f>
        <v>0</v>
      </c>
      <c r="AY237" s="2">
        <f>[2]หน้าผ้า!AG246</f>
        <v>0</v>
      </c>
      <c r="AZ237" s="2">
        <f>[2]หน้าผ้า!EG246</f>
        <v>0</v>
      </c>
      <c r="BA237" s="2">
        <f>[2]หน้าผ้า!EH246</f>
        <v>0</v>
      </c>
      <c r="BB237" s="2">
        <f>[2]หน้าผ้า!EI246</f>
        <v>0</v>
      </c>
      <c r="BC237" s="1">
        <f>[2]หน้าผ้า!BZ246</f>
        <v>0</v>
      </c>
      <c r="BD237" s="56">
        <f>[2]หน้าผ้า!CA246</f>
        <v>0</v>
      </c>
    </row>
    <row r="238" spans="1:56" ht="27.75" customHeight="1" x14ac:dyDescent="0.45">
      <c r="A238" s="3">
        <f>[2]หน้าผ้า!C247</f>
        <v>0</v>
      </c>
      <c r="B238" s="14">
        <f>[2]หน้าผ้า!B247</f>
        <v>0</v>
      </c>
      <c r="C238" s="9">
        <f>[2]หน้าผ้า!E247</f>
        <v>0</v>
      </c>
      <c r="D238" s="13">
        <f>[2]หน้าผ้า!F247</f>
        <v>0</v>
      </c>
      <c r="E238" s="9">
        <f>[2]หน้าผ้า!G247</f>
        <v>0</v>
      </c>
      <c r="F238" s="9">
        <f>[2]หน้าผ้า!H247</f>
        <v>0</v>
      </c>
      <c r="G238" s="9">
        <f>[2]หน้าผ้า!I247</f>
        <v>0</v>
      </c>
      <c r="H238" s="9">
        <f>[2]หน้าผ้า!J247</f>
        <v>0</v>
      </c>
      <c r="I238" s="9">
        <f>[2]หน้าผ้า!L247</f>
        <v>0</v>
      </c>
      <c r="J238" s="9">
        <f>[2]หน้าผ้า!M247</f>
        <v>0</v>
      </c>
      <c r="K238" s="9">
        <f>[2]หน้าผ้า!N247</f>
        <v>0</v>
      </c>
      <c r="L238" s="9">
        <f>[2]หน้าผ้า!R247</f>
        <v>0</v>
      </c>
      <c r="M238" s="10">
        <f>[2]หน้าผ้า!T247</f>
        <v>0</v>
      </c>
      <c r="N238" s="9">
        <f>[2]หน้าผ้า!U247</f>
        <v>0</v>
      </c>
      <c r="O238" s="9">
        <f>[2]หน้าผ้า!V247</f>
        <v>0</v>
      </c>
      <c r="P238" s="10">
        <f>[2]หน้าผ้า!AB247</f>
        <v>0</v>
      </c>
      <c r="Q238" s="10">
        <f>[2]หน้าผ้า!AC247</f>
        <v>0</v>
      </c>
      <c r="R238" s="10">
        <f>[2]หน้าผ้า!AD247</f>
        <v>0</v>
      </c>
      <c r="S238" s="9">
        <f>[2]หน้าผ้า!Z247</f>
        <v>0</v>
      </c>
      <c r="T238" s="12">
        <f>[2]หน้าผ้า!X247</f>
        <v>0</v>
      </c>
      <c r="U238" s="11">
        <f>[2]หน้าผ้า!AA247</f>
        <v>0</v>
      </c>
      <c r="V238" s="10">
        <f>[2]หน้าผ้า!AJ247</f>
        <v>0</v>
      </c>
      <c r="W238" s="10">
        <f>[2]หน้าผ้า!AL247</f>
        <v>0</v>
      </c>
      <c r="X238" s="10">
        <f>[2]หน้าผ้า!AM247</f>
        <v>0</v>
      </c>
      <c r="Y238" s="10">
        <f>[2]หน้าผ้า!AN247</f>
        <v>0</v>
      </c>
      <c r="Z238" s="9">
        <f>[2]หน้าผ้า!AO247</f>
        <v>0</v>
      </c>
      <c r="AA238" s="8">
        <f>[2]หน้าผ้า!AQ247</f>
        <v>0</v>
      </c>
      <c r="AB238" s="8">
        <f>[2]หน้าผ้า!AR247</f>
        <v>0</v>
      </c>
      <c r="AC238" s="8">
        <f>[2]หน้าผ้า!AS247</f>
        <v>0</v>
      </c>
      <c r="AD238" s="8">
        <f>[2]หน้าผ้า!AT247</f>
        <v>0</v>
      </c>
      <c r="AE238" s="8">
        <f>[2]หน้าผ้า!AU247</f>
        <v>0</v>
      </c>
      <c r="AF238" s="8">
        <f>[2]หน้าผ้า!AI247</f>
        <v>0</v>
      </c>
      <c r="AG238" s="1">
        <f>[3]หน้าผ้า!DC250</f>
        <v>0</v>
      </c>
      <c r="AH238" s="1">
        <f>[2]หน้าผ้า!DL247</f>
        <v>0</v>
      </c>
      <c r="AI238" s="1">
        <f>[2]หน้าผ้า!DM247</f>
        <v>0</v>
      </c>
      <c r="AJ238" s="3">
        <f>[2]หน้าผ้า!DN247</f>
        <v>0</v>
      </c>
      <c r="AK238" s="3">
        <f>[2]หน้าผ้า!DQ247</f>
        <v>0</v>
      </c>
      <c r="AL238" s="3">
        <f>[2]หน้าผ้า!DR247</f>
        <v>0</v>
      </c>
      <c r="AM238" s="3">
        <f>[2]หน้าผ้า!DS247</f>
        <v>0</v>
      </c>
      <c r="AN238" s="3">
        <f>[2]หน้าผ้า!DT247</f>
        <v>0</v>
      </c>
      <c r="AO238" s="3">
        <f>[2]หน้าผ้า!DU247</f>
        <v>0</v>
      </c>
      <c r="AP238" s="3">
        <f>[2]หน้าผ้า!DP247</f>
        <v>0</v>
      </c>
      <c r="AQ238" s="3">
        <f>[2]หน้าผ้า!DW247</f>
        <v>0</v>
      </c>
      <c r="AR238" s="3">
        <f>[2]หน้าผ้า!DX247</f>
        <v>0</v>
      </c>
      <c r="AS238" s="3">
        <f>[2]หน้าผ้า!DY247</f>
        <v>0</v>
      </c>
      <c r="AT238" s="3">
        <f>[2]หน้าผ้า!DZ247</f>
        <v>0</v>
      </c>
      <c r="AU238" s="3">
        <f>[2]หน้าผ้า!EA247</f>
        <v>0</v>
      </c>
      <c r="AV238" s="1">
        <f>[2]หน้าผ้า!EB247</f>
        <v>0</v>
      </c>
      <c r="AW238" s="2">
        <f>[2]หน้าผ้า!EC247</f>
        <v>0</v>
      </c>
      <c r="AX238" s="2">
        <f>[2]หน้าผ้า!ED247</f>
        <v>0</v>
      </c>
      <c r="AY238" s="2">
        <f>[2]หน้าผ้า!AG247</f>
        <v>0</v>
      </c>
      <c r="AZ238" s="2">
        <f>[2]หน้าผ้า!EG247</f>
        <v>0</v>
      </c>
      <c r="BA238" s="2">
        <f>[2]หน้าผ้า!EH247</f>
        <v>0</v>
      </c>
      <c r="BB238" s="2">
        <f>[2]หน้าผ้า!EI247</f>
        <v>0</v>
      </c>
      <c r="BC238" s="1">
        <f>[2]หน้าผ้า!BZ247</f>
        <v>0</v>
      </c>
      <c r="BD238" s="56">
        <f>[2]หน้าผ้า!CA247</f>
        <v>0</v>
      </c>
    </row>
    <row r="239" spans="1:56" ht="27.75" customHeight="1" x14ac:dyDescent="0.45">
      <c r="A239" s="3">
        <f>[2]หน้าผ้า!C248</f>
        <v>0</v>
      </c>
      <c r="B239" s="14">
        <f>[2]หน้าผ้า!B248</f>
        <v>0</v>
      </c>
      <c r="C239" s="9">
        <f>[2]หน้าผ้า!E248</f>
        <v>0</v>
      </c>
      <c r="D239" s="13">
        <f>[2]หน้าผ้า!F248</f>
        <v>0</v>
      </c>
      <c r="E239" s="9">
        <f>[2]หน้าผ้า!G248</f>
        <v>0</v>
      </c>
      <c r="F239" s="9">
        <f>[2]หน้าผ้า!H248</f>
        <v>0</v>
      </c>
      <c r="G239" s="9">
        <f>[2]หน้าผ้า!I248</f>
        <v>0</v>
      </c>
      <c r="H239" s="9">
        <f>[2]หน้าผ้า!J248</f>
        <v>0</v>
      </c>
      <c r="I239" s="9">
        <f>[2]หน้าผ้า!L248</f>
        <v>0</v>
      </c>
      <c r="J239" s="9">
        <f>[2]หน้าผ้า!M248</f>
        <v>0</v>
      </c>
      <c r="K239" s="9">
        <f>[2]หน้าผ้า!N248</f>
        <v>0</v>
      </c>
      <c r="L239" s="9">
        <f>[2]หน้าผ้า!R248</f>
        <v>0</v>
      </c>
      <c r="M239" s="10">
        <f>[2]หน้าผ้า!T248</f>
        <v>0</v>
      </c>
      <c r="N239" s="9">
        <f>[2]หน้าผ้า!U248</f>
        <v>0</v>
      </c>
      <c r="O239" s="9">
        <f>[2]หน้าผ้า!V248</f>
        <v>0</v>
      </c>
      <c r="P239" s="10">
        <f>[2]หน้าผ้า!AB248</f>
        <v>0</v>
      </c>
      <c r="Q239" s="10">
        <f>[2]หน้าผ้า!AC248</f>
        <v>0</v>
      </c>
      <c r="R239" s="10">
        <f>[2]หน้าผ้า!AD248</f>
        <v>0</v>
      </c>
      <c r="S239" s="9">
        <f>[2]หน้าผ้า!Z248</f>
        <v>0</v>
      </c>
      <c r="T239" s="12">
        <f>[2]หน้าผ้า!X248</f>
        <v>0</v>
      </c>
      <c r="U239" s="11">
        <f>[2]หน้าผ้า!AA248</f>
        <v>0</v>
      </c>
      <c r="V239" s="10">
        <f>[2]หน้าผ้า!AJ248</f>
        <v>0</v>
      </c>
      <c r="W239" s="10">
        <f>[2]หน้าผ้า!AL248</f>
        <v>0</v>
      </c>
      <c r="X239" s="10">
        <f>[2]หน้าผ้า!AM248</f>
        <v>0</v>
      </c>
      <c r="Y239" s="10">
        <f>[2]หน้าผ้า!AN248</f>
        <v>0</v>
      </c>
      <c r="Z239" s="9">
        <f>[2]หน้าผ้า!AO248</f>
        <v>0</v>
      </c>
      <c r="AA239" s="8">
        <f>[2]หน้าผ้า!AQ248</f>
        <v>0</v>
      </c>
      <c r="AB239" s="8">
        <f>[2]หน้าผ้า!AR248</f>
        <v>0</v>
      </c>
      <c r="AC239" s="8">
        <f>[2]หน้าผ้า!AS248</f>
        <v>0</v>
      </c>
      <c r="AD239" s="8">
        <f>[2]หน้าผ้า!AT248</f>
        <v>0</v>
      </c>
      <c r="AE239" s="8">
        <f>[2]หน้าผ้า!AU248</f>
        <v>0</v>
      </c>
      <c r="AF239" s="8">
        <f>[2]หน้าผ้า!AI248</f>
        <v>0</v>
      </c>
      <c r="AG239" s="1">
        <f>[3]หน้าผ้า!DC251</f>
        <v>0</v>
      </c>
      <c r="AH239" s="1">
        <f>[2]หน้าผ้า!DL248</f>
        <v>0</v>
      </c>
      <c r="AI239" s="1">
        <f>[2]หน้าผ้า!DM248</f>
        <v>0</v>
      </c>
      <c r="AJ239" s="3">
        <f>[2]หน้าผ้า!DN248</f>
        <v>0</v>
      </c>
      <c r="AK239" s="3">
        <f>[2]หน้าผ้า!DQ248</f>
        <v>0</v>
      </c>
      <c r="AL239" s="3">
        <f>[2]หน้าผ้า!DR248</f>
        <v>0</v>
      </c>
      <c r="AM239" s="3">
        <f>[2]หน้าผ้า!DS248</f>
        <v>0</v>
      </c>
      <c r="AN239" s="3">
        <f>[2]หน้าผ้า!DT248</f>
        <v>0</v>
      </c>
      <c r="AO239" s="3">
        <f>[2]หน้าผ้า!DU248</f>
        <v>0</v>
      </c>
      <c r="AP239" s="3">
        <f>[2]หน้าผ้า!DP248</f>
        <v>0</v>
      </c>
      <c r="AQ239" s="3">
        <f>[2]หน้าผ้า!DW248</f>
        <v>0</v>
      </c>
      <c r="AR239" s="3">
        <f>[2]หน้าผ้า!DX248</f>
        <v>0</v>
      </c>
      <c r="AS239" s="3">
        <f>[2]หน้าผ้า!DY248</f>
        <v>0</v>
      </c>
      <c r="AT239" s="3">
        <f>[2]หน้าผ้า!DZ248</f>
        <v>0</v>
      </c>
      <c r="AU239" s="3">
        <f>[2]หน้าผ้า!EA248</f>
        <v>0</v>
      </c>
      <c r="AV239" s="1">
        <f>[2]หน้าผ้า!EB248</f>
        <v>0</v>
      </c>
      <c r="AW239" s="2">
        <f>[2]หน้าผ้า!EC248</f>
        <v>0</v>
      </c>
      <c r="AX239" s="2">
        <f>[2]หน้าผ้า!ED248</f>
        <v>0</v>
      </c>
      <c r="AY239" s="2">
        <f>[2]หน้าผ้า!AG248</f>
        <v>0</v>
      </c>
      <c r="AZ239" s="2">
        <f>[2]หน้าผ้า!EG248</f>
        <v>0</v>
      </c>
      <c r="BA239" s="2">
        <f>[2]หน้าผ้า!EH248</f>
        <v>0</v>
      </c>
      <c r="BB239" s="2">
        <f>[2]หน้าผ้า!EI248</f>
        <v>0</v>
      </c>
      <c r="BC239" s="1">
        <f>[2]หน้าผ้า!BZ248</f>
        <v>0</v>
      </c>
      <c r="BD239" s="56">
        <f>[2]หน้าผ้า!CA248</f>
        <v>0</v>
      </c>
    </row>
    <row r="240" spans="1:56" ht="27.75" customHeight="1" x14ac:dyDescent="0.45">
      <c r="A240" s="3">
        <f>[2]หน้าผ้า!C249</f>
        <v>0</v>
      </c>
      <c r="B240" s="14">
        <f>[2]หน้าผ้า!B249</f>
        <v>0</v>
      </c>
      <c r="C240" s="9">
        <f>[2]หน้าผ้า!E249</f>
        <v>0</v>
      </c>
      <c r="D240" s="13">
        <f>[2]หน้าผ้า!F249</f>
        <v>0</v>
      </c>
      <c r="E240" s="9">
        <f>[2]หน้าผ้า!G249</f>
        <v>0</v>
      </c>
      <c r="F240" s="9">
        <f>[2]หน้าผ้า!H249</f>
        <v>0</v>
      </c>
      <c r="G240" s="9">
        <f>[2]หน้าผ้า!I249</f>
        <v>0</v>
      </c>
      <c r="H240" s="9">
        <f>[2]หน้าผ้า!J249</f>
        <v>0</v>
      </c>
      <c r="I240" s="9">
        <f>[2]หน้าผ้า!L249</f>
        <v>0</v>
      </c>
      <c r="J240" s="9">
        <f>[2]หน้าผ้า!M249</f>
        <v>0</v>
      </c>
      <c r="K240" s="9">
        <f>[2]หน้าผ้า!N249</f>
        <v>0</v>
      </c>
      <c r="L240" s="9">
        <f>[2]หน้าผ้า!R249</f>
        <v>0</v>
      </c>
      <c r="M240" s="10">
        <f>[2]หน้าผ้า!T249</f>
        <v>0</v>
      </c>
      <c r="N240" s="9">
        <f>[2]หน้าผ้า!U249</f>
        <v>0</v>
      </c>
      <c r="O240" s="9">
        <f>[2]หน้าผ้า!V249</f>
        <v>0</v>
      </c>
      <c r="P240" s="10">
        <f>[2]หน้าผ้า!AB249</f>
        <v>0</v>
      </c>
      <c r="Q240" s="10">
        <f>[2]หน้าผ้า!AC249</f>
        <v>0</v>
      </c>
      <c r="R240" s="10">
        <f>[2]หน้าผ้า!AD249</f>
        <v>0</v>
      </c>
      <c r="S240" s="9">
        <f>[2]หน้าผ้า!Z249</f>
        <v>0</v>
      </c>
      <c r="T240" s="12">
        <f>[2]หน้าผ้า!X249</f>
        <v>0</v>
      </c>
      <c r="U240" s="11">
        <f>[2]หน้าผ้า!AA249</f>
        <v>0</v>
      </c>
      <c r="V240" s="10">
        <f>[2]หน้าผ้า!AJ249</f>
        <v>0</v>
      </c>
      <c r="W240" s="10">
        <f>[2]หน้าผ้า!AL249</f>
        <v>0</v>
      </c>
      <c r="X240" s="10">
        <f>[2]หน้าผ้า!AM249</f>
        <v>0</v>
      </c>
      <c r="Y240" s="10">
        <f>[2]หน้าผ้า!AN249</f>
        <v>0</v>
      </c>
      <c r="Z240" s="9">
        <f>[2]หน้าผ้า!AO249</f>
        <v>0</v>
      </c>
      <c r="AA240" s="8">
        <f>[2]หน้าผ้า!AQ249</f>
        <v>0</v>
      </c>
      <c r="AB240" s="8">
        <f>[2]หน้าผ้า!AR249</f>
        <v>0</v>
      </c>
      <c r="AC240" s="8">
        <f>[2]หน้าผ้า!AS249</f>
        <v>0</v>
      </c>
      <c r="AD240" s="8">
        <f>[2]หน้าผ้า!AT249</f>
        <v>0</v>
      </c>
      <c r="AE240" s="8">
        <f>[2]หน้าผ้า!AU249</f>
        <v>0</v>
      </c>
      <c r="AF240" s="8">
        <f>[2]หน้าผ้า!AI249</f>
        <v>0</v>
      </c>
      <c r="AG240" s="1">
        <f>[3]หน้าผ้า!DC252</f>
        <v>0</v>
      </c>
      <c r="AH240" s="1">
        <f>[2]หน้าผ้า!DL249</f>
        <v>0</v>
      </c>
      <c r="AI240" s="1">
        <f>[2]หน้าผ้า!DM249</f>
        <v>0</v>
      </c>
      <c r="AJ240" s="3">
        <f>[2]หน้าผ้า!DN249</f>
        <v>0</v>
      </c>
      <c r="AK240" s="3">
        <f>[2]หน้าผ้า!DQ249</f>
        <v>0</v>
      </c>
      <c r="AL240" s="3">
        <f>[2]หน้าผ้า!DR249</f>
        <v>0</v>
      </c>
      <c r="AM240" s="3">
        <f>[2]หน้าผ้า!DS249</f>
        <v>0</v>
      </c>
      <c r="AN240" s="3">
        <f>[2]หน้าผ้า!DT249</f>
        <v>0</v>
      </c>
      <c r="AO240" s="3">
        <f>[2]หน้าผ้า!DU249</f>
        <v>0</v>
      </c>
      <c r="AP240" s="3">
        <f>[2]หน้าผ้า!DP249</f>
        <v>0</v>
      </c>
      <c r="AQ240" s="3">
        <f>[2]หน้าผ้า!DW249</f>
        <v>0</v>
      </c>
      <c r="AR240" s="3">
        <f>[2]หน้าผ้า!DX249</f>
        <v>0</v>
      </c>
      <c r="AS240" s="3">
        <f>[2]หน้าผ้า!DY249</f>
        <v>0</v>
      </c>
      <c r="AT240" s="3">
        <f>[2]หน้าผ้า!DZ249</f>
        <v>0</v>
      </c>
      <c r="AU240" s="3">
        <f>[2]หน้าผ้า!EA249</f>
        <v>0</v>
      </c>
      <c r="AV240" s="1">
        <f>[2]หน้าผ้า!EB249</f>
        <v>0</v>
      </c>
      <c r="AW240" s="2">
        <f>[2]หน้าผ้า!EC249</f>
        <v>0</v>
      </c>
      <c r="AX240" s="2">
        <f>[2]หน้าผ้า!ED249</f>
        <v>0</v>
      </c>
      <c r="AY240" s="2">
        <f>[2]หน้าผ้า!AG249</f>
        <v>0</v>
      </c>
      <c r="AZ240" s="2">
        <f>[2]หน้าผ้า!EG249</f>
        <v>0</v>
      </c>
      <c r="BA240" s="2">
        <f>[2]หน้าผ้า!EH249</f>
        <v>0</v>
      </c>
      <c r="BB240" s="2">
        <f>[2]หน้าผ้า!EI249</f>
        <v>0</v>
      </c>
      <c r="BC240" s="1">
        <f>[2]หน้าผ้า!BZ249</f>
        <v>0</v>
      </c>
      <c r="BD240" s="56">
        <f>[2]หน้าผ้า!CA249</f>
        <v>0</v>
      </c>
    </row>
    <row r="241" spans="1:56" ht="27.75" customHeight="1" x14ac:dyDescent="0.45">
      <c r="A241" s="3">
        <f>[2]หน้าผ้า!C250</f>
        <v>0</v>
      </c>
      <c r="B241" s="14">
        <f>[2]หน้าผ้า!B250</f>
        <v>0</v>
      </c>
      <c r="C241" s="9">
        <f>[2]หน้าผ้า!E250</f>
        <v>0</v>
      </c>
      <c r="D241" s="13">
        <f>[2]หน้าผ้า!F250</f>
        <v>0</v>
      </c>
      <c r="E241" s="9">
        <f>[2]หน้าผ้า!G250</f>
        <v>0</v>
      </c>
      <c r="F241" s="9">
        <f>[2]หน้าผ้า!H250</f>
        <v>0</v>
      </c>
      <c r="G241" s="9">
        <f>[2]หน้าผ้า!I250</f>
        <v>0</v>
      </c>
      <c r="H241" s="9">
        <f>[2]หน้าผ้า!J250</f>
        <v>0</v>
      </c>
      <c r="I241" s="9">
        <f>[2]หน้าผ้า!L250</f>
        <v>0</v>
      </c>
      <c r="J241" s="9">
        <f>[2]หน้าผ้า!M250</f>
        <v>0</v>
      </c>
      <c r="K241" s="9">
        <f>[2]หน้าผ้า!N250</f>
        <v>0</v>
      </c>
      <c r="L241" s="9">
        <f>[2]หน้าผ้า!R250</f>
        <v>0</v>
      </c>
      <c r="M241" s="10">
        <f>[2]หน้าผ้า!T250</f>
        <v>0</v>
      </c>
      <c r="N241" s="9">
        <f>[2]หน้าผ้า!U250</f>
        <v>0</v>
      </c>
      <c r="O241" s="9">
        <f>[2]หน้าผ้า!V250</f>
        <v>0</v>
      </c>
      <c r="P241" s="10">
        <f>[2]หน้าผ้า!AB250</f>
        <v>0</v>
      </c>
      <c r="Q241" s="10">
        <f>[2]หน้าผ้า!AC250</f>
        <v>0</v>
      </c>
      <c r="R241" s="10">
        <f>[2]หน้าผ้า!AD250</f>
        <v>0</v>
      </c>
      <c r="S241" s="9">
        <f>[2]หน้าผ้า!Z250</f>
        <v>0</v>
      </c>
      <c r="T241" s="12">
        <f>[2]หน้าผ้า!X250</f>
        <v>0</v>
      </c>
      <c r="U241" s="11">
        <f>[2]หน้าผ้า!AA250</f>
        <v>0</v>
      </c>
      <c r="V241" s="10">
        <f>[2]หน้าผ้า!AJ250</f>
        <v>0</v>
      </c>
      <c r="W241" s="10">
        <f>[2]หน้าผ้า!AL250</f>
        <v>0</v>
      </c>
      <c r="X241" s="10">
        <f>[2]หน้าผ้า!AM250</f>
        <v>0</v>
      </c>
      <c r="Y241" s="10">
        <f>[2]หน้าผ้า!AN250</f>
        <v>0</v>
      </c>
      <c r="Z241" s="9">
        <f>[2]หน้าผ้า!AO250</f>
        <v>0</v>
      </c>
      <c r="AA241" s="8">
        <f>[2]หน้าผ้า!AQ250</f>
        <v>0</v>
      </c>
      <c r="AB241" s="8">
        <f>[2]หน้าผ้า!AR250</f>
        <v>0</v>
      </c>
      <c r="AC241" s="8">
        <f>[2]หน้าผ้า!AS250</f>
        <v>0</v>
      </c>
      <c r="AD241" s="8">
        <f>[2]หน้าผ้า!AT250</f>
        <v>0</v>
      </c>
      <c r="AE241" s="8">
        <f>[2]หน้าผ้า!AU250</f>
        <v>0</v>
      </c>
      <c r="AF241" s="8">
        <f>[2]หน้าผ้า!AI250</f>
        <v>0</v>
      </c>
      <c r="AG241" s="1">
        <f>[3]หน้าผ้า!DC253</f>
        <v>0</v>
      </c>
      <c r="AH241" s="1">
        <f>[2]หน้าผ้า!DL250</f>
        <v>0</v>
      </c>
      <c r="AI241" s="1">
        <f>[2]หน้าผ้า!DM250</f>
        <v>0</v>
      </c>
      <c r="AJ241" s="3">
        <f>[2]หน้าผ้า!DN250</f>
        <v>0</v>
      </c>
      <c r="AK241" s="3">
        <f>[2]หน้าผ้า!DQ250</f>
        <v>0</v>
      </c>
      <c r="AL241" s="3">
        <f>[2]หน้าผ้า!DR250</f>
        <v>0</v>
      </c>
      <c r="AM241" s="3">
        <f>[2]หน้าผ้า!DS250</f>
        <v>0</v>
      </c>
      <c r="AN241" s="3">
        <f>[2]หน้าผ้า!DT250</f>
        <v>0</v>
      </c>
      <c r="AO241" s="3">
        <f>[2]หน้าผ้า!DU250</f>
        <v>0</v>
      </c>
      <c r="AP241" s="3">
        <f>[2]หน้าผ้า!DP250</f>
        <v>0</v>
      </c>
      <c r="AQ241" s="3">
        <f>[2]หน้าผ้า!DW250</f>
        <v>0</v>
      </c>
      <c r="AR241" s="3">
        <f>[2]หน้าผ้า!DX250</f>
        <v>0</v>
      </c>
      <c r="AS241" s="3">
        <f>[2]หน้าผ้า!DY250</f>
        <v>0</v>
      </c>
      <c r="AT241" s="3">
        <f>[2]หน้าผ้า!DZ250</f>
        <v>0</v>
      </c>
      <c r="AU241" s="3">
        <f>[2]หน้าผ้า!EA250</f>
        <v>0</v>
      </c>
      <c r="AV241" s="1">
        <f>[2]หน้าผ้า!EB250</f>
        <v>0</v>
      </c>
      <c r="AW241" s="2">
        <f>[2]หน้าผ้า!EC250</f>
        <v>0</v>
      </c>
      <c r="AX241" s="2">
        <f>[2]หน้าผ้า!ED250</f>
        <v>0</v>
      </c>
      <c r="AY241" s="2">
        <f>[2]หน้าผ้า!AG250</f>
        <v>0</v>
      </c>
      <c r="AZ241" s="2">
        <f>[2]หน้าผ้า!EG250</f>
        <v>0</v>
      </c>
      <c r="BA241" s="2">
        <f>[2]หน้าผ้า!EH250</f>
        <v>0</v>
      </c>
      <c r="BB241" s="2">
        <f>[2]หน้าผ้า!EI250</f>
        <v>0</v>
      </c>
      <c r="BC241" s="1">
        <f>[2]หน้าผ้า!BZ250</f>
        <v>0</v>
      </c>
      <c r="BD241" s="56">
        <f>[2]หน้าผ้า!CA250</f>
        <v>0</v>
      </c>
    </row>
    <row r="242" spans="1:56" ht="27.75" customHeight="1" x14ac:dyDescent="0.45">
      <c r="A242" s="3">
        <f>[2]หน้าผ้า!C251</f>
        <v>0</v>
      </c>
      <c r="B242" s="14">
        <f>[2]หน้าผ้า!B251</f>
        <v>0</v>
      </c>
      <c r="C242" s="9">
        <f>[2]หน้าผ้า!E251</f>
        <v>0</v>
      </c>
      <c r="D242" s="13">
        <f>[2]หน้าผ้า!F251</f>
        <v>0</v>
      </c>
      <c r="E242" s="9">
        <f>[2]หน้าผ้า!G251</f>
        <v>0</v>
      </c>
      <c r="F242" s="9">
        <f>[2]หน้าผ้า!H251</f>
        <v>0</v>
      </c>
      <c r="G242" s="9">
        <f>[2]หน้าผ้า!I251</f>
        <v>0</v>
      </c>
      <c r="H242" s="9">
        <f>[2]หน้าผ้า!J251</f>
        <v>0</v>
      </c>
      <c r="I242" s="9">
        <f>[2]หน้าผ้า!L251</f>
        <v>0</v>
      </c>
      <c r="J242" s="9">
        <f>[2]หน้าผ้า!M251</f>
        <v>0</v>
      </c>
      <c r="K242" s="9">
        <f>[2]หน้าผ้า!N251</f>
        <v>0</v>
      </c>
      <c r="L242" s="9">
        <f>[2]หน้าผ้า!R251</f>
        <v>0</v>
      </c>
      <c r="M242" s="10">
        <f>[2]หน้าผ้า!T251</f>
        <v>0</v>
      </c>
      <c r="N242" s="9">
        <f>[2]หน้าผ้า!U251</f>
        <v>0</v>
      </c>
      <c r="O242" s="9">
        <f>[2]หน้าผ้า!V251</f>
        <v>0</v>
      </c>
      <c r="P242" s="10">
        <f>[2]หน้าผ้า!AB251</f>
        <v>0</v>
      </c>
      <c r="Q242" s="10">
        <f>[2]หน้าผ้า!AC251</f>
        <v>0</v>
      </c>
      <c r="R242" s="10">
        <f>[2]หน้าผ้า!AD251</f>
        <v>0</v>
      </c>
      <c r="S242" s="9">
        <f>[2]หน้าผ้า!Z251</f>
        <v>0</v>
      </c>
      <c r="T242" s="12">
        <f>[2]หน้าผ้า!X251</f>
        <v>0</v>
      </c>
      <c r="U242" s="11">
        <f>[2]หน้าผ้า!AA251</f>
        <v>0</v>
      </c>
      <c r="V242" s="10">
        <f>[2]หน้าผ้า!AJ251</f>
        <v>0</v>
      </c>
      <c r="W242" s="10">
        <f>[2]หน้าผ้า!AL251</f>
        <v>0</v>
      </c>
      <c r="X242" s="10">
        <f>[2]หน้าผ้า!AM251</f>
        <v>0</v>
      </c>
      <c r="Y242" s="10">
        <f>[2]หน้าผ้า!AN251</f>
        <v>0</v>
      </c>
      <c r="Z242" s="9">
        <f>[2]หน้าผ้า!AO251</f>
        <v>0</v>
      </c>
      <c r="AA242" s="8">
        <f>[2]หน้าผ้า!AQ251</f>
        <v>0</v>
      </c>
      <c r="AB242" s="8">
        <f>[2]หน้าผ้า!AR251</f>
        <v>0</v>
      </c>
      <c r="AC242" s="8">
        <f>[2]หน้าผ้า!AS251</f>
        <v>0</v>
      </c>
      <c r="AD242" s="8">
        <f>[2]หน้าผ้า!AT251</f>
        <v>0</v>
      </c>
      <c r="AE242" s="8">
        <f>[2]หน้าผ้า!AU251</f>
        <v>0</v>
      </c>
      <c r="AF242" s="8">
        <f>[2]หน้าผ้า!AI251</f>
        <v>0</v>
      </c>
      <c r="AG242" s="1">
        <f>[3]หน้าผ้า!DC254</f>
        <v>0</v>
      </c>
      <c r="AH242" s="1">
        <f>[2]หน้าผ้า!DL251</f>
        <v>0</v>
      </c>
      <c r="AI242" s="1">
        <f>[2]หน้าผ้า!DM251</f>
        <v>0</v>
      </c>
      <c r="AJ242" s="3">
        <f>[2]หน้าผ้า!DN251</f>
        <v>0</v>
      </c>
      <c r="AK242" s="3">
        <f>[2]หน้าผ้า!DQ251</f>
        <v>0</v>
      </c>
      <c r="AL242" s="3">
        <f>[2]หน้าผ้า!DR251</f>
        <v>0</v>
      </c>
      <c r="AM242" s="3">
        <f>[2]หน้าผ้า!DS251</f>
        <v>0</v>
      </c>
      <c r="AN242" s="3">
        <f>[2]หน้าผ้า!DT251</f>
        <v>0</v>
      </c>
      <c r="AO242" s="3">
        <f>[2]หน้าผ้า!DU251</f>
        <v>0</v>
      </c>
      <c r="AP242" s="3">
        <f>[2]หน้าผ้า!DP251</f>
        <v>0</v>
      </c>
      <c r="AQ242" s="3">
        <f>[2]หน้าผ้า!DW251</f>
        <v>0</v>
      </c>
      <c r="AR242" s="3">
        <f>[2]หน้าผ้า!DX251</f>
        <v>0</v>
      </c>
      <c r="AS242" s="3">
        <f>[2]หน้าผ้า!DY251</f>
        <v>0</v>
      </c>
      <c r="AT242" s="3">
        <f>[2]หน้าผ้า!DZ251</f>
        <v>0</v>
      </c>
      <c r="AU242" s="3">
        <f>[2]หน้าผ้า!EA251</f>
        <v>0</v>
      </c>
      <c r="AV242" s="1">
        <f>[2]หน้าผ้า!EB251</f>
        <v>0</v>
      </c>
      <c r="AW242" s="2">
        <f>[2]หน้าผ้า!EC251</f>
        <v>0</v>
      </c>
      <c r="AX242" s="2">
        <f>[2]หน้าผ้า!ED251</f>
        <v>0</v>
      </c>
      <c r="AY242" s="2">
        <f>[2]หน้าผ้า!AG251</f>
        <v>0</v>
      </c>
      <c r="AZ242" s="2">
        <f>[2]หน้าผ้า!EG251</f>
        <v>0</v>
      </c>
      <c r="BA242" s="2">
        <f>[2]หน้าผ้า!EH251</f>
        <v>0</v>
      </c>
      <c r="BB242" s="2">
        <f>[2]หน้าผ้า!EI251</f>
        <v>0</v>
      </c>
      <c r="BC242" s="1">
        <f>[2]หน้าผ้า!BZ251</f>
        <v>0</v>
      </c>
      <c r="BD242" s="56">
        <f>[2]หน้าผ้า!CA251</f>
        <v>0</v>
      </c>
    </row>
    <row r="243" spans="1:56" ht="27.75" customHeight="1" x14ac:dyDescent="0.45">
      <c r="A243" s="3">
        <f>[2]หน้าผ้า!C252</f>
        <v>0</v>
      </c>
      <c r="B243" s="14">
        <f>[2]หน้าผ้า!B252</f>
        <v>0</v>
      </c>
      <c r="C243" s="9">
        <f>[2]หน้าผ้า!E252</f>
        <v>0</v>
      </c>
      <c r="D243" s="13">
        <f>[2]หน้าผ้า!F252</f>
        <v>0</v>
      </c>
      <c r="E243" s="9">
        <f>[2]หน้าผ้า!G252</f>
        <v>0</v>
      </c>
      <c r="F243" s="9">
        <f>[2]หน้าผ้า!H252</f>
        <v>0</v>
      </c>
      <c r="G243" s="9">
        <f>[2]หน้าผ้า!I252</f>
        <v>0</v>
      </c>
      <c r="H243" s="9">
        <f>[2]หน้าผ้า!J252</f>
        <v>0</v>
      </c>
      <c r="I243" s="9">
        <f>[2]หน้าผ้า!L252</f>
        <v>0</v>
      </c>
      <c r="J243" s="9">
        <f>[2]หน้าผ้า!M252</f>
        <v>0</v>
      </c>
      <c r="K243" s="9">
        <f>[2]หน้าผ้า!N252</f>
        <v>0</v>
      </c>
      <c r="L243" s="9">
        <f>[2]หน้าผ้า!R252</f>
        <v>0</v>
      </c>
      <c r="M243" s="10">
        <f>[2]หน้าผ้า!T252</f>
        <v>0</v>
      </c>
      <c r="N243" s="9">
        <f>[2]หน้าผ้า!U252</f>
        <v>0</v>
      </c>
      <c r="O243" s="9">
        <f>[2]หน้าผ้า!V252</f>
        <v>0</v>
      </c>
      <c r="P243" s="10">
        <f>[2]หน้าผ้า!AB252</f>
        <v>0</v>
      </c>
      <c r="Q243" s="10">
        <f>[2]หน้าผ้า!AC252</f>
        <v>0</v>
      </c>
      <c r="R243" s="10">
        <f>[2]หน้าผ้า!AD252</f>
        <v>0</v>
      </c>
      <c r="S243" s="9">
        <f>[2]หน้าผ้า!Z252</f>
        <v>0</v>
      </c>
      <c r="T243" s="12">
        <f>[2]หน้าผ้า!X252</f>
        <v>0</v>
      </c>
      <c r="U243" s="11">
        <f>[2]หน้าผ้า!AA252</f>
        <v>0</v>
      </c>
      <c r="V243" s="10">
        <f>[2]หน้าผ้า!AJ252</f>
        <v>0</v>
      </c>
      <c r="W243" s="10">
        <f>[2]หน้าผ้า!AL252</f>
        <v>0</v>
      </c>
      <c r="X243" s="10">
        <f>[2]หน้าผ้า!AM252</f>
        <v>0</v>
      </c>
      <c r="Y243" s="10">
        <f>[2]หน้าผ้า!AN252</f>
        <v>0</v>
      </c>
      <c r="Z243" s="9">
        <f>[2]หน้าผ้า!AO252</f>
        <v>0</v>
      </c>
      <c r="AA243" s="8">
        <f>[2]หน้าผ้า!AQ252</f>
        <v>0</v>
      </c>
      <c r="AB243" s="8">
        <f>[2]หน้าผ้า!AR252</f>
        <v>0</v>
      </c>
      <c r="AC243" s="8">
        <f>[2]หน้าผ้า!AS252</f>
        <v>0</v>
      </c>
      <c r="AD243" s="8">
        <f>[2]หน้าผ้า!AT252</f>
        <v>0</v>
      </c>
      <c r="AE243" s="8">
        <f>[2]หน้าผ้า!AU252</f>
        <v>0</v>
      </c>
      <c r="AF243" s="8">
        <f>[2]หน้าผ้า!AI252</f>
        <v>0</v>
      </c>
      <c r="AG243" s="1">
        <f>[3]หน้าผ้า!DC255</f>
        <v>0</v>
      </c>
      <c r="AH243" s="1">
        <f>[2]หน้าผ้า!DL252</f>
        <v>0</v>
      </c>
      <c r="AI243" s="1">
        <f>[2]หน้าผ้า!DM252</f>
        <v>0</v>
      </c>
      <c r="AJ243" s="3">
        <f>[2]หน้าผ้า!DN252</f>
        <v>0</v>
      </c>
      <c r="AK243" s="3">
        <f>[2]หน้าผ้า!DQ252</f>
        <v>0</v>
      </c>
      <c r="AL243" s="3">
        <f>[2]หน้าผ้า!DR252</f>
        <v>0</v>
      </c>
      <c r="AM243" s="3">
        <f>[2]หน้าผ้า!DS252</f>
        <v>0</v>
      </c>
      <c r="AN243" s="3">
        <f>[2]หน้าผ้า!DT252</f>
        <v>0</v>
      </c>
      <c r="AO243" s="3">
        <f>[2]หน้าผ้า!DU252</f>
        <v>0</v>
      </c>
      <c r="AP243" s="3">
        <f>[2]หน้าผ้า!DP252</f>
        <v>0</v>
      </c>
      <c r="AQ243" s="3">
        <f>[2]หน้าผ้า!DW252</f>
        <v>0</v>
      </c>
      <c r="AR243" s="3">
        <f>[2]หน้าผ้า!DX252</f>
        <v>0</v>
      </c>
      <c r="AS243" s="3">
        <f>[2]หน้าผ้า!DY252</f>
        <v>0</v>
      </c>
      <c r="AT243" s="3">
        <f>[2]หน้าผ้า!DZ252</f>
        <v>0</v>
      </c>
      <c r="AU243" s="3">
        <f>[2]หน้าผ้า!EA252</f>
        <v>0</v>
      </c>
      <c r="AV243" s="1">
        <f>[2]หน้าผ้า!EB252</f>
        <v>0</v>
      </c>
      <c r="AW243" s="2">
        <f>[2]หน้าผ้า!EC252</f>
        <v>0</v>
      </c>
      <c r="AX243" s="2">
        <f>[2]หน้าผ้า!ED252</f>
        <v>0</v>
      </c>
      <c r="AY243" s="2">
        <f>[2]หน้าผ้า!AG252</f>
        <v>0</v>
      </c>
      <c r="AZ243" s="2">
        <f>[2]หน้าผ้า!EG252</f>
        <v>0</v>
      </c>
      <c r="BA243" s="2">
        <f>[2]หน้าผ้า!EH252</f>
        <v>0</v>
      </c>
      <c r="BB243" s="2">
        <f>[2]หน้าผ้า!EI252</f>
        <v>0</v>
      </c>
      <c r="BC243" s="1">
        <f>[2]หน้าผ้า!BZ252</f>
        <v>0</v>
      </c>
      <c r="BD243" s="56">
        <f>[2]หน้าผ้า!CA252</f>
        <v>0</v>
      </c>
    </row>
    <row r="244" spans="1:56" ht="27.75" customHeight="1" x14ac:dyDescent="0.45">
      <c r="A244" s="3">
        <f>[2]หน้าผ้า!C253</f>
        <v>0</v>
      </c>
      <c r="B244" s="14">
        <f>[2]หน้าผ้า!B253</f>
        <v>0</v>
      </c>
      <c r="C244" s="9">
        <f>[2]หน้าผ้า!E253</f>
        <v>0</v>
      </c>
      <c r="D244" s="13">
        <f>[2]หน้าผ้า!F253</f>
        <v>0</v>
      </c>
      <c r="E244" s="9">
        <f>[2]หน้าผ้า!G253</f>
        <v>0</v>
      </c>
      <c r="F244" s="9">
        <f>[2]หน้าผ้า!H253</f>
        <v>0</v>
      </c>
      <c r="G244" s="9">
        <f>[2]หน้าผ้า!I253</f>
        <v>0</v>
      </c>
      <c r="H244" s="9">
        <f>[2]หน้าผ้า!J253</f>
        <v>0</v>
      </c>
      <c r="I244" s="9">
        <f>[2]หน้าผ้า!L253</f>
        <v>0</v>
      </c>
      <c r="J244" s="9">
        <f>[2]หน้าผ้า!M253</f>
        <v>0</v>
      </c>
      <c r="K244" s="9">
        <f>[2]หน้าผ้า!N253</f>
        <v>0</v>
      </c>
      <c r="L244" s="9">
        <f>[2]หน้าผ้า!R253</f>
        <v>0</v>
      </c>
      <c r="M244" s="10">
        <f>[2]หน้าผ้า!T253</f>
        <v>0</v>
      </c>
      <c r="N244" s="9">
        <f>[2]หน้าผ้า!U253</f>
        <v>0</v>
      </c>
      <c r="O244" s="9">
        <f>[2]หน้าผ้า!V253</f>
        <v>0</v>
      </c>
      <c r="P244" s="10">
        <f>[2]หน้าผ้า!AB253</f>
        <v>0</v>
      </c>
      <c r="Q244" s="10">
        <f>[2]หน้าผ้า!AC253</f>
        <v>0</v>
      </c>
      <c r="R244" s="10">
        <f>[2]หน้าผ้า!AD253</f>
        <v>0</v>
      </c>
      <c r="S244" s="9">
        <f>[2]หน้าผ้า!Z253</f>
        <v>0</v>
      </c>
      <c r="T244" s="12">
        <f>[2]หน้าผ้า!X253</f>
        <v>0</v>
      </c>
      <c r="U244" s="11">
        <f>[2]หน้าผ้า!AA253</f>
        <v>0</v>
      </c>
      <c r="V244" s="10">
        <f>[2]หน้าผ้า!AJ253</f>
        <v>0</v>
      </c>
      <c r="W244" s="10">
        <f>[2]หน้าผ้า!AL253</f>
        <v>0</v>
      </c>
      <c r="X244" s="10">
        <f>[2]หน้าผ้า!AM253</f>
        <v>0</v>
      </c>
      <c r="Y244" s="10">
        <f>[2]หน้าผ้า!AN253</f>
        <v>0</v>
      </c>
      <c r="Z244" s="9">
        <f>[2]หน้าผ้า!AO253</f>
        <v>0</v>
      </c>
      <c r="AA244" s="8">
        <f>[2]หน้าผ้า!AQ253</f>
        <v>0</v>
      </c>
      <c r="AB244" s="8">
        <f>[2]หน้าผ้า!AR253</f>
        <v>0</v>
      </c>
      <c r="AC244" s="8">
        <f>[2]หน้าผ้า!AS253</f>
        <v>0</v>
      </c>
      <c r="AD244" s="8">
        <f>[2]หน้าผ้า!AT253</f>
        <v>0</v>
      </c>
      <c r="AE244" s="8">
        <f>[2]หน้าผ้า!AU253</f>
        <v>0</v>
      </c>
      <c r="AF244" s="8">
        <f>[2]หน้าผ้า!AI253</f>
        <v>0</v>
      </c>
      <c r="AG244" s="1">
        <f>[3]หน้าผ้า!DC256</f>
        <v>0</v>
      </c>
      <c r="AH244" s="1">
        <f>[2]หน้าผ้า!DL253</f>
        <v>0</v>
      </c>
      <c r="AI244" s="1">
        <f>[2]หน้าผ้า!DM253</f>
        <v>0</v>
      </c>
      <c r="AJ244" s="3">
        <f>[2]หน้าผ้า!DN253</f>
        <v>0</v>
      </c>
      <c r="AK244" s="3">
        <f>[2]หน้าผ้า!DQ253</f>
        <v>0</v>
      </c>
      <c r="AL244" s="3">
        <f>[2]หน้าผ้า!DR253</f>
        <v>0</v>
      </c>
      <c r="AM244" s="3">
        <f>[2]หน้าผ้า!DS253</f>
        <v>0</v>
      </c>
      <c r="AN244" s="3">
        <f>[2]หน้าผ้า!DT253</f>
        <v>0</v>
      </c>
      <c r="AO244" s="3">
        <f>[2]หน้าผ้า!DU253</f>
        <v>0</v>
      </c>
      <c r="AP244" s="3">
        <f>[2]หน้าผ้า!DP253</f>
        <v>0</v>
      </c>
      <c r="AQ244" s="3">
        <f>[2]หน้าผ้า!DW253</f>
        <v>0</v>
      </c>
      <c r="AR244" s="3">
        <f>[2]หน้าผ้า!DX253</f>
        <v>0</v>
      </c>
      <c r="AS244" s="3">
        <f>[2]หน้าผ้า!DY253</f>
        <v>0</v>
      </c>
      <c r="AT244" s="3">
        <f>[2]หน้าผ้า!DZ253</f>
        <v>0</v>
      </c>
      <c r="AU244" s="3">
        <f>[2]หน้าผ้า!EA253</f>
        <v>0</v>
      </c>
      <c r="AV244" s="1">
        <f>[2]หน้าผ้า!EB253</f>
        <v>0</v>
      </c>
      <c r="AW244" s="2">
        <f>[2]หน้าผ้า!EC253</f>
        <v>0</v>
      </c>
      <c r="AX244" s="2">
        <f>[2]หน้าผ้า!ED253</f>
        <v>0</v>
      </c>
      <c r="AY244" s="2">
        <f>[2]หน้าผ้า!AG253</f>
        <v>0</v>
      </c>
      <c r="AZ244" s="2">
        <f>[2]หน้าผ้า!EG253</f>
        <v>0</v>
      </c>
      <c r="BA244" s="2">
        <f>[2]หน้าผ้า!EH253</f>
        <v>0</v>
      </c>
      <c r="BB244" s="2">
        <f>[2]หน้าผ้า!EI253</f>
        <v>0</v>
      </c>
      <c r="BC244" s="1">
        <f>[2]หน้าผ้า!BZ253</f>
        <v>0</v>
      </c>
      <c r="BD244" s="56">
        <f>[2]หน้าผ้า!CA253</f>
        <v>0</v>
      </c>
    </row>
    <row r="245" spans="1:56" ht="27.75" customHeight="1" x14ac:dyDescent="0.45">
      <c r="A245" s="3">
        <f>[2]หน้าผ้า!C254</f>
        <v>0</v>
      </c>
      <c r="B245" s="14">
        <f>[2]หน้าผ้า!B254</f>
        <v>0</v>
      </c>
      <c r="C245" s="9">
        <f>[2]หน้าผ้า!E254</f>
        <v>0</v>
      </c>
      <c r="D245" s="13">
        <f>[2]หน้าผ้า!F254</f>
        <v>0</v>
      </c>
      <c r="E245" s="9">
        <f>[2]หน้าผ้า!G254</f>
        <v>0</v>
      </c>
      <c r="F245" s="9">
        <f>[2]หน้าผ้า!H254</f>
        <v>0</v>
      </c>
      <c r="G245" s="9">
        <f>[2]หน้าผ้า!I254</f>
        <v>0</v>
      </c>
      <c r="H245" s="9">
        <f>[2]หน้าผ้า!J254</f>
        <v>0</v>
      </c>
      <c r="I245" s="9">
        <f>[2]หน้าผ้า!L254</f>
        <v>0</v>
      </c>
      <c r="J245" s="9">
        <f>[2]หน้าผ้า!M254</f>
        <v>0</v>
      </c>
      <c r="K245" s="9">
        <f>[2]หน้าผ้า!N254</f>
        <v>0</v>
      </c>
      <c r="L245" s="9">
        <f>[2]หน้าผ้า!R254</f>
        <v>0</v>
      </c>
      <c r="M245" s="10">
        <f>[2]หน้าผ้า!T254</f>
        <v>0</v>
      </c>
      <c r="N245" s="9">
        <f>[2]หน้าผ้า!U254</f>
        <v>0</v>
      </c>
      <c r="O245" s="9">
        <f>[2]หน้าผ้า!V254</f>
        <v>0</v>
      </c>
      <c r="P245" s="10">
        <f>[2]หน้าผ้า!AB254</f>
        <v>0</v>
      </c>
      <c r="Q245" s="10">
        <f>[2]หน้าผ้า!AC254</f>
        <v>0</v>
      </c>
      <c r="R245" s="10">
        <f>[2]หน้าผ้า!AD254</f>
        <v>0</v>
      </c>
      <c r="S245" s="9">
        <f>[2]หน้าผ้า!Z254</f>
        <v>0</v>
      </c>
      <c r="T245" s="12">
        <f>[2]หน้าผ้า!X254</f>
        <v>0</v>
      </c>
      <c r="U245" s="11">
        <f>[2]หน้าผ้า!AA254</f>
        <v>0</v>
      </c>
      <c r="V245" s="10">
        <f>[2]หน้าผ้า!AJ254</f>
        <v>0</v>
      </c>
      <c r="W245" s="10">
        <f>[2]หน้าผ้า!AL254</f>
        <v>0</v>
      </c>
      <c r="X245" s="10">
        <f>[2]หน้าผ้า!AM254</f>
        <v>0</v>
      </c>
      <c r="Y245" s="10">
        <f>[2]หน้าผ้า!AN254</f>
        <v>0</v>
      </c>
      <c r="Z245" s="9">
        <f>[2]หน้าผ้า!AO254</f>
        <v>0</v>
      </c>
      <c r="AA245" s="8">
        <f>[2]หน้าผ้า!AQ254</f>
        <v>0</v>
      </c>
      <c r="AB245" s="8">
        <f>[2]หน้าผ้า!AR254</f>
        <v>0</v>
      </c>
      <c r="AC245" s="8">
        <f>[2]หน้าผ้า!AS254</f>
        <v>0</v>
      </c>
      <c r="AD245" s="8">
        <f>[2]หน้าผ้า!AT254</f>
        <v>0</v>
      </c>
      <c r="AE245" s="8">
        <f>[2]หน้าผ้า!AU254</f>
        <v>0</v>
      </c>
      <c r="AF245" s="8">
        <f>[2]หน้าผ้า!AI254</f>
        <v>0</v>
      </c>
      <c r="AG245" s="1">
        <f>[3]หน้าผ้า!DC257</f>
        <v>0</v>
      </c>
      <c r="AH245" s="1">
        <f>[2]หน้าผ้า!DL254</f>
        <v>0</v>
      </c>
      <c r="AI245" s="1">
        <f>[2]หน้าผ้า!DM254</f>
        <v>0</v>
      </c>
      <c r="AJ245" s="3">
        <f>[2]หน้าผ้า!DN254</f>
        <v>0</v>
      </c>
      <c r="AK245" s="3">
        <f>[2]หน้าผ้า!DQ254</f>
        <v>0</v>
      </c>
      <c r="AL245" s="3">
        <f>[2]หน้าผ้า!DR254</f>
        <v>0</v>
      </c>
      <c r="AM245" s="3">
        <f>[2]หน้าผ้า!DS254</f>
        <v>0</v>
      </c>
      <c r="AN245" s="3">
        <f>[2]หน้าผ้า!DT254</f>
        <v>0</v>
      </c>
      <c r="AO245" s="3">
        <f>[2]หน้าผ้า!DU254</f>
        <v>0</v>
      </c>
      <c r="AP245" s="3">
        <f>[2]หน้าผ้า!DP254</f>
        <v>0</v>
      </c>
      <c r="AQ245" s="3">
        <f>[2]หน้าผ้า!DW254</f>
        <v>0</v>
      </c>
      <c r="AR245" s="3">
        <f>[2]หน้าผ้า!DX254</f>
        <v>0</v>
      </c>
      <c r="AS245" s="3">
        <f>[2]หน้าผ้า!DY254</f>
        <v>0</v>
      </c>
      <c r="AT245" s="3">
        <f>[2]หน้าผ้า!DZ254</f>
        <v>0</v>
      </c>
      <c r="AU245" s="3">
        <f>[2]หน้าผ้า!EA254</f>
        <v>0</v>
      </c>
      <c r="AV245" s="1">
        <f>[2]หน้าผ้า!EB254</f>
        <v>0</v>
      </c>
      <c r="AW245" s="2">
        <f>[2]หน้าผ้า!EC254</f>
        <v>0</v>
      </c>
      <c r="AX245" s="2">
        <f>[2]หน้าผ้า!ED254</f>
        <v>0</v>
      </c>
      <c r="AY245" s="2">
        <f>[2]หน้าผ้า!AG254</f>
        <v>0</v>
      </c>
      <c r="AZ245" s="2">
        <f>[2]หน้าผ้า!EG254</f>
        <v>0</v>
      </c>
      <c r="BA245" s="2">
        <f>[2]หน้าผ้า!EH254</f>
        <v>0</v>
      </c>
      <c r="BB245" s="2">
        <f>[2]หน้าผ้า!EI254</f>
        <v>0</v>
      </c>
      <c r="BC245" s="1">
        <f>[2]หน้าผ้า!BZ254</f>
        <v>0</v>
      </c>
      <c r="BD245" s="56">
        <f>[2]หน้าผ้า!CA254</f>
        <v>0</v>
      </c>
    </row>
    <row r="246" spans="1:56" ht="27.75" customHeight="1" x14ac:dyDescent="0.45">
      <c r="A246" s="3">
        <f>[2]หน้าผ้า!C255</f>
        <v>0</v>
      </c>
      <c r="B246" s="14">
        <f>[2]หน้าผ้า!B255</f>
        <v>0</v>
      </c>
      <c r="C246" s="9">
        <f>[2]หน้าผ้า!E255</f>
        <v>0</v>
      </c>
      <c r="D246" s="13">
        <f>[2]หน้าผ้า!F255</f>
        <v>0</v>
      </c>
      <c r="E246" s="9">
        <f>[2]หน้าผ้า!G255</f>
        <v>0</v>
      </c>
      <c r="F246" s="9">
        <f>[2]หน้าผ้า!H255</f>
        <v>0</v>
      </c>
      <c r="G246" s="9">
        <f>[2]หน้าผ้า!I255</f>
        <v>0</v>
      </c>
      <c r="H246" s="9">
        <f>[2]หน้าผ้า!J255</f>
        <v>0</v>
      </c>
      <c r="I246" s="9">
        <f>[2]หน้าผ้า!L255</f>
        <v>0</v>
      </c>
      <c r="J246" s="9">
        <f>[2]หน้าผ้า!M255</f>
        <v>0</v>
      </c>
      <c r="K246" s="9">
        <f>[2]หน้าผ้า!N255</f>
        <v>0</v>
      </c>
      <c r="L246" s="9">
        <f>[2]หน้าผ้า!R255</f>
        <v>0</v>
      </c>
      <c r="M246" s="10">
        <f>[2]หน้าผ้า!T255</f>
        <v>0</v>
      </c>
      <c r="N246" s="9">
        <f>[2]หน้าผ้า!U255</f>
        <v>0</v>
      </c>
      <c r="O246" s="9">
        <f>[2]หน้าผ้า!V255</f>
        <v>0</v>
      </c>
      <c r="P246" s="10">
        <f>[2]หน้าผ้า!AB255</f>
        <v>0</v>
      </c>
      <c r="Q246" s="10">
        <f>[2]หน้าผ้า!AC255</f>
        <v>0</v>
      </c>
      <c r="R246" s="10">
        <f>[2]หน้าผ้า!AD255</f>
        <v>0</v>
      </c>
      <c r="S246" s="9">
        <f>[2]หน้าผ้า!Z255</f>
        <v>0</v>
      </c>
      <c r="T246" s="12">
        <f>[2]หน้าผ้า!X255</f>
        <v>0</v>
      </c>
      <c r="U246" s="11">
        <f>[2]หน้าผ้า!AA255</f>
        <v>0</v>
      </c>
      <c r="V246" s="10">
        <f>[2]หน้าผ้า!AJ255</f>
        <v>0</v>
      </c>
      <c r="W246" s="10">
        <f>[2]หน้าผ้า!AL255</f>
        <v>0</v>
      </c>
      <c r="X246" s="10">
        <f>[2]หน้าผ้า!AM255</f>
        <v>0</v>
      </c>
      <c r="Y246" s="10">
        <f>[2]หน้าผ้า!AN255</f>
        <v>0</v>
      </c>
      <c r="Z246" s="9">
        <f>[2]หน้าผ้า!AO255</f>
        <v>0</v>
      </c>
      <c r="AA246" s="8">
        <f>[2]หน้าผ้า!AQ255</f>
        <v>0</v>
      </c>
      <c r="AB246" s="8">
        <f>[2]หน้าผ้า!AR255</f>
        <v>0</v>
      </c>
      <c r="AC246" s="8">
        <f>[2]หน้าผ้า!AS255</f>
        <v>0</v>
      </c>
      <c r="AD246" s="8">
        <f>[2]หน้าผ้า!AT255</f>
        <v>0</v>
      </c>
      <c r="AE246" s="8">
        <f>[2]หน้าผ้า!AU255</f>
        <v>0</v>
      </c>
      <c r="AF246" s="8">
        <f>[2]หน้าผ้า!AI255</f>
        <v>0</v>
      </c>
      <c r="AG246" s="1">
        <f>[3]หน้าผ้า!DC258</f>
        <v>0</v>
      </c>
      <c r="AH246" s="1">
        <f>[2]หน้าผ้า!DL255</f>
        <v>0</v>
      </c>
      <c r="AI246" s="1">
        <f>[2]หน้าผ้า!DM255</f>
        <v>0</v>
      </c>
      <c r="AJ246" s="3">
        <f>[2]หน้าผ้า!DN255</f>
        <v>0</v>
      </c>
      <c r="AK246" s="3">
        <f>[2]หน้าผ้า!DQ255</f>
        <v>0</v>
      </c>
      <c r="AL246" s="3">
        <f>[2]หน้าผ้า!DR255</f>
        <v>0</v>
      </c>
      <c r="AM246" s="3">
        <f>[2]หน้าผ้า!DS255</f>
        <v>0</v>
      </c>
      <c r="AN246" s="3">
        <f>[2]หน้าผ้า!DT255</f>
        <v>0</v>
      </c>
      <c r="AO246" s="3">
        <f>[2]หน้าผ้า!DU255</f>
        <v>0</v>
      </c>
      <c r="AP246" s="3">
        <f>[2]หน้าผ้า!DP255</f>
        <v>0</v>
      </c>
      <c r="AQ246" s="3">
        <f>[2]หน้าผ้า!DW255</f>
        <v>0</v>
      </c>
      <c r="AR246" s="3">
        <f>[2]หน้าผ้า!DX255</f>
        <v>0</v>
      </c>
      <c r="AS246" s="3">
        <f>[2]หน้าผ้า!DY255</f>
        <v>0</v>
      </c>
      <c r="AT246" s="3">
        <f>[2]หน้าผ้า!DZ255</f>
        <v>0</v>
      </c>
      <c r="AU246" s="3">
        <f>[2]หน้าผ้า!EA255</f>
        <v>0</v>
      </c>
      <c r="AV246" s="1">
        <f>[2]หน้าผ้า!EB255</f>
        <v>0</v>
      </c>
      <c r="AW246" s="2">
        <f>[2]หน้าผ้า!EC255</f>
        <v>0</v>
      </c>
      <c r="AX246" s="2">
        <f>[2]หน้าผ้า!ED255</f>
        <v>0</v>
      </c>
      <c r="AY246" s="2">
        <f>[2]หน้าผ้า!AG255</f>
        <v>0</v>
      </c>
      <c r="AZ246" s="2">
        <f>[2]หน้าผ้า!EG255</f>
        <v>0</v>
      </c>
      <c r="BA246" s="2">
        <f>[2]หน้าผ้า!EH255</f>
        <v>0</v>
      </c>
      <c r="BB246" s="2">
        <f>[2]หน้าผ้า!EI255</f>
        <v>0</v>
      </c>
      <c r="BC246" s="1">
        <f>[2]หน้าผ้า!BZ255</f>
        <v>0</v>
      </c>
      <c r="BD246" s="56">
        <f>[2]หน้าผ้า!CA255</f>
        <v>0</v>
      </c>
    </row>
    <row r="247" spans="1:56" ht="27.75" customHeight="1" x14ac:dyDescent="0.45">
      <c r="A247" s="3">
        <f>[2]หน้าผ้า!C256</f>
        <v>0</v>
      </c>
      <c r="B247" s="14">
        <f>[2]หน้าผ้า!B256</f>
        <v>0</v>
      </c>
      <c r="C247" s="9">
        <f>[2]หน้าผ้า!E256</f>
        <v>0</v>
      </c>
      <c r="D247" s="13">
        <f>[2]หน้าผ้า!F256</f>
        <v>0</v>
      </c>
      <c r="E247" s="9">
        <f>[2]หน้าผ้า!G256</f>
        <v>0</v>
      </c>
      <c r="F247" s="9">
        <f>[2]หน้าผ้า!H256</f>
        <v>0</v>
      </c>
      <c r="G247" s="9">
        <f>[2]หน้าผ้า!I256</f>
        <v>0</v>
      </c>
      <c r="H247" s="9">
        <f>[2]หน้าผ้า!J256</f>
        <v>0</v>
      </c>
      <c r="I247" s="9">
        <f>[2]หน้าผ้า!L256</f>
        <v>0</v>
      </c>
      <c r="J247" s="9">
        <f>[2]หน้าผ้า!M256</f>
        <v>0</v>
      </c>
      <c r="K247" s="9">
        <f>[2]หน้าผ้า!N256</f>
        <v>0</v>
      </c>
      <c r="L247" s="9">
        <f>[2]หน้าผ้า!R256</f>
        <v>0</v>
      </c>
      <c r="M247" s="10">
        <f>[2]หน้าผ้า!T256</f>
        <v>0</v>
      </c>
      <c r="N247" s="9">
        <f>[2]หน้าผ้า!U256</f>
        <v>0</v>
      </c>
      <c r="O247" s="9">
        <f>[2]หน้าผ้า!V256</f>
        <v>0</v>
      </c>
      <c r="P247" s="10">
        <f>[2]หน้าผ้า!AB256</f>
        <v>0</v>
      </c>
      <c r="Q247" s="10">
        <f>[2]หน้าผ้า!AC256</f>
        <v>0</v>
      </c>
      <c r="R247" s="10">
        <f>[2]หน้าผ้า!AD256</f>
        <v>0</v>
      </c>
      <c r="S247" s="9">
        <f>[2]หน้าผ้า!Z256</f>
        <v>0</v>
      </c>
      <c r="T247" s="12">
        <f>[2]หน้าผ้า!X256</f>
        <v>0</v>
      </c>
      <c r="U247" s="11">
        <f>[2]หน้าผ้า!AA256</f>
        <v>0</v>
      </c>
      <c r="V247" s="10">
        <f>[2]หน้าผ้า!AJ256</f>
        <v>0</v>
      </c>
      <c r="W247" s="10">
        <f>[2]หน้าผ้า!AL256</f>
        <v>0</v>
      </c>
      <c r="X247" s="10">
        <f>[2]หน้าผ้า!AM256</f>
        <v>0</v>
      </c>
      <c r="Y247" s="10">
        <f>[2]หน้าผ้า!AN256</f>
        <v>0</v>
      </c>
      <c r="Z247" s="9">
        <f>[2]หน้าผ้า!AO256</f>
        <v>0</v>
      </c>
      <c r="AA247" s="8">
        <f>[2]หน้าผ้า!AQ256</f>
        <v>0</v>
      </c>
      <c r="AB247" s="8">
        <f>[2]หน้าผ้า!AR256</f>
        <v>0</v>
      </c>
      <c r="AC247" s="8">
        <f>[2]หน้าผ้า!AS256</f>
        <v>0</v>
      </c>
      <c r="AD247" s="8">
        <f>[2]หน้าผ้า!AT256</f>
        <v>0</v>
      </c>
      <c r="AE247" s="8">
        <f>[2]หน้าผ้า!AU256</f>
        <v>0</v>
      </c>
      <c r="AF247" s="8">
        <f>[2]หน้าผ้า!AI256</f>
        <v>0</v>
      </c>
      <c r="AG247" s="1">
        <f>[3]หน้าผ้า!DC259</f>
        <v>0</v>
      </c>
      <c r="AH247" s="1">
        <f>[2]หน้าผ้า!DL256</f>
        <v>0</v>
      </c>
      <c r="AI247" s="1">
        <f>[2]หน้าผ้า!DM256</f>
        <v>0</v>
      </c>
      <c r="AJ247" s="3">
        <f>[2]หน้าผ้า!DN256</f>
        <v>0</v>
      </c>
      <c r="AK247" s="3">
        <f>[2]หน้าผ้า!DQ256</f>
        <v>0</v>
      </c>
      <c r="AL247" s="3">
        <f>[2]หน้าผ้า!DR256</f>
        <v>0</v>
      </c>
      <c r="AM247" s="3">
        <f>[2]หน้าผ้า!DS256</f>
        <v>0</v>
      </c>
      <c r="AN247" s="3">
        <f>[2]หน้าผ้า!DT256</f>
        <v>0</v>
      </c>
      <c r="AO247" s="3">
        <f>[2]หน้าผ้า!DU256</f>
        <v>0</v>
      </c>
      <c r="AP247" s="3">
        <f>[2]หน้าผ้า!DP256</f>
        <v>0</v>
      </c>
      <c r="AQ247" s="3">
        <f>[2]หน้าผ้า!DW256</f>
        <v>0</v>
      </c>
      <c r="AR247" s="3">
        <f>[2]หน้าผ้า!DX256</f>
        <v>0</v>
      </c>
      <c r="AS247" s="3">
        <f>[2]หน้าผ้า!DY256</f>
        <v>0</v>
      </c>
      <c r="AT247" s="3">
        <f>[2]หน้าผ้า!DZ256</f>
        <v>0</v>
      </c>
      <c r="AU247" s="3">
        <f>[2]หน้าผ้า!EA256</f>
        <v>0</v>
      </c>
      <c r="AV247" s="1">
        <f>[2]หน้าผ้า!EB256</f>
        <v>0</v>
      </c>
      <c r="AW247" s="2">
        <f>[2]หน้าผ้า!EC256</f>
        <v>0</v>
      </c>
      <c r="AX247" s="2">
        <f>[2]หน้าผ้า!ED256</f>
        <v>0</v>
      </c>
      <c r="AY247" s="2">
        <f>[2]หน้าผ้า!AG256</f>
        <v>0</v>
      </c>
      <c r="AZ247" s="2">
        <f>[2]หน้าผ้า!EG256</f>
        <v>0</v>
      </c>
      <c r="BA247" s="2">
        <f>[2]หน้าผ้า!EH256</f>
        <v>0</v>
      </c>
      <c r="BB247" s="2">
        <f>[2]หน้าผ้า!EI256</f>
        <v>0</v>
      </c>
      <c r="BC247" s="1">
        <f>[2]หน้าผ้า!BZ256</f>
        <v>0</v>
      </c>
      <c r="BD247" s="56">
        <f>[2]หน้าผ้า!CA256</f>
        <v>0</v>
      </c>
    </row>
    <row r="248" spans="1:56" ht="27.75" customHeight="1" x14ac:dyDescent="0.45">
      <c r="A248" s="3">
        <f>[2]หน้าผ้า!C257</f>
        <v>0</v>
      </c>
      <c r="B248" s="14">
        <f>[2]หน้าผ้า!B257</f>
        <v>0</v>
      </c>
      <c r="C248" s="9">
        <f>[2]หน้าผ้า!E257</f>
        <v>0</v>
      </c>
      <c r="D248" s="13">
        <f>[2]หน้าผ้า!F257</f>
        <v>0</v>
      </c>
      <c r="E248" s="9">
        <f>[2]หน้าผ้า!G257</f>
        <v>0</v>
      </c>
      <c r="F248" s="9">
        <f>[2]หน้าผ้า!H257</f>
        <v>0</v>
      </c>
      <c r="G248" s="9">
        <f>[2]หน้าผ้า!I257</f>
        <v>0</v>
      </c>
      <c r="H248" s="9">
        <f>[2]หน้าผ้า!J257</f>
        <v>0</v>
      </c>
      <c r="I248" s="9">
        <f>[2]หน้าผ้า!L257</f>
        <v>0</v>
      </c>
      <c r="J248" s="9">
        <f>[2]หน้าผ้า!M257</f>
        <v>0</v>
      </c>
      <c r="K248" s="9">
        <f>[2]หน้าผ้า!N257</f>
        <v>0</v>
      </c>
      <c r="L248" s="9">
        <f>[2]หน้าผ้า!R257</f>
        <v>0</v>
      </c>
      <c r="M248" s="10">
        <f>[2]หน้าผ้า!T257</f>
        <v>0</v>
      </c>
      <c r="N248" s="9">
        <f>[2]หน้าผ้า!U257</f>
        <v>0</v>
      </c>
      <c r="O248" s="9">
        <f>[2]หน้าผ้า!V257</f>
        <v>0</v>
      </c>
      <c r="P248" s="10">
        <f>[2]หน้าผ้า!AB257</f>
        <v>0</v>
      </c>
      <c r="Q248" s="10">
        <f>[2]หน้าผ้า!AC257</f>
        <v>0</v>
      </c>
      <c r="R248" s="10">
        <f>[2]หน้าผ้า!AD257</f>
        <v>0</v>
      </c>
      <c r="S248" s="9">
        <f>[2]หน้าผ้า!Z257</f>
        <v>0</v>
      </c>
      <c r="T248" s="12">
        <f>[2]หน้าผ้า!X257</f>
        <v>0</v>
      </c>
      <c r="U248" s="11">
        <f>[2]หน้าผ้า!AA257</f>
        <v>0</v>
      </c>
      <c r="V248" s="10">
        <f>[2]หน้าผ้า!AJ257</f>
        <v>0</v>
      </c>
      <c r="W248" s="10">
        <f>[2]หน้าผ้า!AL257</f>
        <v>0</v>
      </c>
      <c r="X248" s="10">
        <f>[2]หน้าผ้า!AM257</f>
        <v>0</v>
      </c>
      <c r="Y248" s="10">
        <f>[2]หน้าผ้า!AN257</f>
        <v>0</v>
      </c>
      <c r="Z248" s="9">
        <f>[2]หน้าผ้า!AO257</f>
        <v>0</v>
      </c>
      <c r="AA248" s="8">
        <f>[2]หน้าผ้า!AQ257</f>
        <v>0</v>
      </c>
      <c r="AB248" s="8">
        <f>[2]หน้าผ้า!AR257</f>
        <v>0</v>
      </c>
      <c r="AC248" s="8">
        <f>[2]หน้าผ้า!AS257</f>
        <v>0</v>
      </c>
      <c r="AD248" s="8">
        <f>[2]หน้าผ้า!AT257</f>
        <v>0</v>
      </c>
      <c r="AE248" s="8">
        <f>[2]หน้าผ้า!AU257</f>
        <v>0</v>
      </c>
      <c r="AF248" s="8">
        <f>[2]หน้าผ้า!AI257</f>
        <v>0</v>
      </c>
      <c r="AG248" s="1">
        <f>[3]หน้าผ้า!DC260</f>
        <v>0</v>
      </c>
      <c r="AH248" s="1">
        <f>[2]หน้าผ้า!DL257</f>
        <v>0</v>
      </c>
      <c r="AI248" s="1">
        <f>[2]หน้าผ้า!DM257</f>
        <v>0</v>
      </c>
      <c r="AJ248" s="3">
        <f>[2]หน้าผ้า!DN257</f>
        <v>0</v>
      </c>
      <c r="AK248" s="3">
        <f>[2]หน้าผ้า!DQ257</f>
        <v>0</v>
      </c>
      <c r="AL248" s="3">
        <f>[2]หน้าผ้า!DR257</f>
        <v>0</v>
      </c>
      <c r="AM248" s="3">
        <f>[2]หน้าผ้า!DS257</f>
        <v>0</v>
      </c>
      <c r="AN248" s="3">
        <f>[2]หน้าผ้า!DT257</f>
        <v>0</v>
      </c>
      <c r="AO248" s="3">
        <f>[2]หน้าผ้า!DU257</f>
        <v>0</v>
      </c>
      <c r="AP248" s="3">
        <f>[2]หน้าผ้า!DP257</f>
        <v>0</v>
      </c>
      <c r="AQ248" s="3">
        <f>[2]หน้าผ้า!DW257</f>
        <v>0</v>
      </c>
      <c r="AR248" s="3">
        <f>[2]หน้าผ้า!DX257</f>
        <v>0</v>
      </c>
      <c r="AS248" s="3">
        <f>[2]หน้าผ้า!DY257</f>
        <v>0</v>
      </c>
      <c r="AT248" s="3">
        <f>[2]หน้าผ้า!DZ257</f>
        <v>0</v>
      </c>
      <c r="AU248" s="3">
        <f>[2]หน้าผ้า!EA257</f>
        <v>0</v>
      </c>
      <c r="AV248" s="1">
        <f>[2]หน้าผ้า!EB257</f>
        <v>0</v>
      </c>
      <c r="AW248" s="2">
        <f>[2]หน้าผ้า!EC257</f>
        <v>0</v>
      </c>
      <c r="AX248" s="2">
        <f>[2]หน้าผ้า!ED257</f>
        <v>0</v>
      </c>
      <c r="AY248" s="2">
        <f>[2]หน้าผ้า!AG257</f>
        <v>0</v>
      </c>
      <c r="AZ248" s="2">
        <f>[2]หน้าผ้า!EG257</f>
        <v>0</v>
      </c>
      <c r="BA248" s="2">
        <f>[2]หน้าผ้า!EH257</f>
        <v>0</v>
      </c>
      <c r="BB248" s="2">
        <f>[2]หน้าผ้า!EI257</f>
        <v>0</v>
      </c>
      <c r="BC248" s="1">
        <f>[2]หน้าผ้า!BZ257</f>
        <v>0</v>
      </c>
      <c r="BD248" s="56">
        <f>[2]หน้าผ้า!CA257</f>
        <v>0</v>
      </c>
    </row>
    <row r="249" spans="1:56" ht="27.75" customHeight="1" x14ac:dyDescent="0.45">
      <c r="A249" s="3">
        <f>[2]หน้าผ้า!C258</f>
        <v>0</v>
      </c>
      <c r="B249" s="14">
        <f>[2]หน้าผ้า!B258</f>
        <v>0</v>
      </c>
      <c r="C249" s="9">
        <f>[2]หน้าผ้า!E258</f>
        <v>0</v>
      </c>
      <c r="D249" s="13">
        <f>[2]หน้าผ้า!F258</f>
        <v>0</v>
      </c>
      <c r="E249" s="9">
        <f>[2]หน้าผ้า!G258</f>
        <v>0</v>
      </c>
      <c r="F249" s="9">
        <f>[2]หน้าผ้า!H258</f>
        <v>0</v>
      </c>
      <c r="G249" s="9">
        <f>[2]หน้าผ้า!I258</f>
        <v>0</v>
      </c>
      <c r="H249" s="9">
        <f>[2]หน้าผ้า!J258</f>
        <v>0</v>
      </c>
      <c r="I249" s="9">
        <f>[2]หน้าผ้า!L258</f>
        <v>0</v>
      </c>
      <c r="J249" s="9">
        <f>[2]หน้าผ้า!M258</f>
        <v>0</v>
      </c>
      <c r="K249" s="9">
        <f>[2]หน้าผ้า!N258</f>
        <v>0</v>
      </c>
      <c r="L249" s="9">
        <f>[2]หน้าผ้า!R258</f>
        <v>0</v>
      </c>
      <c r="M249" s="10">
        <f>[2]หน้าผ้า!T258</f>
        <v>0</v>
      </c>
      <c r="N249" s="9">
        <f>[2]หน้าผ้า!U258</f>
        <v>0</v>
      </c>
      <c r="O249" s="9">
        <f>[2]หน้าผ้า!V258</f>
        <v>0</v>
      </c>
      <c r="P249" s="10">
        <f>[2]หน้าผ้า!AB258</f>
        <v>0</v>
      </c>
      <c r="Q249" s="10">
        <f>[2]หน้าผ้า!AC258</f>
        <v>0</v>
      </c>
      <c r="R249" s="10">
        <f>[2]หน้าผ้า!AD258</f>
        <v>0</v>
      </c>
      <c r="S249" s="9">
        <f>[2]หน้าผ้า!Z258</f>
        <v>0</v>
      </c>
      <c r="T249" s="12">
        <f>[2]หน้าผ้า!X258</f>
        <v>0</v>
      </c>
      <c r="U249" s="11">
        <f>[2]หน้าผ้า!AA258</f>
        <v>0</v>
      </c>
      <c r="V249" s="10">
        <f>[2]หน้าผ้า!AJ258</f>
        <v>0</v>
      </c>
      <c r="W249" s="10">
        <f>[2]หน้าผ้า!AL258</f>
        <v>0</v>
      </c>
      <c r="X249" s="10">
        <f>[2]หน้าผ้า!AM258</f>
        <v>0</v>
      </c>
      <c r="Y249" s="10">
        <f>[2]หน้าผ้า!AN258</f>
        <v>0</v>
      </c>
      <c r="Z249" s="9">
        <f>[2]หน้าผ้า!AO258</f>
        <v>0</v>
      </c>
      <c r="AA249" s="8">
        <f>[2]หน้าผ้า!AQ258</f>
        <v>0</v>
      </c>
      <c r="AB249" s="8">
        <f>[2]หน้าผ้า!AR258</f>
        <v>0</v>
      </c>
      <c r="AC249" s="8">
        <f>[2]หน้าผ้า!AS258</f>
        <v>0</v>
      </c>
      <c r="AD249" s="8">
        <f>[2]หน้าผ้า!AT258</f>
        <v>0</v>
      </c>
      <c r="AE249" s="8">
        <f>[2]หน้าผ้า!AU258</f>
        <v>0</v>
      </c>
      <c r="AF249" s="8">
        <f>[2]หน้าผ้า!AI258</f>
        <v>0</v>
      </c>
      <c r="AG249" s="1">
        <f>[3]หน้าผ้า!DC261</f>
        <v>0</v>
      </c>
      <c r="AH249" s="1">
        <f>[2]หน้าผ้า!DL258</f>
        <v>0</v>
      </c>
      <c r="AI249" s="1">
        <f>[2]หน้าผ้า!DM258</f>
        <v>0</v>
      </c>
      <c r="AJ249" s="3">
        <f>[2]หน้าผ้า!DN258</f>
        <v>0</v>
      </c>
      <c r="AK249" s="3">
        <f>[2]หน้าผ้า!DQ258</f>
        <v>0</v>
      </c>
      <c r="AL249" s="3">
        <f>[2]หน้าผ้า!DR258</f>
        <v>0</v>
      </c>
      <c r="AM249" s="3">
        <f>[2]หน้าผ้า!DS258</f>
        <v>0</v>
      </c>
      <c r="AN249" s="3">
        <f>[2]หน้าผ้า!DT258</f>
        <v>0</v>
      </c>
      <c r="AO249" s="3">
        <f>[2]หน้าผ้า!DU258</f>
        <v>0</v>
      </c>
      <c r="AP249" s="3">
        <f>[2]หน้าผ้า!DP258</f>
        <v>0</v>
      </c>
      <c r="AQ249" s="3">
        <f>[2]หน้าผ้า!DW258</f>
        <v>0</v>
      </c>
      <c r="AR249" s="3">
        <f>[2]หน้าผ้า!DX258</f>
        <v>0</v>
      </c>
      <c r="AS249" s="3">
        <f>[2]หน้าผ้า!DY258</f>
        <v>0</v>
      </c>
      <c r="AT249" s="3">
        <f>[2]หน้าผ้า!DZ258</f>
        <v>0</v>
      </c>
      <c r="AU249" s="3">
        <f>[2]หน้าผ้า!EA258</f>
        <v>0</v>
      </c>
      <c r="AV249" s="1">
        <f>[2]หน้าผ้า!EB258</f>
        <v>0</v>
      </c>
      <c r="AW249" s="2">
        <f>[2]หน้าผ้า!EC258</f>
        <v>0</v>
      </c>
      <c r="AX249" s="2">
        <f>[2]หน้าผ้า!ED258</f>
        <v>0</v>
      </c>
      <c r="AY249" s="2">
        <f>[2]หน้าผ้า!AG258</f>
        <v>0</v>
      </c>
      <c r="AZ249" s="2">
        <f>[2]หน้าผ้า!EG258</f>
        <v>0</v>
      </c>
      <c r="BA249" s="2">
        <f>[2]หน้าผ้า!EH258</f>
        <v>0</v>
      </c>
      <c r="BB249" s="2">
        <f>[2]หน้าผ้า!EI258</f>
        <v>0</v>
      </c>
      <c r="BC249" s="1">
        <f>[2]หน้าผ้า!BZ258</f>
        <v>0</v>
      </c>
      <c r="BD249" s="56">
        <f>[2]หน้าผ้า!CA258</f>
        <v>0</v>
      </c>
    </row>
    <row r="250" spans="1:56" ht="27.75" customHeight="1" x14ac:dyDescent="0.45">
      <c r="A250" s="3">
        <f>[2]หน้าผ้า!C259</f>
        <v>0</v>
      </c>
      <c r="B250" s="14">
        <f>[2]หน้าผ้า!B259</f>
        <v>0</v>
      </c>
      <c r="C250" s="9">
        <f>[2]หน้าผ้า!E259</f>
        <v>0</v>
      </c>
      <c r="D250" s="13">
        <f>[2]หน้าผ้า!F259</f>
        <v>0</v>
      </c>
      <c r="E250" s="9">
        <f>[2]หน้าผ้า!G259</f>
        <v>0</v>
      </c>
      <c r="F250" s="9">
        <f>[2]หน้าผ้า!H259</f>
        <v>0</v>
      </c>
      <c r="G250" s="9">
        <f>[2]หน้าผ้า!I259</f>
        <v>0</v>
      </c>
      <c r="H250" s="9">
        <f>[2]หน้าผ้า!J259</f>
        <v>0</v>
      </c>
      <c r="I250" s="9">
        <f>[2]หน้าผ้า!L259</f>
        <v>0</v>
      </c>
      <c r="J250" s="9">
        <f>[2]หน้าผ้า!M259</f>
        <v>0</v>
      </c>
      <c r="K250" s="9">
        <f>[2]หน้าผ้า!N259</f>
        <v>0</v>
      </c>
      <c r="L250" s="9">
        <f>[2]หน้าผ้า!R259</f>
        <v>0</v>
      </c>
      <c r="M250" s="10">
        <f>[2]หน้าผ้า!T259</f>
        <v>0</v>
      </c>
      <c r="N250" s="9">
        <f>[2]หน้าผ้า!U259</f>
        <v>0</v>
      </c>
      <c r="O250" s="9">
        <f>[2]หน้าผ้า!V259</f>
        <v>0</v>
      </c>
      <c r="P250" s="10">
        <f>[2]หน้าผ้า!AB259</f>
        <v>0</v>
      </c>
      <c r="Q250" s="10">
        <f>[2]หน้าผ้า!AC259</f>
        <v>0</v>
      </c>
      <c r="R250" s="10">
        <f>[2]หน้าผ้า!AD259</f>
        <v>0</v>
      </c>
      <c r="S250" s="9">
        <f>[2]หน้าผ้า!Z259</f>
        <v>0</v>
      </c>
      <c r="T250" s="12">
        <f>[2]หน้าผ้า!X259</f>
        <v>0</v>
      </c>
      <c r="U250" s="11">
        <f>[2]หน้าผ้า!AA259</f>
        <v>0</v>
      </c>
      <c r="V250" s="10">
        <f>[2]หน้าผ้า!AJ259</f>
        <v>0</v>
      </c>
      <c r="W250" s="10">
        <f>[2]หน้าผ้า!AL259</f>
        <v>0</v>
      </c>
      <c r="X250" s="10">
        <f>[2]หน้าผ้า!AM259</f>
        <v>0</v>
      </c>
      <c r="Y250" s="10">
        <f>[2]หน้าผ้า!AN259</f>
        <v>0</v>
      </c>
      <c r="Z250" s="9">
        <f>[2]หน้าผ้า!AO259</f>
        <v>0</v>
      </c>
      <c r="AA250" s="8">
        <f>[2]หน้าผ้า!AQ259</f>
        <v>0</v>
      </c>
      <c r="AB250" s="8">
        <f>[2]หน้าผ้า!AR259</f>
        <v>0</v>
      </c>
      <c r="AC250" s="8">
        <f>[2]หน้าผ้า!AS259</f>
        <v>0</v>
      </c>
      <c r="AD250" s="8">
        <f>[2]หน้าผ้า!AT259</f>
        <v>0</v>
      </c>
      <c r="AE250" s="8">
        <f>[2]หน้าผ้า!AU259</f>
        <v>0</v>
      </c>
      <c r="AF250" s="8">
        <f>[2]หน้าผ้า!AI259</f>
        <v>0</v>
      </c>
      <c r="AG250" s="1">
        <f>[3]หน้าผ้า!DC262</f>
        <v>0</v>
      </c>
      <c r="AH250" s="1">
        <f>[2]หน้าผ้า!DL259</f>
        <v>0</v>
      </c>
      <c r="AI250" s="1">
        <f>[2]หน้าผ้า!DM259</f>
        <v>0</v>
      </c>
      <c r="AJ250" s="3">
        <f>[2]หน้าผ้า!DN259</f>
        <v>0</v>
      </c>
      <c r="AK250" s="3">
        <f>[2]หน้าผ้า!DQ259</f>
        <v>0</v>
      </c>
      <c r="AL250" s="3">
        <f>[2]หน้าผ้า!DR259</f>
        <v>0</v>
      </c>
      <c r="AM250" s="3">
        <f>[2]หน้าผ้า!DS259</f>
        <v>0</v>
      </c>
      <c r="AN250" s="3">
        <f>[2]หน้าผ้า!DT259</f>
        <v>0</v>
      </c>
      <c r="AO250" s="3">
        <f>[2]หน้าผ้า!DU259</f>
        <v>0</v>
      </c>
      <c r="AP250" s="3">
        <f>[2]หน้าผ้า!DP259</f>
        <v>0</v>
      </c>
      <c r="AQ250" s="3">
        <f>[2]หน้าผ้า!DW259</f>
        <v>0</v>
      </c>
      <c r="AR250" s="3">
        <f>[2]หน้าผ้า!DX259</f>
        <v>0</v>
      </c>
      <c r="AS250" s="3">
        <f>[2]หน้าผ้า!DY259</f>
        <v>0</v>
      </c>
      <c r="AT250" s="3">
        <f>[2]หน้าผ้า!DZ259</f>
        <v>0</v>
      </c>
      <c r="AU250" s="3">
        <f>[2]หน้าผ้า!EA259</f>
        <v>0</v>
      </c>
      <c r="AV250" s="1">
        <f>[2]หน้าผ้า!EB259</f>
        <v>0</v>
      </c>
      <c r="AW250" s="2">
        <f>[2]หน้าผ้า!EC259</f>
        <v>0</v>
      </c>
      <c r="AX250" s="2">
        <f>[2]หน้าผ้า!ED259</f>
        <v>0</v>
      </c>
      <c r="AY250" s="2">
        <f>[2]หน้าผ้า!AG259</f>
        <v>0</v>
      </c>
      <c r="AZ250" s="2">
        <f>[2]หน้าผ้า!EG259</f>
        <v>0</v>
      </c>
      <c r="BA250" s="2">
        <f>[2]หน้าผ้า!EH259</f>
        <v>0</v>
      </c>
      <c r="BB250" s="2">
        <f>[2]หน้าผ้า!EI259</f>
        <v>0</v>
      </c>
      <c r="BC250" s="1">
        <f>[2]หน้าผ้า!BZ259</f>
        <v>0</v>
      </c>
      <c r="BD250" s="56">
        <f>[2]หน้าผ้า!CA259</f>
        <v>0</v>
      </c>
    </row>
    <row r="251" spans="1:56" ht="27.75" customHeight="1" x14ac:dyDescent="0.45">
      <c r="A251" s="3">
        <f>[2]หน้าผ้า!C260</f>
        <v>0</v>
      </c>
      <c r="B251" s="14">
        <f>[2]หน้าผ้า!B260</f>
        <v>0</v>
      </c>
      <c r="C251" s="9">
        <f>[2]หน้าผ้า!E260</f>
        <v>0</v>
      </c>
      <c r="D251" s="13">
        <f>[2]หน้าผ้า!F260</f>
        <v>0</v>
      </c>
      <c r="E251" s="9">
        <f>[2]หน้าผ้า!G260</f>
        <v>0</v>
      </c>
      <c r="F251" s="9">
        <f>[2]หน้าผ้า!H260</f>
        <v>0</v>
      </c>
      <c r="G251" s="9">
        <f>[2]หน้าผ้า!I260</f>
        <v>0</v>
      </c>
      <c r="H251" s="9">
        <f>[2]หน้าผ้า!J260</f>
        <v>0</v>
      </c>
      <c r="I251" s="9">
        <f>[2]หน้าผ้า!L260</f>
        <v>0</v>
      </c>
      <c r="J251" s="9">
        <f>[2]หน้าผ้า!M260</f>
        <v>0</v>
      </c>
      <c r="K251" s="9">
        <f>[2]หน้าผ้า!N260</f>
        <v>0</v>
      </c>
      <c r="L251" s="9">
        <f>[2]หน้าผ้า!R260</f>
        <v>0</v>
      </c>
      <c r="M251" s="10">
        <f>[2]หน้าผ้า!T260</f>
        <v>0</v>
      </c>
      <c r="N251" s="9">
        <f>[2]หน้าผ้า!U260</f>
        <v>0</v>
      </c>
      <c r="O251" s="9">
        <f>[2]หน้าผ้า!V260</f>
        <v>0</v>
      </c>
      <c r="P251" s="10">
        <f>[2]หน้าผ้า!AB260</f>
        <v>0</v>
      </c>
      <c r="Q251" s="10">
        <f>[2]หน้าผ้า!AC260</f>
        <v>0</v>
      </c>
      <c r="R251" s="10">
        <f>[2]หน้าผ้า!AD260</f>
        <v>0</v>
      </c>
      <c r="S251" s="9">
        <f>[2]หน้าผ้า!Z260</f>
        <v>0</v>
      </c>
      <c r="T251" s="12">
        <f>[2]หน้าผ้า!X260</f>
        <v>0</v>
      </c>
      <c r="U251" s="11">
        <f>[2]หน้าผ้า!AA260</f>
        <v>0</v>
      </c>
      <c r="V251" s="10">
        <f>[2]หน้าผ้า!AJ260</f>
        <v>0</v>
      </c>
      <c r="W251" s="10">
        <f>[2]หน้าผ้า!AL260</f>
        <v>0</v>
      </c>
      <c r="X251" s="10">
        <f>[2]หน้าผ้า!AM260</f>
        <v>0</v>
      </c>
      <c r="Y251" s="10">
        <f>[2]หน้าผ้า!AN260</f>
        <v>0</v>
      </c>
      <c r="Z251" s="9">
        <f>[2]หน้าผ้า!AO260</f>
        <v>0</v>
      </c>
      <c r="AA251" s="8">
        <f>[2]หน้าผ้า!AQ260</f>
        <v>0</v>
      </c>
      <c r="AB251" s="8">
        <f>[2]หน้าผ้า!AR260</f>
        <v>0</v>
      </c>
      <c r="AC251" s="8">
        <f>[2]หน้าผ้า!AS260</f>
        <v>0</v>
      </c>
      <c r="AD251" s="8">
        <f>[2]หน้าผ้า!AT260</f>
        <v>0</v>
      </c>
      <c r="AE251" s="8">
        <f>[2]หน้าผ้า!AU260</f>
        <v>0</v>
      </c>
      <c r="AF251" s="8">
        <f>[2]หน้าผ้า!AI260</f>
        <v>0</v>
      </c>
      <c r="AG251" s="1">
        <f>[3]หน้าผ้า!DC263</f>
        <v>0</v>
      </c>
      <c r="AH251" s="1">
        <f>[2]หน้าผ้า!DL260</f>
        <v>0</v>
      </c>
      <c r="AI251" s="1">
        <f>[2]หน้าผ้า!DM260</f>
        <v>0</v>
      </c>
      <c r="AJ251" s="3">
        <f>[2]หน้าผ้า!DN260</f>
        <v>0</v>
      </c>
      <c r="AK251" s="3">
        <f>[2]หน้าผ้า!DQ260</f>
        <v>0</v>
      </c>
      <c r="AL251" s="3">
        <f>[2]หน้าผ้า!DR260</f>
        <v>0</v>
      </c>
      <c r="AM251" s="3">
        <f>[2]หน้าผ้า!DS260</f>
        <v>0</v>
      </c>
      <c r="AN251" s="3">
        <f>[2]หน้าผ้า!DT260</f>
        <v>0</v>
      </c>
      <c r="AO251" s="3">
        <f>[2]หน้าผ้า!DU260</f>
        <v>0</v>
      </c>
      <c r="AP251" s="3">
        <f>[2]หน้าผ้า!DP260</f>
        <v>0</v>
      </c>
      <c r="AQ251" s="3">
        <f>[2]หน้าผ้า!DW260</f>
        <v>0</v>
      </c>
      <c r="AR251" s="3">
        <f>[2]หน้าผ้า!DX260</f>
        <v>0</v>
      </c>
      <c r="AS251" s="3">
        <f>[2]หน้าผ้า!DY260</f>
        <v>0</v>
      </c>
      <c r="AT251" s="3">
        <f>[2]หน้าผ้า!DZ260</f>
        <v>0</v>
      </c>
      <c r="AU251" s="3">
        <f>[2]หน้าผ้า!EA260</f>
        <v>0</v>
      </c>
      <c r="AV251" s="1">
        <f>[2]หน้าผ้า!EB260</f>
        <v>0</v>
      </c>
      <c r="AW251" s="2">
        <f>[2]หน้าผ้า!EC260</f>
        <v>0</v>
      </c>
      <c r="AX251" s="2">
        <f>[2]หน้าผ้า!ED260</f>
        <v>0</v>
      </c>
      <c r="AY251" s="2">
        <f>[2]หน้าผ้า!AG260</f>
        <v>0</v>
      </c>
      <c r="AZ251" s="2">
        <f>[2]หน้าผ้า!EG260</f>
        <v>0</v>
      </c>
      <c r="BA251" s="2">
        <f>[2]หน้าผ้า!EH260</f>
        <v>0</v>
      </c>
      <c r="BB251" s="2">
        <f>[2]หน้าผ้า!EI260</f>
        <v>0</v>
      </c>
      <c r="BC251" s="1">
        <f>[2]หน้าผ้า!BZ260</f>
        <v>0</v>
      </c>
      <c r="BD251" s="56">
        <f>[2]หน้าผ้า!CA260</f>
        <v>0</v>
      </c>
    </row>
    <row r="252" spans="1:56" ht="27.75" customHeight="1" x14ac:dyDescent="0.45">
      <c r="A252" s="3">
        <f>[2]หน้าผ้า!C261</f>
        <v>0</v>
      </c>
      <c r="B252" s="14">
        <f>[2]หน้าผ้า!B261</f>
        <v>0</v>
      </c>
      <c r="C252" s="9">
        <f>[2]หน้าผ้า!E261</f>
        <v>0</v>
      </c>
      <c r="D252" s="13">
        <f>[2]หน้าผ้า!F261</f>
        <v>0</v>
      </c>
      <c r="E252" s="9">
        <f>[2]หน้าผ้า!G261</f>
        <v>0</v>
      </c>
      <c r="F252" s="9">
        <f>[2]หน้าผ้า!H261</f>
        <v>0</v>
      </c>
      <c r="G252" s="9">
        <f>[2]หน้าผ้า!I261</f>
        <v>0</v>
      </c>
      <c r="H252" s="9">
        <f>[2]หน้าผ้า!J261</f>
        <v>0</v>
      </c>
      <c r="I252" s="9">
        <f>[2]หน้าผ้า!L261</f>
        <v>0</v>
      </c>
      <c r="J252" s="9">
        <f>[2]หน้าผ้า!M261</f>
        <v>0</v>
      </c>
      <c r="K252" s="9">
        <f>[2]หน้าผ้า!N261</f>
        <v>0</v>
      </c>
      <c r="L252" s="9">
        <f>[2]หน้าผ้า!R261</f>
        <v>0</v>
      </c>
      <c r="M252" s="10">
        <f>[2]หน้าผ้า!T261</f>
        <v>0</v>
      </c>
      <c r="N252" s="9">
        <f>[2]หน้าผ้า!U261</f>
        <v>0</v>
      </c>
      <c r="O252" s="9">
        <f>[2]หน้าผ้า!V261</f>
        <v>0</v>
      </c>
      <c r="P252" s="10">
        <f>[2]หน้าผ้า!AB261</f>
        <v>0</v>
      </c>
      <c r="Q252" s="10">
        <f>[2]หน้าผ้า!AC261</f>
        <v>0</v>
      </c>
      <c r="R252" s="10">
        <f>[2]หน้าผ้า!AD261</f>
        <v>0</v>
      </c>
      <c r="S252" s="9">
        <f>[2]หน้าผ้า!Z261</f>
        <v>0</v>
      </c>
      <c r="T252" s="12">
        <f>[2]หน้าผ้า!X261</f>
        <v>0</v>
      </c>
      <c r="U252" s="11">
        <f>[2]หน้าผ้า!AA261</f>
        <v>0</v>
      </c>
      <c r="V252" s="10">
        <f>[2]หน้าผ้า!AJ261</f>
        <v>0</v>
      </c>
      <c r="W252" s="10">
        <f>[2]หน้าผ้า!AL261</f>
        <v>0</v>
      </c>
      <c r="X252" s="10">
        <f>[2]หน้าผ้า!AM261</f>
        <v>0</v>
      </c>
      <c r="Y252" s="10">
        <f>[2]หน้าผ้า!AN261</f>
        <v>0</v>
      </c>
      <c r="Z252" s="9">
        <f>[2]หน้าผ้า!AO261</f>
        <v>0</v>
      </c>
      <c r="AA252" s="8">
        <f>[2]หน้าผ้า!AQ261</f>
        <v>0</v>
      </c>
      <c r="AB252" s="8">
        <f>[2]หน้าผ้า!AR261</f>
        <v>0</v>
      </c>
      <c r="AC252" s="8">
        <f>[2]หน้าผ้า!AS261</f>
        <v>0</v>
      </c>
      <c r="AD252" s="8">
        <f>[2]หน้าผ้า!AT261</f>
        <v>0</v>
      </c>
      <c r="AE252" s="8">
        <f>[2]หน้าผ้า!AU261</f>
        <v>0</v>
      </c>
      <c r="AF252" s="8">
        <f>[2]หน้าผ้า!AI261</f>
        <v>0</v>
      </c>
      <c r="AG252" s="1">
        <f>[3]หน้าผ้า!DC264</f>
        <v>0</v>
      </c>
      <c r="AH252" s="1">
        <f>[2]หน้าผ้า!DL261</f>
        <v>0</v>
      </c>
      <c r="AI252" s="1">
        <f>[2]หน้าผ้า!DM261</f>
        <v>0</v>
      </c>
      <c r="AJ252" s="3">
        <f>[2]หน้าผ้า!DN261</f>
        <v>0</v>
      </c>
      <c r="AK252" s="3">
        <f>[2]หน้าผ้า!DQ261</f>
        <v>0</v>
      </c>
      <c r="AL252" s="3">
        <f>[2]หน้าผ้า!DR261</f>
        <v>0</v>
      </c>
      <c r="AM252" s="3">
        <f>[2]หน้าผ้า!DS261</f>
        <v>0</v>
      </c>
      <c r="AN252" s="3">
        <f>[2]หน้าผ้า!DT261</f>
        <v>0</v>
      </c>
      <c r="AO252" s="3">
        <f>[2]หน้าผ้า!DU261</f>
        <v>0</v>
      </c>
      <c r="AP252" s="3">
        <f>[2]หน้าผ้า!DP261</f>
        <v>0</v>
      </c>
      <c r="AQ252" s="3">
        <f>[2]หน้าผ้า!DW261</f>
        <v>0</v>
      </c>
      <c r="AR252" s="3">
        <f>[2]หน้าผ้า!DX261</f>
        <v>0</v>
      </c>
      <c r="AS252" s="3">
        <f>[2]หน้าผ้า!DY261</f>
        <v>0</v>
      </c>
      <c r="AT252" s="3">
        <f>[2]หน้าผ้า!DZ261</f>
        <v>0</v>
      </c>
      <c r="AU252" s="3">
        <f>[2]หน้าผ้า!EA261</f>
        <v>0</v>
      </c>
      <c r="AV252" s="1">
        <f>[2]หน้าผ้า!EB261</f>
        <v>0</v>
      </c>
      <c r="AW252" s="2">
        <f>[2]หน้าผ้า!EC261</f>
        <v>0</v>
      </c>
      <c r="AX252" s="2">
        <f>[2]หน้าผ้า!ED261</f>
        <v>0</v>
      </c>
      <c r="AY252" s="2">
        <f>[2]หน้าผ้า!AG261</f>
        <v>0</v>
      </c>
      <c r="AZ252" s="2">
        <f>[2]หน้าผ้า!EG261</f>
        <v>0</v>
      </c>
      <c r="BA252" s="2">
        <f>[2]หน้าผ้า!EH261</f>
        <v>0</v>
      </c>
      <c r="BB252" s="2">
        <f>[2]หน้าผ้า!EI261</f>
        <v>0</v>
      </c>
      <c r="BC252" s="1">
        <f>[2]หน้าผ้า!BZ261</f>
        <v>0</v>
      </c>
      <c r="BD252" s="56">
        <f>[2]หน้าผ้า!CA261</f>
        <v>0</v>
      </c>
    </row>
    <row r="253" spans="1:56" ht="27.75" customHeight="1" x14ac:dyDescent="0.45">
      <c r="A253" s="3">
        <f>[2]หน้าผ้า!C262</f>
        <v>0</v>
      </c>
      <c r="B253" s="14">
        <f>[2]หน้าผ้า!B262</f>
        <v>0</v>
      </c>
      <c r="C253" s="9">
        <f>[2]หน้าผ้า!E262</f>
        <v>0</v>
      </c>
      <c r="D253" s="13">
        <f>[2]หน้าผ้า!F262</f>
        <v>0</v>
      </c>
      <c r="E253" s="9">
        <f>[2]หน้าผ้า!G262</f>
        <v>0</v>
      </c>
      <c r="F253" s="9">
        <f>[2]หน้าผ้า!H262</f>
        <v>0</v>
      </c>
      <c r="G253" s="9">
        <f>[2]หน้าผ้า!I262</f>
        <v>0</v>
      </c>
      <c r="H253" s="9">
        <f>[2]หน้าผ้า!J262</f>
        <v>0</v>
      </c>
      <c r="I253" s="9">
        <f>[2]หน้าผ้า!L262</f>
        <v>0</v>
      </c>
      <c r="J253" s="9">
        <f>[2]หน้าผ้า!M262</f>
        <v>0</v>
      </c>
      <c r="K253" s="9">
        <f>[2]หน้าผ้า!N262</f>
        <v>0</v>
      </c>
      <c r="L253" s="9">
        <f>[2]หน้าผ้า!R262</f>
        <v>0</v>
      </c>
      <c r="M253" s="10">
        <f>[2]หน้าผ้า!T262</f>
        <v>0</v>
      </c>
      <c r="N253" s="9">
        <f>[2]หน้าผ้า!U262</f>
        <v>0</v>
      </c>
      <c r="O253" s="9">
        <f>[2]หน้าผ้า!V262</f>
        <v>0</v>
      </c>
      <c r="P253" s="10">
        <f>[2]หน้าผ้า!AB262</f>
        <v>0</v>
      </c>
      <c r="Q253" s="10">
        <f>[2]หน้าผ้า!AC262</f>
        <v>0</v>
      </c>
      <c r="R253" s="10">
        <f>[2]หน้าผ้า!AD262</f>
        <v>0</v>
      </c>
      <c r="S253" s="9">
        <f>[2]หน้าผ้า!Z262</f>
        <v>0</v>
      </c>
      <c r="T253" s="12">
        <f>[2]หน้าผ้า!X262</f>
        <v>0</v>
      </c>
      <c r="U253" s="11">
        <f>[2]หน้าผ้า!AA262</f>
        <v>0</v>
      </c>
      <c r="V253" s="10">
        <f>[2]หน้าผ้า!AJ262</f>
        <v>0</v>
      </c>
      <c r="W253" s="10">
        <f>[2]หน้าผ้า!AL262</f>
        <v>0</v>
      </c>
      <c r="X253" s="10">
        <f>[2]หน้าผ้า!AM262</f>
        <v>0</v>
      </c>
      <c r="Y253" s="10">
        <f>[2]หน้าผ้า!AN262</f>
        <v>0</v>
      </c>
      <c r="Z253" s="9">
        <f>[2]หน้าผ้า!AO262</f>
        <v>0</v>
      </c>
      <c r="AA253" s="8">
        <f>[2]หน้าผ้า!AQ262</f>
        <v>0</v>
      </c>
      <c r="AB253" s="8">
        <f>[2]หน้าผ้า!AR262</f>
        <v>0</v>
      </c>
      <c r="AC253" s="8">
        <f>[2]หน้าผ้า!AS262</f>
        <v>0</v>
      </c>
      <c r="AD253" s="8">
        <f>[2]หน้าผ้า!AT262</f>
        <v>0</v>
      </c>
      <c r="AE253" s="8">
        <f>[2]หน้าผ้า!AU262</f>
        <v>0</v>
      </c>
      <c r="AF253" s="8">
        <f>[2]หน้าผ้า!AI262</f>
        <v>0</v>
      </c>
      <c r="AG253" s="1">
        <f>[3]หน้าผ้า!DC265</f>
        <v>0</v>
      </c>
      <c r="AH253" s="1">
        <f>[2]หน้าผ้า!DL262</f>
        <v>0</v>
      </c>
      <c r="AI253" s="1">
        <f>[2]หน้าผ้า!DM262</f>
        <v>0</v>
      </c>
      <c r="AJ253" s="3">
        <f>[2]หน้าผ้า!DN262</f>
        <v>0</v>
      </c>
      <c r="AK253" s="3">
        <f>[2]หน้าผ้า!DQ262</f>
        <v>0</v>
      </c>
      <c r="AL253" s="3">
        <f>[2]หน้าผ้า!DR262</f>
        <v>0</v>
      </c>
      <c r="AM253" s="3">
        <f>[2]หน้าผ้า!DS262</f>
        <v>0</v>
      </c>
      <c r="AN253" s="3">
        <f>[2]หน้าผ้า!DT262</f>
        <v>0</v>
      </c>
      <c r="AO253" s="3">
        <f>[2]หน้าผ้า!DU262</f>
        <v>0</v>
      </c>
      <c r="AP253" s="3">
        <f>[2]หน้าผ้า!DP262</f>
        <v>0</v>
      </c>
      <c r="AQ253" s="3">
        <f>[2]หน้าผ้า!DW262</f>
        <v>0</v>
      </c>
      <c r="AR253" s="3">
        <f>[2]หน้าผ้า!DX262</f>
        <v>0</v>
      </c>
      <c r="AS253" s="3">
        <f>[2]หน้าผ้า!DY262</f>
        <v>0</v>
      </c>
      <c r="AT253" s="3">
        <f>[2]หน้าผ้า!DZ262</f>
        <v>0</v>
      </c>
      <c r="AU253" s="3">
        <f>[2]หน้าผ้า!EA262</f>
        <v>0</v>
      </c>
      <c r="AV253" s="1">
        <f>[2]หน้าผ้า!EB262</f>
        <v>0</v>
      </c>
      <c r="AW253" s="2">
        <f>[2]หน้าผ้า!EC262</f>
        <v>0</v>
      </c>
      <c r="AX253" s="2">
        <f>[2]หน้าผ้า!ED262</f>
        <v>0</v>
      </c>
      <c r="AY253" s="2">
        <f>[2]หน้าผ้า!AG262</f>
        <v>0</v>
      </c>
      <c r="AZ253" s="2">
        <f>[2]หน้าผ้า!EG262</f>
        <v>0</v>
      </c>
      <c r="BA253" s="2">
        <f>[2]หน้าผ้า!EH262</f>
        <v>0</v>
      </c>
      <c r="BB253" s="2">
        <f>[2]หน้าผ้า!EI262</f>
        <v>0</v>
      </c>
      <c r="BC253" s="1">
        <f>[2]หน้าผ้า!BZ262</f>
        <v>0</v>
      </c>
      <c r="BD253" s="56">
        <f>[2]หน้าผ้า!CA262</f>
        <v>0</v>
      </c>
    </row>
    <row r="254" spans="1:56" ht="27.75" customHeight="1" x14ac:dyDescent="0.45">
      <c r="A254" s="3">
        <f>[2]หน้าผ้า!C263</f>
        <v>0</v>
      </c>
      <c r="B254" s="14">
        <f>[2]หน้าผ้า!B263</f>
        <v>0</v>
      </c>
      <c r="C254" s="9">
        <f>[2]หน้าผ้า!E263</f>
        <v>0</v>
      </c>
      <c r="D254" s="13">
        <f>[2]หน้าผ้า!F263</f>
        <v>0</v>
      </c>
      <c r="E254" s="9">
        <f>[2]หน้าผ้า!G263</f>
        <v>0</v>
      </c>
      <c r="F254" s="9">
        <f>[2]หน้าผ้า!H263</f>
        <v>0</v>
      </c>
      <c r="G254" s="9">
        <f>[2]หน้าผ้า!I263</f>
        <v>0</v>
      </c>
      <c r="H254" s="9">
        <f>[2]หน้าผ้า!J263</f>
        <v>0</v>
      </c>
      <c r="I254" s="9">
        <f>[2]หน้าผ้า!L263</f>
        <v>0</v>
      </c>
      <c r="J254" s="9">
        <f>[2]หน้าผ้า!M263</f>
        <v>0</v>
      </c>
      <c r="K254" s="9">
        <f>[2]หน้าผ้า!N263</f>
        <v>0</v>
      </c>
      <c r="L254" s="9">
        <f>[2]หน้าผ้า!R263</f>
        <v>0</v>
      </c>
      <c r="M254" s="10">
        <f>[2]หน้าผ้า!T263</f>
        <v>0</v>
      </c>
      <c r="N254" s="9">
        <f>[2]หน้าผ้า!U263</f>
        <v>0</v>
      </c>
      <c r="O254" s="9">
        <f>[2]หน้าผ้า!V263</f>
        <v>0</v>
      </c>
      <c r="P254" s="10">
        <f>[2]หน้าผ้า!AB263</f>
        <v>0</v>
      </c>
      <c r="Q254" s="10">
        <f>[2]หน้าผ้า!AC263</f>
        <v>0</v>
      </c>
      <c r="R254" s="10">
        <f>[2]หน้าผ้า!AD263</f>
        <v>0</v>
      </c>
      <c r="S254" s="9">
        <f>[2]หน้าผ้า!Z263</f>
        <v>0</v>
      </c>
      <c r="T254" s="12">
        <f>[2]หน้าผ้า!X263</f>
        <v>0</v>
      </c>
      <c r="U254" s="11">
        <f>[2]หน้าผ้า!AA263</f>
        <v>0</v>
      </c>
      <c r="V254" s="10">
        <f>[2]หน้าผ้า!AJ263</f>
        <v>0</v>
      </c>
      <c r="W254" s="10">
        <f>[2]หน้าผ้า!AL263</f>
        <v>0</v>
      </c>
      <c r="X254" s="10">
        <f>[2]หน้าผ้า!AM263</f>
        <v>0</v>
      </c>
      <c r="Y254" s="10">
        <f>[2]หน้าผ้า!AN263</f>
        <v>0</v>
      </c>
      <c r="Z254" s="9">
        <f>[2]หน้าผ้า!AO263</f>
        <v>0</v>
      </c>
      <c r="AA254" s="8">
        <f>[2]หน้าผ้า!AQ263</f>
        <v>0</v>
      </c>
      <c r="AB254" s="8">
        <f>[2]หน้าผ้า!AR263</f>
        <v>0</v>
      </c>
      <c r="AC254" s="8">
        <f>[2]หน้าผ้า!AS263</f>
        <v>0</v>
      </c>
      <c r="AD254" s="8">
        <f>[2]หน้าผ้า!AT263</f>
        <v>0</v>
      </c>
      <c r="AE254" s="8">
        <f>[2]หน้าผ้า!AU263</f>
        <v>0</v>
      </c>
      <c r="AF254" s="8">
        <f>[2]หน้าผ้า!AI263</f>
        <v>0</v>
      </c>
      <c r="AG254" s="1">
        <f>[3]หน้าผ้า!DC266</f>
        <v>0</v>
      </c>
      <c r="AH254" s="1">
        <f>[2]หน้าผ้า!DL263</f>
        <v>0</v>
      </c>
      <c r="AI254" s="1">
        <f>[2]หน้าผ้า!DM263</f>
        <v>0</v>
      </c>
      <c r="AJ254" s="3">
        <f>[2]หน้าผ้า!DN263</f>
        <v>0</v>
      </c>
      <c r="AK254" s="3">
        <f>[2]หน้าผ้า!DQ263</f>
        <v>0</v>
      </c>
      <c r="AL254" s="3">
        <f>[2]หน้าผ้า!DR263</f>
        <v>0</v>
      </c>
      <c r="AM254" s="3">
        <f>[2]หน้าผ้า!DS263</f>
        <v>0</v>
      </c>
      <c r="AN254" s="3">
        <f>[2]หน้าผ้า!DT263</f>
        <v>0</v>
      </c>
      <c r="AO254" s="3">
        <f>[2]หน้าผ้า!DU263</f>
        <v>0</v>
      </c>
      <c r="AP254" s="3">
        <f>[2]หน้าผ้า!DP263</f>
        <v>0</v>
      </c>
      <c r="AQ254" s="3">
        <f>[2]หน้าผ้า!DW263</f>
        <v>0</v>
      </c>
      <c r="AR254" s="3">
        <f>[2]หน้าผ้า!DX263</f>
        <v>0</v>
      </c>
      <c r="AS254" s="3">
        <f>[2]หน้าผ้า!DY263</f>
        <v>0</v>
      </c>
      <c r="AT254" s="3">
        <f>[2]หน้าผ้า!DZ263</f>
        <v>0</v>
      </c>
      <c r="AU254" s="3">
        <f>[2]หน้าผ้า!EA263</f>
        <v>0</v>
      </c>
      <c r="AV254" s="1">
        <f>[2]หน้าผ้า!EB263</f>
        <v>0</v>
      </c>
      <c r="AW254" s="2">
        <f>[2]หน้าผ้า!EC263</f>
        <v>0</v>
      </c>
      <c r="AX254" s="2">
        <f>[2]หน้าผ้า!ED263</f>
        <v>0</v>
      </c>
      <c r="AY254" s="2">
        <f>[2]หน้าผ้า!AG263</f>
        <v>0</v>
      </c>
      <c r="AZ254" s="2">
        <f>[2]หน้าผ้า!EG263</f>
        <v>0</v>
      </c>
      <c r="BA254" s="2">
        <f>[2]หน้าผ้า!EH263</f>
        <v>0</v>
      </c>
      <c r="BB254" s="2">
        <f>[2]หน้าผ้า!EI263</f>
        <v>0</v>
      </c>
      <c r="BC254" s="1">
        <f>[2]หน้าผ้า!BZ263</f>
        <v>0</v>
      </c>
      <c r="BD254" s="56">
        <f>[2]หน้าผ้า!CA263</f>
        <v>0</v>
      </c>
    </row>
    <row r="255" spans="1:56" ht="27.75" customHeight="1" x14ac:dyDescent="0.45">
      <c r="A255" s="3">
        <f>[2]หน้าผ้า!C264</f>
        <v>0</v>
      </c>
      <c r="B255" s="14">
        <f>[2]หน้าผ้า!B264</f>
        <v>0</v>
      </c>
      <c r="C255" s="9">
        <f>[2]หน้าผ้า!E264</f>
        <v>0</v>
      </c>
      <c r="D255" s="13">
        <f>[2]หน้าผ้า!F264</f>
        <v>0</v>
      </c>
      <c r="E255" s="9">
        <f>[2]หน้าผ้า!G264</f>
        <v>0</v>
      </c>
      <c r="F255" s="9">
        <f>[2]หน้าผ้า!H264</f>
        <v>0</v>
      </c>
      <c r="G255" s="9">
        <f>[2]หน้าผ้า!I264</f>
        <v>0</v>
      </c>
      <c r="H255" s="9">
        <f>[2]หน้าผ้า!J264</f>
        <v>0</v>
      </c>
      <c r="I255" s="9">
        <f>[2]หน้าผ้า!L264</f>
        <v>0</v>
      </c>
      <c r="J255" s="9">
        <f>[2]หน้าผ้า!M264</f>
        <v>0</v>
      </c>
      <c r="K255" s="9">
        <f>[2]หน้าผ้า!N264</f>
        <v>0</v>
      </c>
      <c r="L255" s="9">
        <f>[2]หน้าผ้า!R264</f>
        <v>0</v>
      </c>
      <c r="M255" s="10">
        <f>[2]หน้าผ้า!T264</f>
        <v>0</v>
      </c>
      <c r="N255" s="9">
        <f>[2]หน้าผ้า!U264</f>
        <v>0</v>
      </c>
      <c r="O255" s="9">
        <f>[2]หน้าผ้า!V264</f>
        <v>0</v>
      </c>
      <c r="P255" s="10">
        <f>[2]หน้าผ้า!AB264</f>
        <v>0</v>
      </c>
      <c r="Q255" s="10">
        <f>[2]หน้าผ้า!AC264</f>
        <v>0</v>
      </c>
      <c r="R255" s="10">
        <f>[2]หน้าผ้า!AD264</f>
        <v>0</v>
      </c>
      <c r="S255" s="9">
        <f>[2]หน้าผ้า!Z264</f>
        <v>0</v>
      </c>
      <c r="T255" s="12">
        <f>[2]หน้าผ้า!X264</f>
        <v>0</v>
      </c>
      <c r="U255" s="11">
        <f>[2]หน้าผ้า!AA264</f>
        <v>0</v>
      </c>
      <c r="V255" s="10">
        <f>[2]หน้าผ้า!AJ264</f>
        <v>0</v>
      </c>
      <c r="W255" s="10">
        <f>[2]หน้าผ้า!AL264</f>
        <v>0</v>
      </c>
      <c r="X255" s="10">
        <f>[2]หน้าผ้า!AM264</f>
        <v>0</v>
      </c>
      <c r="Y255" s="10">
        <f>[2]หน้าผ้า!AN264</f>
        <v>0</v>
      </c>
      <c r="Z255" s="9">
        <f>[2]หน้าผ้า!AO264</f>
        <v>0</v>
      </c>
      <c r="AA255" s="8">
        <f>[2]หน้าผ้า!AQ264</f>
        <v>0</v>
      </c>
      <c r="AB255" s="8">
        <f>[2]หน้าผ้า!AR264</f>
        <v>0</v>
      </c>
      <c r="AC255" s="8">
        <f>[2]หน้าผ้า!AS264</f>
        <v>0</v>
      </c>
      <c r="AD255" s="8">
        <f>[2]หน้าผ้า!AT264</f>
        <v>0</v>
      </c>
      <c r="AE255" s="8">
        <f>[2]หน้าผ้า!AU264</f>
        <v>0</v>
      </c>
      <c r="AF255" s="8">
        <f>[2]หน้าผ้า!AI264</f>
        <v>0</v>
      </c>
      <c r="AG255" s="1">
        <f>[3]หน้าผ้า!DC267</f>
        <v>0</v>
      </c>
      <c r="AH255" s="1">
        <f>[2]หน้าผ้า!DL264</f>
        <v>0</v>
      </c>
      <c r="AI255" s="1">
        <f>[2]หน้าผ้า!DM264</f>
        <v>0</v>
      </c>
      <c r="AJ255" s="3">
        <f>[2]หน้าผ้า!DN264</f>
        <v>0</v>
      </c>
      <c r="AK255" s="3">
        <f>[2]หน้าผ้า!DQ264</f>
        <v>0</v>
      </c>
      <c r="AL255" s="3">
        <f>[2]หน้าผ้า!DR264</f>
        <v>0</v>
      </c>
      <c r="AM255" s="3">
        <f>[2]หน้าผ้า!DS264</f>
        <v>0</v>
      </c>
      <c r="AN255" s="3">
        <f>[2]หน้าผ้า!DT264</f>
        <v>0</v>
      </c>
      <c r="AO255" s="3">
        <f>[2]หน้าผ้า!DU264</f>
        <v>0</v>
      </c>
      <c r="AP255" s="3">
        <f>[2]หน้าผ้า!DP264</f>
        <v>0</v>
      </c>
      <c r="AQ255" s="3">
        <f>[2]หน้าผ้า!DW264</f>
        <v>0</v>
      </c>
      <c r="AR255" s="3">
        <f>[2]หน้าผ้า!DX264</f>
        <v>0</v>
      </c>
      <c r="AS255" s="3">
        <f>[2]หน้าผ้า!DY264</f>
        <v>0</v>
      </c>
      <c r="AT255" s="3">
        <f>[2]หน้าผ้า!DZ264</f>
        <v>0</v>
      </c>
      <c r="AU255" s="3">
        <f>[2]หน้าผ้า!EA264</f>
        <v>0</v>
      </c>
      <c r="AV255" s="1">
        <f>[2]หน้าผ้า!EB264</f>
        <v>0</v>
      </c>
      <c r="AW255" s="2">
        <f>[2]หน้าผ้า!EC264</f>
        <v>0</v>
      </c>
      <c r="AX255" s="2">
        <f>[2]หน้าผ้า!ED264</f>
        <v>0</v>
      </c>
      <c r="AY255" s="2">
        <f>[2]หน้าผ้า!AG264</f>
        <v>0</v>
      </c>
      <c r="AZ255" s="2">
        <f>[2]หน้าผ้า!EG264</f>
        <v>0</v>
      </c>
      <c r="BA255" s="2">
        <f>[2]หน้าผ้า!EH264</f>
        <v>0</v>
      </c>
      <c r="BB255" s="2">
        <f>[2]หน้าผ้า!EI264</f>
        <v>0</v>
      </c>
      <c r="BC255" s="1">
        <f>[2]หน้าผ้า!BZ264</f>
        <v>0</v>
      </c>
      <c r="BD255" s="56">
        <f>[2]หน้าผ้า!CA264</f>
        <v>0</v>
      </c>
    </row>
    <row r="256" spans="1:56" ht="27.75" customHeight="1" x14ac:dyDescent="0.45">
      <c r="A256" s="3">
        <f>[2]หน้าผ้า!C265</f>
        <v>0</v>
      </c>
      <c r="B256" s="14">
        <f>[2]หน้าผ้า!B265</f>
        <v>0</v>
      </c>
      <c r="C256" s="9">
        <f>[2]หน้าผ้า!E265</f>
        <v>0</v>
      </c>
      <c r="D256" s="13">
        <f>[2]หน้าผ้า!F265</f>
        <v>0</v>
      </c>
      <c r="E256" s="9">
        <f>[2]หน้าผ้า!G265</f>
        <v>0</v>
      </c>
      <c r="F256" s="9">
        <f>[2]หน้าผ้า!H265</f>
        <v>0</v>
      </c>
      <c r="G256" s="9">
        <f>[2]หน้าผ้า!I265</f>
        <v>0</v>
      </c>
      <c r="H256" s="9">
        <f>[2]หน้าผ้า!J265</f>
        <v>0</v>
      </c>
      <c r="I256" s="9">
        <f>[2]หน้าผ้า!L265</f>
        <v>0</v>
      </c>
      <c r="J256" s="9">
        <f>[2]หน้าผ้า!M265</f>
        <v>0</v>
      </c>
      <c r="K256" s="9">
        <f>[2]หน้าผ้า!N265</f>
        <v>0</v>
      </c>
      <c r="L256" s="9">
        <f>[2]หน้าผ้า!R265</f>
        <v>0</v>
      </c>
      <c r="M256" s="10">
        <f>[2]หน้าผ้า!T265</f>
        <v>0</v>
      </c>
      <c r="N256" s="9">
        <f>[2]หน้าผ้า!U265</f>
        <v>0</v>
      </c>
      <c r="O256" s="9">
        <f>[2]หน้าผ้า!V265</f>
        <v>0</v>
      </c>
      <c r="P256" s="10">
        <f>[2]หน้าผ้า!AB265</f>
        <v>0</v>
      </c>
      <c r="Q256" s="10">
        <f>[2]หน้าผ้า!AC265</f>
        <v>0</v>
      </c>
      <c r="R256" s="10">
        <f>[2]หน้าผ้า!AD265</f>
        <v>0</v>
      </c>
      <c r="S256" s="9">
        <f>[2]หน้าผ้า!Z265</f>
        <v>0</v>
      </c>
      <c r="T256" s="12">
        <f>[2]หน้าผ้า!X265</f>
        <v>0</v>
      </c>
      <c r="U256" s="11">
        <f>[2]หน้าผ้า!AA265</f>
        <v>0</v>
      </c>
      <c r="V256" s="10">
        <f>[2]หน้าผ้า!AJ265</f>
        <v>0</v>
      </c>
      <c r="W256" s="10">
        <f>[2]หน้าผ้า!AL265</f>
        <v>0</v>
      </c>
      <c r="X256" s="10">
        <f>[2]หน้าผ้า!AM265</f>
        <v>0</v>
      </c>
      <c r="Y256" s="10">
        <f>[2]หน้าผ้า!AN265</f>
        <v>0</v>
      </c>
      <c r="Z256" s="9">
        <f>[2]หน้าผ้า!AO265</f>
        <v>0</v>
      </c>
      <c r="AA256" s="8">
        <f>[2]หน้าผ้า!AQ265</f>
        <v>0</v>
      </c>
      <c r="AB256" s="8">
        <f>[2]หน้าผ้า!AR265</f>
        <v>0</v>
      </c>
      <c r="AC256" s="8">
        <f>[2]หน้าผ้า!AS265</f>
        <v>0</v>
      </c>
      <c r="AD256" s="8">
        <f>[2]หน้าผ้า!AT265</f>
        <v>0</v>
      </c>
      <c r="AE256" s="8">
        <f>[2]หน้าผ้า!AU265</f>
        <v>0</v>
      </c>
      <c r="AF256" s="8">
        <f>[2]หน้าผ้า!AI265</f>
        <v>0</v>
      </c>
      <c r="AG256" s="1">
        <f>[3]หน้าผ้า!DC268</f>
        <v>0</v>
      </c>
      <c r="AH256" s="1">
        <f>[2]หน้าผ้า!DL265</f>
        <v>0</v>
      </c>
      <c r="AI256" s="1">
        <f>[2]หน้าผ้า!DM265</f>
        <v>0</v>
      </c>
      <c r="AJ256" s="3">
        <f>[2]หน้าผ้า!DN265</f>
        <v>0</v>
      </c>
      <c r="AK256" s="3">
        <f>[2]หน้าผ้า!DQ265</f>
        <v>0</v>
      </c>
      <c r="AL256" s="3">
        <f>[2]หน้าผ้า!DR265</f>
        <v>0</v>
      </c>
      <c r="AM256" s="3">
        <f>[2]หน้าผ้า!DS265</f>
        <v>0</v>
      </c>
      <c r="AN256" s="3">
        <f>[2]หน้าผ้า!DT265</f>
        <v>0</v>
      </c>
      <c r="AO256" s="3">
        <f>[2]หน้าผ้า!DU265</f>
        <v>0</v>
      </c>
      <c r="AP256" s="3">
        <f>[2]หน้าผ้า!DP265</f>
        <v>0</v>
      </c>
      <c r="AQ256" s="3">
        <f>[2]หน้าผ้า!DW265</f>
        <v>0</v>
      </c>
      <c r="AR256" s="3">
        <f>[2]หน้าผ้า!DX265</f>
        <v>0</v>
      </c>
      <c r="AS256" s="3">
        <f>[2]หน้าผ้า!DY265</f>
        <v>0</v>
      </c>
      <c r="AT256" s="3">
        <f>[2]หน้าผ้า!DZ265</f>
        <v>0</v>
      </c>
      <c r="AU256" s="3">
        <f>[2]หน้าผ้า!EA265</f>
        <v>0</v>
      </c>
      <c r="AV256" s="1">
        <f>[2]หน้าผ้า!EB265</f>
        <v>0</v>
      </c>
      <c r="AW256" s="2">
        <f>[2]หน้าผ้า!EC265</f>
        <v>0</v>
      </c>
      <c r="AX256" s="2">
        <f>[2]หน้าผ้า!ED265</f>
        <v>0</v>
      </c>
      <c r="AY256" s="2">
        <f>[2]หน้าผ้า!AG265</f>
        <v>0</v>
      </c>
      <c r="AZ256" s="2">
        <f>[2]หน้าผ้า!EG265</f>
        <v>0</v>
      </c>
      <c r="BA256" s="2">
        <f>[2]หน้าผ้า!EH265</f>
        <v>0</v>
      </c>
      <c r="BB256" s="2">
        <f>[2]หน้าผ้า!EI265</f>
        <v>0</v>
      </c>
      <c r="BC256" s="1">
        <f>[2]หน้าผ้า!BZ265</f>
        <v>0</v>
      </c>
      <c r="BD256" s="56">
        <f>[2]หน้าผ้า!CA265</f>
        <v>0</v>
      </c>
    </row>
    <row r="257" spans="1:56" ht="27.75" customHeight="1" x14ac:dyDescent="0.45">
      <c r="A257" s="3">
        <f>[2]หน้าผ้า!C266</f>
        <v>0</v>
      </c>
      <c r="B257" s="14">
        <f>[2]หน้าผ้า!B266</f>
        <v>0</v>
      </c>
      <c r="C257" s="9">
        <f>[2]หน้าผ้า!E266</f>
        <v>0</v>
      </c>
      <c r="D257" s="13">
        <f>[2]หน้าผ้า!F266</f>
        <v>0</v>
      </c>
      <c r="E257" s="9">
        <f>[2]หน้าผ้า!G266</f>
        <v>0</v>
      </c>
      <c r="F257" s="9">
        <f>[2]หน้าผ้า!H266</f>
        <v>0</v>
      </c>
      <c r="G257" s="9">
        <f>[2]หน้าผ้า!I266</f>
        <v>0</v>
      </c>
      <c r="H257" s="9">
        <f>[2]หน้าผ้า!J266</f>
        <v>0</v>
      </c>
      <c r="I257" s="9">
        <f>[2]หน้าผ้า!L266</f>
        <v>0</v>
      </c>
      <c r="J257" s="9">
        <f>[2]หน้าผ้า!M266</f>
        <v>0</v>
      </c>
      <c r="K257" s="9">
        <f>[2]หน้าผ้า!N266</f>
        <v>0</v>
      </c>
      <c r="L257" s="9">
        <f>[2]หน้าผ้า!R266</f>
        <v>0</v>
      </c>
      <c r="M257" s="10">
        <f>[2]หน้าผ้า!T266</f>
        <v>0</v>
      </c>
      <c r="N257" s="9">
        <f>[2]หน้าผ้า!U266</f>
        <v>0</v>
      </c>
      <c r="O257" s="9">
        <f>[2]หน้าผ้า!V266</f>
        <v>0</v>
      </c>
      <c r="P257" s="10">
        <f>[2]หน้าผ้า!AB266</f>
        <v>0</v>
      </c>
      <c r="Q257" s="10">
        <f>[2]หน้าผ้า!AC266</f>
        <v>0</v>
      </c>
      <c r="R257" s="10">
        <f>[2]หน้าผ้า!AD266</f>
        <v>0</v>
      </c>
      <c r="S257" s="9">
        <f>[2]หน้าผ้า!Z266</f>
        <v>0</v>
      </c>
      <c r="T257" s="12">
        <f>[2]หน้าผ้า!X266</f>
        <v>0</v>
      </c>
      <c r="U257" s="11">
        <f>[2]หน้าผ้า!AA266</f>
        <v>0</v>
      </c>
      <c r="V257" s="10">
        <f>[2]หน้าผ้า!AJ266</f>
        <v>0</v>
      </c>
      <c r="W257" s="10">
        <f>[2]หน้าผ้า!AL266</f>
        <v>0</v>
      </c>
      <c r="X257" s="10">
        <f>[2]หน้าผ้า!AM266</f>
        <v>0</v>
      </c>
      <c r="Y257" s="10">
        <f>[2]หน้าผ้า!AN266</f>
        <v>0</v>
      </c>
      <c r="Z257" s="9">
        <f>[2]หน้าผ้า!AO266</f>
        <v>0</v>
      </c>
      <c r="AA257" s="8">
        <f>[2]หน้าผ้า!AQ266</f>
        <v>0</v>
      </c>
      <c r="AB257" s="8">
        <f>[2]หน้าผ้า!AR266</f>
        <v>0</v>
      </c>
      <c r="AC257" s="8">
        <f>[2]หน้าผ้า!AS266</f>
        <v>0</v>
      </c>
      <c r="AD257" s="8">
        <f>[2]หน้าผ้า!AT266</f>
        <v>0</v>
      </c>
      <c r="AE257" s="8">
        <f>[2]หน้าผ้า!AU266</f>
        <v>0</v>
      </c>
      <c r="AF257" s="8">
        <f>[2]หน้าผ้า!AI266</f>
        <v>0</v>
      </c>
      <c r="AG257" s="1">
        <f>[3]หน้าผ้า!DC269</f>
        <v>0</v>
      </c>
      <c r="AH257" s="1">
        <f>[2]หน้าผ้า!DL266</f>
        <v>0</v>
      </c>
      <c r="AI257" s="1">
        <f>[2]หน้าผ้า!DM266</f>
        <v>0</v>
      </c>
      <c r="AJ257" s="3">
        <f>[2]หน้าผ้า!DN266</f>
        <v>0</v>
      </c>
      <c r="AK257" s="3">
        <f>[2]หน้าผ้า!DQ266</f>
        <v>0</v>
      </c>
      <c r="AL257" s="3">
        <f>[2]หน้าผ้า!DR266</f>
        <v>0</v>
      </c>
      <c r="AM257" s="3">
        <f>[2]หน้าผ้า!DS266</f>
        <v>0</v>
      </c>
      <c r="AN257" s="3">
        <f>[2]หน้าผ้า!DT266</f>
        <v>0</v>
      </c>
      <c r="AO257" s="3">
        <f>[2]หน้าผ้า!DU266</f>
        <v>0</v>
      </c>
      <c r="AP257" s="3">
        <f>[2]หน้าผ้า!DP266</f>
        <v>0</v>
      </c>
      <c r="AQ257" s="3">
        <f>[2]หน้าผ้า!DW266</f>
        <v>0</v>
      </c>
      <c r="AR257" s="3">
        <f>[2]หน้าผ้า!DX266</f>
        <v>0</v>
      </c>
      <c r="AS257" s="3">
        <f>[2]หน้าผ้า!DY266</f>
        <v>0</v>
      </c>
      <c r="AT257" s="3">
        <f>[2]หน้าผ้า!DZ266</f>
        <v>0</v>
      </c>
      <c r="AU257" s="3">
        <f>[2]หน้าผ้า!EA266</f>
        <v>0</v>
      </c>
      <c r="AV257" s="1">
        <f>[2]หน้าผ้า!EB266</f>
        <v>0</v>
      </c>
      <c r="AW257" s="2">
        <f>[2]หน้าผ้า!EC266</f>
        <v>0</v>
      </c>
      <c r="AX257" s="2">
        <f>[2]หน้าผ้า!ED266</f>
        <v>0</v>
      </c>
      <c r="AY257" s="2">
        <f>[2]หน้าผ้า!AG266</f>
        <v>0</v>
      </c>
      <c r="AZ257" s="2">
        <f>[2]หน้าผ้า!EG266</f>
        <v>0</v>
      </c>
      <c r="BA257" s="2">
        <f>[2]หน้าผ้า!EH266</f>
        <v>0</v>
      </c>
      <c r="BB257" s="2">
        <f>[2]หน้าผ้า!EI266</f>
        <v>0</v>
      </c>
      <c r="BC257" s="1">
        <f>[2]หน้าผ้า!BZ266</f>
        <v>0</v>
      </c>
      <c r="BD257" s="56">
        <f>[2]หน้าผ้า!CA266</f>
        <v>0</v>
      </c>
    </row>
    <row r="258" spans="1:56" ht="27.75" customHeight="1" x14ac:dyDescent="0.45">
      <c r="A258" s="3">
        <f>[2]หน้าผ้า!C267</f>
        <v>0</v>
      </c>
      <c r="B258" s="14">
        <f>[2]หน้าผ้า!B267</f>
        <v>0</v>
      </c>
      <c r="C258" s="9">
        <f>[2]หน้าผ้า!E267</f>
        <v>0</v>
      </c>
      <c r="D258" s="13">
        <f>[2]หน้าผ้า!F267</f>
        <v>0</v>
      </c>
      <c r="E258" s="9">
        <f>[2]หน้าผ้า!G267</f>
        <v>0</v>
      </c>
      <c r="F258" s="9">
        <f>[2]หน้าผ้า!H267</f>
        <v>0</v>
      </c>
      <c r="G258" s="9">
        <f>[2]หน้าผ้า!I267</f>
        <v>0</v>
      </c>
      <c r="H258" s="9">
        <f>[2]หน้าผ้า!J267</f>
        <v>0</v>
      </c>
      <c r="I258" s="9">
        <f>[2]หน้าผ้า!L267</f>
        <v>0</v>
      </c>
      <c r="J258" s="9">
        <f>[2]หน้าผ้า!M267</f>
        <v>0</v>
      </c>
      <c r="K258" s="9">
        <f>[2]หน้าผ้า!N267</f>
        <v>0</v>
      </c>
      <c r="L258" s="9">
        <f>[2]หน้าผ้า!R267</f>
        <v>0</v>
      </c>
      <c r="M258" s="10">
        <f>[2]หน้าผ้า!T267</f>
        <v>0</v>
      </c>
      <c r="N258" s="9">
        <f>[2]หน้าผ้า!U267</f>
        <v>0</v>
      </c>
      <c r="O258" s="9">
        <f>[2]หน้าผ้า!V267</f>
        <v>0</v>
      </c>
      <c r="P258" s="10">
        <f>[2]หน้าผ้า!AB267</f>
        <v>0</v>
      </c>
      <c r="Q258" s="10">
        <f>[2]หน้าผ้า!AC267</f>
        <v>0</v>
      </c>
      <c r="R258" s="10">
        <f>[2]หน้าผ้า!AD267</f>
        <v>0</v>
      </c>
      <c r="S258" s="9">
        <f>[2]หน้าผ้า!Z267</f>
        <v>0</v>
      </c>
      <c r="T258" s="12">
        <f>[2]หน้าผ้า!X267</f>
        <v>0</v>
      </c>
      <c r="U258" s="11">
        <f>[2]หน้าผ้า!AA267</f>
        <v>0</v>
      </c>
      <c r="V258" s="10">
        <f>[2]หน้าผ้า!AJ267</f>
        <v>0</v>
      </c>
      <c r="W258" s="10">
        <f>[2]หน้าผ้า!AL267</f>
        <v>0</v>
      </c>
      <c r="X258" s="10">
        <f>[2]หน้าผ้า!AM267</f>
        <v>0</v>
      </c>
      <c r="Y258" s="10">
        <f>[2]หน้าผ้า!AN267</f>
        <v>0</v>
      </c>
      <c r="Z258" s="9">
        <f>[2]หน้าผ้า!AO267</f>
        <v>0</v>
      </c>
      <c r="AA258" s="8">
        <f>[2]หน้าผ้า!AQ267</f>
        <v>0</v>
      </c>
      <c r="AB258" s="8">
        <f>[2]หน้าผ้า!AR267</f>
        <v>0</v>
      </c>
      <c r="AC258" s="8">
        <f>[2]หน้าผ้า!AS267</f>
        <v>0</v>
      </c>
      <c r="AD258" s="8">
        <f>[2]หน้าผ้า!AT267</f>
        <v>0</v>
      </c>
      <c r="AE258" s="8">
        <f>[2]หน้าผ้า!AU267</f>
        <v>0</v>
      </c>
      <c r="AF258" s="8">
        <f>[2]หน้าผ้า!AI267</f>
        <v>0</v>
      </c>
      <c r="AG258" s="1">
        <f>[3]หน้าผ้า!DC270</f>
        <v>0</v>
      </c>
      <c r="AH258" s="1">
        <f>[2]หน้าผ้า!DL267</f>
        <v>0</v>
      </c>
      <c r="AI258" s="1">
        <f>[2]หน้าผ้า!DM267</f>
        <v>0</v>
      </c>
      <c r="AJ258" s="3">
        <f>[2]หน้าผ้า!DN267</f>
        <v>0</v>
      </c>
      <c r="AK258" s="3">
        <f>[2]หน้าผ้า!DQ267</f>
        <v>0</v>
      </c>
      <c r="AL258" s="3">
        <f>[2]หน้าผ้า!DR267</f>
        <v>0</v>
      </c>
      <c r="AM258" s="3">
        <f>[2]หน้าผ้า!DS267</f>
        <v>0</v>
      </c>
      <c r="AN258" s="3">
        <f>[2]หน้าผ้า!DT267</f>
        <v>0</v>
      </c>
      <c r="AO258" s="3">
        <f>[2]หน้าผ้า!DU267</f>
        <v>0</v>
      </c>
      <c r="AP258" s="3">
        <f>[2]หน้าผ้า!DP267</f>
        <v>0</v>
      </c>
      <c r="AQ258" s="3">
        <f>[2]หน้าผ้า!DW267</f>
        <v>0</v>
      </c>
      <c r="AR258" s="3">
        <f>[2]หน้าผ้า!DX267</f>
        <v>0</v>
      </c>
      <c r="AS258" s="3">
        <f>[2]หน้าผ้า!DY267</f>
        <v>0</v>
      </c>
      <c r="AT258" s="3">
        <f>[2]หน้าผ้า!DZ267</f>
        <v>0</v>
      </c>
      <c r="AU258" s="3">
        <f>[2]หน้าผ้า!EA267</f>
        <v>0</v>
      </c>
      <c r="AV258" s="1">
        <f>[2]หน้าผ้า!EB267</f>
        <v>0</v>
      </c>
      <c r="AW258" s="2">
        <f>[2]หน้าผ้า!EC267</f>
        <v>0</v>
      </c>
      <c r="AX258" s="2">
        <f>[2]หน้าผ้า!ED267</f>
        <v>0</v>
      </c>
      <c r="AY258" s="2">
        <f>[2]หน้าผ้า!AG267</f>
        <v>0</v>
      </c>
      <c r="AZ258" s="2">
        <f>[2]หน้าผ้า!EG267</f>
        <v>0</v>
      </c>
      <c r="BA258" s="2">
        <f>[2]หน้าผ้า!EH267</f>
        <v>0</v>
      </c>
      <c r="BB258" s="2">
        <f>[2]หน้าผ้า!EI267</f>
        <v>0</v>
      </c>
      <c r="BC258" s="1">
        <f>[2]หน้าผ้า!BZ267</f>
        <v>0</v>
      </c>
      <c r="BD258" s="56">
        <f>[2]หน้าผ้า!CA267</f>
        <v>0</v>
      </c>
    </row>
    <row r="259" spans="1:56" ht="27.75" customHeight="1" x14ac:dyDescent="0.45">
      <c r="A259" s="3">
        <f>[2]หน้าผ้า!C268</f>
        <v>0</v>
      </c>
      <c r="B259" s="14">
        <f>[2]หน้าผ้า!B268</f>
        <v>0</v>
      </c>
      <c r="C259" s="9">
        <f>[2]หน้าผ้า!E268</f>
        <v>0</v>
      </c>
      <c r="D259" s="13">
        <f>[2]หน้าผ้า!F268</f>
        <v>0</v>
      </c>
      <c r="E259" s="9">
        <f>[2]หน้าผ้า!G268</f>
        <v>0</v>
      </c>
      <c r="F259" s="9">
        <f>[2]หน้าผ้า!H268</f>
        <v>0</v>
      </c>
      <c r="G259" s="9">
        <f>[2]หน้าผ้า!I268</f>
        <v>0</v>
      </c>
      <c r="H259" s="9">
        <f>[2]หน้าผ้า!J268</f>
        <v>0</v>
      </c>
      <c r="I259" s="9">
        <f>[2]หน้าผ้า!L268</f>
        <v>0</v>
      </c>
      <c r="J259" s="9">
        <f>[2]หน้าผ้า!M268</f>
        <v>0</v>
      </c>
      <c r="K259" s="9">
        <f>[2]หน้าผ้า!N268</f>
        <v>0</v>
      </c>
      <c r="L259" s="9">
        <f>[2]หน้าผ้า!R268</f>
        <v>0</v>
      </c>
      <c r="M259" s="10">
        <f>[2]หน้าผ้า!T268</f>
        <v>0</v>
      </c>
      <c r="N259" s="9">
        <f>[2]หน้าผ้า!U268</f>
        <v>0</v>
      </c>
      <c r="O259" s="9">
        <f>[2]หน้าผ้า!V268</f>
        <v>0</v>
      </c>
      <c r="P259" s="10">
        <f>[2]หน้าผ้า!AB268</f>
        <v>0</v>
      </c>
      <c r="Q259" s="10">
        <f>[2]หน้าผ้า!AC268</f>
        <v>0</v>
      </c>
      <c r="R259" s="10">
        <f>[2]หน้าผ้า!AD268</f>
        <v>0</v>
      </c>
      <c r="S259" s="9">
        <f>[2]หน้าผ้า!Z268</f>
        <v>0</v>
      </c>
      <c r="T259" s="12">
        <f>[2]หน้าผ้า!X268</f>
        <v>0</v>
      </c>
      <c r="U259" s="11">
        <f>[2]หน้าผ้า!AA268</f>
        <v>0</v>
      </c>
      <c r="V259" s="10">
        <f>[2]หน้าผ้า!AJ268</f>
        <v>0</v>
      </c>
      <c r="W259" s="10">
        <f>[2]หน้าผ้า!AL268</f>
        <v>0</v>
      </c>
      <c r="X259" s="10">
        <f>[2]หน้าผ้า!AM268</f>
        <v>0</v>
      </c>
      <c r="Y259" s="10">
        <f>[2]หน้าผ้า!AN268</f>
        <v>0</v>
      </c>
      <c r="Z259" s="9">
        <f>[2]หน้าผ้า!AO268</f>
        <v>0</v>
      </c>
      <c r="AA259" s="8">
        <f>[2]หน้าผ้า!AQ268</f>
        <v>0</v>
      </c>
      <c r="AB259" s="8">
        <f>[2]หน้าผ้า!AR268</f>
        <v>0</v>
      </c>
      <c r="AC259" s="8">
        <f>[2]หน้าผ้า!AS268</f>
        <v>0</v>
      </c>
      <c r="AD259" s="8">
        <f>[2]หน้าผ้า!AT268</f>
        <v>0</v>
      </c>
      <c r="AE259" s="8">
        <f>[2]หน้าผ้า!AU268</f>
        <v>0</v>
      </c>
      <c r="AF259" s="8">
        <f>[2]หน้าผ้า!AI268</f>
        <v>0</v>
      </c>
      <c r="AG259" s="1">
        <f>[3]หน้าผ้า!DC271</f>
        <v>0</v>
      </c>
      <c r="AH259" s="1">
        <f>[2]หน้าผ้า!DL268</f>
        <v>0</v>
      </c>
      <c r="AI259" s="1">
        <f>[2]หน้าผ้า!DM268</f>
        <v>0</v>
      </c>
      <c r="AJ259" s="3">
        <f>[2]หน้าผ้า!DN268</f>
        <v>0</v>
      </c>
      <c r="AK259" s="3">
        <f>[2]หน้าผ้า!DQ268</f>
        <v>0</v>
      </c>
      <c r="AL259" s="3">
        <f>[2]หน้าผ้า!DR268</f>
        <v>0</v>
      </c>
      <c r="AM259" s="3">
        <f>[2]หน้าผ้า!DS268</f>
        <v>0</v>
      </c>
      <c r="AN259" s="3">
        <f>[2]หน้าผ้า!DT268</f>
        <v>0</v>
      </c>
      <c r="AO259" s="3">
        <f>[2]หน้าผ้า!DU268</f>
        <v>0</v>
      </c>
      <c r="AP259" s="3">
        <f>[2]หน้าผ้า!DP268</f>
        <v>0</v>
      </c>
      <c r="AQ259" s="3">
        <f>[2]หน้าผ้า!DW268</f>
        <v>0</v>
      </c>
      <c r="AR259" s="3">
        <f>[2]หน้าผ้า!DX268</f>
        <v>0</v>
      </c>
      <c r="AS259" s="3">
        <f>[2]หน้าผ้า!DY268</f>
        <v>0</v>
      </c>
      <c r="AT259" s="3">
        <f>[2]หน้าผ้า!DZ268</f>
        <v>0</v>
      </c>
      <c r="AU259" s="3">
        <f>[2]หน้าผ้า!EA268</f>
        <v>0</v>
      </c>
      <c r="AV259" s="1">
        <f>[2]หน้าผ้า!EB268</f>
        <v>0</v>
      </c>
      <c r="AW259" s="2">
        <f>[2]หน้าผ้า!EC268</f>
        <v>0</v>
      </c>
      <c r="AX259" s="2">
        <f>[2]หน้าผ้า!ED268</f>
        <v>0</v>
      </c>
      <c r="AY259" s="2">
        <f>[2]หน้าผ้า!AG268</f>
        <v>0</v>
      </c>
      <c r="AZ259" s="2">
        <f>[2]หน้าผ้า!EG268</f>
        <v>0</v>
      </c>
      <c r="BA259" s="2">
        <f>[2]หน้าผ้า!EH268</f>
        <v>0</v>
      </c>
      <c r="BB259" s="2">
        <f>[2]หน้าผ้า!EI268</f>
        <v>0</v>
      </c>
      <c r="BC259" s="1">
        <f>[2]หน้าผ้า!BZ268</f>
        <v>0</v>
      </c>
      <c r="BD259" s="56">
        <f>[2]หน้าผ้า!CA268</f>
        <v>0</v>
      </c>
    </row>
    <row r="260" spans="1:56" ht="27.75" customHeight="1" x14ac:dyDescent="0.45">
      <c r="A260" s="3">
        <f>[2]หน้าผ้า!C269</f>
        <v>0</v>
      </c>
      <c r="B260" s="14">
        <f>[2]หน้าผ้า!B269</f>
        <v>0</v>
      </c>
      <c r="C260" s="9">
        <f>[2]หน้าผ้า!E269</f>
        <v>0</v>
      </c>
      <c r="D260" s="13">
        <f>[2]หน้าผ้า!F269</f>
        <v>0</v>
      </c>
      <c r="E260" s="9">
        <f>[2]หน้าผ้า!G269</f>
        <v>0</v>
      </c>
      <c r="F260" s="9">
        <f>[2]หน้าผ้า!H269</f>
        <v>0</v>
      </c>
      <c r="G260" s="9">
        <f>[2]หน้าผ้า!I269</f>
        <v>0</v>
      </c>
      <c r="H260" s="9">
        <f>[2]หน้าผ้า!J269</f>
        <v>0</v>
      </c>
      <c r="I260" s="9">
        <f>[2]หน้าผ้า!L269</f>
        <v>0</v>
      </c>
      <c r="J260" s="9">
        <f>[2]หน้าผ้า!M269</f>
        <v>0</v>
      </c>
      <c r="K260" s="9">
        <f>[2]หน้าผ้า!N269</f>
        <v>0</v>
      </c>
      <c r="L260" s="9">
        <f>[2]หน้าผ้า!R269</f>
        <v>0</v>
      </c>
      <c r="M260" s="10">
        <f>[2]หน้าผ้า!T269</f>
        <v>0</v>
      </c>
      <c r="N260" s="9">
        <f>[2]หน้าผ้า!U269</f>
        <v>0</v>
      </c>
      <c r="O260" s="9">
        <f>[2]หน้าผ้า!V269</f>
        <v>0</v>
      </c>
      <c r="P260" s="10">
        <f>[2]หน้าผ้า!AB269</f>
        <v>0</v>
      </c>
      <c r="Q260" s="10">
        <f>[2]หน้าผ้า!AC269</f>
        <v>0</v>
      </c>
      <c r="R260" s="10">
        <f>[2]หน้าผ้า!AD269</f>
        <v>0</v>
      </c>
      <c r="S260" s="9">
        <f>[2]หน้าผ้า!Z269</f>
        <v>0</v>
      </c>
      <c r="T260" s="12">
        <f>[2]หน้าผ้า!X269</f>
        <v>0</v>
      </c>
      <c r="U260" s="11">
        <f>[2]หน้าผ้า!AA269</f>
        <v>0</v>
      </c>
      <c r="V260" s="10">
        <f>[2]หน้าผ้า!AJ269</f>
        <v>0</v>
      </c>
      <c r="W260" s="10">
        <f>[2]หน้าผ้า!AL269</f>
        <v>0</v>
      </c>
      <c r="X260" s="10">
        <f>[2]หน้าผ้า!AM269</f>
        <v>0</v>
      </c>
      <c r="Y260" s="10">
        <f>[2]หน้าผ้า!AN269</f>
        <v>0</v>
      </c>
      <c r="Z260" s="9">
        <f>[2]หน้าผ้า!AO269</f>
        <v>0</v>
      </c>
      <c r="AA260" s="8">
        <f>[2]หน้าผ้า!AQ269</f>
        <v>0</v>
      </c>
      <c r="AB260" s="8">
        <f>[2]หน้าผ้า!AR269</f>
        <v>0</v>
      </c>
      <c r="AC260" s="8">
        <f>[2]หน้าผ้า!AS269</f>
        <v>0</v>
      </c>
      <c r="AD260" s="8">
        <f>[2]หน้าผ้า!AT269</f>
        <v>0</v>
      </c>
      <c r="AE260" s="8">
        <f>[2]หน้าผ้า!AU269</f>
        <v>0</v>
      </c>
      <c r="AF260" s="8">
        <f>[2]หน้าผ้า!AI269</f>
        <v>0</v>
      </c>
      <c r="AG260" s="1">
        <f>[3]หน้าผ้า!DC272</f>
        <v>0</v>
      </c>
      <c r="AH260" s="1">
        <f>[2]หน้าผ้า!DL269</f>
        <v>0</v>
      </c>
      <c r="AI260" s="1">
        <f>[2]หน้าผ้า!DM269</f>
        <v>0</v>
      </c>
      <c r="AJ260" s="3">
        <f>[2]หน้าผ้า!DN269</f>
        <v>0</v>
      </c>
      <c r="AK260" s="3">
        <f>[2]หน้าผ้า!DQ269</f>
        <v>0</v>
      </c>
      <c r="AL260" s="3">
        <f>[2]หน้าผ้า!DR269</f>
        <v>0</v>
      </c>
      <c r="AM260" s="3">
        <f>[2]หน้าผ้า!DS269</f>
        <v>0</v>
      </c>
      <c r="AN260" s="3">
        <f>[2]หน้าผ้า!DT269</f>
        <v>0</v>
      </c>
      <c r="AO260" s="3">
        <f>[2]หน้าผ้า!DU269</f>
        <v>0</v>
      </c>
      <c r="AP260" s="3">
        <f>[2]หน้าผ้า!DP269</f>
        <v>0</v>
      </c>
      <c r="AQ260" s="3">
        <f>[2]หน้าผ้า!DW269</f>
        <v>0</v>
      </c>
      <c r="AR260" s="3">
        <f>[2]หน้าผ้า!DX269</f>
        <v>0</v>
      </c>
      <c r="AS260" s="3">
        <f>[2]หน้าผ้า!DY269</f>
        <v>0</v>
      </c>
      <c r="AT260" s="3">
        <f>[2]หน้าผ้า!DZ269</f>
        <v>0</v>
      </c>
      <c r="AU260" s="3">
        <f>[2]หน้าผ้า!EA269</f>
        <v>0</v>
      </c>
      <c r="AV260" s="1">
        <f>[2]หน้าผ้า!EB269</f>
        <v>0</v>
      </c>
      <c r="AW260" s="2">
        <f>[2]หน้าผ้า!EC269</f>
        <v>0</v>
      </c>
      <c r="AX260" s="2">
        <f>[2]หน้าผ้า!ED269</f>
        <v>0</v>
      </c>
      <c r="AY260" s="2">
        <f>[2]หน้าผ้า!AG269</f>
        <v>0</v>
      </c>
      <c r="AZ260" s="2">
        <f>[2]หน้าผ้า!EG269</f>
        <v>0</v>
      </c>
      <c r="BA260" s="2">
        <f>[2]หน้าผ้า!EH269</f>
        <v>0</v>
      </c>
      <c r="BB260" s="2">
        <f>[2]หน้าผ้า!EI269</f>
        <v>0</v>
      </c>
      <c r="BC260" s="1">
        <f>[2]หน้าผ้า!BZ269</f>
        <v>0</v>
      </c>
      <c r="BD260" s="56">
        <f>[2]หน้าผ้า!CA269</f>
        <v>0</v>
      </c>
    </row>
    <row r="261" spans="1:56" ht="27.75" customHeight="1" x14ac:dyDescent="0.45">
      <c r="A261" s="3">
        <f>[2]หน้าผ้า!C270</f>
        <v>0</v>
      </c>
      <c r="B261" s="14">
        <f>[2]หน้าผ้า!B270</f>
        <v>0</v>
      </c>
      <c r="C261" s="9">
        <f>[2]หน้าผ้า!E270</f>
        <v>0</v>
      </c>
      <c r="D261" s="13">
        <f>[2]หน้าผ้า!F270</f>
        <v>0</v>
      </c>
      <c r="E261" s="9">
        <f>[2]หน้าผ้า!G270</f>
        <v>0</v>
      </c>
      <c r="F261" s="9">
        <f>[2]หน้าผ้า!H270</f>
        <v>0</v>
      </c>
      <c r="G261" s="9">
        <f>[2]หน้าผ้า!I270</f>
        <v>0</v>
      </c>
      <c r="H261" s="9">
        <f>[2]หน้าผ้า!J270</f>
        <v>0</v>
      </c>
      <c r="I261" s="9">
        <f>[2]หน้าผ้า!L270</f>
        <v>0</v>
      </c>
      <c r="J261" s="9">
        <f>[2]หน้าผ้า!M270</f>
        <v>0</v>
      </c>
      <c r="K261" s="9">
        <f>[2]หน้าผ้า!N270</f>
        <v>0</v>
      </c>
      <c r="L261" s="9">
        <f>[2]หน้าผ้า!R270</f>
        <v>0</v>
      </c>
      <c r="M261" s="10">
        <f>[2]หน้าผ้า!T270</f>
        <v>0</v>
      </c>
      <c r="N261" s="9">
        <f>[2]หน้าผ้า!U270</f>
        <v>0</v>
      </c>
      <c r="O261" s="9">
        <f>[2]หน้าผ้า!V270</f>
        <v>0</v>
      </c>
      <c r="P261" s="10">
        <f>[2]หน้าผ้า!AB270</f>
        <v>0</v>
      </c>
      <c r="Q261" s="10">
        <f>[2]หน้าผ้า!AC270</f>
        <v>0</v>
      </c>
      <c r="R261" s="10">
        <f>[2]หน้าผ้า!AD270</f>
        <v>0</v>
      </c>
      <c r="S261" s="9">
        <f>[2]หน้าผ้า!Z270</f>
        <v>0</v>
      </c>
      <c r="T261" s="12">
        <f>[2]หน้าผ้า!X270</f>
        <v>0</v>
      </c>
      <c r="U261" s="11">
        <f>[2]หน้าผ้า!AA270</f>
        <v>0</v>
      </c>
      <c r="V261" s="10">
        <f>[2]หน้าผ้า!AJ270</f>
        <v>0</v>
      </c>
      <c r="W261" s="10">
        <f>[2]หน้าผ้า!AL270</f>
        <v>0</v>
      </c>
      <c r="X261" s="10">
        <f>[2]หน้าผ้า!AM270</f>
        <v>0</v>
      </c>
      <c r="Y261" s="10">
        <f>[2]หน้าผ้า!AN270</f>
        <v>0</v>
      </c>
      <c r="Z261" s="9">
        <f>[2]หน้าผ้า!AO270</f>
        <v>0</v>
      </c>
      <c r="AA261" s="8">
        <f>[2]หน้าผ้า!AQ270</f>
        <v>0</v>
      </c>
      <c r="AB261" s="8">
        <f>[2]หน้าผ้า!AR270</f>
        <v>0</v>
      </c>
      <c r="AC261" s="8">
        <f>[2]หน้าผ้า!AS270</f>
        <v>0</v>
      </c>
      <c r="AD261" s="8">
        <f>[2]หน้าผ้า!AT270</f>
        <v>0</v>
      </c>
      <c r="AE261" s="8">
        <f>[2]หน้าผ้า!AU270</f>
        <v>0</v>
      </c>
      <c r="AF261" s="8">
        <f>[2]หน้าผ้า!AI270</f>
        <v>0</v>
      </c>
      <c r="AG261" s="1">
        <f>[3]หน้าผ้า!DC273</f>
        <v>0</v>
      </c>
      <c r="AH261" s="1">
        <f>[2]หน้าผ้า!DL270</f>
        <v>0</v>
      </c>
      <c r="AI261" s="1">
        <f>[2]หน้าผ้า!DM270</f>
        <v>0</v>
      </c>
      <c r="AJ261" s="3">
        <f>[2]หน้าผ้า!DN270</f>
        <v>0</v>
      </c>
      <c r="AK261" s="3">
        <f>[2]หน้าผ้า!DQ270</f>
        <v>0</v>
      </c>
      <c r="AL261" s="3">
        <f>[2]หน้าผ้า!DR270</f>
        <v>0</v>
      </c>
      <c r="AM261" s="3">
        <f>[2]หน้าผ้า!DS270</f>
        <v>0</v>
      </c>
      <c r="AN261" s="3">
        <f>[2]หน้าผ้า!DT270</f>
        <v>0</v>
      </c>
      <c r="AO261" s="3">
        <f>[2]หน้าผ้า!DU270</f>
        <v>0</v>
      </c>
      <c r="AP261" s="3">
        <f>[2]หน้าผ้า!DP270</f>
        <v>0</v>
      </c>
      <c r="AQ261" s="3">
        <f>[2]หน้าผ้า!DW270</f>
        <v>0</v>
      </c>
      <c r="AR261" s="3">
        <f>[2]หน้าผ้า!DX270</f>
        <v>0</v>
      </c>
      <c r="AS261" s="3">
        <f>[2]หน้าผ้า!DY270</f>
        <v>0</v>
      </c>
      <c r="AT261" s="3">
        <f>[2]หน้าผ้า!DZ270</f>
        <v>0</v>
      </c>
      <c r="AU261" s="3">
        <f>[2]หน้าผ้า!EA270</f>
        <v>0</v>
      </c>
      <c r="AV261" s="1">
        <f>[2]หน้าผ้า!EB270</f>
        <v>0</v>
      </c>
      <c r="AW261" s="2">
        <f>[2]หน้าผ้า!EC270</f>
        <v>0</v>
      </c>
      <c r="AX261" s="2">
        <f>[2]หน้าผ้า!ED270</f>
        <v>0</v>
      </c>
      <c r="AY261" s="2">
        <f>[2]หน้าผ้า!AG270</f>
        <v>0</v>
      </c>
      <c r="AZ261" s="2">
        <f>[2]หน้าผ้า!EG270</f>
        <v>0</v>
      </c>
      <c r="BA261" s="2">
        <f>[2]หน้าผ้า!EH270</f>
        <v>0</v>
      </c>
      <c r="BB261" s="2">
        <f>[2]หน้าผ้า!EI270</f>
        <v>0</v>
      </c>
      <c r="BC261" s="1">
        <f>[2]หน้าผ้า!BZ270</f>
        <v>0</v>
      </c>
      <c r="BD261" s="56">
        <f>[2]หน้าผ้า!CA270</f>
        <v>0</v>
      </c>
    </row>
    <row r="262" spans="1:56" ht="27.75" customHeight="1" x14ac:dyDescent="0.45">
      <c r="A262" s="3">
        <f>[2]หน้าผ้า!C271</f>
        <v>0</v>
      </c>
      <c r="B262" s="14">
        <f>[2]หน้าผ้า!B271</f>
        <v>0</v>
      </c>
      <c r="C262" s="9">
        <f>[2]หน้าผ้า!E271</f>
        <v>0</v>
      </c>
      <c r="D262" s="13">
        <f>[2]หน้าผ้า!F271</f>
        <v>0</v>
      </c>
      <c r="E262" s="9">
        <f>[2]หน้าผ้า!G271</f>
        <v>0</v>
      </c>
      <c r="F262" s="9">
        <f>[2]หน้าผ้า!H271</f>
        <v>0</v>
      </c>
      <c r="G262" s="9">
        <f>[2]หน้าผ้า!I271</f>
        <v>0</v>
      </c>
      <c r="H262" s="9">
        <f>[2]หน้าผ้า!J271</f>
        <v>0</v>
      </c>
      <c r="I262" s="9">
        <f>[2]หน้าผ้า!L271</f>
        <v>0</v>
      </c>
      <c r="J262" s="9">
        <f>[2]หน้าผ้า!M271</f>
        <v>0</v>
      </c>
      <c r="K262" s="9">
        <f>[2]หน้าผ้า!N271</f>
        <v>0</v>
      </c>
      <c r="L262" s="9">
        <f>[2]หน้าผ้า!R271</f>
        <v>0</v>
      </c>
      <c r="M262" s="10">
        <f>[2]หน้าผ้า!T271</f>
        <v>0</v>
      </c>
      <c r="N262" s="9">
        <f>[2]หน้าผ้า!U271</f>
        <v>0</v>
      </c>
      <c r="O262" s="9">
        <f>[2]หน้าผ้า!V271</f>
        <v>0</v>
      </c>
      <c r="P262" s="10">
        <f>[2]หน้าผ้า!AB271</f>
        <v>0</v>
      </c>
      <c r="Q262" s="10">
        <f>[2]หน้าผ้า!AC271</f>
        <v>0</v>
      </c>
      <c r="R262" s="10">
        <f>[2]หน้าผ้า!AD271</f>
        <v>0</v>
      </c>
      <c r="S262" s="9">
        <f>[2]หน้าผ้า!Z271</f>
        <v>0</v>
      </c>
      <c r="T262" s="12">
        <f>[2]หน้าผ้า!X271</f>
        <v>0</v>
      </c>
      <c r="U262" s="11">
        <f>[2]หน้าผ้า!AA271</f>
        <v>0</v>
      </c>
      <c r="V262" s="10">
        <f>[2]หน้าผ้า!AJ271</f>
        <v>0</v>
      </c>
      <c r="W262" s="10">
        <f>[2]หน้าผ้า!AL271</f>
        <v>0</v>
      </c>
      <c r="X262" s="10">
        <f>[2]หน้าผ้า!AM271</f>
        <v>0</v>
      </c>
      <c r="Y262" s="10">
        <f>[2]หน้าผ้า!AN271</f>
        <v>0</v>
      </c>
      <c r="Z262" s="9">
        <f>[2]หน้าผ้า!AO271</f>
        <v>0</v>
      </c>
      <c r="AA262" s="8">
        <f>[2]หน้าผ้า!AQ271</f>
        <v>0</v>
      </c>
      <c r="AB262" s="8">
        <f>[2]หน้าผ้า!AR271</f>
        <v>0</v>
      </c>
      <c r="AC262" s="8">
        <f>[2]หน้าผ้า!AS271</f>
        <v>0</v>
      </c>
      <c r="AD262" s="8">
        <f>[2]หน้าผ้า!AT271</f>
        <v>0</v>
      </c>
      <c r="AE262" s="8">
        <f>[2]หน้าผ้า!AU271</f>
        <v>0</v>
      </c>
      <c r="AF262" s="8">
        <f>[2]หน้าผ้า!AI271</f>
        <v>0</v>
      </c>
      <c r="AG262" s="1">
        <f>[3]หน้าผ้า!DC274</f>
        <v>0</v>
      </c>
      <c r="AH262" s="1">
        <f>[2]หน้าผ้า!DL271</f>
        <v>0</v>
      </c>
      <c r="AI262" s="1">
        <f>[2]หน้าผ้า!DM271</f>
        <v>0</v>
      </c>
      <c r="AJ262" s="3">
        <f>[2]หน้าผ้า!DN271</f>
        <v>0</v>
      </c>
      <c r="AK262" s="3">
        <f>[2]หน้าผ้า!DQ271</f>
        <v>0</v>
      </c>
      <c r="AL262" s="3">
        <f>[2]หน้าผ้า!DR271</f>
        <v>0</v>
      </c>
      <c r="AM262" s="3">
        <f>[2]หน้าผ้า!DS271</f>
        <v>0</v>
      </c>
      <c r="AN262" s="3">
        <f>[2]หน้าผ้า!DT271</f>
        <v>0</v>
      </c>
      <c r="AO262" s="3">
        <f>[2]หน้าผ้า!DU271</f>
        <v>0</v>
      </c>
      <c r="AP262" s="3">
        <f>[2]หน้าผ้า!DP271</f>
        <v>0</v>
      </c>
      <c r="AQ262" s="3">
        <f>[2]หน้าผ้า!DW271</f>
        <v>0</v>
      </c>
      <c r="AR262" s="3">
        <f>[2]หน้าผ้า!DX271</f>
        <v>0</v>
      </c>
      <c r="AS262" s="3">
        <f>[2]หน้าผ้า!DY271</f>
        <v>0</v>
      </c>
      <c r="AT262" s="3">
        <f>[2]หน้าผ้า!DZ271</f>
        <v>0</v>
      </c>
      <c r="AU262" s="3">
        <f>[2]หน้าผ้า!EA271</f>
        <v>0</v>
      </c>
      <c r="AV262" s="1">
        <f>[2]หน้าผ้า!EB271</f>
        <v>0</v>
      </c>
      <c r="AW262" s="2">
        <f>[2]หน้าผ้า!EC271</f>
        <v>0</v>
      </c>
      <c r="AX262" s="2">
        <f>[2]หน้าผ้า!ED271</f>
        <v>0</v>
      </c>
      <c r="AY262" s="2">
        <f>[2]หน้าผ้า!AG271</f>
        <v>0</v>
      </c>
      <c r="AZ262" s="2">
        <f>[2]หน้าผ้า!EG271</f>
        <v>0</v>
      </c>
      <c r="BA262" s="2">
        <f>[2]หน้าผ้า!EH271</f>
        <v>0</v>
      </c>
      <c r="BB262" s="2">
        <f>[2]หน้าผ้า!EI271</f>
        <v>0</v>
      </c>
      <c r="BC262" s="1">
        <f>[2]หน้าผ้า!BZ271</f>
        <v>0</v>
      </c>
      <c r="BD262" s="56">
        <f>[2]หน้าผ้า!CA271</f>
        <v>0</v>
      </c>
    </row>
    <row r="263" spans="1:56" ht="27.75" customHeight="1" x14ac:dyDescent="0.45">
      <c r="A263" s="3">
        <f>[2]หน้าผ้า!C272</f>
        <v>0</v>
      </c>
      <c r="B263" s="14">
        <f>[2]หน้าผ้า!B272</f>
        <v>0</v>
      </c>
      <c r="C263" s="9">
        <f>[2]หน้าผ้า!E272</f>
        <v>0</v>
      </c>
      <c r="D263" s="13">
        <f>[2]หน้าผ้า!F272</f>
        <v>0</v>
      </c>
      <c r="E263" s="9">
        <f>[2]หน้าผ้า!G272</f>
        <v>0</v>
      </c>
      <c r="F263" s="9">
        <f>[2]หน้าผ้า!H272</f>
        <v>0</v>
      </c>
      <c r="G263" s="9">
        <f>[2]หน้าผ้า!I272</f>
        <v>0</v>
      </c>
      <c r="H263" s="9">
        <f>[2]หน้าผ้า!J272</f>
        <v>0</v>
      </c>
      <c r="I263" s="9">
        <f>[2]หน้าผ้า!L272</f>
        <v>0</v>
      </c>
      <c r="J263" s="9">
        <f>[2]หน้าผ้า!M272</f>
        <v>0</v>
      </c>
      <c r="K263" s="9">
        <f>[2]หน้าผ้า!N272</f>
        <v>0</v>
      </c>
      <c r="L263" s="9">
        <f>[2]หน้าผ้า!R272</f>
        <v>0</v>
      </c>
      <c r="M263" s="10">
        <f>[2]หน้าผ้า!T272</f>
        <v>0</v>
      </c>
      <c r="N263" s="9">
        <f>[2]หน้าผ้า!U272</f>
        <v>0</v>
      </c>
      <c r="O263" s="9">
        <f>[2]หน้าผ้า!V272</f>
        <v>0</v>
      </c>
      <c r="P263" s="10">
        <f>[2]หน้าผ้า!AB272</f>
        <v>0</v>
      </c>
      <c r="Q263" s="10">
        <f>[2]หน้าผ้า!AC272</f>
        <v>0</v>
      </c>
      <c r="R263" s="10">
        <f>[2]หน้าผ้า!AD272</f>
        <v>0</v>
      </c>
      <c r="S263" s="9">
        <f>[2]หน้าผ้า!Z272</f>
        <v>0</v>
      </c>
      <c r="T263" s="12">
        <f>[2]หน้าผ้า!X272</f>
        <v>0</v>
      </c>
      <c r="U263" s="11">
        <f>[2]หน้าผ้า!AA272</f>
        <v>0</v>
      </c>
      <c r="V263" s="10">
        <f>[2]หน้าผ้า!AJ272</f>
        <v>0</v>
      </c>
      <c r="W263" s="10">
        <f>[2]หน้าผ้า!AL272</f>
        <v>0</v>
      </c>
      <c r="X263" s="10">
        <f>[2]หน้าผ้า!AM272</f>
        <v>0</v>
      </c>
      <c r="Y263" s="10">
        <f>[2]หน้าผ้า!AN272</f>
        <v>0</v>
      </c>
      <c r="Z263" s="9">
        <f>[2]หน้าผ้า!AO272</f>
        <v>0</v>
      </c>
      <c r="AA263" s="8">
        <f>[2]หน้าผ้า!AQ272</f>
        <v>0</v>
      </c>
      <c r="AB263" s="8">
        <f>[2]หน้าผ้า!AR272</f>
        <v>0</v>
      </c>
      <c r="AC263" s="8">
        <f>[2]หน้าผ้า!AS272</f>
        <v>0</v>
      </c>
      <c r="AD263" s="8">
        <f>[2]หน้าผ้า!AT272</f>
        <v>0</v>
      </c>
      <c r="AE263" s="8">
        <f>[2]หน้าผ้า!AU272</f>
        <v>0</v>
      </c>
      <c r="AF263" s="8">
        <f>[2]หน้าผ้า!AI272</f>
        <v>0</v>
      </c>
      <c r="AG263" s="1">
        <f>[3]หน้าผ้า!DC275</f>
        <v>0</v>
      </c>
      <c r="AH263" s="1">
        <f>[2]หน้าผ้า!DL272</f>
        <v>0</v>
      </c>
      <c r="AI263" s="1">
        <f>[2]หน้าผ้า!DM272</f>
        <v>0</v>
      </c>
      <c r="AJ263" s="3">
        <f>[2]หน้าผ้า!DN272</f>
        <v>0</v>
      </c>
      <c r="AK263" s="3">
        <f>[2]หน้าผ้า!DQ272</f>
        <v>0</v>
      </c>
      <c r="AL263" s="3">
        <f>[2]หน้าผ้า!DR272</f>
        <v>0</v>
      </c>
      <c r="AM263" s="3">
        <f>[2]หน้าผ้า!DS272</f>
        <v>0</v>
      </c>
      <c r="AN263" s="3">
        <f>[2]หน้าผ้า!DT272</f>
        <v>0</v>
      </c>
      <c r="AO263" s="3">
        <f>[2]หน้าผ้า!DU272</f>
        <v>0</v>
      </c>
      <c r="AP263" s="3">
        <f>[2]หน้าผ้า!DP272</f>
        <v>0</v>
      </c>
      <c r="AQ263" s="3">
        <f>[2]หน้าผ้า!DW272</f>
        <v>0</v>
      </c>
      <c r="AR263" s="3">
        <f>[2]หน้าผ้า!DX272</f>
        <v>0</v>
      </c>
      <c r="AS263" s="3">
        <f>[2]หน้าผ้า!DY272</f>
        <v>0</v>
      </c>
      <c r="AT263" s="3">
        <f>[2]หน้าผ้า!DZ272</f>
        <v>0</v>
      </c>
      <c r="AU263" s="3">
        <f>[2]หน้าผ้า!EA272</f>
        <v>0</v>
      </c>
      <c r="AV263" s="1">
        <f>[2]หน้าผ้า!EB272</f>
        <v>0</v>
      </c>
      <c r="AW263" s="2">
        <f>[2]หน้าผ้า!EC272</f>
        <v>0</v>
      </c>
      <c r="AX263" s="2">
        <f>[2]หน้าผ้า!ED272</f>
        <v>0</v>
      </c>
      <c r="AY263" s="2">
        <f>[2]หน้าผ้า!AG272</f>
        <v>0</v>
      </c>
      <c r="AZ263" s="2">
        <f>[2]หน้าผ้า!EG272</f>
        <v>0</v>
      </c>
      <c r="BA263" s="2">
        <f>[2]หน้าผ้า!EH272</f>
        <v>0</v>
      </c>
      <c r="BB263" s="2">
        <f>[2]หน้าผ้า!EI272</f>
        <v>0</v>
      </c>
      <c r="BC263" s="1">
        <f>[2]หน้าผ้า!BZ272</f>
        <v>0</v>
      </c>
      <c r="BD263" s="56">
        <f>[2]หน้าผ้า!CA272</f>
        <v>0</v>
      </c>
    </row>
    <row r="264" spans="1:56" ht="27.75" customHeight="1" x14ac:dyDescent="0.45">
      <c r="A264" s="3">
        <f>[2]หน้าผ้า!C273</f>
        <v>0</v>
      </c>
      <c r="B264" s="14">
        <f>[2]หน้าผ้า!B273</f>
        <v>0</v>
      </c>
      <c r="C264" s="9">
        <f>[2]หน้าผ้า!E273</f>
        <v>0</v>
      </c>
      <c r="D264" s="13">
        <f>[2]หน้าผ้า!F273</f>
        <v>0</v>
      </c>
      <c r="E264" s="9">
        <f>[2]หน้าผ้า!G273</f>
        <v>0</v>
      </c>
      <c r="F264" s="9">
        <f>[2]หน้าผ้า!H273</f>
        <v>0</v>
      </c>
      <c r="G264" s="9">
        <f>[2]หน้าผ้า!I273</f>
        <v>0</v>
      </c>
      <c r="H264" s="9">
        <f>[2]หน้าผ้า!J273</f>
        <v>0</v>
      </c>
      <c r="I264" s="9">
        <f>[2]หน้าผ้า!L273</f>
        <v>0</v>
      </c>
      <c r="J264" s="9">
        <f>[2]หน้าผ้า!M273</f>
        <v>0</v>
      </c>
      <c r="K264" s="9">
        <f>[2]หน้าผ้า!N273</f>
        <v>0</v>
      </c>
      <c r="L264" s="9">
        <f>[2]หน้าผ้า!R273</f>
        <v>0</v>
      </c>
      <c r="M264" s="10">
        <f>[2]หน้าผ้า!T273</f>
        <v>0</v>
      </c>
      <c r="N264" s="9">
        <f>[2]หน้าผ้า!U273</f>
        <v>0</v>
      </c>
      <c r="O264" s="9">
        <f>[2]หน้าผ้า!V273</f>
        <v>0</v>
      </c>
      <c r="P264" s="10">
        <f>[2]หน้าผ้า!AB273</f>
        <v>0</v>
      </c>
      <c r="Q264" s="10">
        <f>[2]หน้าผ้า!AC273</f>
        <v>0</v>
      </c>
      <c r="R264" s="10">
        <f>[2]หน้าผ้า!AD273</f>
        <v>0</v>
      </c>
      <c r="S264" s="9">
        <f>[2]หน้าผ้า!Z273</f>
        <v>0</v>
      </c>
      <c r="T264" s="12">
        <f>[2]หน้าผ้า!X273</f>
        <v>0</v>
      </c>
      <c r="U264" s="11">
        <f>[2]หน้าผ้า!AA273</f>
        <v>0</v>
      </c>
      <c r="V264" s="10">
        <f>[2]หน้าผ้า!AJ273</f>
        <v>0</v>
      </c>
      <c r="W264" s="10">
        <f>[2]หน้าผ้า!AL273</f>
        <v>0</v>
      </c>
      <c r="X264" s="10">
        <f>[2]หน้าผ้า!AM273</f>
        <v>0</v>
      </c>
      <c r="Y264" s="10">
        <f>[2]หน้าผ้า!AN273</f>
        <v>0</v>
      </c>
      <c r="Z264" s="9">
        <f>[2]หน้าผ้า!AO273</f>
        <v>0</v>
      </c>
      <c r="AA264" s="8">
        <f>[2]หน้าผ้า!AQ273</f>
        <v>0</v>
      </c>
      <c r="AB264" s="8">
        <f>[2]หน้าผ้า!AR273</f>
        <v>0</v>
      </c>
      <c r="AC264" s="8">
        <f>[2]หน้าผ้า!AS273</f>
        <v>0</v>
      </c>
      <c r="AD264" s="8">
        <f>[2]หน้าผ้า!AT273</f>
        <v>0</v>
      </c>
      <c r="AE264" s="8">
        <f>[2]หน้าผ้า!AU273</f>
        <v>0</v>
      </c>
      <c r="AF264" s="8">
        <f>[2]หน้าผ้า!AI273</f>
        <v>0</v>
      </c>
      <c r="AG264" s="1">
        <f>[3]หน้าผ้า!DC276</f>
        <v>0</v>
      </c>
      <c r="AH264" s="1">
        <f>[2]หน้าผ้า!DL273</f>
        <v>0</v>
      </c>
      <c r="AI264" s="1">
        <f>[2]หน้าผ้า!DM273</f>
        <v>0</v>
      </c>
      <c r="AJ264" s="3">
        <f>[2]หน้าผ้า!DN273</f>
        <v>0</v>
      </c>
      <c r="AK264" s="3">
        <f>[2]หน้าผ้า!DQ273</f>
        <v>0</v>
      </c>
      <c r="AL264" s="3">
        <f>[2]หน้าผ้า!DR273</f>
        <v>0</v>
      </c>
      <c r="AM264" s="3">
        <f>[2]หน้าผ้า!DS273</f>
        <v>0</v>
      </c>
      <c r="AN264" s="3">
        <f>[2]หน้าผ้า!DT273</f>
        <v>0</v>
      </c>
      <c r="AO264" s="3">
        <f>[2]หน้าผ้า!DU273</f>
        <v>0</v>
      </c>
      <c r="AP264" s="3">
        <f>[2]หน้าผ้า!DP273</f>
        <v>0</v>
      </c>
      <c r="AQ264" s="3">
        <f>[2]หน้าผ้า!DW273</f>
        <v>0</v>
      </c>
      <c r="AR264" s="3">
        <f>[2]หน้าผ้า!DX273</f>
        <v>0</v>
      </c>
      <c r="AS264" s="3">
        <f>[2]หน้าผ้า!DY273</f>
        <v>0</v>
      </c>
      <c r="AT264" s="3">
        <f>[2]หน้าผ้า!DZ273</f>
        <v>0</v>
      </c>
      <c r="AU264" s="3">
        <f>[2]หน้าผ้า!EA273</f>
        <v>0</v>
      </c>
      <c r="AV264" s="1">
        <f>[2]หน้าผ้า!EB273</f>
        <v>0</v>
      </c>
      <c r="AW264" s="2">
        <f>[2]หน้าผ้า!EC273</f>
        <v>0</v>
      </c>
      <c r="AX264" s="2">
        <f>[2]หน้าผ้า!ED273</f>
        <v>0</v>
      </c>
      <c r="AY264" s="2">
        <f>[2]หน้าผ้า!AG273</f>
        <v>0</v>
      </c>
      <c r="AZ264" s="2">
        <f>[2]หน้าผ้า!EG273</f>
        <v>0</v>
      </c>
      <c r="BA264" s="2">
        <f>[2]หน้าผ้า!EH273</f>
        <v>0</v>
      </c>
      <c r="BB264" s="2">
        <f>[2]หน้าผ้า!EI273</f>
        <v>0</v>
      </c>
      <c r="BC264" s="1">
        <f>[2]หน้าผ้า!BZ273</f>
        <v>0</v>
      </c>
      <c r="BD264" s="56">
        <f>[2]หน้าผ้า!CA273</f>
        <v>0</v>
      </c>
    </row>
    <row r="265" spans="1:56" ht="27.75" customHeight="1" x14ac:dyDescent="0.45">
      <c r="A265" s="3">
        <f>[2]หน้าผ้า!C274</f>
        <v>0</v>
      </c>
      <c r="B265" s="14">
        <f>[2]หน้าผ้า!B274</f>
        <v>0</v>
      </c>
      <c r="C265" s="9">
        <f>[2]หน้าผ้า!E274</f>
        <v>0</v>
      </c>
      <c r="D265" s="13">
        <f>[2]หน้าผ้า!F274</f>
        <v>0</v>
      </c>
      <c r="E265" s="9">
        <f>[2]หน้าผ้า!G274</f>
        <v>0</v>
      </c>
      <c r="F265" s="9">
        <f>[2]หน้าผ้า!H274</f>
        <v>0</v>
      </c>
      <c r="G265" s="9">
        <f>[2]หน้าผ้า!I274</f>
        <v>0</v>
      </c>
      <c r="H265" s="9">
        <f>[2]หน้าผ้า!J274</f>
        <v>0</v>
      </c>
      <c r="I265" s="9">
        <f>[2]หน้าผ้า!L274</f>
        <v>0</v>
      </c>
      <c r="J265" s="9">
        <f>[2]หน้าผ้า!M274</f>
        <v>0</v>
      </c>
      <c r="K265" s="9">
        <f>[2]หน้าผ้า!N274</f>
        <v>0</v>
      </c>
      <c r="L265" s="9">
        <f>[2]หน้าผ้า!R274</f>
        <v>0</v>
      </c>
      <c r="M265" s="10">
        <f>[2]หน้าผ้า!T274</f>
        <v>0</v>
      </c>
      <c r="N265" s="9">
        <f>[2]หน้าผ้า!U274</f>
        <v>0</v>
      </c>
      <c r="O265" s="9">
        <f>[2]หน้าผ้า!V274</f>
        <v>0</v>
      </c>
      <c r="P265" s="10">
        <f>[2]หน้าผ้า!AB274</f>
        <v>0</v>
      </c>
      <c r="Q265" s="10">
        <f>[2]หน้าผ้า!AC274</f>
        <v>0</v>
      </c>
      <c r="R265" s="10">
        <f>[2]หน้าผ้า!AD274</f>
        <v>0</v>
      </c>
      <c r="S265" s="9">
        <f>[2]หน้าผ้า!Z274</f>
        <v>0</v>
      </c>
      <c r="T265" s="12">
        <f>[2]หน้าผ้า!X274</f>
        <v>0</v>
      </c>
      <c r="U265" s="11">
        <f>[2]หน้าผ้า!AA274</f>
        <v>0</v>
      </c>
      <c r="V265" s="10">
        <f>[2]หน้าผ้า!AJ274</f>
        <v>0</v>
      </c>
      <c r="W265" s="10">
        <f>[2]หน้าผ้า!AL274</f>
        <v>0</v>
      </c>
      <c r="X265" s="10">
        <f>[2]หน้าผ้า!AM274</f>
        <v>0</v>
      </c>
      <c r="Y265" s="10">
        <f>[2]หน้าผ้า!AN274</f>
        <v>0</v>
      </c>
      <c r="Z265" s="9">
        <f>[2]หน้าผ้า!AO274</f>
        <v>0</v>
      </c>
      <c r="AA265" s="8">
        <f>[2]หน้าผ้า!AQ274</f>
        <v>0</v>
      </c>
      <c r="AB265" s="8">
        <f>[2]หน้าผ้า!AR274</f>
        <v>0</v>
      </c>
      <c r="AC265" s="8">
        <f>[2]หน้าผ้า!AS274</f>
        <v>0</v>
      </c>
      <c r="AD265" s="8">
        <f>[2]หน้าผ้า!AT274</f>
        <v>0</v>
      </c>
      <c r="AE265" s="8">
        <f>[2]หน้าผ้า!AU274</f>
        <v>0</v>
      </c>
      <c r="AF265" s="8">
        <f>[2]หน้าผ้า!AI274</f>
        <v>0</v>
      </c>
      <c r="AG265" s="1">
        <f>[3]หน้าผ้า!DC277</f>
        <v>0</v>
      </c>
      <c r="AH265" s="1">
        <f>[2]หน้าผ้า!DL274</f>
        <v>0</v>
      </c>
      <c r="AI265" s="1">
        <f>[2]หน้าผ้า!DM274</f>
        <v>0</v>
      </c>
      <c r="AJ265" s="3">
        <f>[2]หน้าผ้า!DN274</f>
        <v>0</v>
      </c>
      <c r="AK265" s="3">
        <f>[2]หน้าผ้า!DQ274</f>
        <v>0</v>
      </c>
      <c r="AL265" s="3">
        <f>[2]หน้าผ้า!DR274</f>
        <v>0</v>
      </c>
      <c r="AM265" s="3">
        <f>[2]หน้าผ้า!DS274</f>
        <v>0</v>
      </c>
      <c r="AN265" s="3">
        <f>[2]หน้าผ้า!DT274</f>
        <v>0</v>
      </c>
      <c r="AO265" s="3">
        <f>[2]หน้าผ้า!DU274</f>
        <v>0</v>
      </c>
      <c r="AP265" s="3">
        <f>[2]หน้าผ้า!DP274</f>
        <v>0</v>
      </c>
      <c r="AQ265" s="3">
        <f>[2]หน้าผ้า!DW274</f>
        <v>0</v>
      </c>
      <c r="AR265" s="3">
        <f>[2]หน้าผ้า!DX274</f>
        <v>0</v>
      </c>
      <c r="AS265" s="3">
        <f>[2]หน้าผ้า!DY274</f>
        <v>0</v>
      </c>
      <c r="AT265" s="3">
        <f>[2]หน้าผ้า!DZ274</f>
        <v>0</v>
      </c>
      <c r="AU265" s="3">
        <f>[2]หน้าผ้า!EA274</f>
        <v>0</v>
      </c>
      <c r="AV265" s="1">
        <f>[2]หน้าผ้า!EB274</f>
        <v>0</v>
      </c>
      <c r="AW265" s="2">
        <f>[2]หน้าผ้า!EC274</f>
        <v>0</v>
      </c>
      <c r="AX265" s="2">
        <f>[2]หน้าผ้า!ED274</f>
        <v>0</v>
      </c>
      <c r="AY265" s="2">
        <f>[2]หน้าผ้า!AG274</f>
        <v>0</v>
      </c>
      <c r="AZ265" s="2">
        <f>[2]หน้าผ้า!EG274</f>
        <v>0</v>
      </c>
      <c r="BA265" s="2">
        <f>[2]หน้าผ้า!EH274</f>
        <v>0</v>
      </c>
      <c r="BB265" s="2">
        <f>[2]หน้าผ้า!EI274</f>
        <v>0</v>
      </c>
      <c r="BC265" s="1">
        <f>[2]หน้าผ้า!BZ274</f>
        <v>0</v>
      </c>
      <c r="BD265" s="56">
        <f>[2]หน้าผ้า!CA274</f>
        <v>0</v>
      </c>
    </row>
    <row r="266" spans="1:56" ht="27.75" customHeight="1" x14ac:dyDescent="0.45">
      <c r="A266" s="3">
        <f>[2]หน้าผ้า!C275</f>
        <v>0</v>
      </c>
      <c r="B266" s="14">
        <f>[2]หน้าผ้า!B275</f>
        <v>0</v>
      </c>
      <c r="C266" s="9">
        <f>[2]หน้าผ้า!E275</f>
        <v>0</v>
      </c>
      <c r="D266" s="13">
        <f>[2]หน้าผ้า!F275</f>
        <v>0</v>
      </c>
      <c r="E266" s="9">
        <f>[2]หน้าผ้า!G275</f>
        <v>0</v>
      </c>
      <c r="F266" s="9">
        <f>[2]หน้าผ้า!H275</f>
        <v>0</v>
      </c>
      <c r="G266" s="9">
        <f>[2]หน้าผ้า!I275</f>
        <v>0</v>
      </c>
      <c r="H266" s="9">
        <f>[2]หน้าผ้า!J275</f>
        <v>0</v>
      </c>
      <c r="I266" s="9">
        <f>[2]หน้าผ้า!L275</f>
        <v>0</v>
      </c>
      <c r="J266" s="9">
        <f>[2]หน้าผ้า!M275</f>
        <v>0</v>
      </c>
      <c r="K266" s="9">
        <f>[2]หน้าผ้า!N275</f>
        <v>0</v>
      </c>
      <c r="L266" s="9">
        <f>[2]หน้าผ้า!R275</f>
        <v>0</v>
      </c>
      <c r="M266" s="10">
        <f>[2]หน้าผ้า!T275</f>
        <v>0</v>
      </c>
      <c r="N266" s="9">
        <f>[2]หน้าผ้า!U275</f>
        <v>0</v>
      </c>
      <c r="O266" s="9">
        <f>[2]หน้าผ้า!V275</f>
        <v>0</v>
      </c>
      <c r="P266" s="10">
        <f>[2]หน้าผ้า!AB275</f>
        <v>0</v>
      </c>
      <c r="Q266" s="10">
        <f>[2]หน้าผ้า!AC275</f>
        <v>0</v>
      </c>
      <c r="R266" s="10">
        <f>[2]หน้าผ้า!AD275</f>
        <v>0</v>
      </c>
      <c r="S266" s="9">
        <f>[2]หน้าผ้า!Z275</f>
        <v>0</v>
      </c>
      <c r="T266" s="12">
        <f>[2]หน้าผ้า!X275</f>
        <v>0</v>
      </c>
      <c r="U266" s="11">
        <f>[2]หน้าผ้า!AA275</f>
        <v>0</v>
      </c>
      <c r="V266" s="10">
        <f>[2]หน้าผ้า!AJ275</f>
        <v>0</v>
      </c>
      <c r="W266" s="10">
        <f>[2]หน้าผ้า!AL275</f>
        <v>0</v>
      </c>
      <c r="X266" s="10">
        <f>[2]หน้าผ้า!AM275</f>
        <v>0</v>
      </c>
      <c r="Y266" s="10">
        <f>[2]หน้าผ้า!AN275</f>
        <v>0</v>
      </c>
      <c r="Z266" s="9">
        <f>[2]หน้าผ้า!AO275</f>
        <v>0</v>
      </c>
      <c r="AA266" s="8">
        <f>[2]หน้าผ้า!AQ275</f>
        <v>0</v>
      </c>
      <c r="AB266" s="8">
        <f>[2]หน้าผ้า!AR275</f>
        <v>0</v>
      </c>
      <c r="AC266" s="8">
        <f>[2]หน้าผ้า!AS275</f>
        <v>0</v>
      </c>
      <c r="AD266" s="8">
        <f>[2]หน้าผ้า!AT275</f>
        <v>0</v>
      </c>
      <c r="AE266" s="8">
        <f>[2]หน้าผ้า!AU275</f>
        <v>0</v>
      </c>
      <c r="AF266" s="8">
        <f>[2]หน้าผ้า!AI275</f>
        <v>0</v>
      </c>
      <c r="AG266" s="1">
        <f>[3]หน้าผ้า!DC278</f>
        <v>0</v>
      </c>
      <c r="AH266" s="1">
        <f>[2]หน้าผ้า!DL275</f>
        <v>0</v>
      </c>
      <c r="AI266" s="1">
        <f>[2]หน้าผ้า!DM275</f>
        <v>0</v>
      </c>
      <c r="AJ266" s="3">
        <f>[2]หน้าผ้า!DN275</f>
        <v>0</v>
      </c>
      <c r="AK266" s="3">
        <f>[2]หน้าผ้า!DQ275</f>
        <v>0</v>
      </c>
      <c r="AL266" s="3">
        <f>[2]หน้าผ้า!DR275</f>
        <v>0</v>
      </c>
      <c r="AM266" s="3">
        <f>[2]หน้าผ้า!DS275</f>
        <v>0</v>
      </c>
      <c r="AN266" s="3">
        <f>[2]หน้าผ้า!DT275</f>
        <v>0</v>
      </c>
      <c r="AO266" s="3">
        <f>[2]หน้าผ้า!DU275</f>
        <v>0</v>
      </c>
      <c r="AP266" s="3">
        <f>[2]หน้าผ้า!DP275</f>
        <v>0</v>
      </c>
      <c r="AQ266" s="3">
        <f>[2]หน้าผ้า!DW275</f>
        <v>0</v>
      </c>
      <c r="AR266" s="3">
        <f>[2]หน้าผ้า!DX275</f>
        <v>0</v>
      </c>
      <c r="AS266" s="3">
        <f>[2]หน้าผ้า!DY275</f>
        <v>0</v>
      </c>
      <c r="AT266" s="3">
        <f>[2]หน้าผ้า!DZ275</f>
        <v>0</v>
      </c>
      <c r="AU266" s="3">
        <f>[2]หน้าผ้า!EA275</f>
        <v>0</v>
      </c>
      <c r="AV266" s="1">
        <f>[2]หน้าผ้า!EB275</f>
        <v>0</v>
      </c>
      <c r="AW266" s="2">
        <f>[2]หน้าผ้า!EC275</f>
        <v>0</v>
      </c>
      <c r="AX266" s="2">
        <f>[2]หน้าผ้า!ED275</f>
        <v>0</v>
      </c>
      <c r="AY266" s="2">
        <f>[2]หน้าผ้า!AG275</f>
        <v>0</v>
      </c>
      <c r="AZ266" s="2">
        <f>[2]หน้าผ้า!EG275</f>
        <v>0</v>
      </c>
      <c r="BA266" s="2">
        <f>[2]หน้าผ้า!EH275</f>
        <v>0</v>
      </c>
      <c r="BB266" s="2">
        <f>[2]หน้าผ้า!EI275</f>
        <v>0</v>
      </c>
      <c r="BC266" s="1">
        <f>[2]หน้าผ้า!BZ275</f>
        <v>0</v>
      </c>
      <c r="BD266" s="56">
        <f>[2]หน้าผ้า!CA275</f>
        <v>0</v>
      </c>
    </row>
    <row r="267" spans="1:56" ht="27.75" customHeight="1" x14ac:dyDescent="0.45">
      <c r="A267" s="3">
        <f>[2]หน้าผ้า!C276</f>
        <v>0</v>
      </c>
      <c r="B267" s="14">
        <f>[2]หน้าผ้า!B276</f>
        <v>0</v>
      </c>
      <c r="C267" s="9">
        <f>[2]หน้าผ้า!E276</f>
        <v>0</v>
      </c>
      <c r="D267" s="13">
        <f>[2]หน้าผ้า!F276</f>
        <v>0</v>
      </c>
      <c r="E267" s="9">
        <f>[2]หน้าผ้า!G276</f>
        <v>0</v>
      </c>
      <c r="F267" s="9">
        <f>[2]หน้าผ้า!H276</f>
        <v>0</v>
      </c>
      <c r="G267" s="9">
        <f>[2]หน้าผ้า!I276</f>
        <v>0</v>
      </c>
      <c r="H267" s="9">
        <f>[2]หน้าผ้า!J276</f>
        <v>0</v>
      </c>
      <c r="I267" s="9">
        <f>[2]หน้าผ้า!L276</f>
        <v>0</v>
      </c>
      <c r="J267" s="9">
        <f>[2]หน้าผ้า!M276</f>
        <v>0</v>
      </c>
      <c r="K267" s="9">
        <f>[2]หน้าผ้า!N276</f>
        <v>0</v>
      </c>
      <c r="L267" s="9">
        <f>[2]หน้าผ้า!R276</f>
        <v>0</v>
      </c>
      <c r="M267" s="10">
        <f>[2]หน้าผ้า!T276</f>
        <v>0</v>
      </c>
      <c r="N267" s="9">
        <f>[2]หน้าผ้า!U276</f>
        <v>0</v>
      </c>
      <c r="O267" s="9">
        <f>[2]หน้าผ้า!V276</f>
        <v>0</v>
      </c>
      <c r="P267" s="10">
        <f>[2]หน้าผ้า!AB276</f>
        <v>0</v>
      </c>
      <c r="Q267" s="10">
        <f>[2]หน้าผ้า!AC276</f>
        <v>0</v>
      </c>
      <c r="R267" s="10">
        <f>[2]หน้าผ้า!AD276</f>
        <v>0</v>
      </c>
      <c r="S267" s="9">
        <f>[2]หน้าผ้า!Z276</f>
        <v>0</v>
      </c>
      <c r="T267" s="12">
        <f>[2]หน้าผ้า!X276</f>
        <v>0</v>
      </c>
      <c r="U267" s="11">
        <f>[2]หน้าผ้า!AA276</f>
        <v>0</v>
      </c>
      <c r="V267" s="10">
        <f>[2]หน้าผ้า!AJ276</f>
        <v>0</v>
      </c>
      <c r="W267" s="10">
        <f>[2]หน้าผ้า!AL276</f>
        <v>0</v>
      </c>
      <c r="X267" s="10">
        <f>[2]หน้าผ้า!AM276</f>
        <v>0</v>
      </c>
      <c r="Y267" s="10">
        <f>[2]หน้าผ้า!AN276</f>
        <v>0</v>
      </c>
      <c r="Z267" s="9">
        <f>[2]หน้าผ้า!AO276</f>
        <v>0</v>
      </c>
      <c r="AA267" s="8">
        <f>[2]หน้าผ้า!AQ276</f>
        <v>0</v>
      </c>
      <c r="AB267" s="8">
        <f>[2]หน้าผ้า!AR276</f>
        <v>0</v>
      </c>
      <c r="AC267" s="8">
        <f>[2]หน้าผ้า!AS276</f>
        <v>0</v>
      </c>
      <c r="AD267" s="8">
        <f>[2]หน้าผ้า!AT276</f>
        <v>0</v>
      </c>
      <c r="AE267" s="8">
        <f>[2]หน้าผ้า!AU276</f>
        <v>0</v>
      </c>
      <c r="AF267" s="8">
        <f>[2]หน้าผ้า!AI276</f>
        <v>0</v>
      </c>
      <c r="AG267" s="1">
        <f>[3]หน้าผ้า!DC279</f>
        <v>0</v>
      </c>
      <c r="AH267" s="1">
        <f>[2]หน้าผ้า!DL276</f>
        <v>0</v>
      </c>
      <c r="AI267" s="1">
        <f>[2]หน้าผ้า!DM276</f>
        <v>0</v>
      </c>
      <c r="AJ267" s="3">
        <f>[2]หน้าผ้า!DN276</f>
        <v>0</v>
      </c>
      <c r="AK267" s="3">
        <f>[2]หน้าผ้า!DQ276</f>
        <v>0</v>
      </c>
      <c r="AL267" s="3">
        <f>[2]หน้าผ้า!DR276</f>
        <v>0</v>
      </c>
      <c r="AM267" s="3">
        <f>[2]หน้าผ้า!DS276</f>
        <v>0</v>
      </c>
      <c r="AN267" s="3">
        <f>[2]หน้าผ้า!DT276</f>
        <v>0</v>
      </c>
      <c r="AO267" s="3">
        <f>[2]หน้าผ้า!DU276</f>
        <v>0</v>
      </c>
      <c r="AP267" s="3">
        <f>[2]หน้าผ้า!DP276</f>
        <v>0</v>
      </c>
      <c r="AQ267" s="3">
        <f>[2]หน้าผ้า!DW276</f>
        <v>0</v>
      </c>
      <c r="AR267" s="3">
        <f>[2]หน้าผ้า!DX276</f>
        <v>0</v>
      </c>
      <c r="AS267" s="3">
        <f>[2]หน้าผ้า!DY276</f>
        <v>0</v>
      </c>
      <c r="AT267" s="3">
        <f>[2]หน้าผ้า!DZ276</f>
        <v>0</v>
      </c>
      <c r="AU267" s="3">
        <f>[2]หน้าผ้า!EA276</f>
        <v>0</v>
      </c>
      <c r="AV267" s="1">
        <f>[2]หน้าผ้า!EB276</f>
        <v>0</v>
      </c>
      <c r="AW267" s="2">
        <f>[2]หน้าผ้า!EC276</f>
        <v>0</v>
      </c>
      <c r="AX267" s="2">
        <f>[2]หน้าผ้า!ED276</f>
        <v>0</v>
      </c>
      <c r="AY267" s="2">
        <f>[2]หน้าผ้า!AG276</f>
        <v>0</v>
      </c>
      <c r="AZ267" s="2">
        <f>[2]หน้าผ้า!EG276</f>
        <v>0</v>
      </c>
      <c r="BA267" s="2">
        <f>[2]หน้าผ้า!EH276</f>
        <v>0</v>
      </c>
      <c r="BB267" s="2">
        <f>[2]หน้าผ้า!EI276</f>
        <v>0</v>
      </c>
      <c r="BC267" s="1">
        <f>[2]หน้าผ้า!BZ276</f>
        <v>0</v>
      </c>
      <c r="BD267" s="56">
        <f>[2]หน้าผ้า!CA276</f>
        <v>0</v>
      </c>
    </row>
    <row r="268" spans="1:56" ht="27.75" customHeight="1" x14ac:dyDescent="0.45">
      <c r="A268" s="3">
        <f>[2]หน้าผ้า!C277</f>
        <v>0</v>
      </c>
      <c r="B268" s="14">
        <f>[2]หน้าผ้า!B277</f>
        <v>0</v>
      </c>
      <c r="C268" s="9">
        <f>[2]หน้าผ้า!E277</f>
        <v>0</v>
      </c>
      <c r="D268" s="13">
        <f>[2]หน้าผ้า!F277</f>
        <v>0</v>
      </c>
      <c r="E268" s="9">
        <f>[2]หน้าผ้า!G277</f>
        <v>0</v>
      </c>
      <c r="F268" s="9">
        <f>[2]หน้าผ้า!H277</f>
        <v>0</v>
      </c>
      <c r="G268" s="9">
        <f>[2]หน้าผ้า!I277</f>
        <v>0</v>
      </c>
      <c r="H268" s="9">
        <f>[2]หน้าผ้า!J277</f>
        <v>0</v>
      </c>
      <c r="I268" s="9">
        <f>[2]หน้าผ้า!L277</f>
        <v>0</v>
      </c>
      <c r="J268" s="9">
        <f>[2]หน้าผ้า!M277</f>
        <v>0</v>
      </c>
      <c r="K268" s="9">
        <f>[2]หน้าผ้า!N277</f>
        <v>0</v>
      </c>
      <c r="L268" s="9">
        <f>[2]หน้าผ้า!R277</f>
        <v>0</v>
      </c>
      <c r="M268" s="10">
        <f>[2]หน้าผ้า!T277</f>
        <v>0</v>
      </c>
      <c r="N268" s="9">
        <f>[2]หน้าผ้า!U277</f>
        <v>0</v>
      </c>
      <c r="O268" s="9">
        <f>[2]หน้าผ้า!V277</f>
        <v>0</v>
      </c>
      <c r="P268" s="10">
        <f>[2]หน้าผ้า!AB277</f>
        <v>0</v>
      </c>
      <c r="Q268" s="10">
        <f>[2]หน้าผ้า!AC277</f>
        <v>0</v>
      </c>
      <c r="R268" s="10">
        <f>[2]หน้าผ้า!AD277</f>
        <v>0</v>
      </c>
      <c r="S268" s="9">
        <f>[2]หน้าผ้า!Z277</f>
        <v>0</v>
      </c>
      <c r="T268" s="12">
        <f>[2]หน้าผ้า!X277</f>
        <v>0</v>
      </c>
      <c r="U268" s="11">
        <f>[2]หน้าผ้า!AA277</f>
        <v>0</v>
      </c>
      <c r="V268" s="10">
        <f>[2]หน้าผ้า!AJ277</f>
        <v>0</v>
      </c>
      <c r="W268" s="10">
        <f>[2]หน้าผ้า!AL277</f>
        <v>0</v>
      </c>
      <c r="X268" s="10">
        <f>[2]หน้าผ้า!AM277</f>
        <v>0</v>
      </c>
      <c r="Y268" s="10">
        <f>[2]หน้าผ้า!AN277</f>
        <v>0</v>
      </c>
      <c r="Z268" s="9">
        <f>[2]หน้าผ้า!AO277</f>
        <v>0</v>
      </c>
      <c r="AA268" s="8">
        <f>[2]หน้าผ้า!AQ277</f>
        <v>0</v>
      </c>
      <c r="AB268" s="8">
        <f>[2]หน้าผ้า!AR277</f>
        <v>0</v>
      </c>
      <c r="AC268" s="8">
        <f>[2]หน้าผ้า!AS277</f>
        <v>0</v>
      </c>
      <c r="AD268" s="8">
        <f>[2]หน้าผ้า!AT277</f>
        <v>0</v>
      </c>
      <c r="AE268" s="8">
        <f>[2]หน้าผ้า!AU277</f>
        <v>0</v>
      </c>
      <c r="AF268" s="8">
        <f>[2]หน้าผ้า!AI277</f>
        <v>0</v>
      </c>
      <c r="AG268" s="1">
        <f>[3]หน้าผ้า!DC280</f>
        <v>0</v>
      </c>
      <c r="AH268" s="1">
        <f>[2]หน้าผ้า!DL277</f>
        <v>0</v>
      </c>
      <c r="AI268" s="1">
        <f>[2]หน้าผ้า!DM277</f>
        <v>0</v>
      </c>
      <c r="AJ268" s="3">
        <f>[2]หน้าผ้า!DN277</f>
        <v>0</v>
      </c>
      <c r="AK268" s="3">
        <f>[2]หน้าผ้า!DQ277</f>
        <v>0</v>
      </c>
      <c r="AL268" s="3">
        <f>[2]หน้าผ้า!DR277</f>
        <v>0</v>
      </c>
      <c r="AM268" s="3">
        <f>[2]หน้าผ้า!DS277</f>
        <v>0</v>
      </c>
      <c r="AN268" s="3">
        <f>[2]หน้าผ้า!DT277</f>
        <v>0</v>
      </c>
      <c r="AO268" s="3">
        <f>[2]หน้าผ้า!DU277</f>
        <v>0</v>
      </c>
      <c r="AP268" s="3">
        <f>[2]หน้าผ้า!DP277</f>
        <v>0</v>
      </c>
      <c r="AQ268" s="3">
        <f>[2]หน้าผ้า!DW277</f>
        <v>0</v>
      </c>
      <c r="AR268" s="3">
        <f>[2]หน้าผ้า!DX277</f>
        <v>0</v>
      </c>
      <c r="AS268" s="3">
        <f>[2]หน้าผ้า!DY277</f>
        <v>0</v>
      </c>
      <c r="AT268" s="3">
        <f>[2]หน้าผ้า!DZ277</f>
        <v>0</v>
      </c>
      <c r="AU268" s="3">
        <f>[2]หน้าผ้า!EA277</f>
        <v>0</v>
      </c>
      <c r="AV268" s="1">
        <f>[2]หน้าผ้า!EB277</f>
        <v>0</v>
      </c>
      <c r="AW268" s="2">
        <f>[2]หน้าผ้า!EC277</f>
        <v>0</v>
      </c>
      <c r="AX268" s="2">
        <f>[2]หน้าผ้า!ED277</f>
        <v>0</v>
      </c>
      <c r="AY268" s="2">
        <f>[2]หน้าผ้า!AG277</f>
        <v>0</v>
      </c>
      <c r="AZ268" s="2">
        <f>[2]หน้าผ้า!EG277</f>
        <v>0</v>
      </c>
      <c r="BA268" s="2">
        <f>[2]หน้าผ้า!EH277</f>
        <v>0</v>
      </c>
      <c r="BB268" s="2">
        <f>[2]หน้าผ้า!EI277</f>
        <v>0</v>
      </c>
      <c r="BC268" s="1">
        <f>[2]หน้าผ้า!BZ277</f>
        <v>0</v>
      </c>
      <c r="BD268" s="56">
        <f>[2]หน้าผ้า!CA277</f>
        <v>0</v>
      </c>
    </row>
    <row r="269" spans="1:56" ht="27.75" customHeight="1" x14ac:dyDescent="0.45">
      <c r="A269" s="3">
        <f>[2]หน้าผ้า!C278</f>
        <v>0</v>
      </c>
      <c r="B269" s="14">
        <f>[2]หน้าผ้า!B278</f>
        <v>0</v>
      </c>
      <c r="C269" s="9">
        <f>[2]หน้าผ้า!E278</f>
        <v>0</v>
      </c>
      <c r="D269" s="13">
        <f>[2]หน้าผ้า!F278</f>
        <v>0</v>
      </c>
      <c r="E269" s="9">
        <f>[2]หน้าผ้า!G278</f>
        <v>0</v>
      </c>
      <c r="F269" s="9">
        <f>[2]หน้าผ้า!H278</f>
        <v>0</v>
      </c>
      <c r="G269" s="9">
        <f>[2]หน้าผ้า!I278</f>
        <v>0</v>
      </c>
      <c r="H269" s="9">
        <f>[2]หน้าผ้า!J278</f>
        <v>0</v>
      </c>
      <c r="I269" s="9">
        <f>[2]หน้าผ้า!L278</f>
        <v>0</v>
      </c>
      <c r="J269" s="9">
        <f>[2]หน้าผ้า!M278</f>
        <v>0</v>
      </c>
      <c r="K269" s="9">
        <f>[2]หน้าผ้า!N278</f>
        <v>0</v>
      </c>
      <c r="L269" s="9">
        <f>[2]หน้าผ้า!R278</f>
        <v>0</v>
      </c>
      <c r="M269" s="10">
        <f>[2]หน้าผ้า!T278</f>
        <v>0</v>
      </c>
      <c r="N269" s="9">
        <f>[2]หน้าผ้า!U278</f>
        <v>0</v>
      </c>
      <c r="O269" s="9">
        <f>[2]หน้าผ้า!V278</f>
        <v>0</v>
      </c>
      <c r="P269" s="10">
        <f>[2]หน้าผ้า!AB278</f>
        <v>0</v>
      </c>
      <c r="Q269" s="10">
        <f>[2]หน้าผ้า!AC278</f>
        <v>0</v>
      </c>
      <c r="R269" s="10">
        <f>[2]หน้าผ้า!AD278</f>
        <v>0</v>
      </c>
      <c r="S269" s="9">
        <f>[2]หน้าผ้า!Z278</f>
        <v>0</v>
      </c>
      <c r="T269" s="12">
        <f>[2]หน้าผ้า!X278</f>
        <v>0</v>
      </c>
      <c r="U269" s="11">
        <f>[2]หน้าผ้า!AA278</f>
        <v>0</v>
      </c>
      <c r="V269" s="10">
        <f>[2]หน้าผ้า!AJ278</f>
        <v>0</v>
      </c>
      <c r="W269" s="10">
        <f>[2]หน้าผ้า!AL278</f>
        <v>0</v>
      </c>
      <c r="X269" s="10">
        <f>[2]หน้าผ้า!AM278</f>
        <v>0</v>
      </c>
      <c r="Y269" s="10">
        <f>[2]หน้าผ้า!AN278</f>
        <v>0</v>
      </c>
      <c r="Z269" s="9">
        <f>[2]หน้าผ้า!AO278</f>
        <v>0</v>
      </c>
      <c r="AA269" s="8">
        <f>[2]หน้าผ้า!AQ278</f>
        <v>0</v>
      </c>
      <c r="AB269" s="8">
        <f>[2]หน้าผ้า!AR278</f>
        <v>0</v>
      </c>
      <c r="AC269" s="8">
        <f>[2]หน้าผ้า!AS278</f>
        <v>0</v>
      </c>
      <c r="AD269" s="8">
        <f>[2]หน้าผ้า!AT278</f>
        <v>0</v>
      </c>
      <c r="AE269" s="8">
        <f>[2]หน้าผ้า!AU278</f>
        <v>0</v>
      </c>
      <c r="AF269" s="8">
        <f>[2]หน้าผ้า!AI278</f>
        <v>0</v>
      </c>
      <c r="AG269" s="1">
        <f>[3]หน้าผ้า!DC281</f>
        <v>0</v>
      </c>
      <c r="AH269" s="1">
        <f>[2]หน้าผ้า!DL278</f>
        <v>0</v>
      </c>
      <c r="AI269" s="1">
        <f>[2]หน้าผ้า!DM278</f>
        <v>0</v>
      </c>
      <c r="AJ269" s="3">
        <f>[2]หน้าผ้า!DN278</f>
        <v>0</v>
      </c>
      <c r="AK269" s="3">
        <f>[2]หน้าผ้า!DQ278</f>
        <v>0</v>
      </c>
      <c r="AL269" s="3">
        <f>[2]หน้าผ้า!DR278</f>
        <v>0</v>
      </c>
      <c r="AM269" s="3">
        <f>[2]หน้าผ้า!DS278</f>
        <v>0</v>
      </c>
      <c r="AN269" s="3">
        <f>[2]หน้าผ้า!DT278</f>
        <v>0</v>
      </c>
      <c r="AO269" s="3">
        <f>[2]หน้าผ้า!DU278</f>
        <v>0</v>
      </c>
      <c r="AP269" s="3">
        <f>[2]หน้าผ้า!DP278</f>
        <v>0</v>
      </c>
      <c r="AQ269" s="3">
        <f>[2]หน้าผ้า!DW278</f>
        <v>0</v>
      </c>
      <c r="AR269" s="3">
        <f>[2]หน้าผ้า!DX278</f>
        <v>0</v>
      </c>
      <c r="AS269" s="3">
        <f>[2]หน้าผ้า!DY278</f>
        <v>0</v>
      </c>
      <c r="AT269" s="3">
        <f>[2]หน้าผ้า!DZ278</f>
        <v>0</v>
      </c>
      <c r="AU269" s="3">
        <f>[2]หน้าผ้า!EA278</f>
        <v>0</v>
      </c>
      <c r="AV269" s="1">
        <f>[2]หน้าผ้า!EB278</f>
        <v>0</v>
      </c>
      <c r="AW269" s="2">
        <f>[2]หน้าผ้า!EC278</f>
        <v>0</v>
      </c>
      <c r="AX269" s="2">
        <f>[2]หน้าผ้า!ED278</f>
        <v>0</v>
      </c>
      <c r="AY269" s="2">
        <f>[2]หน้าผ้า!AG278</f>
        <v>0</v>
      </c>
      <c r="AZ269" s="2">
        <f>[2]หน้าผ้า!EG278</f>
        <v>0</v>
      </c>
      <c r="BA269" s="2">
        <f>[2]หน้าผ้า!EH278</f>
        <v>0</v>
      </c>
      <c r="BB269" s="2">
        <f>[2]หน้าผ้า!EI278</f>
        <v>0</v>
      </c>
      <c r="BC269" s="1">
        <f>[2]หน้าผ้า!BZ278</f>
        <v>0</v>
      </c>
      <c r="BD269" s="56">
        <f>[2]หน้าผ้า!CA278</f>
        <v>0</v>
      </c>
    </row>
    <row r="270" spans="1:56" ht="27.75" customHeight="1" x14ac:dyDescent="0.45">
      <c r="A270" s="3">
        <f>[2]หน้าผ้า!C279</f>
        <v>0</v>
      </c>
      <c r="B270" s="14">
        <f>[2]หน้าผ้า!B279</f>
        <v>0</v>
      </c>
      <c r="C270" s="9">
        <f>[2]หน้าผ้า!E279</f>
        <v>0</v>
      </c>
      <c r="D270" s="13">
        <f>[2]หน้าผ้า!F279</f>
        <v>0</v>
      </c>
      <c r="E270" s="9">
        <f>[2]หน้าผ้า!G279</f>
        <v>0</v>
      </c>
      <c r="F270" s="9">
        <f>[2]หน้าผ้า!H279</f>
        <v>0</v>
      </c>
      <c r="G270" s="9">
        <f>[2]หน้าผ้า!I279</f>
        <v>0</v>
      </c>
      <c r="H270" s="9">
        <f>[2]หน้าผ้า!J279</f>
        <v>0</v>
      </c>
      <c r="I270" s="9">
        <f>[2]หน้าผ้า!L279</f>
        <v>0</v>
      </c>
      <c r="J270" s="9">
        <f>[2]หน้าผ้า!M279</f>
        <v>0</v>
      </c>
      <c r="K270" s="9">
        <f>[2]หน้าผ้า!N279</f>
        <v>0</v>
      </c>
      <c r="L270" s="9">
        <f>[2]หน้าผ้า!R279</f>
        <v>0</v>
      </c>
      <c r="M270" s="10">
        <f>[2]หน้าผ้า!T279</f>
        <v>0</v>
      </c>
      <c r="N270" s="9">
        <f>[2]หน้าผ้า!U279</f>
        <v>0</v>
      </c>
      <c r="O270" s="9">
        <f>[2]หน้าผ้า!V279</f>
        <v>0</v>
      </c>
      <c r="P270" s="10">
        <f>[2]หน้าผ้า!AB279</f>
        <v>0</v>
      </c>
      <c r="Q270" s="10">
        <f>[2]หน้าผ้า!AC279</f>
        <v>0</v>
      </c>
      <c r="R270" s="10">
        <f>[2]หน้าผ้า!AD279</f>
        <v>0</v>
      </c>
      <c r="S270" s="9">
        <f>[2]หน้าผ้า!Z279</f>
        <v>0</v>
      </c>
      <c r="T270" s="12">
        <f>[2]หน้าผ้า!X279</f>
        <v>0</v>
      </c>
      <c r="U270" s="11">
        <f>[2]หน้าผ้า!AA279</f>
        <v>0</v>
      </c>
      <c r="V270" s="10">
        <f>[2]หน้าผ้า!AJ279</f>
        <v>0</v>
      </c>
      <c r="W270" s="10">
        <f>[2]หน้าผ้า!AL279</f>
        <v>0</v>
      </c>
      <c r="X270" s="10">
        <f>[2]หน้าผ้า!AM279</f>
        <v>0</v>
      </c>
      <c r="Y270" s="10">
        <f>[2]หน้าผ้า!AN279</f>
        <v>0</v>
      </c>
      <c r="Z270" s="9">
        <f>[2]หน้าผ้า!AO279</f>
        <v>0</v>
      </c>
      <c r="AA270" s="8">
        <f>[2]หน้าผ้า!AQ279</f>
        <v>0</v>
      </c>
      <c r="AB270" s="8">
        <f>[2]หน้าผ้า!AR279</f>
        <v>0</v>
      </c>
      <c r="AC270" s="8">
        <f>[2]หน้าผ้า!AS279</f>
        <v>0</v>
      </c>
      <c r="AD270" s="8">
        <f>[2]หน้าผ้า!AT279</f>
        <v>0</v>
      </c>
      <c r="AE270" s="8">
        <f>[2]หน้าผ้า!AU279</f>
        <v>0</v>
      </c>
      <c r="AF270" s="8">
        <f>[2]หน้าผ้า!AI279</f>
        <v>0</v>
      </c>
      <c r="AG270" s="1">
        <f>[3]หน้าผ้า!DC282</f>
        <v>0</v>
      </c>
      <c r="AH270" s="1">
        <f>[2]หน้าผ้า!DL279</f>
        <v>0</v>
      </c>
      <c r="AI270" s="1">
        <f>[2]หน้าผ้า!DM279</f>
        <v>0</v>
      </c>
      <c r="AJ270" s="3">
        <f>[2]หน้าผ้า!DN279</f>
        <v>0</v>
      </c>
      <c r="AK270" s="3">
        <f>[2]หน้าผ้า!DQ279</f>
        <v>0</v>
      </c>
      <c r="AL270" s="3">
        <f>[2]หน้าผ้า!DR279</f>
        <v>0</v>
      </c>
      <c r="AM270" s="3">
        <f>[2]หน้าผ้า!DS279</f>
        <v>0</v>
      </c>
      <c r="AN270" s="3">
        <f>[2]หน้าผ้า!DT279</f>
        <v>0</v>
      </c>
      <c r="AO270" s="3">
        <f>[2]หน้าผ้า!DU279</f>
        <v>0</v>
      </c>
      <c r="AP270" s="3">
        <f>[2]หน้าผ้า!DP279</f>
        <v>0</v>
      </c>
      <c r="AQ270" s="3">
        <f>[2]หน้าผ้า!DW279</f>
        <v>0</v>
      </c>
      <c r="AR270" s="3">
        <f>[2]หน้าผ้า!DX279</f>
        <v>0</v>
      </c>
      <c r="AS270" s="3">
        <f>[2]หน้าผ้า!DY279</f>
        <v>0</v>
      </c>
      <c r="AT270" s="3">
        <f>[2]หน้าผ้า!DZ279</f>
        <v>0</v>
      </c>
      <c r="AU270" s="3">
        <f>[2]หน้าผ้า!EA279</f>
        <v>0</v>
      </c>
      <c r="AV270" s="1">
        <f>[2]หน้าผ้า!EB279</f>
        <v>0</v>
      </c>
      <c r="AW270" s="2">
        <f>[2]หน้าผ้า!EC279</f>
        <v>0</v>
      </c>
      <c r="AX270" s="2">
        <f>[2]หน้าผ้า!ED279</f>
        <v>0</v>
      </c>
      <c r="AY270" s="2">
        <f>[2]หน้าผ้า!AG279</f>
        <v>0</v>
      </c>
      <c r="AZ270" s="2">
        <f>[2]หน้าผ้า!EG279</f>
        <v>0</v>
      </c>
      <c r="BA270" s="2">
        <f>[2]หน้าผ้า!EH279</f>
        <v>0</v>
      </c>
      <c r="BB270" s="2">
        <f>[2]หน้าผ้า!EI279</f>
        <v>0</v>
      </c>
      <c r="BC270" s="1">
        <f>[2]หน้าผ้า!BZ279</f>
        <v>0</v>
      </c>
      <c r="BD270" s="56">
        <f>[2]หน้าผ้า!CA279</f>
        <v>0</v>
      </c>
    </row>
    <row r="271" spans="1:56" ht="27.75" customHeight="1" x14ac:dyDescent="0.45">
      <c r="A271" s="3">
        <f>[2]หน้าผ้า!C280</f>
        <v>0</v>
      </c>
      <c r="B271" s="14">
        <f>[2]หน้าผ้า!B280</f>
        <v>0</v>
      </c>
      <c r="C271" s="9">
        <f>[2]หน้าผ้า!E280</f>
        <v>0</v>
      </c>
      <c r="D271" s="13">
        <f>[2]หน้าผ้า!F280</f>
        <v>0</v>
      </c>
      <c r="E271" s="9">
        <f>[2]หน้าผ้า!G280</f>
        <v>0</v>
      </c>
      <c r="F271" s="9">
        <f>[2]หน้าผ้า!H280</f>
        <v>0</v>
      </c>
      <c r="G271" s="9">
        <f>[2]หน้าผ้า!I280</f>
        <v>0</v>
      </c>
      <c r="H271" s="9">
        <f>[2]หน้าผ้า!J280</f>
        <v>0</v>
      </c>
      <c r="I271" s="9">
        <f>[2]หน้าผ้า!L280</f>
        <v>0</v>
      </c>
      <c r="J271" s="9">
        <f>[2]หน้าผ้า!M280</f>
        <v>0</v>
      </c>
      <c r="K271" s="9">
        <f>[2]หน้าผ้า!N280</f>
        <v>0</v>
      </c>
      <c r="L271" s="9">
        <f>[2]หน้าผ้า!R280</f>
        <v>0</v>
      </c>
      <c r="M271" s="10">
        <f>[2]หน้าผ้า!T280</f>
        <v>0</v>
      </c>
      <c r="N271" s="9">
        <f>[2]หน้าผ้า!U280</f>
        <v>0</v>
      </c>
      <c r="O271" s="9">
        <f>[2]หน้าผ้า!V280</f>
        <v>0</v>
      </c>
      <c r="P271" s="10">
        <f>[2]หน้าผ้า!AB280</f>
        <v>0</v>
      </c>
      <c r="Q271" s="10">
        <f>[2]หน้าผ้า!AC280</f>
        <v>0</v>
      </c>
      <c r="R271" s="10">
        <f>[2]หน้าผ้า!AD280</f>
        <v>0</v>
      </c>
      <c r="S271" s="9">
        <f>[2]หน้าผ้า!Z280</f>
        <v>0</v>
      </c>
      <c r="T271" s="12">
        <f>[2]หน้าผ้า!X280</f>
        <v>0</v>
      </c>
      <c r="U271" s="11">
        <f>[2]หน้าผ้า!AA280</f>
        <v>0</v>
      </c>
      <c r="V271" s="10">
        <f>[2]หน้าผ้า!AJ280</f>
        <v>0</v>
      </c>
      <c r="W271" s="10">
        <f>[2]หน้าผ้า!AL280</f>
        <v>0</v>
      </c>
      <c r="X271" s="10">
        <f>[2]หน้าผ้า!AM280</f>
        <v>0</v>
      </c>
      <c r="Y271" s="10">
        <f>[2]หน้าผ้า!AN280</f>
        <v>0</v>
      </c>
      <c r="Z271" s="9">
        <f>[2]หน้าผ้า!AO280</f>
        <v>0</v>
      </c>
      <c r="AA271" s="8">
        <f>[2]หน้าผ้า!AQ280</f>
        <v>0</v>
      </c>
      <c r="AB271" s="8">
        <f>[2]หน้าผ้า!AR280</f>
        <v>0</v>
      </c>
      <c r="AC271" s="8">
        <f>[2]หน้าผ้า!AS280</f>
        <v>0</v>
      </c>
      <c r="AD271" s="8">
        <f>[2]หน้าผ้า!AT280</f>
        <v>0</v>
      </c>
      <c r="AE271" s="8">
        <f>[2]หน้าผ้า!AU280</f>
        <v>0</v>
      </c>
      <c r="AF271" s="8">
        <f>[2]หน้าผ้า!AI280</f>
        <v>0</v>
      </c>
      <c r="AG271" s="1">
        <f>[3]หน้าผ้า!DC283</f>
        <v>0</v>
      </c>
      <c r="AH271" s="1">
        <f>[2]หน้าผ้า!DL280</f>
        <v>0</v>
      </c>
      <c r="AI271" s="1">
        <f>[2]หน้าผ้า!DM280</f>
        <v>0</v>
      </c>
      <c r="AJ271" s="3">
        <f>[2]หน้าผ้า!DN280</f>
        <v>0</v>
      </c>
      <c r="AK271" s="3">
        <f>[2]หน้าผ้า!DQ280</f>
        <v>0</v>
      </c>
      <c r="AL271" s="3">
        <f>[2]หน้าผ้า!DR280</f>
        <v>0</v>
      </c>
      <c r="AM271" s="3">
        <f>[2]หน้าผ้า!DS280</f>
        <v>0</v>
      </c>
      <c r="AN271" s="3">
        <f>[2]หน้าผ้า!DT280</f>
        <v>0</v>
      </c>
      <c r="AO271" s="3">
        <f>[2]หน้าผ้า!DU280</f>
        <v>0</v>
      </c>
      <c r="AP271" s="3">
        <f>[2]หน้าผ้า!DP280</f>
        <v>0</v>
      </c>
      <c r="AQ271" s="3">
        <f>[2]หน้าผ้า!DW280</f>
        <v>0</v>
      </c>
      <c r="AR271" s="3">
        <f>[2]หน้าผ้า!DX280</f>
        <v>0</v>
      </c>
      <c r="AS271" s="3">
        <f>[2]หน้าผ้า!DY280</f>
        <v>0</v>
      </c>
      <c r="AT271" s="3">
        <f>[2]หน้าผ้า!DZ280</f>
        <v>0</v>
      </c>
      <c r="AU271" s="3">
        <f>[2]หน้าผ้า!EA280</f>
        <v>0</v>
      </c>
      <c r="AV271" s="1">
        <f>[2]หน้าผ้า!EB280</f>
        <v>0</v>
      </c>
      <c r="AW271" s="2">
        <f>[2]หน้าผ้า!EC280</f>
        <v>0</v>
      </c>
      <c r="AX271" s="2">
        <f>[2]หน้าผ้า!ED280</f>
        <v>0</v>
      </c>
      <c r="AY271" s="2">
        <f>[2]หน้าผ้า!AG280</f>
        <v>0</v>
      </c>
      <c r="AZ271" s="2">
        <f>[2]หน้าผ้า!EG280</f>
        <v>0</v>
      </c>
      <c r="BA271" s="2">
        <f>[2]หน้าผ้า!EH280</f>
        <v>0</v>
      </c>
      <c r="BB271" s="2">
        <f>[2]หน้าผ้า!EI280</f>
        <v>0</v>
      </c>
      <c r="BC271" s="1">
        <f>[2]หน้าผ้า!BZ280</f>
        <v>0</v>
      </c>
      <c r="BD271" s="56">
        <f>[2]หน้าผ้า!CA280</f>
        <v>0</v>
      </c>
    </row>
    <row r="272" spans="1:56" ht="27.75" customHeight="1" x14ac:dyDescent="0.45">
      <c r="A272" s="3">
        <f>[2]หน้าผ้า!C281</f>
        <v>0</v>
      </c>
      <c r="B272" s="14">
        <f>[2]หน้าผ้า!B281</f>
        <v>0</v>
      </c>
      <c r="C272" s="9">
        <f>[2]หน้าผ้า!E281</f>
        <v>0</v>
      </c>
      <c r="D272" s="13">
        <f>[2]หน้าผ้า!F281</f>
        <v>0</v>
      </c>
      <c r="E272" s="9">
        <f>[2]หน้าผ้า!G281</f>
        <v>0</v>
      </c>
      <c r="F272" s="9">
        <f>[2]หน้าผ้า!H281</f>
        <v>0</v>
      </c>
      <c r="G272" s="9">
        <f>[2]หน้าผ้า!I281</f>
        <v>0</v>
      </c>
      <c r="H272" s="9">
        <f>[2]หน้าผ้า!J281</f>
        <v>0</v>
      </c>
      <c r="I272" s="9">
        <f>[2]หน้าผ้า!L281</f>
        <v>0</v>
      </c>
      <c r="J272" s="9">
        <f>[2]หน้าผ้า!M281</f>
        <v>0</v>
      </c>
      <c r="K272" s="9">
        <f>[2]หน้าผ้า!N281</f>
        <v>0</v>
      </c>
      <c r="L272" s="9">
        <f>[2]หน้าผ้า!R281</f>
        <v>0</v>
      </c>
      <c r="M272" s="10">
        <f>[2]หน้าผ้า!T281</f>
        <v>0</v>
      </c>
      <c r="N272" s="9">
        <f>[2]หน้าผ้า!U281</f>
        <v>0</v>
      </c>
      <c r="O272" s="9">
        <f>[2]หน้าผ้า!V281</f>
        <v>0</v>
      </c>
      <c r="P272" s="10">
        <f>[2]หน้าผ้า!AB281</f>
        <v>0</v>
      </c>
      <c r="Q272" s="10">
        <f>[2]หน้าผ้า!AC281</f>
        <v>0</v>
      </c>
      <c r="R272" s="10">
        <f>[2]หน้าผ้า!AD281</f>
        <v>0</v>
      </c>
      <c r="S272" s="9">
        <f>[2]หน้าผ้า!Z281</f>
        <v>0</v>
      </c>
      <c r="T272" s="12">
        <f>[2]หน้าผ้า!X281</f>
        <v>0</v>
      </c>
      <c r="U272" s="11">
        <f>[2]หน้าผ้า!AA281</f>
        <v>0</v>
      </c>
      <c r="V272" s="10">
        <f>[2]หน้าผ้า!AJ281</f>
        <v>0</v>
      </c>
      <c r="W272" s="10">
        <f>[2]หน้าผ้า!AL281</f>
        <v>0</v>
      </c>
      <c r="X272" s="10">
        <f>[2]หน้าผ้า!AM281</f>
        <v>0</v>
      </c>
      <c r="Y272" s="10">
        <f>[2]หน้าผ้า!AN281</f>
        <v>0</v>
      </c>
      <c r="Z272" s="9">
        <f>[2]หน้าผ้า!AO281</f>
        <v>0</v>
      </c>
      <c r="AA272" s="8">
        <f>[2]หน้าผ้า!AQ281</f>
        <v>0</v>
      </c>
      <c r="AB272" s="8">
        <f>[2]หน้าผ้า!AR281</f>
        <v>0</v>
      </c>
      <c r="AC272" s="8">
        <f>[2]หน้าผ้า!AS281</f>
        <v>0</v>
      </c>
      <c r="AD272" s="8">
        <f>[2]หน้าผ้า!AT281</f>
        <v>0</v>
      </c>
      <c r="AE272" s="8">
        <f>[2]หน้าผ้า!AU281</f>
        <v>0</v>
      </c>
      <c r="AF272" s="8">
        <f>[2]หน้าผ้า!AI281</f>
        <v>0</v>
      </c>
      <c r="AG272" s="1">
        <f>[3]หน้าผ้า!DC284</f>
        <v>0</v>
      </c>
      <c r="AH272" s="1">
        <f>[2]หน้าผ้า!DL281</f>
        <v>0</v>
      </c>
      <c r="AI272" s="1">
        <f>[2]หน้าผ้า!DM281</f>
        <v>0</v>
      </c>
      <c r="AJ272" s="3">
        <f>[2]หน้าผ้า!DN281</f>
        <v>0</v>
      </c>
      <c r="AK272" s="3">
        <f>[2]หน้าผ้า!DQ281</f>
        <v>0</v>
      </c>
      <c r="AL272" s="3">
        <f>[2]หน้าผ้า!DR281</f>
        <v>0</v>
      </c>
      <c r="AM272" s="3">
        <f>[2]หน้าผ้า!DS281</f>
        <v>0</v>
      </c>
      <c r="AN272" s="3">
        <f>[2]หน้าผ้า!DT281</f>
        <v>0</v>
      </c>
      <c r="AO272" s="3">
        <f>[2]หน้าผ้า!DU281</f>
        <v>0</v>
      </c>
      <c r="AP272" s="3">
        <f>[2]หน้าผ้า!DP281</f>
        <v>0</v>
      </c>
      <c r="AQ272" s="3">
        <f>[2]หน้าผ้า!DW281</f>
        <v>0</v>
      </c>
      <c r="AR272" s="3">
        <f>[2]หน้าผ้า!DX281</f>
        <v>0</v>
      </c>
      <c r="AS272" s="3">
        <f>[2]หน้าผ้า!DY281</f>
        <v>0</v>
      </c>
      <c r="AT272" s="3">
        <f>[2]หน้าผ้า!DZ281</f>
        <v>0</v>
      </c>
      <c r="AU272" s="3">
        <f>[2]หน้าผ้า!EA281</f>
        <v>0</v>
      </c>
      <c r="AV272" s="1">
        <f>[2]หน้าผ้า!EB281</f>
        <v>0</v>
      </c>
      <c r="AW272" s="2">
        <f>[2]หน้าผ้า!EC281</f>
        <v>0</v>
      </c>
      <c r="AX272" s="2">
        <f>[2]หน้าผ้า!ED281</f>
        <v>0</v>
      </c>
      <c r="AY272" s="2">
        <f>[2]หน้าผ้า!AG281</f>
        <v>0</v>
      </c>
      <c r="AZ272" s="2">
        <f>[2]หน้าผ้า!EG281</f>
        <v>0</v>
      </c>
      <c r="BA272" s="2">
        <f>[2]หน้าผ้า!EH281</f>
        <v>0</v>
      </c>
      <c r="BB272" s="2">
        <f>[2]หน้าผ้า!EI281</f>
        <v>0</v>
      </c>
      <c r="BC272" s="1">
        <f>[2]หน้าผ้า!BZ281</f>
        <v>0</v>
      </c>
      <c r="BD272" s="56">
        <f>[2]หน้าผ้า!CA281</f>
        <v>0</v>
      </c>
    </row>
    <row r="273" spans="1:56" ht="27.75" customHeight="1" x14ac:dyDescent="0.45">
      <c r="A273" s="3">
        <f>[2]หน้าผ้า!C282</f>
        <v>0</v>
      </c>
      <c r="B273" s="14">
        <f>[2]หน้าผ้า!B282</f>
        <v>0</v>
      </c>
      <c r="C273" s="9">
        <f>[2]หน้าผ้า!E282</f>
        <v>0</v>
      </c>
      <c r="D273" s="13">
        <f>[2]หน้าผ้า!F282</f>
        <v>0</v>
      </c>
      <c r="E273" s="9">
        <f>[2]หน้าผ้า!G282</f>
        <v>0</v>
      </c>
      <c r="F273" s="9">
        <f>[2]หน้าผ้า!H282</f>
        <v>0</v>
      </c>
      <c r="G273" s="9">
        <f>[2]หน้าผ้า!I282</f>
        <v>0</v>
      </c>
      <c r="H273" s="9">
        <f>[2]หน้าผ้า!J282</f>
        <v>0</v>
      </c>
      <c r="I273" s="9">
        <f>[2]หน้าผ้า!L282</f>
        <v>0</v>
      </c>
      <c r="J273" s="9">
        <f>[2]หน้าผ้า!M282</f>
        <v>0</v>
      </c>
      <c r="K273" s="9">
        <f>[2]หน้าผ้า!N282</f>
        <v>0</v>
      </c>
      <c r="L273" s="9">
        <f>[2]หน้าผ้า!R282</f>
        <v>0</v>
      </c>
      <c r="M273" s="10">
        <f>[2]หน้าผ้า!T282</f>
        <v>0</v>
      </c>
      <c r="N273" s="9">
        <f>[2]หน้าผ้า!U282</f>
        <v>0</v>
      </c>
      <c r="O273" s="9">
        <f>[2]หน้าผ้า!V282</f>
        <v>0</v>
      </c>
      <c r="P273" s="10">
        <f>[2]หน้าผ้า!AB282</f>
        <v>0</v>
      </c>
      <c r="Q273" s="10">
        <f>[2]หน้าผ้า!AC282</f>
        <v>0</v>
      </c>
      <c r="R273" s="10">
        <f>[2]หน้าผ้า!AD282</f>
        <v>0</v>
      </c>
      <c r="S273" s="9">
        <f>[2]หน้าผ้า!Z282</f>
        <v>0</v>
      </c>
      <c r="T273" s="12">
        <f>[2]หน้าผ้า!X282</f>
        <v>0</v>
      </c>
      <c r="U273" s="11">
        <f>[2]หน้าผ้า!AA282</f>
        <v>0</v>
      </c>
      <c r="V273" s="10">
        <f>[2]หน้าผ้า!AJ282</f>
        <v>0</v>
      </c>
      <c r="W273" s="10">
        <f>[2]หน้าผ้า!AL282</f>
        <v>0</v>
      </c>
      <c r="X273" s="10">
        <f>[2]หน้าผ้า!AM282</f>
        <v>0</v>
      </c>
      <c r="Y273" s="10">
        <f>[2]หน้าผ้า!AN282</f>
        <v>0</v>
      </c>
      <c r="Z273" s="9">
        <f>[2]หน้าผ้า!AO282</f>
        <v>0</v>
      </c>
      <c r="AA273" s="8">
        <f>[2]หน้าผ้า!AQ282</f>
        <v>0</v>
      </c>
      <c r="AB273" s="8">
        <f>[2]หน้าผ้า!AR282</f>
        <v>0</v>
      </c>
      <c r="AC273" s="8">
        <f>[2]หน้าผ้า!AS282</f>
        <v>0</v>
      </c>
      <c r="AD273" s="8">
        <f>[2]หน้าผ้า!AT282</f>
        <v>0</v>
      </c>
      <c r="AE273" s="8">
        <f>[2]หน้าผ้า!AU282</f>
        <v>0</v>
      </c>
      <c r="AF273" s="8">
        <f>[2]หน้าผ้า!AI282</f>
        <v>0</v>
      </c>
      <c r="AG273" s="1">
        <f>[3]หน้าผ้า!DC285</f>
        <v>0</v>
      </c>
      <c r="AH273" s="1">
        <f>[2]หน้าผ้า!DL282</f>
        <v>0</v>
      </c>
      <c r="AI273" s="1">
        <f>[2]หน้าผ้า!DM282</f>
        <v>0</v>
      </c>
      <c r="AJ273" s="3">
        <f>[2]หน้าผ้า!DN282</f>
        <v>0</v>
      </c>
      <c r="AK273" s="3">
        <f>[2]หน้าผ้า!DQ282</f>
        <v>0</v>
      </c>
      <c r="AL273" s="3">
        <f>[2]หน้าผ้า!DR282</f>
        <v>0</v>
      </c>
      <c r="AM273" s="3">
        <f>[2]หน้าผ้า!DS282</f>
        <v>0</v>
      </c>
      <c r="AN273" s="3">
        <f>[2]หน้าผ้า!DT282</f>
        <v>0</v>
      </c>
      <c r="AO273" s="3">
        <f>[2]หน้าผ้า!DU282</f>
        <v>0</v>
      </c>
      <c r="AP273" s="3">
        <f>[2]หน้าผ้า!DP282</f>
        <v>0</v>
      </c>
      <c r="AQ273" s="3">
        <f>[2]หน้าผ้า!DW282</f>
        <v>0</v>
      </c>
      <c r="AR273" s="3">
        <f>[2]หน้าผ้า!DX282</f>
        <v>0</v>
      </c>
      <c r="AS273" s="3">
        <f>[2]หน้าผ้า!DY282</f>
        <v>0</v>
      </c>
      <c r="AT273" s="3">
        <f>[2]หน้าผ้า!DZ282</f>
        <v>0</v>
      </c>
      <c r="AU273" s="3">
        <f>[2]หน้าผ้า!EA282</f>
        <v>0</v>
      </c>
      <c r="AV273" s="1">
        <f>[2]หน้าผ้า!EB282</f>
        <v>0</v>
      </c>
      <c r="AW273" s="2">
        <f>[2]หน้าผ้า!EC282</f>
        <v>0</v>
      </c>
      <c r="AX273" s="2">
        <f>[2]หน้าผ้า!ED282</f>
        <v>0</v>
      </c>
      <c r="AY273" s="2">
        <f>[2]หน้าผ้า!AG282</f>
        <v>0</v>
      </c>
      <c r="AZ273" s="2">
        <f>[2]หน้าผ้า!EG282</f>
        <v>0</v>
      </c>
      <c r="BA273" s="2">
        <f>[2]หน้าผ้า!EH282</f>
        <v>0</v>
      </c>
      <c r="BB273" s="2">
        <f>[2]หน้าผ้า!EI282</f>
        <v>0</v>
      </c>
      <c r="BC273" s="1">
        <f>[2]หน้าผ้า!BZ282</f>
        <v>0</v>
      </c>
      <c r="BD273" s="56">
        <f>[2]หน้าผ้า!CA282</f>
        <v>0</v>
      </c>
    </row>
    <row r="274" spans="1:56" ht="27.75" customHeight="1" x14ac:dyDescent="0.45">
      <c r="A274" s="3">
        <f>[2]หน้าผ้า!C283</f>
        <v>0</v>
      </c>
      <c r="B274" s="14">
        <f>[2]หน้าผ้า!B283</f>
        <v>0</v>
      </c>
      <c r="C274" s="9">
        <f>[2]หน้าผ้า!E283</f>
        <v>0</v>
      </c>
      <c r="D274" s="13">
        <f>[2]หน้าผ้า!F283</f>
        <v>0</v>
      </c>
      <c r="E274" s="9">
        <f>[2]หน้าผ้า!G283</f>
        <v>0</v>
      </c>
      <c r="F274" s="9">
        <f>[2]หน้าผ้า!H283</f>
        <v>0</v>
      </c>
      <c r="G274" s="9">
        <f>[2]หน้าผ้า!I283</f>
        <v>0</v>
      </c>
      <c r="H274" s="9">
        <f>[2]หน้าผ้า!J283</f>
        <v>0</v>
      </c>
      <c r="I274" s="9">
        <f>[2]หน้าผ้า!L283</f>
        <v>0</v>
      </c>
      <c r="J274" s="9">
        <f>[2]หน้าผ้า!M283</f>
        <v>0</v>
      </c>
      <c r="K274" s="9">
        <f>[2]หน้าผ้า!N283</f>
        <v>0</v>
      </c>
      <c r="L274" s="9">
        <f>[2]หน้าผ้า!R283</f>
        <v>0</v>
      </c>
      <c r="M274" s="10">
        <f>[2]หน้าผ้า!T283</f>
        <v>0</v>
      </c>
      <c r="N274" s="9">
        <f>[2]หน้าผ้า!U283</f>
        <v>0</v>
      </c>
      <c r="O274" s="9">
        <f>[2]หน้าผ้า!V283</f>
        <v>0</v>
      </c>
      <c r="P274" s="10">
        <f>[2]หน้าผ้า!AB283</f>
        <v>0</v>
      </c>
      <c r="Q274" s="10">
        <f>[2]หน้าผ้า!AC283</f>
        <v>0</v>
      </c>
      <c r="R274" s="10">
        <f>[2]หน้าผ้า!AD283</f>
        <v>0</v>
      </c>
      <c r="S274" s="9">
        <f>[2]หน้าผ้า!Z283</f>
        <v>0</v>
      </c>
      <c r="T274" s="12">
        <f>[2]หน้าผ้า!X283</f>
        <v>0</v>
      </c>
      <c r="U274" s="11">
        <f>[2]หน้าผ้า!AA283</f>
        <v>0</v>
      </c>
      <c r="V274" s="10">
        <f>[2]หน้าผ้า!AJ283</f>
        <v>0</v>
      </c>
      <c r="W274" s="10">
        <f>[2]หน้าผ้า!AL283</f>
        <v>0</v>
      </c>
      <c r="X274" s="10">
        <f>[2]หน้าผ้า!AM283</f>
        <v>0</v>
      </c>
      <c r="Y274" s="10">
        <f>[2]หน้าผ้า!AN283</f>
        <v>0</v>
      </c>
      <c r="Z274" s="9">
        <f>[2]หน้าผ้า!AO283</f>
        <v>0</v>
      </c>
      <c r="AA274" s="8">
        <f>[2]หน้าผ้า!AQ283</f>
        <v>0</v>
      </c>
      <c r="AB274" s="8">
        <f>[2]หน้าผ้า!AR283</f>
        <v>0</v>
      </c>
      <c r="AC274" s="8">
        <f>[2]หน้าผ้า!AS283</f>
        <v>0</v>
      </c>
      <c r="AD274" s="8">
        <f>[2]หน้าผ้า!AT283</f>
        <v>0</v>
      </c>
      <c r="AE274" s="8">
        <f>[2]หน้าผ้า!AU283</f>
        <v>0</v>
      </c>
      <c r="AF274" s="8">
        <f>[2]หน้าผ้า!AI283</f>
        <v>0</v>
      </c>
      <c r="AG274" s="1">
        <f>[3]หน้าผ้า!DC286</f>
        <v>0</v>
      </c>
      <c r="AH274" s="1">
        <f>[2]หน้าผ้า!DL283</f>
        <v>0</v>
      </c>
      <c r="AI274" s="1">
        <f>[2]หน้าผ้า!DM283</f>
        <v>0</v>
      </c>
      <c r="AJ274" s="3">
        <f>[2]หน้าผ้า!DN283</f>
        <v>0</v>
      </c>
      <c r="AK274" s="3">
        <f>[2]หน้าผ้า!DQ283</f>
        <v>0</v>
      </c>
      <c r="AL274" s="3">
        <f>[2]หน้าผ้า!DR283</f>
        <v>0</v>
      </c>
      <c r="AM274" s="3">
        <f>[2]หน้าผ้า!DS283</f>
        <v>0</v>
      </c>
      <c r="AN274" s="3">
        <f>[2]หน้าผ้า!DT283</f>
        <v>0</v>
      </c>
      <c r="AO274" s="3">
        <f>[2]หน้าผ้า!DU283</f>
        <v>0</v>
      </c>
      <c r="AP274" s="3">
        <f>[2]หน้าผ้า!DP283</f>
        <v>0</v>
      </c>
      <c r="AQ274" s="3">
        <f>[2]หน้าผ้า!DW283</f>
        <v>0</v>
      </c>
      <c r="AR274" s="3">
        <f>[2]หน้าผ้า!DX283</f>
        <v>0</v>
      </c>
      <c r="AS274" s="3">
        <f>[2]หน้าผ้า!DY283</f>
        <v>0</v>
      </c>
      <c r="AT274" s="3">
        <f>[2]หน้าผ้า!DZ283</f>
        <v>0</v>
      </c>
      <c r="AU274" s="3">
        <f>[2]หน้าผ้า!EA283</f>
        <v>0</v>
      </c>
      <c r="AV274" s="1">
        <f>[2]หน้าผ้า!EB283</f>
        <v>0</v>
      </c>
      <c r="AW274" s="2">
        <f>[2]หน้าผ้า!EC283</f>
        <v>0</v>
      </c>
      <c r="AX274" s="2">
        <f>[2]หน้าผ้า!ED283</f>
        <v>0</v>
      </c>
      <c r="AY274" s="2">
        <f>[2]หน้าผ้า!AG283</f>
        <v>0</v>
      </c>
      <c r="AZ274" s="2">
        <f>[2]หน้าผ้า!EG283</f>
        <v>0</v>
      </c>
      <c r="BA274" s="2">
        <f>[2]หน้าผ้า!EH283</f>
        <v>0</v>
      </c>
      <c r="BB274" s="2">
        <f>[2]หน้าผ้า!EI283</f>
        <v>0</v>
      </c>
      <c r="BC274" s="1">
        <f>[2]หน้าผ้า!BZ283</f>
        <v>0</v>
      </c>
      <c r="BD274" s="56">
        <f>[2]หน้าผ้า!CA283</f>
        <v>0</v>
      </c>
    </row>
    <row r="275" spans="1:56" ht="27.75" customHeight="1" x14ac:dyDescent="0.45">
      <c r="A275" s="3">
        <f>[2]หน้าผ้า!C284</f>
        <v>0</v>
      </c>
      <c r="B275" s="14">
        <f>[2]หน้าผ้า!B284</f>
        <v>0</v>
      </c>
      <c r="C275" s="9">
        <f>[2]หน้าผ้า!E284</f>
        <v>0</v>
      </c>
      <c r="D275" s="13">
        <f>[2]หน้าผ้า!F284</f>
        <v>0</v>
      </c>
      <c r="E275" s="9">
        <f>[2]หน้าผ้า!G284</f>
        <v>0</v>
      </c>
      <c r="F275" s="9">
        <f>[2]หน้าผ้า!H284</f>
        <v>0</v>
      </c>
      <c r="G275" s="9">
        <f>[2]หน้าผ้า!I284</f>
        <v>0</v>
      </c>
      <c r="H275" s="9">
        <f>[2]หน้าผ้า!J284</f>
        <v>0</v>
      </c>
      <c r="I275" s="9">
        <f>[2]หน้าผ้า!L284</f>
        <v>0</v>
      </c>
      <c r="J275" s="9">
        <f>[2]หน้าผ้า!M284</f>
        <v>0</v>
      </c>
      <c r="K275" s="9">
        <f>[2]หน้าผ้า!N284</f>
        <v>0</v>
      </c>
      <c r="L275" s="9">
        <f>[2]หน้าผ้า!R284</f>
        <v>0</v>
      </c>
      <c r="M275" s="10">
        <f>[2]หน้าผ้า!T284</f>
        <v>0</v>
      </c>
      <c r="N275" s="9">
        <f>[2]หน้าผ้า!U284</f>
        <v>0</v>
      </c>
      <c r="O275" s="9">
        <f>[2]หน้าผ้า!V284</f>
        <v>0</v>
      </c>
      <c r="P275" s="10">
        <f>[2]หน้าผ้า!AB284</f>
        <v>0</v>
      </c>
      <c r="Q275" s="10">
        <f>[2]หน้าผ้า!AC284</f>
        <v>0</v>
      </c>
      <c r="R275" s="10">
        <f>[2]หน้าผ้า!AD284</f>
        <v>0</v>
      </c>
      <c r="S275" s="9">
        <f>[2]หน้าผ้า!Z284</f>
        <v>0</v>
      </c>
      <c r="T275" s="12">
        <f>[2]หน้าผ้า!X284</f>
        <v>0</v>
      </c>
      <c r="U275" s="11">
        <f>[2]หน้าผ้า!AA284</f>
        <v>0</v>
      </c>
      <c r="V275" s="10">
        <f>[2]หน้าผ้า!AJ284</f>
        <v>0</v>
      </c>
      <c r="W275" s="10">
        <f>[2]หน้าผ้า!AL284</f>
        <v>0</v>
      </c>
      <c r="X275" s="10">
        <f>[2]หน้าผ้า!AM284</f>
        <v>0</v>
      </c>
      <c r="Y275" s="10">
        <f>[2]หน้าผ้า!AN284</f>
        <v>0</v>
      </c>
      <c r="Z275" s="9">
        <f>[2]หน้าผ้า!AO284</f>
        <v>0</v>
      </c>
      <c r="AA275" s="8">
        <f>[2]หน้าผ้า!AQ284</f>
        <v>0</v>
      </c>
      <c r="AB275" s="8">
        <f>[2]หน้าผ้า!AR284</f>
        <v>0</v>
      </c>
      <c r="AC275" s="8">
        <f>[2]หน้าผ้า!AS284</f>
        <v>0</v>
      </c>
      <c r="AD275" s="8">
        <f>[2]หน้าผ้า!AT284</f>
        <v>0</v>
      </c>
      <c r="AE275" s="8">
        <f>[2]หน้าผ้า!AU284</f>
        <v>0</v>
      </c>
      <c r="AF275" s="8">
        <f>[2]หน้าผ้า!AI284</f>
        <v>0</v>
      </c>
      <c r="AG275" s="1">
        <f>[3]หน้าผ้า!DC287</f>
        <v>0</v>
      </c>
      <c r="AH275" s="1">
        <f>[2]หน้าผ้า!DL284</f>
        <v>0</v>
      </c>
      <c r="AI275" s="1">
        <f>[2]หน้าผ้า!DM284</f>
        <v>0</v>
      </c>
      <c r="AJ275" s="3">
        <f>[2]หน้าผ้า!DN284</f>
        <v>0</v>
      </c>
      <c r="AK275" s="3">
        <f>[2]หน้าผ้า!DQ284</f>
        <v>0</v>
      </c>
      <c r="AL275" s="3">
        <f>[2]หน้าผ้า!DR284</f>
        <v>0</v>
      </c>
      <c r="AM275" s="3">
        <f>[2]หน้าผ้า!DS284</f>
        <v>0</v>
      </c>
      <c r="AN275" s="3">
        <f>[2]หน้าผ้า!DT284</f>
        <v>0</v>
      </c>
      <c r="AO275" s="3">
        <f>[2]หน้าผ้า!DU284</f>
        <v>0</v>
      </c>
      <c r="AP275" s="3">
        <f>[2]หน้าผ้า!DP284</f>
        <v>0</v>
      </c>
      <c r="AQ275" s="3">
        <f>[2]หน้าผ้า!DW284</f>
        <v>0</v>
      </c>
      <c r="AR275" s="3">
        <f>[2]หน้าผ้า!DX284</f>
        <v>0</v>
      </c>
      <c r="AS275" s="3">
        <f>[2]หน้าผ้า!DY284</f>
        <v>0</v>
      </c>
      <c r="AT275" s="3">
        <f>[2]หน้าผ้า!DZ284</f>
        <v>0</v>
      </c>
      <c r="AU275" s="3">
        <f>[2]หน้าผ้า!EA284</f>
        <v>0</v>
      </c>
      <c r="AV275" s="1">
        <f>[2]หน้าผ้า!EB284</f>
        <v>0</v>
      </c>
      <c r="AW275" s="2">
        <f>[2]หน้าผ้า!EC284</f>
        <v>0</v>
      </c>
      <c r="AX275" s="2">
        <f>[2]หน้าผ้า!ED284</f>
        <v>0</v>
      </c>
      <c r="AY275" s="2">
        <f>[2]หน้าผ้า!AG284</f>
        <v>0</v>
      </c>
      <c r="AZ275" s="2">
        <f>[2]หน้าผ้า!EG284</f>
        <v>0</v>
      </c>
      <c r="BA275" s="2">
        <f>[2]หน้าผ้า!EH284</f>
        <v>0</v>
      </c>
      <c r="BB275" s="2">
        <f>[2]หน้าผ้า!EI284</f>
        <v>0</v>
      </c>
      <c r="BC275" s="1">
        <f>[2]หน้าผ้า!BZ284</f>
        <v>0</v>
      </c>
      <c r="BD275" s="56">
        <f>[2]หน้าผ้า!CA284</f>
        <v>0</v>
      </c>
    </row>
    <row r="276" spans="1:56" ht="27.75" customHeight="1" x14ac:dyDescent="0.45">
      <c r="A276" s="3">
        <f>[2]หน้าผ้า!C285</f>
        <v>0</v>
      </c>
      <c r="B276" s="14">
        <f>[2]หน้าผ้า!B285</f>
        <v>0</v>
      </c>
      <c r="C276" s="9">
        <f>[2]หน้าผ้า!E285</f>
        <v>0</v>
      </c>
      <c r="D276" s="13">
        <f>[2]หน้าผ้า!F285</f>
        <v>0</v>
      </c>
      <c r="E276" s="9">
        <f>[2]หน้าผ้า!G285</f>
        <v>0</v>
      </c>
      <c r="F276" s="9">
        <f>[2]หน้าผ้า!H285</f>
        <v>0</v>
      </c>
      <c r="G276" s="9">
        <f>[2]หน้าผ้า!I285</f>
        <v>0</v>
      </c>
      <c r="H276" s="9">
        <f>[2]หน้าผ้า!J285</f>
        <v>0</v>
      </c>
      <c r="I276" s="9">
        <f>[2]หน้าผ้า!L285</f>
        <v>0</v>
      </c>
      <c r="J276" s="9">
        <f>[2]หน้าผ้า!M285</f>
        <v>0</v>
      </c>
      <c r="K276" s="9">
        <f>[2]หน้าผ้า!N285</f>
        <v>0</v>
      </c>
      <c r="L276" s="9">
        <f>[2]หน้าผ้า!R285</f>
        <v>0</v>
      </c>
      <c r="M276" s="10">
        <f>[2]หน้าผ้า!T285</f>
        <v>0</v>
      </c>
      <c r="N276" s="9">
        <f>[2]หน้าผ้า!U285</f>
        <v>0</v>
      </c>
      <c r="O276" s="9">
        <f>[2]หน้าผ้า!V285</f>
        <v>0</v>
      </c>
      <c r="P276" s="10">
        <f>[2]หน้าผ้า!AB285</f>
        <v>0</v>
      </c>
      <c r="Q276" s="10">
        <f>[2]หน้าผ้า!AC285</f>
        <v>0</v>
      </c>
      <c r="R276" s="10">
        <f>[2]หน้าผ้า!AD285</f>
        <v>0</v>
      </c>
      <c r="S276" s="9">
        <f>[2]หน้าผ้า!Z285</f>
        <v>0</v>
      </c>
      <c r="T276" s="12">
        <f>[2]หน้าผ้า!X285</f>
        <v>0</v>
      </c>
      <c r="U276" s="11">
        <f>[2]หน้าผ้า!AA285</f>
        <v>0</v>
      </c>
      <c r="V276" s="10">
        <f>[2]หน้าผ้า!AJ285</f>
        <v>0</v>
      </c>
      <c r="W276" s="10">
        <f>[2]หน้าผ้า!AL285</f>
        <v>0</v>
      </c>
      <c r="X276" s="10">
        <f>[2]หน้าผ้า!AM285</f>
        <v>0</v>
      </c>
      <c r="Y276" s="10">
        <f>[2]หน้าผ้า!AN285</f>
        <v>0</v>
      </c>
      <c r="Z276" s="9">
        <f>[2]หน้าผ้า!AO285</f>
        <v>0</v>
      </c>
      <c r="AA276" s="8">
        <f>[2]หน้าผ้า!AQ285</f>
        <v>0</v>
      </c>
      <c r="AB276" s="8">
        <f>[2]หน้าผ้า!AR285</f>
        <v>0</v>
      </c>
      <c r="AC276" s="8">
        <f>[2]หน้าผ้า!AS285</f>
        <v>0</v>
      </c>
      <c r="AD276" s="8">
        <f>[2]หน้าผ้า!AT285</f>
        <v>0</v>
      </c>
      <c r="AE276" s="8">
        <f>[2]หน้าผ้า!AU285</f>
        <v>0</v>
      </c>
      <c r="AF276" s="8">
        <f>[2]หน้าผ้า!AI285</f>
        <v>0</v>
      </c>
      <c r="AG276" s="1">
        <f>[3]หน้าผ้า!DC288</f>
        <v>0</v>
      </c>
      <c r="AH276" s="1">
        <f>[2]หน้าผ้า!DL285</f>
        <v>0</v>
      </c>
      <c r="AI276" s="1">
        <f>[2]หน้าผ้า!DM285</f>
        <v>0</v>
      </c>
      <c r="AJ276" s="3">
        <f>[2]หน้าผ้า!DN285</f>
        <v>0</v>
      </c>
      <c r="AK276" s="3">
        <f>[2]หน้าผ้า!DQ285</f>
        <v>0</v>
      </c>
      <c r="AL276" s="3">
        <f>[2]หน้าผ้า!DR285</f>
        <v>0</v>
      </c>
      <c r="AM276" s="3">
        <f>[2]หน้าผ้า!DS285</f>
        <v>0</v>
      </c>
      <c r="AN276" s="3">
        <f>[2]หน้าผ้า!DT285</f>
        <v>0</v>
      </c>
      <c r="AO276" s="3">
        <f>[2]หน้าผ้า!DU285</f>
        <v>0</v>
      </c>
      <c r="AP276" s="3">
        <f>[2]หน้าผ้า!DP285</f>
        <v>0</v>
      </c>
      <c r="AQ276" s="3">
        <f>[2]หน้าผ้า!DW285</f>
        <v>0</v>
      </c>
      <c r="AR276" s="3">
        <f>[2]หน้าผ้า!DX285</f>
        <v>0</v>
      </c>
      <c r="AS276" s="3">
        <f>[2]หน้าผ้า!DY285</f>
        <v>0</v>
      </c>
      <c r="AT276" s="3">
        <f>[2]หน้าผ้า!DZ285</f>
        <v>0</v>
      </c>
      <c r="AU276" s="3">
        <f>[2]หน้าผ้า!EA285</f>
        <v>0</v>
      </c>
      <c r="AV276" s="1">
        <f>[2]หน้าผ้า!EB285</f>
        <v>0</v>
      </c>
      <c r="AW276" s="2">
        <f>[2]หน้าผ้า!EC285</f>
        <v>0</v>
      </c>
      <c r="AX276" s="2">
        <f>[2]หน้าผ้า!ED285</f>
        <v>0</v>
      </c>
      <c r="AY276" s="2">
        <f>[2]หน้าผ้า!AG285</f>
        <v>0</v>
      </c>
      <c r="AZ276" s="2">
        <f>[2]หน้าผ้า!EG285</f>
        <v>0</v>
      </c>
      <c r="BA276" s="2">
        <f>[2]หน้าผ้า!EH285</f>
        <v>0</v>
      </c>
      <c r="BB276" s="2">
        <f>[2]หน้าผ้า!EI285</f>
        <v>0</v>
      </c>
      <c r="BC276" s="1">
        <f>[2]หน้าผ้า!BZ285</f>
        <v>0</v>
      </c>
      <c r="BD276" s="56">
        <f>[2]หน้าผ้า!CA285</f>
        <v>0</v>
      </c>
    </row>
    <row r="277" spans="1:56" ht="27.75" customHeight="1" x14ac:dyDescent="0.45">
      <c r="A277" s="3">
        <f>[2]หน้าผ้า!C286</f>
        <v>0</v>
      </c>
      <c r="B277" s="14">
        <f>[2]หน้าผ้า!B286</f>
        <v>0</v>
      </c>
      <c r="C277" s="9">
        <f>[2]หน้าผ้า!E286</f>
        <v>0</v>
      </c>
      <c r="D277" s="13">
        <f>[2]หน้าผ้า!F286</f>
        <v>0</v>
      </c>
      <c r="E277" s="9">
        <f>[2]หน้าผ้า!G286</f>
        <v>0</v>
      </c>
      <c r="F277" s="9">
        <f>[2]หน้าผ้า!H286</f>
        <v>0</v>
      </c>
      <c r="G277" s="9">
        <f>[2]หน้าผ้า!I286</f>
        <v>0</v>
      </c>
      <c r="H277" s="9">
        <f>[2]หน้าผ้า!J286</f>
        <v>0</v>
      </c>
      <c r="I277" s="9">
        <f>[2]หน้าผ้า!L286</f>
        <v>0</v>
      </c>
      <c r="J277" s="9">
        <f>[2]หน้าผ้า!M286</f>
        <v>0</v>
      </c>
      <c r="K277" s="9">
        <f>[2]หน้าผ้า!N286</f>
        <v>0</v>
      </c>
      <c r="L277" s="9">
        <f>[2]หน้าผ้า!R286</f>
        <v>0</v>
      </c>
      <c r="M277" s="10">
        <f>[2]หน้าผ้า!T286</f>
        <v>0</v>
      </c>
      <c r="N277" s="9">
        <f>[2]หน้าผ้า!U286</f>
        <v>0</v>
      </c>
      <c r="O277" s="9">
        <f>[2]หน้าผ้า!V286</f>
        <v>0</v>
      </c>
      <c r="P277" s="10">
        <f>[2]หน้าผ้า!AB286</f>
        <v>0</v>
      </c>
      <c r="Q277" s="10">
        <f>[2]หน้าผ้า!AC286</f>
        <v>0</v>
      </c>
      <c r="R277" s="10">
        <f>[2]หน้าผ้า!AD286</f>
        <v>0</v>
      </c>
      <c r="S277" s="9">
        <f>[2]หน้าผ้า!Z286</f>
        <v>0</v>
      </c>
      <c r="T277" s="12">
        <f>[2]หน้าผ้า!X286</f>
        <v>0</v>
      </c>
      <c r="U277" s="11">
        <f>[2]หน้าผ้า!AA286</f>
        <v>0</v>
      </c>
      <c r="V277" s="10">
        <f>[2]หน้าผ้า!AJ286</f>
        <v>0</v>
      </c>
      <c r="W277" s="10">
        <f>[2]หน้าผ้า!AL286</f>
        <v>0</v>
      </c>
      <c r="X277" s="10">
        <f>[2]หน้าผ้า!AM286</f>
        <v>0</v>
      </c>
      <c r="Y277" s="10">
        <f>[2]หน้าผ้า!AN286</f>
        <v>0</v>
      </c>
      <c r="Z277" s="9">
        <f>[2]หน้าผ้า!AO286</f>
        <v>0</v>
      </c>
      <c r="AA277" s="8">
        <f>[2]หน้าผ้า!AQ286</f>
        <v>0</v>
      </c>
      <c r="AB277" s="8">
        <f>[2]หน้าผ้า!AR286</f>
        <v>0</v>
      </c>
      <c r="AC277" s="8">
        <f>[2]หน้าผ้า!AS286</f>
        <v>0</v>
      </c>
      <c r="AD277" s="8">
        <f>[2]หน้าผ้า!AT286</f>
        <v>0</v>
      </c>
      <c r="AE277" s="8">
        <f>[2]หน้าผ้า!AU286</f>
        <v>0</v>
      </c>
      <c r="AF277" s="8">
        <f>[2]หน้าผ้า!AI286</f>
        <v>0</v>
      </c>
      <c r="AG277" s="1">
        <f>[3]หน้าผ้า!DC289</f>
        <v>0</v>
      </c>
      <c r="AH277" s="1">
        <f>[2]หน้าผ้า!DL286</f>
        <v>0</v>
      </c>
      <c r="AI277" s="1">
        <f>[2]หน้าผ้า!DM286</f>
        <v>0</v>
      </c>
      <c r="AJ277" s="3">
        <f>[2]หน้าผ้า!DN286</f>
        <v>0</v>
      </c>
      <c r="AK277" s="3">
        <f>[2]หน้าผ้า!DQ286</f>
        <v>0</v>
      </c>
      <c r="AL277" s="3">
        <f>[2]หน้าผ้า!DR286</f>
        <v>0</v>
      </c>
      <c r="AM277" s="3">
        <f>[2]หน้าผ้า!DS286</f>
        <v>0</v>
      </c>
      <c r="AN277" s="3">
        <f>[2]หน้าผ้า!DT286</f>
        <v>0</v>
      </c>
      <c r="AO277" s="3">
        <f>[2]หน้าผ้า!DU286</f>
        <v>0</v>
      </c>
      <c r="AP277" s="3">
        <f>[2]หน้าผ้า!DP286</f>
        <v>0</v>
      </c>
      <c r="AQ277" s="3">
        <f>[2]หน้าผ้า!DW286</f>
        <v>0</v>
      </c>
      <c r="AR277" s="3">
        <f>[2]หน้าผ้า!DX286</f>
        <v>0</v>
      </c>
      <c r="AS277" s="3">
        <f>[2]หน้าผ้า!DY286</f>
        <v>0</v>
      </c>
      <c r="AT277" s="3">
        <f>[2]หน้าผ้า!DZ286</f>
        <v>0</v>
      </c>
      <c r="AU277" s="3">
        <f>[2]หน้าผ้า!EA286</f>
        <v>0</v>
      </c>
      <c r="AV277" s="1">
        <f>[2]หน้าผ้า!EB286</f>
        <v>0</v>
      </c>
      <c r="AW277" s="2">
        <f>[2]หน้าผ้า!EC286</f>
        <v>0</v>
      </c>
      <c r="AX277" s="2">
        <f>[2]หน้าผ้า!ED286</f>
        <v>0</v>
      </c>
      <c r="AY277" s="2">
        <f>[2]หน้าผ้า!AG286</f>
        <v>0</v>
      </c>
      <c r="AZ277" s="2">
        <f>[2]หน้าผ้า!EG286</f>
        <v>0</v>
      </c>
      <c r="BA277" s="2">
        <f>[2]หน้าผ้า!EH286</f>
        <v>0</v>
      </c>
      <c r="BB277" s="2">
        <f>[2]หน้าผ้า!EI286</f>
        <v>0</v>
      </c>
      <c r="BC277" s="1">
        <f>[2]หน้าผ้า!BZ286</f>
        <v>0</v>
      </c>
      <c r="BD277" s="56">
        <f>[2]หน้าผ้า!CA286</f>
        <v>0</v>
      </c>
    </row>
    <row r="278" spans="1:56" ht="27.75" customHeight="1" x14ac:dyDescent="0.45">
      <c r="A278" s="3">
        <f>[2]หน้าผ้า!C287</f>
        <v>0</v>
      </c>
      <c r="B278" s="14">
        <f>[2]หน้าผ้า!B287</f>
        <v>0</v>
      </c>
      <c r="C278" s="9">
        <f>[2]หน้าผ้า!E287</f>
        <v>0</v>
      </c>
      <c r="D278" s="13">
        <f>[2]หน้าผ้า!F287</f>
        <v>0</v>
      </c>
      <c r="E278" s="9">
        <f>[2]หน้าผ้า!G287</f>
        <v>0</v>
      </c>
      <c r="F278" s="9">
        <f>[2]หน้าผ้า!H287</f>
        <v>0</v>
      </c>
      <c r="G278" s="9">
        <f>[2]หน้าผ้า!I287</f>
        <v>0</v>
      </c>
      <c r="H278" s="9">
        <f>[2]หน้าผ้า!J287</f>
        <v>0</v>
      </c>
      <c r="I278" s="9">
        <f>[2]หน้าผ้า!L287</f>
        <v>0</v>
      </c>
      <c r="J278" s="9">
        <f>[2]หน้าผ้า!M287</f>
        <v>0</v>
      </c>
      <c r="K278" s="9">
        <f>[2]หน้าผ้า!N287</f>
        <v>0</v>
      </c>
      <c r="L278" s="9">
        <f>[2]หน้าผ้า!R287</f>
        <v>0</v>
      </c>
      <c r="M278" s="10">
        <f>[2]หน้าผ้า!T287</f>
        <v>0</v>
      </c>
      <c r="N278" s="9">
        <f>[2]หน้าผ้า!U287</f>
        <v>0</v>
      </c>
      <c r="O278" s="9">
        <f>[2]หน้าผ้า!V287</f>
        <v>0</v>
      </c>
      <c r="P278" s="10">
        <f>[2]หน้าผ้า!AB287</f>
        <v>0</v>
      </c>
      <c r="Q278" s="10">
        <f>[2]หน้าผ้า!AC287</f>
        <v>0</v>
      </c>
      <c r="R278" s="10">
        <f>[2]หน้าผ้า!AD287</f>
        <v>0</v>
      </c>
      <c r="S278" s="9">
        <f>[2]หน้าผ้า!Z287</f>
        <v>0</v>
      </c>
      <c r="T278" s="12">
        <f>[2]หน้าผ้า!X287</f>
        <v>0</v>
      </c>
      <c r="U278" s="11">
        <f>[2]หน้าผ้า!AA287</f>
        <v>0</v>
      </c>
      <c r="V278" s="10">
        <f>[2]หน้าผ้า!AJ287</f>
        <v>0</v>
      </c>
      <c r="W278" s="10">
        <f>[2]หน้าผ้า!AL287</f>
        <v>0</v>
      </c>
      <c r="X278" s="10">
        <f>[2]หน้าผ้า!AM287</f>
        <v>0</v>
      </c>
      <c r="Y278" s="10">
        <f>[2]หน้าผ้า!AN287</f>
        <v>0</v>
      </c>
      <c r="Z278" s="9">
        <f>[2]หน้าผ้า!AO287</f>
        <v>0</v>
      </c>
      <c r="AA278" s="8">
        <f>[2]หน้าผ้า!AQ287</f>
        <v>0</v>
      </c>
      <c r="AB278" s="8">
        <f>[2]หน้าผ้า!AR287</f>
        <v>0</v>
      </c>
      <c r="AC278" s="8">
        <f>[2]หน้าผ้า!AS287</f>
        <v>0</v>
      </c>
      <c r="AD278" s="8">
        <f>[2]หน้าผ้า!AT287</f>
        <v>0</v>
      </c>
      <c r="AE278" s="8">
        <f>[2]หน้าผ้า!AU287</f>
        <v>0</v>
      </c>
      <c r="AF278" s="8">
        <f>[2]หน้าผ้า!AI287</f>
        <v>0</v>
      </c>
      <c r="AG278" s="1">
        <f>[3]หน้าผ้า!DC290</f>
        <v>0</v>
      </c>
      <c r="AH278" s="1">
        <f>[2]หน้าผ้า!DL287</f>
        <v>0</v>
      </c>
      <c r="AI278" s="1">
        <f>[2]หน้าผ้า!DM287</f>
        <v>0</v>
      </c>
      <c r="AJ278" s="3">
        <f>[2]หน้าผ้า!DN287</f>
        <v>0</v>
      </c>
      <c r="AK278" s="3">
        <f>[2]หน้าผ้า!DQ287</f>
        <v>0</v>
      </c>
      <c r="AL278" s="3">
        <f>[2]หน้าผ้า!DR287</f>
        <v>0</v>
      </c>
      <c r="AM278" s="3">
        <f>[2]หน้าผ้า!DS287</f>
        <v>0</v>
      </c>
      <c r="AN278" s="3">
        <f>[2]หน้าผ้า!DT287</f>
        <v>0</v>
      </c>
      <c r="AO278" s="3">
        <f>[2]หน้าผ้า!DU287</f>
        <v>0</v>
      </c>
      <c r="AP278" s="3">
        <f>[2]หน้าผ้า!DP287</f>
        <v>0</v>
      </c>
      <c r="AQ278" s="3">
        <f>[2]หน้าผ้า!DW287</f>
        <v>0</v>
      </c>
      <c r="AR278" s="3">
        <f>[2]หน้าผ้า!DX287</f>
        <v>0</v>
      </c>
      <c r="AS278" s="3">
        <f>[2]หน้าผ้า!DY287</f>
        <v>0</v>
      </c>
      <c r="AT278" s="3">
        <f>[2]หน้าผ้า!DZ287</f>
        <v>0</v>
      </c>
      <c r="AU278" s="3">
        <f>[2]หน้าผ้า!EA287</f>
        <v>0</v>
      </c>
      <c r="AV278" s="1">
        <f>[2]หน้าผ้า!EB287</f>
        <v>0</v>
      </c>
      <c r="AW278" s="2">
        <f>[2]หน้าผ้า!EC287</f>
        <v>0</v>
      </c>
      <c r="AX278" s="2">
        <f>[2]หน้าผ้า!ED287</f>
        <v>0</v>
      </c>
      <c r="AY278" s="2">
        <f>[2]หน้าผ้า!AG287</f>
        <v>0</v>
      </c>
      <c r="AZ278" s="2">
        <f>[2]หน้าผ้า!EG287</f>
        <v>0</v>
      </c>
      <c r="BA278" s="2">
        <f>[2]หน้าผ้า!EH287</f>
        <v>0</v>
      </c>
      <c r="BB278" s="2">
        <f>[2]หน้าผ้า!EI287</f>
        <v>0</v>
      </c>
      <c r="BC278" s="1">
        <f>[2]หน้าผ้า!BZ287</f>
        <v>0</v>
      </c>
      <c r="BD278" s="56">
        <f>[2]หน้าผ้า!CA287</f>
        <v>0</v>
      </c>
    </row>
    <row r="279" spans="1:56" ht="27.75" customHeight="1" x14ac:dyDescent="0.45">
      <c r="A279" s="3">
        <f>[2]หน้าผ้า!C288</f>
        <v>0</v>
      </c>
      <c r="B279" s="14">
        <f>[2]หน้าผ้า!B288</f>
        <v>0</v>
      </c>
      <c r="C279" s="9">
        <f>[2]หน้าผ้า!E288</f>
        <v>0</v>
      </c>
      <c r="D279" s="13">
        <f>[2]หน้าผ้า!F288</f>
        <v>0</v>
      </c>
      <c r="E279" s="9">
        <f>[2]หน้าผ้า!G288</f>
        <v>0</v>
      </c>
      <c r="F279" s="9">
        <f>[2]หน้าผ้า!H288</f>
        <v>0</v>
      </c>
      <c r="G279" s="9">
        <f>[2]หน้าผ้า!I288</f>
        <v>0</v>
      </c>
      <c r="H279" s="9">
        <f>[2]หน้าผ้า!J288</f>
        <v>0</v>
      </c>
      <c r="I279" s="9">
        <f>[2]หน้าผ้า!L288</f>
        <v>0</v>
      </c>
      <c r="J279" s="9">
        <f>[2]หน้าผ้า!M288</f>
        <v>0</v>
      </c>
      <c r="K279" s="9">
        <f>[2]หน้าผ้า!N288</f>
        <v>0</v>
      </c>
      <c r="L279" s="9">
        <f>[2]หน้าผ้า!R288</f>
        <v>0</v>
      </c>
      <c r="M279" s="10">
        <f>[2]หน้าผ้า!T288</f>
        <v>0</v>
      </c>
      <c r="N279" s="9">
        <f>[2]หน้าผ้า!U288</f>
        <v>0</v>
      </c>
      <c r="O279" s="9">
        <f>[2]หน้าผ้า!V288</f>
        <v>0</v>
      </c>
      <c r="P279" s="10">
        <f>[2]หน้าผ้า!AB288</f>
        <v>0</v>
      </c>
      <c r="Q279" s="10">
        <f>[2]หน้าผ้า!AC288</f>
        <v>0</v>
      </c>
      <c r="R279" s="10">
        <f>[2]หน้าผ้า!AD288</f>
        <v>0</v>
      </c>
      <c r="S279" s="9">
        <f>[2]หน้าผ้า!Z288</f>
        <v>0</v>
      </c>
      <c r="T279" s="12">
        <f>[2]หน้าผ้า!X288</f>
        <v>0</v>
      </c>
      <c r="U279" s="11">
        <f>[2]หน้าผ้า!AA288</f>
        <v>0</v>
      </c>
      <c r="V279" s="10">
        <f>[2]หน้าผ้า!AJ288</f>
        <v>0</v>
      </c>
      <c r="W279" s="10">
        <f>[2]หน้าผ้า!AL288</f>
        <v>0</v>
      </c>
      <c r="X279" s="10">
        <f>[2]หน้าผ้า!AM288</f>
        <v>0</v>
      </c>
      <c r="Y279" s="10">
        <f>[2]หน้าผ้า!AN288</f>
        <v>0</v>
      </c>
      <c r="Z279" s="9">
        <f>[2]หน้าผ้า!AO288</f>
        <v>0</v>
      </c>
      <c r="AA279" s="8">
        <f>[2]หน้าผ้า!AQ288</f>
        <v>0</v>
      </c>
      <c r="AB279" s="8">
        <f>[2]หน้าผ้า!AR288</f>
        <v>0</v>
      </c>
      <c r="AC279" s="8">
        <f>[2]หน้าผ้า!AS288</f>
        <v>0</v>
      </c>
      <c r="AD279" s="8">
        <f>[2]หน้าผ้า!AT288</f>
        <v>0</v>
      </c>
      <c r="AE279" s="8">
        <f>[2]หน้าผ้า!AU288</f>
        <v>0</v>
      </c>
      <c r="AF279" s="8">
        <f>[2]หน้าผ้า!AI288</f>
        <v>0</v>
      </c>
      <c r="AG279" s="1">
        <f>[3]หน้าผ้า!DC291</f>
        <v>0</v>
      </c>
      <c r="AH279" s="1">
        <f>[2]หน้าผ้า!DL288</f>
        <v>0</v>
      </c>
      <c r="AI279" s="1">
        <f>[2]หน้าผ้า!DM288</f>
        <v>0</v>
      </c>
      <c r="AJ279" s="3">
        <f>[2]หน้าผ้า!DN288</f>
        <v>0</v>
      </c>
      <c r="AK279" s="3">
        <f>[2]หน้าผ้า!DQ288</f>
        <v>0</v>
      </c>
      <c r="AL279" s="3">
        <f>[2]หน้าผ้า!DR288</f>
        <v>0</v>
      </c>
      <c r="AM279" s="3">
        <f>[2]หน้าผ้า!DS288</f>
        <v>0</v>
      </c>
      <c r="AN279" s="3">
        <f>[2]หน้าผ้า!DT288</f>
        <v>0</v>
      </c>
      <c r="AO279" s="3">
        <f>[2]หน้าผ้า!DU288</f>
        <v>0</v>
      </c>
      <c r="AP279" s="3">
        <f>[2]หน้าผ้า!DP288</f>
        <v>0</v>
      </c>
      <c r="AQ279" s="3">
        <f>[2]หน้าผ้า!DW288</f>
        <v>0</v>
      </c>
      <c r="AR279" s="3">
        <f>[2]หน้าผ้า!DX288</f>
        <v>0</v>
      </c>
      <c r="AS279" s="3">
        <f>[2]หน้าผ้า!DY288</f>
        <v>0</v>
      </c>
      <c r="AT279" s="3">
        <f>[2]หน้าผ้า!DZ288</f>
        <v>0</v>
      </c>
      <c r="AU279" s="3">
        <f>[2]หน้าผ้า!EA288</f>
        <v>0</v>
      </c>
      <c r="AV279" s="1">
        <f>[2]หน้าผ้า!EB288</f>
        <v>0</v>
      </c>
      <c r="AW279" s="2">
        <f>[2]หน้าผ้า!EC288</f>
        <v>0</v>
      </c>
      <c r="AX279" s="2">
        <f>[2]หน้าผ้า!ED288</f>
        <v>0</v>
      </c>
      <c r="AY279" s="2">
        <f>[2]หน้าผ้า!AG288</f>
        <v>0</v>
      </c>
      <c r="AZ279" s="2">
        <f>[2]หน้าผ้า!EG288</f>
        <v>0</v>
      </c>
      <c r="BA279" s="2">
        <f>[2]หน้าผ้า!EH288</f>
        <v>0</v>
      </c>
      <c r="BB279" s="2">
        <f>[2]หน้าผ้า!EI288</f>
        <v>0</v>
      </c>
      <c r="BC279" s="1">
        <f>[2]หน้าผ้า!BZ288</f>
        <v>0</v>
      </c>
      <c r="BD279" s="56">
        <f>[2]หน้าผ้า!CA288</f>
        <v>0</v>
      </c>
    </row>
    <row r="280" spans="1:56" ht="27.75" customHeight="1" x14ac:dyDescent="0.45">
      <c r="A280" s="3">
        <f>[2]หน้าผ้า!C289</f>
        <v>0</v>
      </c>
      <c r="B280" s="14">
        <f>[2]หน้าผ้า!B289</f>
        <v>0</v>
      </c>
      <c r="C280" s="9">
        <f>[2]หน้าผ้า!E289</f>
        <v>0</v>
      </c>
      <c r="D280" s="13">
        <f>[2]หน้าผ้า!F289</f>
        <v>0</v>
      </c>
      <c r="E280" s="9">
        <f>[2]หน้าผ้า!G289</f>
        <v>0</v>
      </c>
      <c r="F280" s="9">
        <f>[2]หน้าผ้า!H289</f>
        <v>0</v>
      </c>
      <c r="G280" s="9">
        <f>[2]หน้าผ้า!I289</f>
        <v>0</v>
      </c>
      <c r="H280" s="9">
        <f>[2]หน้าผ้า!J289</f>
        <v>0</v>
      </c>
      <c r="I280" s="9">
        <f>[2]หน้าผ้า!L289</f>
        <v>0</v>
      </c>
      <c r="J280" s="9">
        <f>[2]หน้าผ้า!M289</f>
        <v>0</v>
      </c>
      <c r="K280" s="9">
        <f>[2]หน้าผ้า!N289</f>
        <v>0</v>
      </c>
      <c r="L280" s="9">
        <f>[2]หน้าผ้า!R289</f>
        <v>0</v>
      </c>
      <c r="M280" s="10">
        <f>[2]หน้าผ้า!T289</f>
        <v>0</v>
      </c>
      <c r="N280" s="9">
        <f>[2]หน้าผ้า!U289</f>
        <v>0</v>
      </c>
      <c r="O280" s="9">
        <f>[2]หน้าผ้า!V289</f>
        <v>0</v>
      </c>
      <c r="P280" s="10">
        <f>[2]หน้าผ้า!AB289</f>
        <v>0</v>
      </c>
      <c r="Q280" s="10">
        <f>[2]หน้าผ้า!AC289</f>
        <v>0</v>
      </c>
      <c r="R280" s="10">
        <f>[2]หน้าผ้า!AD289</f>
        <v>0</v>
      </c>
      <c r="S280" s="9">
        <f>[2]หน้าผ้า!Z289</f>
        <v>0</v>
      </c>
      <c r="T280" s="12">
        <f>[2]หน้าผ้า!X289</f>
        <v>0</v>
      </c>
      <c r="U280" s="11">
        <f>[2]หน้าผ้า!AA289</f>
        <v>0</v>
      </c>
      <c r="V280" s="10">
        <f>[2]หน้าผ้า!AJ289</f>
        <v>0</v>
      </c>
      <c r="W280" s="10">
        <f>[2]หน้าผ้า!AL289</f>
        <v>0</v>
      </c>
      <c r="X280" s="10">
        <f>[2]หน้าผ้า!AM289</f>
        <v>0</v>
      </c>
      <c r="Y280" s="10">
        <f>[2]หน้าผ้า!AN289</f>
        <v>0</v>
      </c>
      <c r="Z280" s="9">
        <f>[2]หน้าผ้า!AO289</f>
        <v>0</v>
      </c>
      <c r="AA280" s="8">
        <f>[2]หน้าผ้า!AQ289</f>
        <v>0</v>
      </c>
      <c r="AB280" s="8">
        <f>[2]หน้าผ้า!AR289</f>
        <v>0</v>
      </c>
      <c r="AC280" s="8">
        <f>[2]หน้าผ้า!AS289</f>
        <v>0</v>
      </c>
      <c r="AD280" s="8">
        <f>[2]หน้าผ้า!AT289</f>
        <v>0</v>
      </c>
      <c r="AE280" s="8">
        <f>[2]หน้าผ้า!AU289</f>
        <v>0</v>
      </c>
      <c r="AF280" s="8">
        <f>[2]หน้าผ้า!AI289</f>
        <v>0</v>
      </c>
      <c r="AG280" s="1">
        <f>[3]หน้าผ้า!DC292</f>
        <v>0</v>
      </c>
      <c r="AH280" s="1">
        <f>[2]หน้าผ้า!DL289</f>
        <v>0</v>
      </c>
      <c r="AI280" s="1">
        <f>[2]หน้าผ้า!DM289</f>
        <v>0</v>
      </c>
      <c r="AJ280" s="3">
        <f>[2]หน้าผ้า!DN289</f>
        <v>0</v>
      </c>
      <c r="AK280" s="3">
        <f>[2]หน้าผ้า!DQ289</f>
        <v>0</v>
      </c>
      <c r="AL280" s="3">
        <f>[2]หน้าผ้า!DR289</f>
        <v>0</v>
      </c>
      <c r="AM280" s="3">
        <f>[2]หน้าผ้า!DS289</f>
        <v>0</v>
      </c>
      <c r="AN280" s="3">
        <f>[2]หน้าผ้า!DT289</f>
        <v>0</v>
      </c>
      <c r="AO280" s="3">
        <f>[2]หน้าผ้า!DU289</f>
        <v>0</v>
      </c>
      <c r="AP280" s="3">
        <f>[2]หน้าผ้า!DP289</f>
        <v>0</v>
      </c>
      <c r="AQ280" s="3">
        <f>[2]หน้าผ้า!DW289</f>
        <v>0</v>
      </c>
      <c r="AR280" s="3">
        <f>[2]หน้าผ้า!DX289</f>
        <v>0</v>
      </c>
      <c r="AS280" s="3">
        <f>[2]หน้าผ้า!DY289</f>
        <v>0</v>
      </c>
      <c r="AT280" s="3">
        <f>[2]หน้าผ้า!DZ289</f>
        <v>0</v>
      </c>
      <c r="AU280" s="3">
        <f>[2]หน้าผ้า!EA289</f>
        <v>0</v>
      </c>
      <c r="AV280" s="1">
        <f>[2]หน้าผ้า!EB289</f>
        <v>0</v>
      </c>
      <c r="AW280" s="2">
        <f>[2]หน้าผ้า!EC289</f>
        <v>0</v>
      </c>
      <c r="AX280" s="2">
        <f>[2]หน้าผ้า!ED289</f>
        <v>0</v>
      </c>
      <c r="AY280" s="2">
        <f>[2]หน้าผ้า!AG289</f>
        <v>0</v>
      </c>
      <c r="AZ280" s="2">
        <f>[2]หน้าผ้า!EG289</f>
        <v>0</v>
      </c>
      <c r="BA280" s="2">
        <f>[2]หน้าผ้า!EH289</f>
        <v>0</v>
      </c>
      <c r="BB280" s="2">
        <f>[2]หน้าผ้า!EI289</f>
        <v>0</v>
      </c>
      <c r="BC280" s="1">
        <f>[2]หน้าผ้า!BZ289</f>
        <v>0</v>
      </c>
      <c r="BD280" s="56">
        <f>[2]หน้าผ้า!CA289</f>
        <v>0</v>
      </c>
    </row>
    <row r="281" spans="1:56" ht="27.75" customHeight="1" x14ac:dyDescent="0.45">
      <c r="A281" s="3">
        <f>[2]หน้าผ้า!C290</f>
        <v>0</v>
      </c>
      <c r="B281" s="14">
        <f>[2]หน้าผ้า!B290</f>
        <v>0</v>
      </c>
      <c r="C281" s="9">
        <f>[2]หน้าผ้า!E290</f>
        <v>0</v>
      </c>
      <c r="D281" s="13">
        <f>[2]หน้าผ้า!F290</f>
        <v>0</v>
      </c>
      <c r="E281" s="9">
        <f>[2]หน้าผ้า!G290</f>
        <v>0</v>
      </c>
      <c r="F281" s="9">
        <f>[2]หน้าผ้า!H290</f>
        <v>0</v>
      </c>
      <c r="G281" s="9">
        <f>[2]หน้าผ้า!I290</f>
        <v>0</v>
      </c>
      <c r="H281" s="9">
        <f>[2]หน้าผ้า!J290</f>
        <v>0</v>
      </c>
      <c r="I281" s="9">
        <f>[2]หน้าผ้า!L290</f>
        <v>0</v>
      </c>
      <c r="J281" s="9">
        <f>[2]หน้าผ้า!M290</f>
        <v>0</v>
      </c>
      <c r="K281" s="9">
        <f>[2]หน้าผ้า!N290</f>
        <v>0</v>
      </c>
      <c r="L281" s="9">
        <f>[2]หน้าผ้า!R290</f>
        <v>0</v>
      </c>
      <c r="M281" s="10">
        <f>[2]หน้าผ้า!T290</f>
        <v>0</v>
      </c>
      <c r="N281" s="9">
        <f>[2]หน้าผ้า!U290</f>
        <v>0</v>
      </c>
      <c r="O281" s="9">
        <f>[2]หน้าผ้า!V290</f>
        <v>0</v>
      </c>
      <c r="P281" s="10">
        <f>[2]หน้าผ้า!AB290</f>
        <v>0</v>
      </c>
      <c r="Q281" s="10">
        <f>[2]หน้าผ้า!AC290</f>
        <v>0</v>
      </c>
      <c r="R281" s="10">
        <f>[2]หน้าผ้า!AD290</f>
        <v>0</v>
      </c>
      <c r="S281" s="9">
        <f>[2]หน้าผ้า!Z290</f>
        <v>0</v>
      </c>
      <c r="T281" s="12">
        <f>[2]หน้าผ้า!X290</f>
        <v>0</v>
      </c>
      <c r="U281" s="11">
        <f>[2]หน้าผ้า!AA290</f>
        <v>0</v>
      </c>
      <c r="V281" s="10">
        <f>[2]หน้าผ้า!AJ290</f>
        <v>0</v>
      </c>
      <c r="W281" s="10">
        <f>[2]หน้าผ้า!AL290</f>
        <v>0</v>
      </c>
      <c r="X281" s="10">
        <f>[2]หน้าผ้า!AM290</f>
        <v>0</v>
      </c>
      <c r="Y281" s="10">
        <f>[2]หน้าผ้า!AN290</f>
        <v>0</v>
      </c>
      <c r="Z281" s="9">
        <f>[2]หน้าผ้า!AO290</f>
        <v>0</v>
      </c>
      <c r="AA281" s="8">
        <f>[2]หน้าผ้า!AQ290</f>
        <v>0</v>
      </c>
      <c r="AB281" s="8">
        <f>[2]หน้าผ้า!AR290</f>
        <v>0</v>
      </c>
      <c r="AC281" s="8">
        <f>[2]หน้าผ้า!AS290</f>
        <v>0</v>
      </c>
      <c r="AD281" s="8">
        <f>[2]หน้าผ้า!AT290</f>
        <v>0</v>
      </c>
      <c r="AE281" s="8">
        <f>[2]หน้าผ้า!AU290</f>
        <v>0</v>
      </c>
      <c r="AF281" s="8">
        <f>[2]หน้าผ้า!AI290</f>
        <v>0</v>
      </c>
      <c r="AG281" s="1">
        <f>[3]หน้าผ้า!DC293</f>
        <v>0</v>
      </c>
      <c r="AH281" s="1">
        <f>[2]หน้าผ้า!DL290</f>
        <v>0</v>
      </c>
      <c r="AI281" s="1">
        <f>[2]หน้าผ้า!DM290</f>
        <v>0</v>
      </c>
      <c r="AJ281" s="3">
        <f>[2]หน้าผ้า!DN290</f>
        <v>0</v>
      </c>
      <c r="AK281" s="3">
        <f>[2]หน้าผ้า!DQ290</f>
        <v>0</v>
      </c>
      <c r="AL281" s="3">
        <f>[2]หน้าผ้า!DR290</f>
        <v>0</v>
      </c>
      <c r="AM281" s="3">
        <f>[2]หน้าผ้า!DS290</f>
        <v>0</v>
      </c>
      <c r="AN281" s="3">
        <f>[2]หน้าผ้า!DT290</f>
        <v>0</v>
      </c>
      <c r="AO281" s="3">
        <f>[2]หน้าผ้า!DU290</f>
        <v>0</v>
      </c>
      <c r="AP281" s="3">
        <f>[2]หน้าผ้า!DP290</f>
        <v>0</v>
      </c>
      <c r="AQ281" s="3">
        <f>[2]หน้าผ้า!DW290</f>
        <v>0</v>
      </c>
      <c r="AR281" s="3">
        <f>[2]หน้าผ้า!DX290</f>
        <v>0</v>
      </c>
      <c r="AS281" s="3">
        <f>[2]หน้าผ้า!DY290</f>
        <v>0</v>
      </c>
      <c r="AT281" s="3">
        <f>[2]หน้าผ้า!DZ290</f>
        <v>0</v>
      </c>
      <c r="AU281" s="3">
        <f>[2]หน้าผ้า!EA290</f>
        <v>0</v>
      </c>
      <c r="AV281" s="1">
        <f>[2]หน้าผ้า!EB290</f>
        <v>0</v>
      </c>
      <c r="AW281" s="2">
        <f>[2]หน้าผ้า!EC290</f>
        <v>0</v>
      </c>
      <c r="AX281" s="2">
        <f>[2]หน้าผ้า!ED290</f>
        <v>0</v>
      </c>
      <c r="AY281" s="2">
        <f>[2]หน้าผ้า!AG290</f>
        <v>0</v>
      </c>
      <c r="AZ281" s="2">
        <f>[2]หน้าผ้า!EG290</f>
        <v>0</v>
      </c>
      <c r="BA281" s="2">
        <f>[2]หน้าผ้า!EH290</f>
        <v>0</v>
      </c>
      <c r="BB281" s="2">
        <f>[2]หน้าผ้า!EI290</f>
        <v>0</v>
      </c>
      <c r="BC281" s="1">
        <f>[2]หน้าผ้า!BZ290</f>
        <v>0</v>
      </c>
      <c r="BD281" s="56">
        <f>[2]หน้าผ้า!CA290</f>
        <v>0</v>
      </c>
    </row>
    <row r="282" spans="1:56" ht="27.75" customHeight="1" x14ac:dyDescent="0.45">
      <c r="A282" s="3">
        <f>[2]หน้าผ้า!C291</f>
        <v>0</v>
      </c>
      <c r="B282" s="14">
        <f>[2]หน้าผ้า!B291</f>
        <v>0</v>
      </c>
      <c r="C282" s="9">
        <f>[2]หน้าผ้า!E291</f>
        <v>0</v>
      </c>
      <c r="D282" s="13">
        <f>[2]หน้าผ้า!F291</f>
        <v>0</v>
      </c>
      <c r="E282" s="9">
        <f>[2]หน้าผ้า!G291</f>
        <v>0</v>
      </c>
      <c r="F282" s="9">
        <f>[2]หน้าผ้า!H291</f>
        <v>0</v>
      </c>
      <c r="G282" s="9">
        <f>[2]หน้าผ้า!I291</f>
        <v>0</v>
      </c>
      <c r="H282" s="9">
        <f>[2]หน้าผ้า!J291</f>
        <v>0</v>
      </c>
      <c r="I282" s="9">
        <f>[2]หน้าผ้า!L291</f>
        <v>0</v>
      </c>
      <c r="J282" s="9">
        <f>[2]หน้าผ้า!M291</f>
        <v>0</v>
      </c>
      <c r="K282" s="9">
        <f>[2]หน้าผ้า!N291</f>
        <v>0</v>
      </c>
      <c r="L282" s="9">
        <f>[2]หน้าผ้า!R291</f>
        <v>0</v>
      </c>
      <c r="M282" s="10">
        <f>[2]หน้าผ้า!T291</f>
        <v>0</v>
      </c>
      <c r="N282" s="9">
        <f>[2]หน้าผ้า!U291</f>
        <v>0</v>
      </c>
      <c r="O282" s="9">
        <f>[2]หน้าผ้า!V291</f>
        <v>0</v>
      </c>
      <c r="P282" s="10">
        <f>[2]หน้าผ้า!AB291</f>
        <v>0</v>
      </c>
      <c r="Q282" s="10">
        <f>[2]หน้าผ้า!AC291</f>
        <v>0</v>
      </c>
      <c r="R282" s="10">
        <f>[2]หน้าผ้า!AD291</f>
        <v>0</v>
      </c>
      <c r="S282" s="9">
        <f>[2]หน้าผ้า!Z291</f>
        <v>0</v>
      </c>
      <c r="T282" s="12">
        <f>[2]หน้าผ้า!X291</f>
        <v>0</v>
      </c>
      <c r="U282" s="11">
        <f>[2]หน้าผ้า!AA291</f>
        <v>0</v>
      </c>
      <c r="V282" s="10">
        <f>[2]หน้าผ้า!AJ291</f>
        <v>0</v>
      </c>
      <c r="W282" s="10">
        <f>[2]หน้าผ้า!AL291</f>
        <v>0</v>
      </c>
      <c r="X282" s="10">
        <f>[2]หน้าผ้า!AM291</f>
        <v>0</v>
      </c>
      <c r="Y282" s="10">
        <f>[2]หน้าผ้า!AN291</f>
        <v>0</v>
      </c>
      <c r="Z282" s="9">
        <f>[2]หน้าผ้า!AO291</f>
        <v>0</v>
      </c>
      <c r="AA282" s="8">
        <f>[2]หน้าผ้า!AQ291</f>
        <v>0</v>
      </c>
      <c r="AB282" s="8">
        <f>[2]หน้าผ้า!AR291</f>
        <v>0</v>
      </c>
      <c r="AC282" s="8">
        <f>[2]หน้าผ้า!AS291</f>
        <v>0</v>
      </c>
      <c r="AD282" s="8">
        <f>[2]หน้าผ้า!AT291</f>
        <v>0</v>
      </c>
      <c r="AE282" s="8">
        <f>[2]หน้าผ้า!AU291</f>
        <v>0</v>
      </c>
      <c r="AF282" s="8">
        <f>[2]หน้าผ้า!AI291</f>
        <v>0</v>
      </c>
      <c r="AG282" s="1">
        <f>[3]หน้าผ้า!DC294</f>
        <v>0</v>
      </c>
      <c r="AH282" s="1">
        <f>[2]หน้าผ้า!DL291</f>
        <v>0</v>
      </c>
      <c r="AI282" s="1">
        <f>[2]หน้าผ้า!DM291</f>
        <v>0</v>
      </c>
      <c r="AJ282" s="3">
        <f>[2]หน้าผ้า!DN291</f>
        <v>0</v>
      </c>
      <c r="AK282" s="3">
        <f>[2]หน้าผ้า!DQ291</f>
        <v>0</v>
      </c>
      <c r="AL282" s="3">
        <f>[2]หน้าผ้า!DR291</f>
        <v>0</v>
      </c>
      <c r="AM282" s="3">
        <f>[2]หน้าผ้า!DS291</f>
        <v>0</v>
      </c>
      <c r="AN282" s="3">
        <f>[2]หน้าผ้า!DT291</f>
        <v>0</v>
      </c>
      <c r="AO282" s="3">
        <f>[2]หน้าผ้า!DU291</f>
        <v>0</v>
      </c>
      <c r="AP282" s="3">
        <f>[2]หน้าผ้า!DP291</f>
        <v>0</v>
      </c>
      <c r="AQ282" s="3">
        <f>[2]หน้าผ้า!DW291</f>
        <v>0</v>
      </c>
      <c r="AR282" s="3">
        <f>[2]หน้าผ้า!DX291</f>
        <v>0</v>
      </c>
      <c r="AS282" s="3">
        <f>[2]หน้าผ้า!DY291</f>
        <v>0</v>
      </c>
      <c r="AT282" s="3">
        <f>[2]หน้าผ้า!DZ291</f>
        <v>0</v>
      </c>
      <c r="AU282" s="3">
        <f>[2]หน้าผ้า!EA291</f>
        <v>0</v>
      </c>
      <c r="AV282" s="1">
        <f>[2]หน้าผ้า!EB291</f>
        <v>0</v>
      </c>
      <c r="AW282" s="2">
        <f>[2]หน้าผ้า!EC291</f>
        <v>0</v>
      </c>
      <c r="AX282" s="2">
        <f>[2]หน้าผ้า!ED291</f>
        <v>0</v>
      </c>
      <c r="AY282" s="2">
        <f>[2]หน้าผ้า!AG291</f>
        <v>0</v>
      </c>
      <c r="AZ282" s="2">
        <f>[2]หน้าผ้า!EG291</f>
        <v>0</v>
      </c>
      <c r="BA282" s="2">
        <f>[2]หน้าผ้า!EH291</f>
        <v>0</v>
      </c>
      <c r="BB282" s="2">
        <f>[2]หน้าผ้า!EI291</f>
        <v>0</v>
      </c>
      <c r="BC282" s="1">
        <f>[2]หน้าผ้า!BZ291</f>
        <v>0</v>
      </c>
      <c r="BD282" s="56">
        <f>[2]หน้าผ้า!CA291</f>
        <v>0</v>
      </c>
    </row>
    <row r="283" spans="1:56" ht="27.75" customHeight="1" x14ac:dyDescent="0.45">
      <c r="A283" s="3">
        <f>[2]หน้าผ้า!C292</f>
        <v>0</v>
      </c>
      <c r="B283" s="14">
        <f>[2]หน้าผ้า!B292</f>
        <v>0</v>
      </c>
      <c r="C283" s="9">
        <f>[2]หน้าผ้า!E292</f>
        <v>0</v>
      </c>
      <c r="D283" s="13">
        <f>[2]หน้าผ้า!F292</f>
        <v>0</v>
      </c>
      <c r="E283" s="9">
        <f>[2]หน้าผ้า!G292</f>
        <v>0</v>
      </c>
      <c r="F283" s="9">
        <f>[2]หน้าผ้า!H292</f>
        <v>0</v>
      </c>
      <c r="G283" s="9">
        <f>[2]หน้าผ้า!I292</f>
        <v>0</v>
      </c>
      <c r="H283" s="9">
        <f>[2]หน้าผ้า!J292</f>
        <v>0</v>
      </c>
      <c r="I283" s="9">
        <f>[2]หน้าผ้า!L292</f>
        <v>0</v>
      </c>
      <c r="J283" s="9">
        <f>[2]หน้าผ้า!M292</f>
        <v>0</v>
      </c>
      <c r="K283" s="9">
        <f>[2]หน้าผ้า!N292</f>
        <v>0</v>
      </c>
      <c r="L283" s="9">
        <f>[2]หน้าผ้า!R292</f>
        <v>0</v>
      </c>
      <c r="M283" s="10">
        <f>[2]หน้าผ้า!T292</f>
        <v>0</v>
      </c>
      <c r="N283" s="9">
        <f>[2]หน้าผ้า!U292</f>
        <v>0</v>
      </c>
      <c r="O283" s="9">
        <f>[2]หน้าผ้า!V292</f>
        <v>0</v>
      </c>
      <c r="P283" s="10">
        <f>[2]หน้าผ้า!AB292</f>
        <v>0</v>
      </c>
      <c r="Q283" s="10">
        <f>[2]หน้าผ้า!AC292</f>
        <v>0</v>
      </c>
      <c r="R283" s="10">
        <f>[2]หน้าผ้า!AD292</f>
        <v>0</v>
      </c>
      <c r="S283" s="9">
        <f>[2]หน้าผ้า!Z292</f>
        <v>0</v>
      </c>
      <c r="T283" s="12">
        <f>[2]หน้าผ้า!X292</f>
        <v>0</v>
      </c>
      <c r="U283" s="11">
        <f>[2]หน้าผ้า!AA292</f>
        <v>0</v>
      </c>
      <c r="V283" s="10">
        <f>[2]หน้าผ้า!AJ292</f>
        <v>0</v>
      </c>
      <c r="W283" s="10">
        <f>[2]หน้าผ้า!AL292</f>
        <v>0</v>
      </c>
      <c r="X283" s="10">
        <f>[2]หน้าผ้า!AM292</f>
        <v>0</v>
      </c>
      <c r="Y283" s="10">
        <f>[2]หน้าผ้า!AN292</f>
        <v>0</v>
      </c>
      <c r="Z283" s="9">
        <f>[2]หน้าผ้า!AO292</f>
        <v>0</v>
      </c>
      <c r="AA283" s="8">
        <f>[2]หน้าผ้า!AQ292</f>
        <v>0</v>
      </c>
      <c r="AB283" s="8">
        <f>[2]หน้าผ้า!AR292</f>
        <v>0</v>
      </c>
      <c r="AC283" s="8">
        <f>[2]หน้าผ้า!AS292</f>
        <v>0</v>
      </c>
      <c r="AD283" s="8">
        <f>[2]หน้าผ้า!AT292</f>
        <v>0</v>
      </c>
      <c r="AE283" s="8">
        <f>[2]หน้าผ้า!AU292</f>
        <v>0</v>
      </c>
      <c r="AF283" s="8">
        <f>[2]หน้าผ้า!AI292</f>
        <v>0</v>
      </c>
      <c r="AG283" s="1">
        <f>[3]หน้าผ้า!DC295</f>
        <v>0</v>
      </c>
      <c r="AH283" s="1">
        <f>[2]หน้าผ้า!DL292</f>
        <v>0</v>
      </c>
      <c r="AI283" s="1">
        <f>[2]หน้าผ้า!DM292</f>
        <v>0</v>
      </c>
      <c r="AJ283" s="3">
        <f>[2]หน้าผ้า!DN292</f>
        <v>0</v>
      </c>
      <c r="AK283" s="3">
        <f>[2]หน้าผ้า!DQ292</f>
        <v>0</v>
      </c>
      <c r="AL283" s="3">
        <f>[2]หน้าผ้า!DR292</f>
        <v>0</v>
      </c>
      <c r="AM283" s="3">
        <f>[2]หน้าผ้า!DS292</f>
        <v>0</v>
      </c>
      <c r="AN283" s="3">
        <f>[2]หน้าผ้า!DT292</f>
        <v>0</v>
      </c>
      <c r="AO283" s="3">
        <f>[2]หน้าผ้า!DU292</f>
        <v>0</v>
      </c>
      <c r="AP283" s="3">
        <f>[2]หน้าผ้า!DP292</f>
        <v>0</v>
      </c>
      <c r="AQ283" s="3">
        <f>[2]หน้าผ้า!DW292</f>
        <v>0</v>
      </c>
      <c r="AR283" s="3">
        <f>[2]หน้าผ้า!DX292</f>
        <v>0</v>
      </c>
      <c r="AS283" s="3">
        <f>[2]หน้าผ้า!DY292</f>
        <v>0</v>
      </c>
      <c r="AT283" s="3">
        <f>[2]หน้าผ้า!DZ292</f>
        <v>0</v>
      </c>
      <c r="AU283" s="3">
        <f>[2]หน้าผ้า!EA292</f>
        <v>0</v>
      </c>
      <c r="AV283" s="1">
        <f>[2]หน้าผ้า!EB292</f>
        <v>0</v>
      </c>
      <c r="AW283" s="2">
        <f>[2]หน้าผ้า!EC292</f>
        <v>0</v>
      </c>
      <c r="AX283" s="2">
        <f>[2]หน้าผ้า!ED292</f>
        <v>0</v>
      </c>
      <c r="AY283" s="2">
        <f>[2]หน้าผ้า!AG292</f>
        <v>0</v>
      </c>
      <c r="AZ283" s="2">
        <f>[2]หน้าผ้า!EG292</f>
        <v>0</v>
      </c>
      <c r="BA283" s="2">
        <f>[2]หน้าผ้า!EH292</f>
        <v>0</v>
      </c>
      <c r="BB283" s="2">
        <f>[2]หน้าผ้า!EI292</f>
        <v>0</v>
      </c>
      <c r="BC283" s="1">
        <f>[2]หน้าผ้า!BZ292</f>
        <v>0</v>
      </c>
      <c r="BD283" s="56">
        <f>[2]หน้าผ้า!CA292</f>
        <v>0</v>
      </c>
    </row>
    <row r="284" spans="1:56" ht="27.75" customHeight="1" x14ac:dyDescent="0.45">
      <c r="A284" s="3">
        <f>[2]หน้าผ้า!C293</f>
        <v>0</v>
      </c>
      <c r="B284" s="14">
        <f>[2]หน้าผ้า!B293</f>
        <v>0</v>
      </c>
      <c r="C284" s="9">
        <f>[2]หน้าผ้า!E293</f>
        <v>0</v>
      </c>
      <c r="D284" s="13">
        <f>[2]หน้าผ้า!F293</f>
        <v>0</v>
      </c>
      <c r="E284" s="9">
        <f>[2]หน้าผ้า!G293</f>
        <v>0</v>
      </c>
      <c r="F284" s="9">
        <f>[2]หน้าผ้า!H293</f>
        <v>0</v>
      </c>
      <c r="G284" s="9">
        <f>[2]หน้าผ้า!I293</f>
        <v>0</v>
      </c>
      <c r="H284" s="9">
        <f>[2]หน้าผ้า!J293</f>
        <v>0</v>
      </c>
      <c r="I284" s="9">
        <f>[2]หน้าผ้า!L293</f>
        <v>0</v>
      </c>
      <c r="J284" s="9">
        <f>[2]หน้าผ้า!M293</f>
        <v>0</v>
      </c>
      <c r="K284" s="9">
        <f>[2]หน้าผ้า!N293</f>
        <v>0</v>
      </c>
      <c r="L284" s="9">
        <f>[2]หน้าผ้า!R293</f>
        <v>0</v>
      </c>
      <c r="M284" s="10">
        <f>[2]หน้าผ้า!T293</f>
        <v>0</v>
      </c>
      <c r="N284" s="9">
        <f>[2]หน้าผ้า!U293</f>
        <v>0</v>
      </c>
      <c r="O284" s="9">
        <f>[2]หน้าผ้า!V293</f>
        <v>0</v>
      </c>
      <c r="P284" s="10">
        <f>[2]หน้าผ้า!AB293</f>
        <v>0</v>
      </c>
      <c r="Q284" s="10">
        <f>[2]หน้าผ้า!AC293</f>
        <v>0</v>
      </c>
      <c r="R284" s="10">
        <f>[2]หน้าผ้า!AD293</f>
        <v>0</v>
      </c>
      <c r="S284" s="9">
        <f>[2]หน้าผ้า!Z293</f>
        <v>0</v>
      </c>
      <c r="T284" s="12">
        <f>[2]หน้าผ้า!X293</f>
        <v>0</v>
      </c>
      <c r="U284" s="11">
        <f>[2]หน้าผ้า!AA293</f>
        <v>0</v>
      </c>
      <c r="V284" s="10">
        <f>[2]หน้าผ้า!AJ293</f>
        <v>0</v>
      </c>
      <c r="W284" s="10">
        <f>[2]หน้าผ้า!AL293</f>
        <v>0</v>
      </c>
      <c r="X284" s="10">
        <f>[2]หน้าผ้า!AM293</f>
        <v>0</v>
      </c>
      <c r="Y284" s="10">
        <f>[2]หน้าผ้า!AN293</f>
        <v>0</v>
      </c>
      <c r="Z284" s="9">
        <f>[2]หน้าผ้า!AO293</f>
        <v>0</v>
      </c>
      <c r="AA284" s="8">
        <f>[2]หน้าผ้า!AQ293</f>
        <v>0</v>
      </c>
      <c r="AB284" s="8">
        <f>[2]หน้าผ้า!AR293</f>
        <v>0</v>
      </c>
      <c r="AC284" s="8">
        <f>[2]หน้าผ้า!AS293</f>
        <v>0</v>
      </c>
      <c r="AD284" s="8">
        <f>[2]หน้าผ้า!AT293</f>
        <v>0</v>
      </c>
      <c r="AE284" s="8">
        <f>[2]หน้าผ้า!AU293</f>
        <v>0</v>
      </c>
      <c r="AF284" s="8">
        <f>[2]หน้าผ้า!AI293</f>
        <v>0</v>
      </c>
      <c r="AG284" s="1">
        <f>[3]หน้าผ้า!DC296</f>
        <v>0</v>
      </c>
      <c r="AH284" s="1">
        <f>[2]หน้าผ้า!DL293</f>
        <v>0</v>
      </c>
      <c r="AI284" s="1">
        <f>[2]หน้าผ้า!DM293</f>
        <v>0</v>
      </c>
      <c r="AJ284" s="3">
        <f>[2]หน้าผ้า!DN293</f>
        <v>0</v>
      </c>
      <c r="AK284" s="3">
        <f>[2]หน้าผ้า!DQ293</f>
        <v>0</v>
      </c>
      <c r="AL284" s="3">
        <f>[2]หน้าผ้า!DR293</f>
        <v>0</v>
      </c>
      <c r="AM284" s="3">
        <f>[2]หน้าผ้า!DS293</f>
        <v>0</v>
      </c>
      <c r="AN284" s="3">
        <f>[2]หน้าผ้า!DT293</f>
        <v>0</v>
      </c>
      <c r="AO284" s="3">
        <f>[2]หน้าผ้า!DU293</f>
        <v>0</v>
      </c>
      <c r="AP284" s="3">
        <f>[2]หน้าผ้า!DP293</f>
        <v>0</v>
      </c>
      <c r="AQ284" s="3">
        <f>[2]หน้าผ้า!DW293</f>
        <v>0</v>
      </c>
      <c r="AR284" s="3">
        <f>[2]หน้าผ้า!DX293</f>
        <v>0</v>
      </c>
      <c r="AS284" s="3">
        <f>[2]หน้าผ้า!DY293</f>
        <v>0</v>
      </c>
      <c r="AT284" s="3">
        <f>[2]หน้าผ้า!DZ293</f>
        <v>0</v>
      </c>
      <c r="AU284" s="3">
        <f>[2]หน้าผ้า!EA293</f>
        <v>0</v>
      </c>
      <c r="AV284" s="1">
        <f>[2]หน้าผ้า!EB293</f>
        <v>0</v>
      </c>
      <c r="AW284" s="2">
        <f>[2]หน้าผ้า!EC293</f>
        <v>0</v>
      </c>
      <c r="AX284" s="2">
        <f>[2]หน้าผ้า!ED293</f>
        <v>0</v>
      </c>
      <c r="AY284" s="2">
        <f>[2]หน้าผ้า!AG293</f>
        <v>0</v>
      </c>
      <c r="AZ284" s="2">
        <f>[2]หน้าผ้า!EG293</f>
        <v>0</v>
      </c>
      <c r="BA284" s="2">
        <f>[2]หน้าผ้า!EH293</f>
        <v>0</v>
      </c>
      <c r="BB284" s="2">
        <f>[2]หน้าผ้า!EI293</f>
        <v>0</v>
      </c>
      <c r="BC284" s="1">
        <f>[2]หน้าผ้า!BZ293</f>
        <v>0</v>
      </c>
      <c r="BD284" s="56">
        <f>[2]หน้าผ้า!CA293</f>
        <v>0</v>
      </c>
    </row>
    <row r="285" spans="1:56" ht="27.75" customHeight="1" x14ac:dyDescent="0.45">
      <c r="A285" s="3">
        <f>[2]หน้าผ้า!C294</f>
        <v>0</v>
      </c>
      <c r="B285" s="14">
        <f>[2]หน้าผ้า!B294</f>
        <v>0</v>
      </c>
      <c r="C285" s="9">
        <f>[2]หน้าผ้า!E294</f>
        <v>0</v>
      </c>
      <c r="D285" s="13">
        <f>[2]หน้าผ้า!F294</f>
        <v>0</v>
      </c>
      <c r="E285" s="9">
        <f>[2]หน้าผ้า!G294</f>
        <v>0</v>
      </c>
      <c r="F285" s="9">
        <f>[2]หน้าผ้า!H294</f>
        <v>0</v>
      </c>
      <c r="G285" s="9">
        <f>[2]หน้าผ้า!I294</f>
        <v>0</v>
      </c>
      <c r="H285" s="9">
        <f>[2]หน้าผ้า!J294</f>
        <v>0</v>
      </c>
      <c r="I285" s="9">
        <f>[2]หน้าผ้า!L294</f>
        <v>0</v>
      </c>
      <c r="J285" s="9">
        <f>[2]หน้าผ้า!M294</f>
        <v>0</v>
      </c>
      <c r="K285" s="9">
        <f>[2]หน้าผ้า!N294</f>
        <v>0</v>
      </c>
      <c r="L285" s="9">
        <f>[2]หน้าผ้า!R294</f>
        <v>0</v>
      </c>
      <c r="M285" s="10">
        <f>[2]หน้าผ้า!T294</f>
        <v>0</v>
      </c>
      <c r="N285" s="9">
        <f>[2]หน้าผ้า!U294</f>
        <v>0</v>
      </c>
      <c r="O285" s="9">
        <f>[2]หน้าผ้า!V294</f>
        <v>0</v>
      </c>
      <c r="P285" s="10">
        <f>[2]หน้าผ้า!AB294</f>
        <v>0</v>
      </c>
      <c r="Q285" s="10">
        <f>[2]หน้าผ้า!AC294</f>
        <v>0</v>
      </c>
      <c r="R285" s="10">
        <f>[2]หน้าผ้า!AD294</f>
        <v>0</v>
      </c>
      <c r="S285" s="9">
        <f>[2]หน้าผ้า!Z294</f>
        <v>0</v>
      </c>
      <c r="T285" s="12">
        <f>[2]หน้าผ้า!X294</f>
        <v>0</v>
      </c>
      <c r="U285" s="11">
        <f>[2]หน้าผ้า!AA294</f>
        <v>0</v>
      </c>
      <c r="V285" s="10">
        <f>[2]หน้าผ้า!AJ294</f>
        <v>0</v>
      </c>
      <c r="W285" s="10">
        <f>[2]หน้าผ้า!AL294</f>
        <v>0</v>
      </c>
      <c r="X285" s="10">
        <f>[2]หน้าผ้า!AM294</f>
        <v>0</v>
      </c>
      <c r="Y285" s="10">
        <f>[2]หน้าผ้า!AN294</f>
        <v>0</v>
      </c>
      <c r="Z285" s="9">
        <f>[2]หน้าผ้า!AO294</f>
        <v>0</v>
      </c>
      <c r="AA285" s="8">
        <f>[2]หน้าผ้า!AQ294</f>
        <v>0</v>
      </c>
      <c r="AB285" s="8">
        <f>[2]หน้าผ้า!AR294</f>
        <v>0</v>
      </c>
      <c r="AC285" s="8">
        <f>[2]หน้าผ้า!AS294</f>
        <v>0</v>
      </c>
      <c r="AD285" s="8">
        <f>[2]หน้าผ้า!AT294</f>
        <v>0</v>
      </c>
      <c r="AE285" s="8">
        <f>[2]หน้าผ้า!AU294</f>
        <v>0</v>
      </c>
      <c r="AF285" s="8">
        <f>[2]หน้าผ้า!AI294</f>
        <v>0</v>
      </c>
      <c r="AG285" s="1">
        <f>[3]หน้าผ้า!DC297</f>
        <v>0</v>
      </c>
      <c r="AH285" s="1">
        <f>[2]หน้าผ้า!DL294</f>
        <v>0</v>
      </c>
      <c r="AI285" s="1">
        <f>[2]หน้าผ้า!DM294</f>
        <v>0</v>
      </c>
      <c r="AJ285" s="3">
        <f>[2]หน้าผ้า!DN294</f>
        <v>0</v>
      </c>
      <c r="AK285" s="3">
        <f>[2]หน้าผ้า!DQ294</f>
        <v>0</v>
      </c>
      <c r="AL285" s="3">
        <f>[2]หน้าผ้า!DR294</f>
        <v>0</v>
      </c>
      <c r="AM285" s="3">
        <f>[2]หน้าผ้า!DS294</f>
        <v>0</v>
      </c>
      <c r="AN285" s="3">
        <f>[2]หน้าผ้า!DT294</f>
        <v>0</v>
      </c>
      <c r="AO285" s="3">
        <f>[2]หน้าผ้า!DU294</f>
        <v>0</v>
      </c>
      <c r="AP285" s="3">
        <f>[2]หน้าผ้า!DP294</f>
        <v>0</v>
      </c>
      <c r="AQ285" s="3">
        <f>[2]หน้าผ้า!DW294</f>
        <v>0</v>
      </c>
      <c r="AR285" s="3">
        <f>[2]หน้าผ้า!DX294</f>
        <v>0</v>
      </c>
      <c r="AS285" s="3">
        <f>[2]หน้าผ้า!DY294</f>
        <v>0</v>
      </c>
      <c r="AT285" s="3">
        <f>[2]หน้าผ้า!DZ294</f>
        <v>0</v>
      </c>
      <c r="AU285" s="3">
        <f>[2]หน้าผ้า!EA294</f>
        <v>0</v>
      </c>
      <c r="AV285" s="1">
        <f>[2]หน้าผ้า!EB294</f>
        <v>0</v>
      </c>
      <c r="AW285" s="2">
        <f>[2]หน้าผ้า!EC294</f>
        <v>0</v>
      </c>
      <c r="AX285" s="2">
        <f>[2]หน้าผ้า!ED294</f>
        <v>0</v>
      </c>
      <c r="AY285" s="2">
        <f>[2]หน้าผ้า!AG294</f>
        <v>0</v>
      </c>
      <c r="AZ285" s="2">
        <f>[2]หน้าผ้า!EG294</f>
        <v>0</v>
      </c>
      <c r="BA285" s="2">
        <f>[2]หน้าผ้า!EH294</f>
        <v>0</v>
      </c>
      <c r="BB285" s="2">
        <f>[2]หน้าผ้า!EI294</f>
        <v>0</v>
      </c>
      <c r="BC285" s="1">
        <f>[2]หน้าผ้า!BZ294</f>
        <v>0</v>
      </c>
      <c r="BD285" s="56">
        <f>[2]หน้าผ้า!CA294</f>
        <v>0</v>
      </c>
    </row>
    <row r="286" spans="1:56" ht="27.75" customHeight="1" x14ac:dyDescent="0.45">
      <c r="A286" s="3">
        <f>[2]หน้าผ้า!C295</f>
        <v>0</v>
      </c>
      <c r="B286" s="14">
        <f>[2]หน้าผ้า!B295</f>
        <v>0</v>
      </c>
      <c r="C286" s="9">
        <f>[2]หน้าผ้า!E295</f>
        <v>0</v>
      </c>
      <c r="D286" s="13">
        <f>[2]หน้าผ้า!F295</f>
        <v>0</v>
      </c>
      <c r="E286" s="9">
        <f>[2]หน้าผ้า!G295</f>
        <v>0</v>
      </c>
      <c r="F286" s="9">
        <f>[2]หน้าผ้า!H295</f>
        <v>0</v>
      </c>
      <c r="G286" s="9">
        <f>[2]หน้าผ้า!I295</f>
        <v>0</v>
      </c>
      <c r="H286" s="9">
        <f>[2]หน้าผ้า!J295</f>
        <v>0</v>
      </c>
      <c r="I286" s="9">
        <f>[2]หน้าผ้า!L295</f>
        <v>0</v>
      </c>
      <c r="J286" s="9">
        <f>[2]หน้าผ้า!M295</f>
        <v>0</v>
      </c>
      <c r="K286" s="9">
        <f>[2]หน้าผ้า!N295</f>
        <v>0</v>
      </c>
      <c r="L286" s="9">
        <f>[2]หน้าผ้า!R295</f>
        <v>0</v>
      </c>
      <c r="M286" s="10">
        <f>[2]หน้าผ้า!T295</f>
        <v>0</v>
      </c>
      <c r="N286" s="9">
        <f>[2]หน้าผ้า!U295</f>
        <v>0</v>
      </c>
      <c r="O286" s="9">
        <f>[2]หน้าผ้า!V295</f>
        <v>0</v>
      </c>
      <c r="P286" s="10">
        <f>[2]หน้าผ้า!AB295</f>
        <v>0</v>
      </c>
      <c r="Q286" s="10">
        <f>[2]หน้าผ้า!AC295</f>
        <v>0</v>
      </c>
      <c r="R286" s="10">
        <f>[2]หน้าผ้า!AD295</f>
        <v>0</v>
      </c>
      <c r="S286" s="9">
        <f>[2]หน้าผ้า!Z295</f>
        <v>0</v>
      </c>
      <c r="T286" s="12">
        <f>[2]หน้าผ้า!X295</f>
        <v>0</v>
      </c>
      <c r="U286" s="11">
        <f>[2]หน้าผ้า!AA295</f>
        <v>0</v>
      </c>
      <c r="V286" s="10">
        <f>[2]หน้าผ้า!AJ295</f>
        <v>0</v>
      </c>
      <c r="W286" s="10">
        <f>[2]หน้าผ้า!AL295</f>
        <v>0</v>
      </c>
      <c r="X286" s="10">
        <f>[2]หน้าผ้า!AM295</f>
        <v>0</v>
      </c>
      <c r="Y286" s="10">
        <f>[2]หน้าผ้า!AN295</f>
        <v>0</v>
      </c>
      <c r="Z286" s="9">
        <f>[2]หน้าผ้า!AO295</f>
        <v>0</v>
      </c>
      <c r="AA286" s="8">
        <f>[2]หน้าผ้า!AQ295</f>
        <v>0</v>
      </c>
      <c r="AB286" s="8">
        <f>[2]หน้าผ้า!AR295</f>
        <v>0</v>
      </c>
      <c r="AC286" s="8">
        <f>[2]หน้าผ้า!AS295</f>
        <v>0</v>
      </c>
      <c r="AD286" s="8">
        <f>[2]หน้าผ้า!AT295</f>
        <v>0</v>
      </c>
      <c r="AE286" s="8">
        <f>[2]หน้าผ้า!AU295</f>
        <v>0</v>
      </c>
      <c r="AF286" s="8">
        <f>[2]หน้าผ้า!AI295</f>
        <v>0</v>
      </c>
      <c r="AG286" s="1">
        <f>[3]หน้าผ้า!DC298</f>
        <v>0</v>
      </c>
      <c r="AH286" s="1">
        <f>[2]หน้าผ้า!DL295</f>
        <v>0</v>
      </c>
      <c r="AI286" s="1">
        <f>[2]หน้าผ้า!DM295</f>
        <v>0</v>
      </c>
      <c r="AJ286" s="3">
        <f>[2]หน้าผ้า!DN295</f>
        <v>0</v>
      </c>
      <c r="AK286" s="3">
        <f>[2]หน้าผ้า!DQ295</f>
        <v>0</v>
      </c>
      <c r="AL286" s="3">
        <f>[2]หน้าผ้า!DR295</f>
        <v>0</v>
      </c>
      <c r="AM286" s="3">
        <f>[2]หน้าผ้า!DS295</f>
        <v>0</v>
      </c>
      <c r="AN286" s="3">
        <f>[2]หน้าผ้า!DT295</f>
        <v>0</v>
      </c>
      <c r="AO286" s="3">
        <f>[2]หน้าผ้า!DU295</f>
        <v>0</v>
      </c>
      <c r="AP286" s="3">
        <f>[2]หน้าผ้า!DP295</f>
        <v>0</v>
      </c>
      <c r="AQ286" s="3">
        <f>[2]หน้าผ้า!DW295</f>
        <v>0</v>
      </c>
      <c r="AR286" s="3">
        <f>[2]หน้าผ้า!DX295</f>
        <v>0</v>
      </c>
      <c r="AS286" s="3">
        <f>[2]หน้าผ้า!DY295</f>
        <v>0</v>
      </c>
      <c r="AT286" s="3">
        <f>[2]หน้าผ้า!DZ295</f>
        <v>0</v>
      </c>
      <c r="AU286" s="3">
        <f>[2]หน้าผ้า!EA295</f>
        <v>0</v>
      </c>
      <c r="AV286" s="1">
        <f>[2]หน้าผ้า!EB295</f>
        <v>0</v>
      </c>
      <c r="AW286" s="2">
        <f>[2]หน้าผ้า!EC295</f>
        <v>0</v>
      </c>
      <c r="AX286" s="2">
        <f>[2]หน้าผ้า!ED295</f>
        <v>0</v>
      </c>
      <c r="AY286" s="2">
        <f>[2]หน้าผ้า!AG295</f>
        <v>0</v>
      </c>
      <c r="AZ286" s="2">
        <f>[2]หน้าผ้า!EG295</f>
        <v>0</v>
      </c>
      <c r="BA286" s="2">
        <f>[2]หน้าผ้า!EH295</f>
        <v>0</v>
      </c>
      <c r="BB286" s="2">
        <f>[2]หน้าผ้า!EI295</f>
        <v>0</v>
      </c>
      <c r="BC286" s="1">
        <f>[2]หน้าผ้า!BZ295</f>
        <v>0</v>
      </c>
      <c r="BD286" s="56">
        <f>[2]หน้าผ้า!CA295</f>
        <v>0</v>
      </c>
    </row>
    <row r="287" spans="1:56" ht="27.75" customHeight="1" x14ac:dyDescent="0.45">
      <c r="A287" s="3">
        <f>[2]หน้าผ้า!C296</f>
        <v>0</v>
      </c>
      <c r="B287" s="14">
        <f>[2]หน้าผ้า!B296</f>
        <v>0</v>
      </c>
      <c r="C287" s="9">
        <f>[2]หน้าผ้า!E296</f>
        <v>0</v>
      </c>
      <c r="D287" s="13">
        <f>[2]หน้าผ้า!F296</f>
        <v>0</v>
      </c>
      <c r="E287" s="9">
        <f>[2]หน้าผ้า!G296</f>
        <v>0</v>
      </c>
      <c r="F287" s="9">
        <f>[2]หน้าผ้า!H296</f>
        <v>0</v>
      </c>
      <c r="G287" s="9">
        <f>[2]หน้าผ้า!I296</f>
        <v>0</v>
      </c>
      <c r="H287" s="9">
        <f>[2]หน้าผ้า!J296</f>
        <v>0</v>
      </c>
      <c r="I287" s="9">
        <f>[2]หน้าผ้า!L296</f>
        <v>0</v>
      </c>
      <c r="J287" s="9">
        <f>[2]หน้าผ้า!M296</f>
        <v>0</v>
      </c>
      <c r="K287" s="9">
        <f>[2]หน้าผ้า!N296</f>
        <v>0</v>
      </c>
      <c r="L287" s="9">
        <f>[2]หน้าผ้า!R296</f>
        <v>0</v>
      </c>
      <c r="M287" s="10">
        <f>[2]หน้าผ้า!T296</f>
        <v>0</v>
      </c>
      <c r="N287" s="9">
        <f>[2]หน้าผ้า!U296</f>
        <v>0</v>
      </c>
      <c r="O287" s="9">
        <f>[2]หน้าผ้า!V296</f>
        <v>0</v>
      </c>
      <c r="P287" s="10">
        <f>[2]หน้าผ้า!AB296</f>
        <v>0</v>
      </c>
      <c r="Q287" s="10">
        <f>[2]หน้าผ้า!AC296</f>
        <v>0</v>
      </c>
      <c r="R287" s="10">
        <f>[2]หน้าผ้า!AD296</f>
        <v>0</v>
      </c>
      <c r="S287" s="9">
        <f>[2]หน้าผ้า!Z296</f>
        <v>0</v>
      </c>
      <c r="T287" s="12">
        <f>[2]หน้าผ้า!X296</f>
        <v>0</v>
      </c>
      <c r="U287" s="11">
        <f>[2]หน้าผ้า!AA296</f>
        <v>0</v>
      </c>
      <c r="V287" s="10">
        <f>[2]หน้าผ้า!AJ296</f>
        <v>0</v>
      </c>
      <c r="W287" s="10">
        <f>[2]หน้าผ้า!AL296</f>
        <v>0</v>
      </c>
      <c r="X287" s="10">
        <f>[2]หน้าผ้า!AM296</f>
        <v>0</v>
      </c>
      <c r="Y287" s="10">
        <f>[2]หน้าผ้า!AN296</f>
        <v>0</v>
      </c>
      <c r="Z287" s="9">
        <f>[2]หน้าผ้า!AO296</f>
        <v>0</v>
      </c>
      <c r="AA287" s="8">
        <f>[2]หน้าผ้า!AQ296</f>
        <v>0</v>
      </c>
      <c r="AB287" s="8">
        <f>[2]หน้าผ้า!AR296</f>
        <v>0</v>
      </c>
      <c r="AC287" s="8">
        <f>[2]หน้าผ้า!AS296</f>
        <v>0</v>
      </c>
      <c r="AD287" s="8">
        <f>[2]หน้าผ้า!AT296</f>
        <v>0</v>
      </c>
      <c r="AE287" s="8">
        <f>[2]หน้าผ้า!AU296</f>
        <v>0</v>
      </c>
      <c r="AF287" s="8">
        <f>[2]หน้าผ้า!AI296</f>
        <v>0</v>
      </c>
      <c r="AG287" s="1">
        <f>[3]หน้าผ้า!DC299</f>
        <v>0</v>
      </c>
      <c r="AH287" s="1">
        <f>[2]หน้าผ้า!DL296</f>
        <v>0</v>
      </c>
      <c r="AI287" s="1">
        <f>[2]หน้าผ้า!DM296</f>
        <v>0</v>
      </c>
      <c r="AJ287" s="3">
        <f>[2]หน้าผ้า!DN296</f>
        <v>0</v>
      </c>
      <c r="AK287" s="3">
        <f>[2]หน้าผ้า!DQ296</f>
        <v>0</v>
      </c>
      <c r="AL287" s="3">
        <f>[2]หน้าผ้า!DR296</f>
        <v>0</v>
      </c>
      <c r="AM287" s="3">
        <f>[2]หน้าผ้า!DS296</f>
        <v>0</v>
      </c>
      <c r="AN287" s="3">
        <f>[2]หน้าผ้า!DT296</f>
        <v>0</v>
      </c>
      <c r="AO287" s="3">
        <f>[2]หน้าผ้า!DU296</f>
        <v>0</v>
      </c>
      <c r="AP287" s="3">
        <f>[2]หน้าผ้า!DP296</f>
        <v>0</v>
      </c>
      <c r="AQ287" s="3">
        <f>[2]หน้าผ้า!DW296</f>
        <v>0</v>
      </c>
      <c r="AR287" s="3">
        <f>[2]หน้าผ้า!DX296</f>
        <v>0</v>
      </c>
      <c r="AS287" s="3">
        <f>[2]หน้าผ้า!DY296</f>
        <v>0</v>
      </c>
      <c r="AT287" s="3">
        <f>[2]หน้าผ้า!DZ296</f>
        <v>0</v>
      </c>
      <c r="AU287" s="3">
        <f>[2]หน้าผ้า!EA296</f>
        <v>0</v>
      </c>
      <c r="AV287" s="1">
        <f>[2]หน้าผ้า!EB296</f>
        <v>0</v>
      </c>
      <c r="AW287" s="2">
        <f>[2]หน้าผ้า!EC296</f>
        <v>0</v>
      </c>
      <c r="AX287" s="2">
        <f>[2]หน้าผ้า!ED296</f>
        <v>0</v>
      </c>
      <c r="AY287" s="2">
        <f>[2]หน้าผ้า!AG296</f>
        <v>0</v>
      </c>
      <c r="AZ287" s="2">
        <f>[2]หน้าผ้า!EG296</f>
        <v>0</v>
      </c>
      <c r="BA287" s="2">
        <f>[2]หน้าผ้า!EH296</f>
        <v>0</v>
      </c>
      <c r="BB287" s="2">
        <f>[2]หน้าผ้า!EI296</f>
        <v>0</v>
      </c>
      <c r="BC287" s="1">
        <f>[2]หน้าผ้า!BZ296</f>
        <v>0</v>
      </c>
      <c r="BD287" s="56">
        <f>[2]หน้าผ้า!CA296</f>
        <v>0</v>
      </c>
    </row>
    <row r="288" spans="1:56" ht="27.75" customHeight="1" x14ac:dyDescent="0.45">
      <c r="A288" s="3">
        <f>[2]หน้าผ้า!C297</f>
        <v>0</v>
      </c>
      <c r="B288" s="14">
        <f>[2]หน้าผ้า!B297</f>
        <v>0</v>
      </c>
      <c r="C288" s="9">
        <f>[2]หน้าผ้า!E297</f>
        <v>0</v>
      </c>
      <c r="D288" s="13">
        <f>[2]หน้าผ้า!F297</f>
        <v>0</v>
      </c>
      <c r="E288" s="9">
        <f>[2]หน้าผ้า!G297</f>
        <v>0</v>
      </c>
      <c r="F288" s="9">
        <f>[2]หน้าผ้า!H297</f>
        <v>0</v>
      </c>
      <c r="G288" s="9">
        <f>[2]หน้าผ้า!I297</f>
        <v>0</v>
      </c>
      <c r="H288" s="9">
        <f>[2]หน้าผ้า!J297</f>
        <v>0</v>
      </c>
      <c r="I288" s="9">
        <f>[2]หน้าผ้า!L297</f>
        <v>0</v>
      </c>
      <c r="J288" s="9">
        <f>[2]หน้าผ้า!M297</f>
        <v>0</v>
      </c>
      <c r="K288" s="9">
        <f>[2]หน้าผ้า!N297</f>
        <v>0</v>
      </c>
      <c r="L288" s="9">
        <f>[2]หน้าผ้า!R297</f>
        <v>0</v>
      </c>
      <c r="M288" s="10">
        <f>[2]หน้าผ้า!T297</f>
        <v>0</v>
      </c>
      <c r="N288" s="9">
        <f>[2]หน้าผ้า!U297</f>
        <v>0</v>
      </c>
      <c r="O288" s="9">
        <f>[2]หน้าผ้า!V297</f>
        <v>0</v>
      </c>
      <c r="P288" s="10">
        <f>[2]หน้าผ้า!AB297</f>
        <v>0</v>
      </c>
      <c r="Q288" s="10">
        <f>[2]หน้าผ้า!AC297</f>
        <v>0</v>
      </c>
      <c r="R288" s="10">
        <f>[2]หน้าผ้า!AD297</f>
        <v>0</v>
      </c>
      <c r="S288" s="9">
        <f>[2]หน้าผ้า!Z297</f>
        <v>0</v>
      </c>
      <c r="T288" s="12">
        <f>[2]หน้าผ้า!X297</f>
        <v>0</v>
      </c>
      <c r="U288" s="11">
        <f>[2]หน้าผ้า!AA297</f>
        <v>0</v>
      </c>
      <c r="V288" s="10">
        <f>[2]หน้าผ้า!AJ297</f>
        <v>0</v>
      </c>
      <c r="W288" s="10">
        <f>[2]หน้าผ้า!AL297</f>
        <v>0</v>
      </c>
      <c r="X288" s="10">
        <f>[2]หน้าผ้า!AM297</f>
        <v>0</v>
      </c>
      <c r="Y288" s="10">
        <f>[2]หน้าผ้า!AN297</f>
        <v>0</v>
      </c>
      <c r="Z288" s="9">
        <f>[2]หน้าผ้า!AO297</f>
        <v>0</v>
      </c>
      <c r="AA288" s="8">
        <f>[2]หน้าผ้า!AQ297</f>
        <v>0</v>
      </c>
      <c r="AB288" s="8">
        <f>[2]หน้าผ้า!AR297</f>
        <v>0</v>
      </c>
      <c r="AC288" s="8">
        <f>[2]หน้าผ้า!AS297</f>
        <v>0</v>
      </c>
      <c r="AD288" s="8">
        <f>[2]หน้าผ้า!AT297</f>
        <v>0</v>
      </c>
      <c r="AE288" s="8">
        <f>[2]หน้าผ้า!AU297</f>
        <v>0</v>
      </c>
      <c r="AF288" s="8">
        <f>[2]หน้าผ้า!AI297</f>
        <v>0</v>
      </c>
      <c r="AG288" s="1">
        <f>[3]หน้าผ้า!DC300</f>
        <v>0</v>
      </c>
      <c r="AH288" s="1">
        <f>[2]หน้าผ้า!DL297</f>
        <v>0</v>
      </c>
      <c r="AI288" s="1">
        <f>[2]หน้าผ้า!DM297</f>
        <v>0</v>
      </c>
      <c r="AJ288" s="3">
        <f>[2]หน้าผ้า!DN297</f>
        <v>0</v>
      </c>
      <c r="AK288" s="3">
        <f>[2]หน้าผ้า!DQ297</f>
        <v>0</v>
      </c>
      <c r="AL288" s="3">
        <f>[2]หน้าผ้า!DR297</f>
        <v>0</v>
      </c>
      <c r="AM288" s="3">
        <f>[2]หน้าผ้า!DS297</f>
        <v>0</v>
      </c>
      <c r="AN288" s="3">
        <f>[2]หน้าผ้า!DT297</f>
        <v>0</v>
      </c>
      <c r="AO288" s="3">
        <f>[2]หน้าผ้า!DU297</f>
        <v>0</v>
      </c>
      <c r="AP288" s="3">
        <f>[2]หน้าผ้า!DP297</f>
        <v>0</v>
      </c>
      <c r="AQ288" s="3">
        <f>[2]หน้าผ้า!DW297</f>
        <v>0</v>
      </c>
      <c r="AR288" s="3">
        <f>[2]หน้าผ้า!DX297</f>
        <v>0</v>
      </c>
      <c r="AS288" s="3">
        <f>[2]หน้าผ้า!DY297</f>
        <v>0</v>
      </c>
      <c r="AT288" s="3">
        <f>[2]หน้าผ้า!DZ297</f>
        <v>0</v>
      </c>
      <c r="AU288" s="3">
        <f>[2]หน้าผ้า!EA297</f>
        <v>0</v>
      </c>
      <c r="AV288" s="1">
        <f>[2]หน้าผ้า!EB297</f>
        <v>0</v>
      </c>
      <c r="AW288" s="2">
        <f>[2]หน้าผ้า!EC297</f>
        <v>0</v>
      </c>
      <c r="AX288" s="2">
        <f>[2]หน้าผ้า!ED297</f>
        <v>0</v>
      </c>
      <c r="AY288" s="2">
        <f>[2]หน้าผ้า!AG297</f>
        <v>0</v>
      </c>
      <c r="AZ288" s="2">
        <f>[2]หน้าผ้า!EG297</f>
        <v>0</v>
      </c>
      <c r="BA288" s="2">
        <f>[2]หน้าผ้า!EH297</f>
        <v>0</v>
      </c>
      <c r="BB288" s="2">
        <f>[2]หน้าผ้า!EI297</f>
        <v>0</v>
      </c>
      <c r="BC288" s="1">
        <f>[2]หน้าผ้า!BZ297</f>
        <v>0</v>
      </c>
      <c r="BD288" s="56">
        <f>[2]หน้าผ้า!CA297</f>
        <v>0</v>
      </c>
    </row>
    <row r="289" spans="1:56" ht="27.75" customHeight="1" x14ac:dyDescent="0.45">
      <c r="A289" s="3">
        <f>[2]หน้าผ้า!C298</f>
        <v>0</v>
      </c>
      <c r="B289" s="14">
        <f>[2]หน้าผ้า!B298</f>
        <v>0</v>
      </c>
      <c r="C289" s="9">
        <f>[2]หน้าผ้า!E298</f>
        <v>0</v>
      </c>
      <c r="D289" s="13">
        <f>[2]หน้าผ้า!F298</f>
        <v>0</v>
      </c>
      <c r="E289" s="9">
        <f>[2]หน้าผ้า!G298</f>
        <v>0</v>
      </c>
      <c r="F289" s="9">
        <f>[2]หน้าผ้า!H298</f>
        <v>0</v>
      </c>
      <c r="G289" s="9">
        <f>[2]หน้าผ้า!I298</f>
        <v>0</v>
      </c>
      <c r="H289" s="9">
        <f>[2]หน้าผ้า!J298</f>
        <v>0</v>
      </c>
      <c r="I289" s="9">
        <f>[2]หน้าผ้า!L298</f>
        <v>0</v>
      </c>
      <c r="J289" s="9">
        <f>[2]หน้าผ้า!M298</f>
        <v>0</v>
      </c>
      <c r="K289" s="9">
        <f>[2]หน้าผ้า!N298</f>
        <v>0</v>
      </c>
      <c r="L289" s="9">
        <f>[2]หน้าผ้า!R298</f>
        <v>0</v>
      </c>
      <c r="M289" s="10">
        <f>[2]หน้าผ้า!T298</f>
        <v>0</v>
      </c>
      <c r="N289" s="9">
        <f>[2]หน้าผ้า!U298</f>
        <v>0</v>
      </c>
      <c r="O289" s="9">
        <f>[2]หน้าผ้า!V298</f>
        <v>0</v>
      </c>
      <c r="P289" s="10">
        <f>[2]หน้าผ้า!AB298</f>
        <v>0</v>
      </c>
      <c r="Q289" s="10">
        <f>[2]หน้าผ้า!AC298</f>
        <v>0</v>
      </c>
      <c r="R289" s="10">
        <f>[2]หน้าผ้า!AD298</f>
        <v>0</v>
      </c>
      <c r="S289" s="9">
        <f>[2]หน้าผ้า!Z298</f>
        <v>0</v>
      </c>
      <c r="T289" s="12">
        <f>[2]หน้าผ้า!X298</f>
        <v>0</v>
      </c>
      <c r="U289" s="11">
        <f>[2]หน้าผ้า!AA298</f>
        <v>0</v>
      </c>
      <c r="V289" s="10">
        <f>[2]หน้าผ้า!AJ298</f>
        <v>0</v>
      </c>
      <c r="W289" s="10">
        <f>[2]หน้าผ้า!AL298</f>
        <v>0</v>
      </c>
      <c r="X289" s="10">
        <f>[2]หน้าผ้า!AM298</f>
        <v>0</v>
      </c>
      <c r="Y289" s="10">
        <f>[2]หน้าผ้า!AN298</f>
        <v>0</v>
      </c>
      <c r="Z289" s="9">
        <f>[2]หน้าผ้า!AO298</f>
        <v>0</v>
      </c>
      <c r="AA289" s="8">
        <f>[2]หน้าผ้า!AQ298</f>
        <v>0</v>
      </c>
      <c r="AB289" s="8">
        <f>[2]หน้าผ้า!AR298</f>
        <v>0</v>
      </c>
      <c r="AC289" s="8">
        <f>[2]หน้าผ้า!AS298</f>
        <v>0</v>
      </c>
      <c r="AD289" s="8">
        <f>[2]หน้าผ้า!AT298</f>
        <v>0</v>
      </c>
      <c r="AE289" s="8">
        <f>[2]หน้าผ้า!AU298</f>
        <v>0</v>
      </c>
      <c r="AF289" s="8">
        <f>[2]หน้าผ้า!AI298</f>
        <v>0</v>
      </c>
      <c r="AG289" s="1">
        <f>[3]หน้าผ้า!DC301</f>
        <v>0</v>
      </c>
      <c r="AH289" s="1">
        <f>[2]หน้าผ้า!DL298</f>
        <v>0</v>
      </c>
      <c r="AI289" s="1">
        <f>[2]หน้าผ้า!DM298</f>
        <v>0</v>
      </c>
      <c r="AJ289" s="3">
        <f>[2]หน้าผ้า!DN298</f>
        <v>0</v>
      </c>
      <c r="AK289" s="3">
        <f>[2]หน้าผ้า!DQ298</f>
        <v>0</v>
      </c>
      <c r="AL289" s="3">
        <f>[2]หน้าผ้า!DR298</f>
        <v>0</v>
      </c>
      <c r="AM289" s="3">
        <f>[2]หน้าผ้า!DS298</f>
        <v>0</v>
      </c>
      <c r="AN289" s="3">
        <f>[2]หน้าผ้า!DT298</f>
        <v>0</v>
      </c>
      <c r="AO289" s="3">
        <f>[2]หน้าผ้า!DU298</f>
        <v>0</v>
      </c>
      <c r="AP289" s="3">
        <f>[2]หน้าผ้า!DP298</f>
        <v>0</v>
      </c>
      <c r="AQ289" s="3">
        <f>[2]หน้าผ้า!DW298</f>
        <v>0</v>
      </c>
      <c r="AR289" s="3">
        <f>[2]หน้าผ้า!DX298</f>
        <v>0</v>
      </c>
      <c r="AS289" s="3">
        <f>[2]หน้าผ้า!DY298</f>
        <v>0</v>
      </c>
      <c r="AT289" s="3">
        <f>[2]หน้าผ้า!DZ298</f>
        <v>0</v>
      </c>
      <c r="AU289" s="3">
        <f>[2]หน้าผ้า!EA298</f>
        <v>0</v>
      </c>
      <c r="AV289" s="1">
        <f>[2]หน้าผ้า!EB298</f>
        <v>0</v>
      </c>
      <c r="AW289" s="2">
        <f>[2]หน้าผ้า!EC298</f>
        <v>0</v>
      </c>
      <c r="AX289" s="2">
        <f>[2]หน้าผ้า!ED298</f>
        <v>0</v>
      </c>
      <c r="AY289" s="2">
        <f>[2]หน้าผ้า!AG298</f>
        <v>0</v>
      </c>
      <c r="AZ289" s="2">
        <f>[2]หน้าผ้า!EG298</f>
        <v>0</v>
      </c>
      <c r="BA289" s="2">
        <f>[2]หน้าผ้า!EH298</f>
        <v>0</v>
      </c>
      <c r="BB289" s="2">
        <f>[2]หน้าผ้า!EI298</f>
        <v>0</v>
      </c>
      <c r="BC289" s="1">
        <f>[2]หน้าผ้า!BZ298</f>
        <v>0</v>
      </c>
      <c r="BD289" s="56">
        <f>[2]หน้าผ้า!CA298</f>
        <v>0</v>
      </c>
    </row>
    <row r="290" spans="1:56" ht="27.75" customHeight="1" x14ac:dyDescent="0.45">
      <c r="A290" s="3">
        <f>[2]หน้าผ้า!C299</f>
        <v>0</v>
      </c>
      <c r="B290" s="14">
        <f>[2]หน้าผ้า!B299</f>
        <v>0</v>
      </c>
      <c r="C290" s="9">
        <f>[2]หน้าผ้า!E299</f>
        <v>0</v>
      </c>
      <c r="D290" s="13">
        <f>[2]หน้าผ้า!F299</f>
        <v>0</v>
      </c>
      <c r="E290" s="9">
        <f>[2]หน้าผ้า!G299</f>
        <v>0</v>
      </c>
      <c r="F290" s="9">
        <f>[2]หน้าผ้า!H299</f>
        <v>0</v>
      </c>
      <c r="G290" s="9">
        <f>[2]หน้าผ้า!I299</f>
        <v>0</v>
      </c>
      <c r="H290" s="9">
        <f>[2]หน้าผ้า!J299</f>
        <v>0</v>
      </c>
      <c r="I290" s="9">
        <f>[2]หน้าผ้า!L299</f>
        <v>0</v>
      </c>
      <c r="J290" s="9">
        <f>[2]หน้าผ้า!M299</f>
        <v>0</v>
      </c>
      <c r="K290" s="9">
        <f>[2]หน้าผ้า!N299</f>
        <v>0</v>
      </c>
      <c r="L290" s="9">
        <f>[2]หน้าผ้า!R299</f>
        <v>0</v>
      </c>
      <c r="M290" s="10">
        <f>[2]หน้าผ้า!T299</f>
        <v>0</v>
      </c>
      <c r="N290" s="9">
        <f>[2]หน้าผ้า!U299</f>
        <v>0</v>
      </c>
      <c r="O290" s="9">
        <f>[2]หน้าผ้า!V299</f>
        <v>0</v>
      </c>
      <c r="P290" s="10">
        <f>[2]หน้าผ้า!AB299</f>
        <v>0</v>
      </c>
      <c r="Q290" s="10">
        <f>[2]หน้าผ้า!AC299</f>
        <v>0</v>
      </c>
      <c r="R290" s="10">
        <f>[2]หน้าผ้า!AD299</f>
        <v>0</v>
      </c>
      <c r="S290" s="9">
        <f>[2]หน้าผ้า!Z299</f>
        <v>0</v>
      </c>
      <c r="T290" s="12">
        <f>[2]หน้าผ้า!X299</f>
        <v>0</v>
      </c>
      <c r="U290" s="11">
        <f>[2]หน้าผ้า!AA299</f>
        <v>0</v>
      </c>
      <c r="V290" s="10">
        <f>[2]หน้าผ้า!AJ299</f>
        <v>0</v>
      </c>
      <c r="W290" s="10">
        <f>[2]หน้าผ้า!AL299</f>
        <v>0</v>
      </c>
      <c r="X290" s="10">
        <f>[2]หน้าผ้า!AM299</f>
        <v>0</v>
      </c>
      <c r="Y290" s="10">
        <f>[2]หน้าผ้า!AN299</f>
        <v>0</v>
      </c>
      <c r="Z290" s="9">
        <f>[2]หน้าผ้า!AO299</f>
        <v>0</v>
      </c>
      <c r="AA290" s="8">
        <f>[2]หน้าผ้า!AQ299</f>
        <v>0</v>
      </c>
      <c r="AB290" s="8">
        <f>[2]หน้าผ้า!AR299</f>
        <v>0</v>
      </c>
      <c r="AC290" s="8">
        <f>[2]หน้าผ้า!AS299</f>
        <v>0</v>
      </c>
      <c r="AD290" s="8">
        <f>[2]หน้าผ้า!AT299</f>
        <v>0</v>
      </c>
      <c r="AE290" s="8">
        <f>[2]หน้าผ้า!AU299</f>
        <v>0</v>
      </c>
      <c r="AF290" s="8">
        <f>[2]หน้าผ้า!AI299</f>
        <v>0</v>
      </c>
      <c r="AG290" s="1">
        <f>[3]หน้าผ้า!DC302</f>
        <v>0</v>
      </c>
      <c r="AH290" s="1">
        <f>[2]หน้าผ้า!DL299</f>
        <v>0</v>
      </c>
      <c r="AI290" s="1">
        <f>[2]หน้าผ้า!DM299</f>
        <v>0</v>
      </c>
      <c r="AJ290" s="3">
        <f>[2]หน้าผ้า!DN299</f>
        <v>0</v>
      </c>
      <c r="AK290" s="3">
        <f>[2]หน้าผ้า!DQ299</f>
        <v>0</v>
      </c>
      <c r="AL290" s="3">
        <f>[2]หน้าผ้า!DR299</f>
        <v>0</v>
      </c>
      <c r="AM290" s="3">
        <f>[2]หน้าผ้า!DS299</f>
        <v>0</v>
      </c>
      <c r="AN290" s="3">
        <f>[2]หน้าผ้า!DT299</f>
        <v>0</v>
      </c>
      <c r="AO290" s="3">
        <f>[2]หน้าผ้า!DU299</f>
        <v>0</v>
      </c>
      <c r="AP290" s="3">
        <f>[2]หน้าผ้า!DP299</f>
        <v>0</v>
      </c>
      <c r="AQ290" s="3">
        <f>[2]หน้าผ้า!DW299</f>
        <v>0</v>
      </c>
      <c r="AR290" s="3">
        <f>[2]หน้าผ้า!DX299</f>
        <v>0</v>
      </c>
      <c r="AS290" s="3">
        <f>[2]หน้าผ้า!DY299</f>
        <v>0</v>
      </c>
      <c r="AT290" s="3">
        <f>[2]หน้าผ้า!DZ299</f>
        <v>0</v>
      </c>
      <c r="AU290" s="3">
        <f>[2]หน้าผ้า!EA299</f>
        <v>0</v>
      </c>
      <c r="AV290" s="1">
        <f>[2]หน้าผ้า!EB299</f>
        <v>0</v>
      </c>
      <c r="AW290" s="2">
        <f>[2]หน้าผ้า!EC299</f>
        <v>0</v>
      </c>
      <c r="AX290" s="2">
        <f>[2]หน้าผ้า!ED299</f>
        <v>0</v>
      </c>
      <c r="AY290" s="2">
        <f>[2]หน้าผ้า!AG299</f>
        <v>0</v>
      </c>
      <c r="AZ290" s="2">
        <f>[2]หน้าผ้า!EG299</f>
        <v>0</v>
      </c>
      <c r="BA290" s="2">
        <f>[2]หน้าผ้า!EH299</f>
        <v>0</v>
      </c>
      <c r="BB290" s="2">
        <f>[2]หน้าผ้า!EI299</f>
        <v>0</v>
      </c>
      <c r="BC290" s="1">
        <f>[2]หน้าผ้า!BZ299</f>
        <v>0</v>
      </c>
      <c r="BD290" s="56">
        <f>[2]หน้าผ้า!CA299</f>
        <v>0</v>
      </c>
    </row>
    <row r="291" spans="1:56" ht="27.75" customHeight="1" x14ac:dyDescent="0.45">
      <c r="A291" s="3">
        <f>[2]หน้าผ้า!C300</f>
        <v>0</v>
      </c>
      <c r="B291" s="14">
        <f>[2]หน้าผ้า!B300</f>
        <v>0</v>
      </c>
      <c r="C291" s="9">
        <f>[2]หน้าผ้า!E300</f>
        <v>0</v>
      </c>
      <c r="D291" s="13">
        <f>[2]หน้าผ้า!F300</f>
        <v>0</v>
      </c>
      <c r="E291" s="9">
        <f>[2]หน้าผ้า!G300</f>
        <v>0</v>
      </c>
      <c r="F291" s="9">
        <f>[2]หน้าผ้า!H300</f>
        <v>0</v>
      </c>
      <c r="G291" s="9">
        <f>[2]หน้าผ้า!I300</f>
        <v>0</v>
      </c>
      <c r="H291" s="9">
        <f>[2]หน้าผ้า!J300</f>
        <v>0</v>
      </c>
      <c r="I291" s="9">
        <f>[2]หน้าผ้า!L300</f>
        <v>0</v>
      </c>
      <c r="J291" s="9">
        <f>[2]หน้าผ้า!M300</f>
        <v>0</v>
      </c>
      <c r="K291" s="9">
        <f>[2]หน้าผ้า!N300</f>
        <v>0</v>
      </c>
      <c r="L291" s="9">
        <f>[2]หน้าผ้า!R300</f>
        <v>0</v>
      </c>
      <c r="M291" s="10">
        <f>[2]หน้าผ้า!T300</f>
        <v>0</v>
      </c>
      <c r="N291" s="9">
        <f>[2]หน้าผ้า!U300</f>
        <v>0</v>
      </c>
      <c r="O291" s="9">
        <f>[2]หน้าผ้า!V300</f>
        <v>0</v>
      </c>
      <c r="P291" s="10">
        <f>[2]หน้าผ้า!AB300</f>
        <v>0</v>
      </c>
      <c r="Q291" s="10">
        <f>[2]หน้าผ้า!AC300</f>
        <v>0</v>
      </c>
      <c r="R291" s="10">
        <f>[2]หน้าผ้า!AD300</f>
        <v>0</v>
      </c>
      <c r="S291" s="9">
        <f>[2]หน้าผ้า!Z300</f>
        <v>0</v>
      </c>
      <c r="T291" s="12">
        <f>[2]หน้าผ้า!X300</f>
        <v>0</v>
      </c>
      <c r="U291" s="11">
        <f>[2]หน้าผ้า!AA300</f>
        <v>0</v>
      </c>
      <c r="V291" s="10">
        <f>[2]หน้าผ้า!AJ300</f>
        <v>0</v>
      </c>
      <c r="W291" s="10">
        <f>[2]หน้าผ้า!AL300</f>
        <v>0</v>
      </c>
      <c r="X291" s="10">
        <f>[2]หน้าผ้า!AM300</f>
        <v>0</v>
      </c>
      <c r="Y291" s="10">
        <f>[2]หน้าผ้า!AN300</f>
        <v>0</v>
      </c>
      <c r="Z291" s="9">
        <f>[2]หน้าผ้า!AO300</f>
        <v>0</v>
      </c>
      <c r="AA291" s="8">
        <f>[2]หน้าผ้า!AQ300</f>
        <v>0</v>
      </c>
      <c r="AB291" s="8">
        <f>[2]หน้าผ้า!AR300</f>
        <v>0</v>
      </c>
      <c r="AC291" s="8">
        <f>[2]หน้าผ้า!AS300</f>
        <v>0</v>
      </c>
      <c r="AD291" s="8">
        <f>[2]หน้าผ้า!AT300</f>
        <v>0</v>
      </c>
      <c r="AE291" s="8">
        <f>[2]หน้าผ้า!AU300</f>
        <v>0</v>
      </c>
      <c r="AF291" s="8">
        <f>[2]หน้าผ้า!AI300</f>
        <v>0</v>
      </c>
      <c r="AG291" s="1">
        <f>[3]หน้าผ้า!DC303</f>
        <v>0</v>
      </c>
      <c r="AH291" s="1">
        <f>[2]หน้าผ้า!DL300</f>
        <v>0</v>
      </c>
      <c r="AI291" s="1">
        <f>[2]หน้าผ้า!DM300</f>
        <v>0</v>
      </c>
      <c r="AJ291" s="3">
        <f>[2]หน้าผ้า!DN300</f>
        <v>0</v>
      </c>
      <c r="AK291" s="3">
        <f>[2]หน้าผ้า!DQ300</f>
        <v>0</v>
      </c>
      <c r="AL291" s="3">
        <f>[2]หน้าผ้า!DR300</f>
        <v>0</v>
      </c>
      <c r="AM291" s="3">
        <f>[2]หน้าผ้า!DS300</f>
        <v>0</v>
      </c>
      <c r="AN291" s="3">
        <f>[2]หน้าผ้า!DT300</f>
        <v>0</v>
      </c>
      <c r="AO291" s="3">
        <f>[2]หน้าผ้า!DU300</f>
        <v>0</v>
      </c>
      <c r="AP291" s="3">
        <f>[2]หน้าผ้า!DP300</f>
        <v>0</v>
      </c>
      <c r="AQ291" s="3">
        <f>[2]หน้าผ้า!DW300</f>
        <v>0</v>
      </c>
      <c r="AR291" s="3">
        <f>[2]หน้าผ้า!DX300</f>
        <v>0</v>
      </c>
      <c r="AS291" s="3">
        <f>[2]หน้าผ้า!DY300</f>
        <v>0</v>
      </c>
      <c r="AT291" s="3">
        <f>[2]หน้าผ้า!DZ300</f>
        <v>0</v>
      </c>
      <c r="AU291" s="3">
        <f>[2]หน้าผ้า!EA300</f>
        <v>0</v>
      </c>
      <c r="AV291" s="1">
        <f>[2]หน้าผ้า!EB300</f>
        <v>0</v>
      </c>
      <c r="AW291" s="2">
        <f>[2]หน้าผ้า!EC300</f>
        <v>0</v>
      </c>
      <c r="AX291" s="2">
        <f>[2]หน้าผ้า!ED300</f>
        <v>0</v>
      </c>
      <c r="AY291" s="2">
        <f>[2]หน้าผ้า!AG300</f>
        <v>0</v>
      </c>
      <c r="AZ291" s="2">
        <f>[2]หน้าผ้า!EG300</f>
        <v>0</v>
      </c>
      <c r="BA291" s="2">
        <f>[2]หน้าผ้า!EH300</f>
        <v>0</v>
      </c>
      <c r="BB291" s="2">
        <f>[2]หน้าผ้า!EI300</f>
        <v>0</v>
      </c>
      <c r="BC291" s="1">
        <f>[2]หน้าผ้า!BZ300</f>
        <v>0</v>
      </c>
      <c r="BD291" s="56">
        <f>[2]หน้าผ้า!CA300</f>
        <v>0</v>
      </c>
    </row>
    <row r="292" spans="1:56" ht="27.75" customHeight="1" x14ac:dyDescent="0.45">
      <c r="A292" s="3">
        <f>[2]หน้าผ้า!C301</f>
        <v>0</v>
      </c>
      <c r="B292" s="14">
        <f>[2]หน้าผ้า!B301</f>
        <v>0</v>
      </c>
      <c r="C292" s="9">
        <f>[2]หน้าผ้า!E301</f>
        <v>0</v>
      </c>
      <c r="D292" s="13">
        <f>[2]หน้าผ้า!F301</f>
        <v>0</v>
      </c>
      <c r="E292" s="9">
        <f>[2]หน้าผ้า!G301</f>
        <v>0</v>
      </c>
      <c r="F292" s="9">
        <f>[2]หน้าผ้า!H301</f>
        <v>0</v>
      </c>
      <c r="G292" s="9">
        <f>[2]หน้าผ้า!I301</f>
        <v>0</v>
      </c>
      <c r="H292" s="9">
        <f>[2]หน้าผ้า!J301</f>
        <v>0</v>
      </c>
      <c r="I292" s="9">
        <f>[2]หน้าผ้า!L301</f>
        <v>0</v>
      </c>
      <c r="J292" s="9">
        <f>[2]หน้าผ้า!M301</f>
        <v>0</v>
      </c>
      <c r="K292" s="9">
        <f>[2]หน้าผ้า!N301</f>
        <v>0</v>
      </c>
      <c r="L292" s="9">
        <f>[2]หน้าผ้า!R301</f>
        <v>0</v>
      </c>
      <c r="M292" s="10">
        <f>[2]หน้าผ้า!T301</f>
        <v>0</v>
      </c>
      <c r="N292" s="9">
        <f>[2]หน้าผ้า!U301</f>
        <v>0</v>
      </c>
      <c r="O292" s="9">
        <f>[2]หน้าผ้า!V301</f>
        <v>0</v>
      </c>
      <c r="P292" s="10">
        <f>[2]หน้าผ้า!AB301</f>
        <v>0</v>
      </c>
      <c r="Q292" s="10">
        <f>[2]หน้าผ้า!AC301</f>
        <v>0</v>
      </c>
      <c r="R292" s="10">
        <f>[2]หน้าผ้า!AD301</f>
        <v>0</v>
      </c>
      <c r="S292" s="9">
        <f>[2]หน้าผ้า!Z301</f>
        <v>0</v>
      </c>
      <c r="T292" s="12">
        <f>[2]หน้าผ้า!X301</f>
        <v>0</v>
      </c>
      <c r="U292" s="11">
        <f>[2]หน้าผ้า!AA301</f>
        <v>0</v>
      </c>
      <c r="V292" s="10">
        <f>[2]หน้าผ้า!AJ301</f>
        <v>0</v>
      </c>
      <c r="W292" s="10">
        <f>[2]หน้าผ้า!AL301</f>
        <v>0</v>
      </c>
      <c r="X292" s="10">
        <f>[2]หน้าผ้า!AM301</f>
        <v>0</v>
      </c>
      <c r="Y292" s="10">
        <f>[2]หน้าผ้า!AN301</f>
        <v>0</v>
      </c>
      <c r="Z292" s="9">
        <f>[2]หน้าผ้า!AO301</f>
        <v>0</v>
      </c>
      <c r="AA292" s="8">
        <f>[2]หน้าผ้า!AQ301</f>
        <v>0</v>
      </c>
      <c r="AB292" s="8">
        <f>[2]หน้าผ้า!AR301</f>
        <v>0</v>
      </c>
      <c r="AC292" s="8">
        <f>[2]หน้าผ้า!AS301</f>
        <v>0</v>
      </c>
      <c r="AD292" s="8">
        <f>[2]หน้าผ้า!AT301</f>
        <v>0</v>
      </c>
      <c r="AE292" s="8">
        <f>[2]หน้าผ้า!AU301</f>
        <v>0</v>
      </c>
      <c r="AF292" s="8">
        <f>[2]หน้าผ้า!AI301</f>
        <v>0</v>
      </c>
      <c r="AG292" s="1">
        <f>[3]หน้าผ้า!DC304</f>
        <v>0</v>
      </c>
      <c r="AH292" s="1">
        <f>[2]หน้าผ้า!DL301</f>
        <v>0</v>
      </c>
      <c r="AI292" s="1">
        <f>[2]หน้าผ้า!DM301</f>
        <v>0</v>
      </c>
      <c r="AJ292" s="3">
        <f>[2]หน้าผ้า!DN301</f>
        <v>0</v>
      </c>
      <c r="AK292" s="3">
        <f>[2]หน้าผ้า!DQ301</f>
        <v>0</v>
      </c>
      <c r="AL292" s="3">
        <f>[2]หน้าผ้า!DR301</f>
        <v>0</v>
      </c>
      <c r="AM292" s="3">
        <f>[2]หน้าผ้า!DS301</f>
        <v>0</v>
      </c>
      <c r="AN292" s="3">
        <f>[2]หน้าผ้า!DT301</f>
        <v>0</v>
      </c>
      <c r="AO292" s="3">
        <f>[2]หน้าผ้า!DU301</f>
        <v>0</v>
      </c>
      <c r="AP292" s="3">
        <f>[2]หน้าผ้า!DP301</f>
        <v>0</v>
      </c>
      <c r="AQ292" s="3">
        <f>[2]หน้าผ้า!DW301</f>
        <v>0</v>
      </c>
      <c r="AR292" s="3">
        <f>[2]หน้าผ้า!DX301</f>
        <v>0</v>
      </c>
      <c r="AS292" s="3">
        <f>[2]หน้าผ้า!DY301</f>
        <v>0</v>
      </c>
      <c r="AT292" s="3">
        <f>[2]หน้าผ้า!DZ301</f>
        <v>0</v>
      </c>
      <c r="AU292" s="3">
        <f>[2]หน้าผ้า!EA301</f>
        <v>0</v>
      </c>
      <c r="AV292" s="1">
        <f>[2]หน้าผ้า!EB301</f>
        <v>0</v>
      </c>
      <c r="AW292" s="2">
        <f>[2]หน้าผ้า!EC301</f>
        <v>0</v>
      </c>
      <c r="AX292" s="2">
        <f>[2]หน้าผ้า!ED301</f>
        <v>0</v>
      </c>
      <c r="AY292" s="2">
        <f>[2]หน้าผ้า!AG301</f>
        <v>0</v>
      </c>
      <c r="AZ292" s="2">
        <f>[2]หน้าผ้า!EG301</f>
        <v>0</v>
      </c>
      <c r="BA292" s="2">
        <f>[2]หน้าผ้า!EH301</f>
        <v>0</v>
      </c>
      <c r="BB292" s="2">
        <f>[2]หน้าผ้า!EI301</f>
        <v>0</v>
      </c>
      <c r="BC292" s="1">
        <f>[2]หน้าผ้า!BZ301</f>
        <v>0</v>
      </c>
      <c r="BD292" s="56">
        <f>[2]หน้าผ้า!CA301</f>
        <v>0</v>
      </c>
    </row>
    <row r="293" spans="1:56" ht="27.75" customHeight="1" x14ac:dyDescent="0.45">
      <c r="A293" s="3">
        <f>[2]หน้าผ้า!C302</f>
        <v>0</v>
      </c>
      <c r="B293" s="14">
        <f>[2]หน้าผ้า!B302</f>
        <v>0</v>
      </c>
      <c r="C293" s="9">
        <f>[2]หน้าผ้า!E302</f>
        <v>0</v>
      </c>
      <c r="D293" s="13">
        <f>[2]หน้าผ้า!F302</f>
        <v>0</v>
      </c>
      <c r="E293" s="9">
        <f>[2]หน้าผ้า!G302</f>
        <v>0</v>
      </c>
      <c r="F293" s="9">
        <f>[2]หน้าผ้า!H302</f>
        <v>0</v>
      </c>
      <c r="G293" s="9">
        <f>[2]หน้าผ้า!I302</f>
        <v>0</v>
      </c>
      <c r="H293" s="9">
        <f>[2]หน้าผ้า!J302</f>
        <v>0</v>
      </c>
      <c r="I293" s="9">
        <f>[2]หน้าผ้า!L302</f>
        <v>0</v>
      </c>
      <c r="J293" s="9">
        <f>[2]หน้าผ้า!M302</f>
        <v>0</v>
      </c>
      <c r="K293" s="9">
        <f>[2]หน้าผ้า!N302</f>
        <v>0</v>
      </c>
      <c r="L293" s="9">
        <f>[2]หน้าผ้า!R302</f>
        <v>0</v>
      </c>
      <c r="M293" s="10">
        <f>[2]หน้าผ้า!T302</f>
        <v>0</v>
      </c>
      <c r="N293" s="9">
        <f>[2]หน้าผ้า!U302</f>
        <v>0</v>
      </c>
      <c r="O293" s="9">
        <f>[2]หน้าผ้า!V302</f>
        <v>0</v>
      </c>
      <c r="P293" s="10">
        <f>[2]หน้าผ้า!AB302</f>
        <v>0</v>
      </c>
      <c r="Q293" s="10">
        <f>[2]หน้าผ้า!AC302</f>
        <v>0</v>
      </c>
      <c r="R293" s="10">
        <f>[2]หน้าผ้า!AD302</f>
        <v>0</v>
      </c>
      <c r="S293" s="9">
        <f>[2]หน้าผ้า!Z302</f>
        <v>0</v>
      </c>
      <c r="T293" s="12">
        <f>[2]หน้าผ้า!X302</f>
        <v>0</v>
      </c>
      <c r="U293" s="11">
        <f>[2]หน้าผ้า!AA302</f>
        <v>0</v>
      </c>
      <c r="V293" s="10">
        <f>[2]หน้าผ้า!AJ302</f>
        <v>0</v>
      </c>
      <c r="W293" s="10">
        <f>[2]หน้าผ้า!AL302</f>
        <v>0</v>
      </c>
      <c r="X293" s="10">
        <f>[2]หน้าผ้า!AM302</f>
        <v>0</v>
      </c>
      <c r="Y293" s="10">
        <f>[2]หน้าผ้า!AN302</f>
        <v>0</v>
      </c>
      <c r="Z293" s="9">
        <f>[2]หน้าผ้า!AO302</f>
        <v>0</v>
      </c>
      <c r="AA293" s="8">
        <f>[2]หน้าผ้า!AQ302</f>
        <v>0</v>
      </c>
      <c r="AB293" s="8">
        <f>[2]หน้าผ้า!AR302</f>
        <v>0</v>
      </c>
      <c r="AC293" s="8">
        <f>[2]หน้าผ้า!AS302</f>
        <v>0</v>
      </c>
      <c r="AD293" s="8">
        <f>[2]หน้าผ้า!AT302</f>
        <v>0</v>
      </c>
      <c r="AE293" s="8">
        <f>[2]หน้าผ้า!AU302</f>
        <v>0</v>
      </c>
      <c r="AF293" s="8">
        <f>[2]หน้าผ้า!AI302</f>
        <v>0</v>
      </c>
      <c r="AG293" s="1">
        <f>[3]หน้าผ้า!DC305</f>
        <v>0</v>
      </c>
      <c r="AH293" s="1">
        <f>[2]หน้าผ้า!DL302</f>
        <v>0</v>
      </c>
      <c r="AI293" s="1">
        <f>[2]หน้าผ้า!DM302</f>
        <v>0</v>
      </c>
      <c r="AJ293" s="3">
        <f>[2]หน้าผ้า!DN302</f>
        <v>0</v>
      </c>
      <c r="AK293" s="3">
        <f>[2]หน้าผ้า!DQ302</f>
        <v>0</v>
      </c>
      <c r="AL293" s="3">
        <f>[2]หน้าผ้า!DR302</f>
        <v>0</v>
      </c>
      <c r="AM293" s="3">
        <f>[2]หน้าผ้า!DS302</f>
        <v>0</v>
      </c>
      <c r="AN293" s="3">
        <f>[2]หน้าผ้า!DT302</f>
        <v>0</v>
      </c>
      <c r="AO293" s="3">
        <f>[2]หน้าผ้า!DU302</f>
        <v>0</v>
      </c>
      <c r="AP293" s="3">
        <f>[2]หน้าผ้า!DP302</f>
        <v>0</v>
      </c>
      <c r="AQ293" s="3">
        <f>[2]หน้าผ้า!DW302</f>
        <v>0</v>
      </c>
      <c r="AR293" s="3">
        <f>[2]หน้าผ้า!DX302</f>
        <v>0</v>
      </c>
      <c r="AS293" s="3">
        <f>[2]หน้าผ้า!DY302</f>
        <v>0</v>
      </c>
      <c r="AT293" s="3">
        <f>[2]หน้าผ้า!DZ302</f>
        <v>0</v>
      </c>
      <c r="AU293" s="3">
        <f>[2]หน้าผ้า!EA302</f>
        <v>0</v>
      </c>
      <c r="AV293" s="1">
        <f>[2]หน้าผ้า!EB302</f>
        <v>0</v>
      </c>
      <c r="AW293" s="2">
        <f>[2]หน้าผ้า!EC302</f>
        <v>0</v>
      </c>
      <c r="AX293" s="2">
        <f>[2]หน้าผ้า!ED302</f>
        <v>0</v>
      </c>
      <c r="AY293" s="2">
        <f>[2]หน้าผ้า!AG302</f>
        <v>0</v>
      </c>
      <c r="AZ293" s="2">
        <f>[2]หน้าผ้า!EG302</f>
        <v>0</v>
      </c>
      <c r="BA293" s="2">
        <f>[2]หน้าผ้า!EH302</f>
        <v>0</v>
      </c>
      <c r="BB293" s="2">
        <f>[2]หน้าผ้า!EI302</f>
        <v>0</v>
      </c>
      <c r="BC293" s="1">
        <f>[2]หน้าผ้า!BZ302</f>
        <v>0</v>
      </c>
      <c r="BD293" s="56">
        <f>[2]หน้าผ้า!CA302</f>
        <v>0</v>
      </c>
    </row>
    <row r="294" spans="1:56" ht="27.75" customHeight="1" x14ac:dyDescent="0.45">
      <c r="A294" s="3">
        <f>[2]หน้าผ้า!C303</f>
        <v>0</v>
      </c>
      <c r="B294" s="14">
        <f>[2]หน้าผ้า!B303</f>
        <v>0</v>
      </c>
      <c r="C294" s="9">
        <f>[2]หน้าผ้า!E303</f>
        <v>0</v>
      </c>
      <c r="D294" s="13">
        <f>[2]หน้าผ้า!F303</f>
        <v>0</v>
      </c>
      <c r="E294" s="9">
        <f>[2]หน้าผ้า!G303</f>
        <v>0</v>
      </c>
      <c r="F294" s="9">
        <f>[2]หน้าผ้า!H303</f>
        <v>0</v>
      </c>
      <c r="G294" s="9">
        <f>[2]หน้าผ้า!I303</f>
        <v>0</v>
      </c>
      <c r="H294" s="9">
        <f>[2]หน้าผ้า!J303</f>
        <v>0</v>
      </c>
      <c r="I294" s="9">
        <f>[2]หน้าผ้า!L303</f>
        <v>0</v>
      </c>
      <c r="J294" s="9">
        <f>[2]หน้าผ้า!M303</f>
        <v>0</v>
      </c>
      <c r="K294" s="9">
        <f>[2]หน้าผ้า!N303</f>
        <v>0</v>
      </c>
      <c r="L294" s="9">
        <f>[2]หน้าผ้า!R303</f>
        <v>0</v>
      </c>
      <c r="M294" s="10">
        <f>[2]หน้าผ้า!T303</f>
        <v>0</v>
      </c>
      <c r="N294" s="9">
        <f>[2]หน้าผ้า!U303</f>
        <v>0</v>
      </c>
      <c r="O294" s="9">
        <f>[2]หน้าผ้า!V303</f>
        <v>0</v>
      </c>
      <c r="P294" s="10">
        <f>[2]หน้าผ้า!AB303</f>
        <v>0</v>
      </c>
      <c r="Q294" s="10">
        <f>[2]หน้าผ้า!AC303</f>
        <v>0</v>
      </c>
      <c r="R294" s="10">
        <f>[2]หน้าผ้า!AD303</f>
        <v>0</v>
      </c>
      <c r="S294" s="9">
        <f>[2]หน้าผ้า!Z303</f>
        <v>0</v>
      </c>
      <c r="T294" s="12">
        <f>[2]หน้าผ้า!X303</f>
        <v>0</v>
      </c>
      <c r="U294" s="11">
        <f>[2]หน้าผ้า!AA303</f>
        <v>0</v>
      </c>
      <c r="V294" s="10">
        <f>[2]หน้าผ้า!AJ303</f>
        <v>0</v>
      </c>
      <c r="W294" s="10">
        <f>[2]หน้าผ้า!AL303</f>
        <v>0</v>
      </c>
      <c r="X294" s="10">
        <f>[2]หน้าผ้า!AM303</f>
        <v>0</v>
      </c>
      <c r="Y294" s="10">
        <f>[2]หน้าผ้า!AN303</f>
        <v>0</v>
      </c>
      <c r="Z294" s="9">
        <f>[2]หน้าผ้า!AO303</f>
        <v>0</v>
      </c>
      <c r="AA294" s="8">
        <f>[2]หน้าผ้า!AQ303</f>
        <v>0</v>
      </c>
      <c r="AB294" s="8">
        <f>[2]หน้าผ้า!AR303</f>
        <v>0</v>
      </c>
      <c r="AC294" s="8">
        <f>[2]หน้าผ้า!AS303</f>
        <v>0</v>
      </c>
      <c r="AD294" s="8">
        <f>[2]หน้าผ้า!AT303</f>
        <v>0</v>
      </c>
      <c r="AE294" s="8">
        <f>[2]หน้าผ้า!AU303</f>
        <v>0</v>
      </c>
      <c r="AF294" s="8">
        <f>[2]หน้าผ้า!AI303</f>
        <v>0</v>
      </c>
      <c r="AG294" s="1">
        <f>[3]หน้าผ้า!DC306</f>
        <v>0</v>
      </c>
      <c r="AH294" s="1">
        <f>[2]หน้าผ้า!DL303</f>
        <v>0</v>
      </c>
      <c r="AI294" s="1">
        <f>[2]หน้าผ้า!DM303</f>
        <v>0</v>
      </c>
      <c r="AJ294" s="3">
        <f>[2]หน้าผ้า!DN303</f>
        <v>0</v>
      </c>
      <c r="AK294" s="3">
        <f>[2]หน้าผ้า!DQ303</f>
        <v>0</v>
      </c>
      <c r="AL294" s="3">
        <f>[2]หน้าผ้า!DR303</f>
        <v>0</v>
      </c>
      <c r="AM294" s="3">
        <f>[2]หน้าผ้า!DS303</f>
        <v>0</v>
      </c>
      <c r="AN294" s="3">
        <f>[2]หน้าผ้า!DT303</f>
        <v>0</v>
      </c>
      <c r="AO294" s="3">
        <f>[2]หน้าผ้า!DU303</f>
        <v>0</v>
      </c>
      <c r="AP294" s="3">
        <f>[2]หน้าผ้า!DP303</f>
        <v>0</v>
      </c>
      <c r="AQ294" s="3">
        <f>[2]หน้าผ้า!DW303</f>
        <v>0</v>
      </c>
      <c r="AR294" s="3">
        <f>[2]หน้าผ้า!DX303</f>
        <v>0</v>
      </c>
      <c r="AS294" s="3">
        <f>[2]หน้าผ้า!DY303</f>
        <v>0</v>
      </c>
      <c r="AT294" s="3">
        <f>[2]หน้าผ้า!DZ303</f>
        <v>0</v>
      </c>
      <c r="AU294" s="3">
        <f>[2]หน้าผ้า!EA303</f>
        <v>0</v>
      </c>
      <c r="AV294" s="1">
        <f>[2]หน้าผ้า!EB303</f>
        <v>0</v>
      </c>
      <c r="AW294" s="2">
        <f>[2]หน้าผ้า!EC303</f>
        <v>0</v>
      </c>
      <c r="AX294" s="2">
        <f>[2]หน้าผ้า!ED303</f>
        <v>0</v>
      </c>
      <c r="AY294" s="2">
        <f>[2]หน้าผ้า!AG303</f>
        <v>0</v>
      </c>
      <c r="AZ294" s="2">
        <f>[2]หน้าผ้า!EG303</f>
        <v>0</v>
      </c>
      <c r="BA294" s="2">
        <f>[2]หน้าผ้า!EH303</f>
        <v>0</v>
      </c>
      <c r="BB294" s="2">
        <f>[2]หน้าผ้า!EI303</f>
        <v>0</v>
      </c>
      <c r="BC294" s="1">
        <f>[2]หน้าผ้า!BZ303</f>
        <v>0</v>
      </c>
      <c r="BD294" s="56">
        <f>[2]หน้าผ้า!CA303</f>
        <v>0</v>
      </c>
    </row>
    <row r="295" spans="1:56" ht="27.75" customHeight="1" x14ac:dyDescent="0.45">
      <c r="A295" s="3">
        <f>[2]หน้าผ้า!C304</f>
        <v>0</v>
      </c>
      <c r="B295" s="14">
        <f>[2]หน้าผ้า!B304</f>
        <v>0</v>
      </c>
      <c r="C295" s="9">
        <f>[2]หน้าผ้า!E304</f>
        <v>0</v>
      </c>
      <c r="D295" s="13">
        <f>[2]หน้าผ้า!F304</f>
        <v>0</v>
      </c>
      <c r="E295" s="9">
        <f>[2]หน้าผ้า!G304</f>
        <v>0</v>
      </c>
      <c r="F295" s="9">
        <f>[2]หน้าผ้า!H304</f>
        <v>0</v>
      </c>
      <c r="G295" s="9">
        <f>[2]หน้าผ้า!I304</f>
        <v>0</v>
      </c>
      <c r="H295" s="9">
        <f>[2]หน้าผ้า!J304</f>
        <v>0</v>
      </c>
      <c r="I295" s="9">
        <f>[2]หน้าผ้า!L304</f>
        <v>0</v>
      </c>
      <c r="J295" s="9">
        <f>[2]หน้าผ้า!M304</f>
        <v>0</v>
      </c>
      <c r="K295" s="9">
        <f>[2]หน้าผ้า!N304</f>
        <v>0</v>
      </c>
      <c r="L295" s="9">
        <f>[2]หน้าผ้า!R304</f>
        <v>0</v>
      </c>
      <c r="M295" s="10">
        <f>[2]หน้าผ้า!T304</f>
        <v>0</v>
      </c>
      <c r="N295" s="9">
        <f>[2]หน้าผ้า!U304</f>
        <v>0</v>
      </c>
      <c r="O295" s="9">
        <f>[2]หน้าผ้า!V304</f>
        <v>0</v>
      </c>
      <c r="P295" s="10">
        <f>[2]หน้าผ้า!AB304</f>
        <v>0</v>
      </c>
      <c r="Q295" s="10">
        <f>[2]หน้าผ้า!AC304</f>
        <v>0</v>
      </c>
      <c r="R295" s="10">
        <f>[2]หน้าผ้า!AD304</f>
        <v>0</v>
      </c>
      <c r="S295" s="9">
        <f>[2]หน้าผ้า!Z304</f>
        <v>0</v>
      </c>
      <c r="T295" s="12">
        <f>[2]หน้าผ้า!X304</f>
        <v>0</v>
      </c>
      <c r="U295" s="11">
        <f>[2]หน้าผ้า!AA304</f>
        <v>0</v>
      </c>
      <c r="V295" s="10">
        <f>[2]หน้าผ้า!AJ304</f>
        <v>0</v>
      </c>
      <c r="W295" s="10">
        <f>[2]หน้าผ้า!AL304</f>
        <v>0</v>
      </c>
      <c r="X295" s="10">
        <f>[2]หน้าผ้า!AM304</f>
        <v>0</v>
      </c>
      <c r="Y295" s="10">
        <f>[2]หน้าผ้า!AN304</f>
        <v>0</v>
      </c>
      <c r="Z295" s="9">
        <f>[2]หน้าผ้า!AO304</f>
        <v>0</v>
      </c>
      <c r="AA295" s="8">
        <f>[2]หน้าผ้า!AQ304</f>
        <v>0</v>
      </c>
      <c r="AB295" s="8">
        <f>[2]หน้าผ้า!AR304</f>
        <v>0</v>
      </c>
      <c r="AC295" s="8">
        <f>[2]หน้าผ้า!AS304</f>
        <v>0</v>
      </c>
      <c r="AD295" s="8">
        <f>[2]หน้าผ้า!AT304</f>
        <v>0</v>
      </c>
      <c r="AE295" s="8">
        <f>[2]หน้าผ้า!AU304</f>
        <v>0</v>
      </c>
      <c r="AF295" s="8">
        <f>[2]หน้าผ้า!AI304</f>
        <v>0</v>
      </c>
      <c r="AG295" s="1">
        <f>[3]หน้าผ้า!DC307</f>
        <v>0</v>
      </c>
      <c r="AH295" s="1">
        <f>[2]หน้าผ้า!DL304</f>
        <v>0</v>
      </c>
      <c r="AI295" s="1">
        <f>[2]หน้าผ้า!DM304</f>
        <v>0</v>
      </c>
      <c r="AJ295" s="3">
        <f>[2]หน้าผ้า!DN304</f>
        <v>0</v>
      </c>
      <c r="AK295" s="3">
        <f>[2]หน้าผ้า!DQ304</f>
        <v>0</v>
      </c>
      <c r="AL295" s="3">
        <f>[2]หน้าผ้า!DR304</f>
        <v>0</v>
      </c>
      <c r="AM295" s="3">
        <f>[2]หน้าผ้า!DS304</f>
        <v>0</v>
      </c>
      <c r="AN295" s="3">
        <f>[2]หน้าผ้า!DT304</f>
        <v>0</v>
      </c>
      <c r="AO295" s="3">
        <f>[2]หน้าผ้า!DU304</f>
        <v>0</v>
      </c>
      <c r="AP295" s="3">
        <f>[2]หน้าผ้า!DP304</f>
        <v>0</v>
      </c>
      <c r="AQ295" s="3">
        <f>[2]หน้าผ้า!DW304</f>
        <v>0</v>
      </c>
      <c r="AR295" s="3">
        <f>[2]หน้าผ้า!DX304</f>
        <v>0</v>
      </c>
      <c r="AS295" s="3">
        <f>[2]หน้าผ้า!DY304</f>
        <v>0</v>
      </c>
      <c r="AT295" s="3">
        <f>[2]หน้าผ้า!DZ304</f>
        <v>0</v>
      </c>
      <c r="AU295" s="3">
        <f>[2]หน้าผ้า!EA304</f>
        <v>0</v>
      </c>
      <c r="AV295" s="1">
        <f>[2]หน้าผ้า!EB304</f>
        <v>0</v>
      </c>
      <c r="AW295" s="2">
        <f>[2]หน้าผ้า!EC304</f>
        <v>0</v>
      </c>
      <c r="AX295" s="2">
        <f>[2]หน้าผ้า!ED304</f>
        <v>0</v>
      </c>
      <c r="AY295" s="2">
        <f>[2]หน้าผ้า!AG304</f>
        <v>0</v>
      </c>
      <c r="AZ295" s="2">
        <f>[2]หน้าผ้า!EG304</f>
        <v>0</v>
      </c>
      <c r="BA295" s="2">
        <f>[2]หน้าผ้า!EH304</f>
        <v>0</v>
      </c>
      <c r="BB295" s="2">
        <f>[2]หน้าผ้า!EI304</f>
        <v>0</v>
      </c>
      <c r="BC295" s="1">
        <f>[2]หน้าผ้า!BZ304</f>
        <v>0</v>
      </c>
      <c r="BD295" s="56">
        <f>[2]หน้าผ้า!CA304</f>
        <v>0</v>
      </c>
    </row>
    <row r="296" spans="1:56" ht="27.75" customHeight="1" x14ac:dyDescent="0.45">
      <c r="A296" s="3">
        <f>[2]หน้าผ้า!C305</f>
        <v>0</v>
      </c>
      <c r="B296" s="14">
        <f>[2]หน้าผ้า!B305</f>
        <v>0</v>
      </c>
      <c r="C296" s="9">
        <f>[2]หน้าผ้า!E305</f>
        <v>0</v>
      </c>
      <c r="D296" s="13">
        <f>[2]หน้าผ้า!F305</f>
        <v>0</v>
      </c>
      <c r="E296" s="9">
        <f>[2]หน้าผ้า!G305</f>
        <v>0</v>
      </c>
      <c r="F296" s="9">
        <f>[2]หน้าผ้า!H305</f>
        <v>0</v>
      </c>
      <c r="G296" s="9">
        <f>[2]หน้าผ้า!I305</f>
        <v>0</v>
      </c>
      <c r="H296" s="9">
        <f>[2]หน้าผ้า!J305</f>
        <v>0</v>
      </c>
      <c r="I296" s="9">
        <f>[2]หน้าผ้า!L305</f>
        <v>0</v>
      </c>
      <c r="J296" s="9">
        <f>[2]หน้าผ้า!M305</f>
        <v>0</v>
      </c>
      <c r="K296" s="9">
        <f>[2]หน้าผ้า!N305</f>
        <v>0</v>
      </c>
      <c r="L296" s="9">
        <f>[2]หน้าผ้า!R305</f>
        <v>0</v>
      </c>
      <c r="M296" s="10">
        <f>[2]หน้าผ้า!T305</f>
        <v>0</v>
      </c>
      <c r="N296" s="9">
        <f>[2]หน้าผ้า!U305</f>
        <v>0</v>
      </c>
      <c r="O296" s="9">
        <f>[2]หน้าผ้า!V305</f>
        <v>0</v>
      </c>
      <c r="P296" s="10">
        <f>[2]หน้าผ้า!AB305</f>
        <v>0</v>
      </c>
      <c r="Q296" s="10">
        <f>[2]หน้าผ้า!AC305</f>
        <v>0</v>
      </c>
      <c r="R296" s="10">
        <f>[2]หน้าผ้า!AD305</f>
        <v>0</v>
      </c>
      <c r="S296" s="9">
        <f>[2]หน้าผ้า!Z305</f>
        <v>0</v>
      </c>
      <c r="T296" s="12">
        <f>[2]หน้าผ้า!X305</f>
        <v>0</v>
      </c>
      <c r="U296" s="11">
        <f>[2]หน้าผ้า!AA305</f>
        <v>0</v>
      </c>
      <c r="V296" s="10">
        <f>[2]หน้าผ้า!AJ305</f>
        <v>0</v>
      </c>
      <c r="W296" s="10">
        <f>[2]หน้าผ้า!AL305</f>
        <v>0</v>
      </c>
      <c r="X296" s="10">
        <f>[2]หน้าผ้า!AM305</f>
        <v>0</v>
      </c>
      <c r="Y296" s="10">
        <f>[2]หน้าผ้า!AN305</f>
        <v>0</v>
      </c>
      <c r="Z296" s="9">
        <f>[2]หน้าผ้า!AO305</f>
        <v>0</v>
      </c>
      <c r="AA296" s="8">
        <f>[2]หน้าผ้า!AQ305</f>
        <v>0</v>
      </c>
      <c r="AB296" s="8">
        <f>[2]หน้าผ้า!AR305</f>
        <v>0</v>
      </c>
      <c r="AC296" s="8">
        <f>[2]หน้าผ้า!AS305</f>
        <v>0</v>
      </c>
      <c r="AD296" s="8">
        <f>[2]หน้าผ้า!AT305</f>
        <v>0</v>
      </c>
      <c r="AE296" s="8">
        <f>[2]หน้าผ้า!AU305</f>
        <v>0</v>
      </c>
      <c r="AF296" s="8">
        <f>[2]หน้าผ้า!AI305</f>
        <v>0</v>
      </c>
      <c r="AG296" s="1">
        <f>[3]หน้าผ้า!DC308</f>
        <v>0</v>
      </c>
      <c r="AH296" s="1">
        <f>[2]หน้าผ้า!DL305</f>
        <v>0</v>
      </c>
      <c r="AI296" s="1">
        <f>[2]หน้าผ้า!DM305</f>
        <v>0</v>
      </c>
      <c r="AJ296" s="3">
        <f>[2]หน้าผ้า!DN305</f>
        <v>0</v>
      </c>
      <c r="AK296" s="3">
        <f>[2]หน้าผ้า!DQ305</f>
        <v>0</v>
      </c>
      <c r="AL296" s="3">
        <f>[2]หน้าผ้า!DR305</f>
        <v>0</v>
      </c>
      <c r="AM296" s="3">
        <f>[2]หน้าผ้า!DS305</f>
        <v>0</v>
      </c>
      <c r="AN296" s="3">
        <f>[2]หน้าผ้า!DT305</f>
        <v>0</v>
      </c>
      <c r="AO296" s="3">
        <f>[2]หน้าผ้า!DU305</f>
        <v>0</v>
      </c>
      <c r="AP296" s="3">
        <f>[2]หน้าผ้า!DP305</f>
        <v>0</v>
      </c>
      <c r="AQ296" s="3">
        <f>[2]หน้าผ้า!DW305</f>
        <v>0</v>
      </c>
      <c r="AR296" s="3">
        <f>[2]หน้าผ้า!DX305</f>
        <v>0</v>
      </c>
      <c r="AS296" s="3">
        <f>[2]หน้าผ้า!DY305</f>
        <v>0</v>
      </c>
      <c r="AT296" s="3">
        <f>[2]หน้าผ้า!DZ305</f>
        <v>0</v>
      </c>
      <c r="AU296" s="3">
        <f>[2]หน้าผ้า!EA305</f>
        <v>0</v>
      </c>
      <c r="AV296" s="1">
        <f>[2]หน้าผ้า!EB305</f>
        <v>0</v>
      </c>
      <c r="AW296" s="2">
        <f>[2]หน้าผ้า!EC305</f>
        <v>0</v>
      </c>
      <c r="AX296" s="2">
        <f>[2]หน้าผ้า!ED305</f>
        <v>0</v>
      </c>
      <c r="AY296" s="2">
        <f>[2]หน้าผ้า!AG305</f>
        <v>0</v>
      </c>
      <c r="AZ296" s="2">
        <f>[2]หน้าผ้า!EG305</f>
        <v>0</v>
      </c>
      <c r="BA296" s="2">
        <f>[2]หน้าผ้า!EH305</f>
        <v>0</v>
      </c>
      <c r="BB296" s="2">
        <f>[2]หน้าผ้า!EI305</f>
        <v>0</v>
      </c>
      <c r="BC296" s="1">
        <f>[2]หน้าผ้า!BZ305</f>
        <v>0</v>
      </c>
      <c r="BD296" s="56">
        <f>[2]หน้าผ้า!CA305</f>
        <v>0</v>
      </c>
    </row>
    <row r="297" spans="1:56" ht="27.75" customHeight="1" x14ac:dyDescent="0.45">
      <c r="A297" s="3">
        <f>[2]หน้าผ้า!C306</f>
        <v>0</v>
      </c>
      <c r="B297" s="14">
        <f>[2]หน้าผ้า!B306</f>
        <v>0</v>
      </c>
      <c r="C297" s="9">
        <f>[2]หน้าผ้า!E306</f>
        <v>0</v>
      </c>
      <c r="D297" s="13">
        <f>[2]หน้าผ้า!F306</f>
        <v>0</v>
      </c>
      <c r="E297" s="9">
        <f>[2]หน้าผ้า!G306</f>
        <v>0</v>
      </c>
      <c r="F297" s="9">
        <f>[2]หน้าผ้า!H306</f>
        <v>0</v>
      </c>
      <c r="G297" s="9">
        <f>[2]หน้าผ้า!I306</f>
        <v>0</v>
      </c>
      <c r="H297" s="9">
        <f>[2]หน้าผ้า!J306</f>
        <v>0</v>
      </c>
      <c r="I297" s="9">
        <f>[2]หน้าผ้า!L306</f>
        <v>0</v>
      </c>
      <c r="J297" s="9">
        <f>[2]หน้าผ้า!M306</f>
        <v>0</v>
      </c>
      <c r="K297" s="9">
        <f>[2]หน้าผ้า!N306</f>
        <v>0</v>
      </c>
      <c r="L297" s="9">
        <f>[2]หน้าผ้า!R306</f>
        <v>0</v>
      </c>
      <c r="M297" s="10">
        <f>[2]หน้าผ้า!T306</f>
        <v>0</v>
      </c>
      <c r="N297" s="9">
        <f>[2]หน้าผ้า!U306</f>
        <v>0</v>
      </c>
      <c r="O297" s="9">
        <f>[2]หน้าผ้า!V306</f>
        <v>0</v>
      </c>
      <c r="P297" s="10">
        <f>[2]หน้าผ้า!AB306</f>
        <v>0</v>
      </c>
      <c r="Q297" s="10">
        <f>[2]หน้าผ้า!AC306</f>
        <v>0</v>
      </c>
      <c r="R297" s="10">
        <f>[2]หน้าผ้า!AD306</f>
        <v>0</v>
      </c>
      <c r="S297" s="9">
        <f>[2]หน้าผ้า!Z306</f>
        <v>0</v>
      </c>
      <c r="T297" s="12">
        <f>[2]หน้าผ้า!X306</f>
        <v>0</v>
      </c>
      <c r="U297" s="11">
        <f>[2]หน้าผ้า!AA306</f>
        <v>0</v>
      </c>
      <c r="V297" s="10">
        <f>[2]หน้าผ้า!AJ306</f>
        <v>0</v>
      </c>
      <c r="W297" s="10">
        <f>[2]หน้าผ้า!AL306</f>
        <v>0</v>
      </c>
      <c r="X297" s="10">
        <f>[2]หน้าผ้า!AM306</f>
        <v>0</v>
      </c>
      <c r="Y297" s="10">
        <f>[2]หน้าผ้า!AN306</f>
        <v>0</v>
      </c>
      <c r="Z297" s="9">
        <f>[2]หน้าผ้า!AO306</f>
        <v>0</v>
      </c>
      <c r="AA297" s="8">
        <f>[2]หน้าผ้า!AQ306</f>
        <v>0</v>
      </c>
      <c r="AB297" s="8">
        <f>[2]หน้าผ้า!AR306</f>
        <v>0</v>
      </c>
      <c r="AC297" s="8">
        <f>[2]หน้าผ้า!AS306</f>
        <v>0</v>
      </c>
      <c r="AD297" s="8">
        <f>[2]หน้าผ้า!AT306</f>
        <v>0</v>
      </c>
      <c r="AE297" s="8">
        <f>[2]หน้าผ้า!AU306</f>
        <v>0</v>
      </c>
      <c r="AF297" s="8">
        <f>[2]หน้าผ้า!AI306</f>
        <v>0</v>
      </c>
      <c r="AG297" s="1">
        <f>[3]หน้าผ้า!DC309</f>
        <v>0</v>
      </c>
      <c r="AH297" s="1">
        <f>[2]หน้าผ้า!DL306</f>
        <v>0</v>
      </c>
      <c r="AI297" s="1">
        <f>[2]หน้าผ้า!DM306</f>
        <v>0</v>
      </c>
      <c r="AJ297" s="3">
        <f>[2]หน้าผ้า!DN306</f>
        <v>0</v>
      </c>
      <c r="AK297" s="3">
        <f>[2]หน้าผ้า!DQ306</f>
        <v>0</v>
      </c>
      <c r="AL297" s="3">
        <f>[2]หน้าผ้า!DR306</f>
        <v>0</v>
      </c>
      <c r="AM297" s="3">
        <f>[2]หน้าผ้า!DS306</f>
        <v>0</v>
      </c>
      <c r="AN297" s="3">
        <f>[2]หน้าผ้า!DT306</f>
        <v>0</v>
      </c>
      <c r="AO297" s="3">
        <f>[2]หน้าผ้า!DU306</f>
        <v>0</v>
      </c>
      <c r="AP297" s="3">
        <f>[2]หน้าผ้า!DP306</f>
        <v>0</v>
      </c>
      <c r="AQ297" s="3">
        <f>[2]หน้าผ้า!DW306</f>
        <v>0</v>
      </c>
      <c r="AR297" s="3">
        <f>[2]หน้าผ้า!DX306</f>
        <v>0</v>
      </c>
      <c r="AS297" s="3">
        <f>[2]หน้าผ้า!DY306</f>
        <v>0</v>
      </c>
      <c r="AT297" s="3">
        <f>[2]หน้าผ้า!DZ306</f>
        <v>0</v>
      </c>
      <c r="AU297" s="3">
        <f>[2]หน้าผ้า!EA306</f>
        <v>0</v>
      </c>
      <c r="AV297" s="1">
        <f>[2]หน้าผ้า!EB306</f>
        <v>0</v>
      </c>
      <c r="AW297" s="2">
        <f>[2]หน้าผ้า!EC306</f>
        <v>0</v>
      </c>
      <c r="AX297" s="2">
        <f>[2]หน้าผ้า!ED306</f>
        <v>0</v>
      </c>
      <c r="AY297" s="2">
        <f>[2]หน้าผ้า!AG306</f>
        <v>0</v>
      </c>
      <c r="AZ297" s="2">
        <f>[2]หน้าผ้า!EG306</f>
        <v>0</v>
      </c>
      <c r="BA297" s="2">
        <f>[2]หน้าผ้า!EH306</f>
        <v>0</v>
      </c>
      <c r="BB297" s="2">
        <f>[2]หน้าผ้า!EI306</f>
        <v>0</v>
      </c>
      <c r="BC297" s="1">
        <f>[2]หน้าผ้า!BZ306</f>
        <v>0</v>
      </c>
      <c r="BD297" s="56">
        <f>[2]หน้าผ้า!CA306</f>
        <v>0</v>
      </c>
    </row>
    <row r="298" spans="1:56" ht="27.75" customHeight="1" x14ac:dyDescent="0.45">
      <c r="A298" s="3">
        <f>[2]หน้าผ้า!C307</f>
        <v>0</v>
      </c>
      <c r="B298" s="14">
        <f>[2]หน้าผ้า!B307</f>
        <v>0</v>
      </c>
      <c r="C298" s="9">
        <f>[2]หน้าผ้า!E307</f>
        <v>0</v>
      </c>
      <c r="D298" s="13">
        <f>[2]หน้าผ้า!F307</f>
        <v>0</v>
      </c>
      <c r="E298" s="9">
        <f>[2]หน้าผ้า!G307</f>
        <v>0</v>
      </c>
      <c r="F298" s="9">
        <f>[2]หน้าผ้า!H307</f>
        <v>0</v>
      </c>
      <c r="G298" s="9">
        <f>[2]หน้าผ้า!I307</f>
        <v>0</v>
      </c>
      <c r="H298" s="9">
        <f>[2]หน้าผ้า!J307</f>
        <v>0</v>
      </c>
      <c r="I298" s="9">
        <f>[2]หน้าผ้า!L307</f>
        <v>0</v>
      </c>
      <c r="J298" s="9">
        <f>[2]หน้าผ้า!M307</f>
        <v>0</v>
      </c>
      <c r="K298" s="9">
        <f>[2]หน้าผ้า!N307</f>
        <v>0</v>
      </c>
      <c r="L298" s="9">
        <f>[2]หน้าผ้า!R307</f>
        <v>0</v>
      </c>
      <c r="M298" s="10">
        <f>[2]หน้าผ้า!T307</f>
        <v>0</v>
      </c>
      <c r="N298" s="9">
        <f>[2]หน้าผ้า!U307</f>
        <v>0</v>
      </c>
      <c r="O298" s="9">
        <f>[2]หน้าผ้า!V307</f>
        <v>0</v>
      </c>
      <c r="P298" s="10">
        <f>[2]หน้าผ้า!AB307</f>
        <v>0</v>
      </c>
      <c r="Q298" s="10">
        <f>[2]หน้าผ้า!AC307</f>
        <v>0</v>
      </c>
      <c r="R298" s="10">
        <f>[2]หน้าผ้า!AD307</f>
        <v>0</v>
      </c>
      <c r="S298" s="9">
        <f>[2]หน้าผ้า!Z307</f>
        <v>0</v>
      </c>
      <c r="T298" s="12">
        <f>[2]หน้าผ้า!X307</f>
        <v>0</v>
      </c>
      <c r="U298" s="11">
        <f>[2]หน้าผ้า!AA307</f>
        <v>0</v>
      </c>
      <c r="V298" s="10">
        <f>[2]หน้าผ้า!AJ307</f>
        <v>0</v>
      </c>
      <c r="W298" s="10">
        <f>[2]หน้าผ้า!AL307</f>
        <v>0</v>
      </c>
      <c r="X298" s="10">
        <f>[2]หน้าผ้า!AM307</f>
        <v>0</v>
      </c>
      <c r="Y298" s="10">
        <f>[2]หน้าผ้า!AN307</f>
        <v>0</v>
      </c>
      <c r="Z298" s="9">
        <f>[2]หน้าผ้า!AO307</f>
        <v>0</v>
      </c>
      <c r="AA298" s="8">
        <f>[2]หน้าผ้า!AQ307</f>
        <v>0</v>
      </c>
      <c r="AB298" s="8">
        <f>[2]หน้าผ้า!AR307</f>
        <v>0</v>
      </c>
      <c r="AC298" s="8">
        <f>[2]หน้าผ้า!AS307</f>
        <v>0</v>
      </c>
      <c r="AD298" s="8">
        <f>[2]หน้าผ้า!AT307</f>
        <v>0</v>
      </c>
      <c r="AE298" s="8">
        <f>[2]หน้าผ้า!AU307</f>
        <v>0</v>
      </c>
      <c r="AF298" s="8">
        <f>[2]หน้าผ้า!AI307</f>
        <v>0</v>
      </c>
      <c r="AG298" s="1">
        <f>[3]หน้าผ้า!DC310</f>
        <v>0</v>
      </c>
      <c r="AH298" s="1">
        <f>[2]หน้าผ้า!DL307</f>
        <v>0</v>
      </c>
      <c r="AI298" s="1">
        <f>[2]หน้าผ้า!DM307</f>
        <v>0</v>
      </c>
      <c r="AJ298" s="3">
        <f>[2]หน้าผ้า!DN307</f>
        <v>0</v>
      </c>
      <c r="AK298" s="3">
        <f>[2]หน้าผ้า!DQ307</f>
        <v>0</v>
      </c>
      <c r="AL298" s="3">
        <f>[2]หน้าผ้า!DR307</f>
        <v>0</v>
      </c>
      <c r="AM298" s="3">
        <f>[2]หน้าผ้า!DS307</f>
        <v>0</v>
      </c>
      <c r="AN298" s="3">
        <f>[2]หน้าผ้า!DT307</f>
        <v>0</v>
      </c>
      <c r="AO298" s="3">
        <f>[2]หน้าผ้า!DU307</f>
        <v>0</v>
      </c>
      <c r="AP298" s="3">
        <f>[2]หน้าผ้า!DP307</f>
        <v>0</v>
      </c>
      <c r="AQ298" s="3">
        <f>[2]หน้าผ้า!DW307</f>
        <v>0</v>
      </c>
      <c r="AR298" s="3">
        <f>[2]หน้าผ้า!DX307</f>
        <v>0</v>
      </c>
      <c r="AS298" s="3">
        <f>[2]หน้าผ้า!DY307</f>
        <v>0</v>
      </c>
      <c r="AT298" s="3">
        <f>[2]หน้าผ้า!DZ307</f>
        <v>0</v>
      </c>
      <c r="AU298" s="3">
        <f>[2]หน้าผ้า!EA307</f>
        <v>0</v>
      </c>
      <c r="AV298" s="1">
        <f>[2]หน้าผ้า!EB307</f>
        <v>0</v>
      </c>
      <c r="AW298" s="2">
        <f>[2]หน้าผ้า!EC307</f>
        <v>0</v>
      </c>
      <c r="AX298" s="2">
        <f>[2]หน้าผ้า!ED307</f>
        <v>0</v>
      </c>
      <c r="AY298" s="2">
        <f>[2]หน้าผ้า!AG307</f>
        <v>0</v>
      </c>
      <c r="AZ298" s="2">
        <f>[2]หน้าผ้า!EG307</f>
        <v>0</v>
      </c>
      <c r="BA298" s="2">
        <f>[2]หน้าผ้า!EH307</f>
        <v>0</v>
      </c>
      <c r="BB298" s="2">
        <f>[2]หน้าผ้า!EI307</f>
        <v>0</v>
      </c>
      <c r="BC298" s="1">
        <f>[2]หน้าผ้า!BZ307</f>
        <v>0</v>
      </c>
      <c r="BD298" s="56">
        <f>[2]หน้าผ้า!CA307</f>
        <v>0</v>
      </c>
    </row>
    <row r="299" spans="1:56" ht="27.75" customHeight="1" x14ac:dyDescent="0.45">
      <c r="A299" s="3">
        <f>[2]หน้าผ้า!C308</f>
        <v>0</v>
      </c>
      <c r="B299" s="14">
        <f>[2]หน้าผ้า!B308</f>
        <v>0</v>
      </c>
      <c r="C299" s="9">
        <f>[2]หน้าผ้า!E308</f>
        <v>0</v>
      </c>
      <c r="D299" s="13">
        <f>[2]หน้าผ้า!F308</f>
        <v>0</v>
      </c>
      <c r="E299" s="9">
        <f>[2]หน้าผ้า!G308</f>
        <v>0</v>
      </c>
      <c r="F299" s="9">
        <f>[2]หน้าผ้า!H308</f>
        <v>0</v>
      </c>
      <c r="G299" s="9">
        <f>[2]หน้าผ้า!I308</f>
        <v>0</v>
      </c>
      <c r="H299" s="9">
        <f>[2]หน้าผ้า!J308</f>
        <v>0</v>
      </c>
      <c r="I299" s="9">
        <f>[2]หน้าผ้า!L308</f>
        <v>0</v>
      </c>
      <c r="J299" s="9">
        <f>[2]หน้าผ้า!M308</f>
        <v>0</v>
      </c>
      <c r="K299" s="9">
        <f>[2]หน้าผ้า!N308</f>
        <v>0</v>
      </c>
      <c r="L299" s="9">
        <f>[2]หน้าผ้า!R308</f>
        <v>0</v>
      </c>
      <c r="M299" s="10">
        <f>[2]หน้าผ้า!T308</f>
        <v>0</v>
      </c>
      <c r="N299" s="9">
        <f>[2]หน้าผ้า!U308</f>
        <v>0</v>
      </c>
      <c r="O299" s="9">
        <f>[2]หน้าผ้า!V308</f>
        <v>0</v>
      </c>
      <c r="P299" s="10">
        <f>[2]หน้าผ้า!AB308</f>
        <v>0</v>
      </c>
      <c r="Q299" s="10">
        <f>[2]หน้าผ้า!AC308</f>
        <v>0</v>
      </c>
      <c r="R299" s="10">
        <f>[2]หน้าผ้า!AD308</f>
        <v>0</v>
      </c>
      <c r="S299" s="9">
        <f>[2]หน้าผ้า!Z308</f>
        <v>0</v>
      </c>
      <c r="T299" s="12">
        <f>[2]หน้าผ้า!X308</f>
        <v>0</v>
      </c>
      <c r="U299" s="11">
        <f>[2]หน้าผ้า!AA308</f>
        <v>0</v>
      </c>
      <c r="V299" s="10">
        <f>[2]หน้าผ้า!AJ308</f>
        <v>0</v>
      </c>
      <c r="W299" s="10">
        <f>[2]หน้าผ้า!AL308</f>
        <v>0</v>
      </c>
      <c r="X299" s="10">
        <f>[2]หน้าผ้า!AM308</f>
        <v>0</v>
      </c>
      <c r="Y299" s="10">
        <f>[2]หน้าผ้า!AN308</f>
        <v>0</v>
      </c>
      <c r="Z299" s="9">
        <f>[2]หน้าผ้า!AO308</f>
        <v>0</v>
      </c>
      <c r="AA299" s="8">
        <f>[2]หน้าผ้า!AQ308</f>
        <v>0</v>
      </c>
      <c r="AB299" s="8">
        <f>[2]หน้าผ้า!AR308</f>
        <v>0</v>
      </c>
      <c r="AC299" s="8">
        <f>[2]หน้าผ้า!AS308</f>
        <v>0</v>
      </c>
      <c r="AD299" s="8">
        <f>[2]หน้าผ้า!AT308</f>
        <v>0</v>
      </c>
      <c r="AE299" s="8">
        <f>[2]หน้าผ้า!AU308</f>
        <v>0</v>
      </c>
      <c r="AF299" s="8">
        <f>[2]หน้าผ้า!AI308</f>
        <v>0</v>
      </c>
      <c r="AG299" s="1">
        <f>[3]หน้าผ้า!DC311</f>
        <v>0</v>
      </c>
      <c r="AH299" s="1">
        <f>[2]หน้าผ้า!DL308</f>
        <v>0</v>
      </c>
      <c r="AI299" s="1">
        <f>[2]หน้าผ้า!DM308</f>
        <v>0</v>
      </c>
      <c r="AJ299" s="3">
        <f>[2]หน้าผ้า!DN308</f>
        <v>0</v>
      </c>
      <c r="AK299" s="3">
        <f>[2]หน้าผ้า!DQ308</f>
        <v>0</v>
      </c>
      <c r="AL299" s="3">
        <f>[2]หน้าผ้า!DR308</f>
        <v>0</v>
      </c>
      <c r="AM299" s="3">
        <f>[2]หน้าผ้า!DS308</f>
        <v>0</v>
      </c>
      <c r="AN299" s="3">
        <f>[2]หน้าผ้า!DT308</f>
        <v>0</v>
      </c>
      <c r="AO299" s="3">
        <f>[2]หน้าผ้า!DU308</f>
        <v>0</v>
      </c>
      <c r="AP299" s="3">
        <f>[2]หน้าผ้า!DP308</f>
        <v>0</v>
      </c>
      <c r="AQ299" s="3">
        <f>[2]หน้าผ้า!DW308</f>
        <v>0</v>
      </c>
      <c r="AR299" s="3">
        <f>[2]หน้าผ้า!DX308</f>
        <v>0</v>
      </c>
      <c r="AS299" s="3">
        <f>[2]หน้าผ้า!DY308</f>
        <v>0</v>
      </c>
      <c r="AT299" s="3">
        <f>[2]หน้าผ้า!DZ308</f>
        <v>0</v>
      </c>
      <c r="AU299" s="3">
        <f>[2]หน้าผ้า!EA308</f>
        <v>0</v>
      </c>
      <c r="AV299" s="1">
        <f>[2]หน้าผ้า!EB308</f>
        <v>0</v>
      </c>
      <c r="AW299" s="2">
        <f>[2]หน้าผ้า!EC308</f>
        <v>0</v>
      </c>
      <c r="AX299" s="2">
        <f>[2]หน้าผ้า!ED308</f>
        <v>0</v>
      </c>
      <c r="AY299" s="2">
        <f>[2]หน้าผ้า!AG308</f>
        <v>0</v>
      </c>
      <c r="AZ299" s="2">
        <f>[2]หน้าผ้า!EG308</f>
        <v>0</v>
      </c>
      <c r="BA299" s="2">
        <f>[2]หน้าผ้า!EH308</f>
        <v>0</v>
      </c>
      <c r="BB299" s="2">
        <f>[2]หน้าผ้า!EI308</f>
        <v>0</v>
      </c>
      <c r="BC299" s="1">
        <f>[2]หน้าผ้า!BZ308</f>
        <v>0</v>
      </c>
      <c r="BD299" s="56">
        <f>[2]หน้าผ้า!CA308</f>
        <v>0</v>
      </c>
    </row>
    <row r="300" spans="1:56" ht="27.75" customHeight="1" x14ac:dyDescent="0.45">
      <c r="A300" s="3">
        <f>[2]หน้าผ้า!C309</f>
        <v>0</v>
      </c>
      <c r="B300" s="14">
        <f>[2]หน้าผ้า!B309</f>
        <v>0</v>
      </c>
      <c r="C300" s="9">
        <f>[2]หน้าผ้า!E309</f>
        <v>0</v>
      </c>
      <c r="D300" s="13">
        <f>[2]หน้าผ้า!F309</f>
        <v>0</v>
      </c>
      <c r="E300" s="9">
        <f>[2]หน้าผ้า!G309</f>
        <v>0</v>
      </c>
      <c r="F300" s="9">
        <f>[2]หน้าผ้า!H309</f>
        <v>0</v>
      </c>
      <c r="G300" s="9">
        <f>[2]หน้าผ้า!I309</f>
        <v>0</v>
      </c>
      <c r="H300" s="9">
        <f>[2]หน้าผ้า!J309</f>
        <v>0</v>
      </c>
      <c r="I300" s="9">
        <f>[2]หน้าผ้า!L309</f>
        <v>0</v>
      </c>
      <c r="J300" s="9">
        <f>[2]หน้าผ้า!M309</f>
        <v>0</v>
      </c>
      <c r="K300" s="9">
        <f>[2]หน้าผ้า!N309</f>
        <v>0</v>
      </c>
      <c r="L300" s="9">
        <f>[2]หน้าผ้า!R309</f>
        <v>0</v>
      </c>
      <c r="M300" s="10">
        <f>[2]หน้าผ้า!T309</f>
        <v>0</v>
      </c>
      <c r="N300" s="9">
        <f>[2]หน้าผ้า!U309</f>
        <v>0</v>
      </c>
      <c r="O300" s="9">
        <f>[2]หน้าผ้า!V309</f>
        <v>0</v>
      </c>
      <c r="P300" s="10">
        <f>[2]หน้าผ้า!AB309</f>
        <v>0</v>
      </c>
      <c r="Q300" s="10">
        <f>[2]หน้าผ้า!AC309</f>
        <v>0</v>
      </c>
      <c r="R300" s="10">
        <f>[2]หน้าผ้า!AD309</f>
        <v>0</v>
      </c>
      <c r="S300" s="9">
        <f>[2]หน้าผ้า!Z309</f>
        <v>0</v>
      </c>
      <c r="T300" s="12">
        <f>[2]หน้าผ้า!X309</f>
        <v>0</v>
      </c>
      <c r="U300" s="11">
        <f>[2]หน้าผ้า!AA309</f>
        <v>0</v>
      </c>
      <c r="V300" s="10">
        <f>[2]หน้าผ้า!AJ309</f>
        <v>0</v>
      </c>
      <c r="W300" s="10">
        <f>[2]หน้าผ้า!AL309</f>
        <v>0</v>
      </c>
      <c r="X300" s="10">
        <f>[2]หน้าผ้า!AM309</f>
        <v>0</v>
      </c>
      <c r="Y300" s="10">
        <f>[2]หน้าผ้า!AN309</f>
        <v>0</v>
      </c>
      <c r="Z300" s="9">
        <f>[2]หน้าผ้า!AO309</f>
        <v>0</v>
      </c>
      <c r="AA300" s="8">
        <f>[2]หน้าผ้า!AQ309</f>
        <v>0</v>
      </c>
      <c r="AB300" s="8">
        <f>[2]หน้าผ้า!AR309</f>
        <v>0</v>
      </c>
      <c r="AC300" s="8">
        <f>[2]หน้าผ้า!AS309</f>
        <v>0</v>
      </c>
      <c r="AD300" s="8">
        <f>[2]หน้าผ้า!AT309</f>
        <v>0</v>
      </c>
      <c r="AE300" s="8">
        <f>[2]หน้าผ้า!AU309</f>
        <v>0</v>
      </c>
      <c r="AF300" s="8">
        <f>[2]หน้าผ้า!AI309</f>
        <v>0</v>
      </c>
      <c r="AG300" s="1">
        <f>[3]หน้าผ้า!DC312</f>
        <v>0</v>
      </c>
      <c r="AH300" s="1">
        <f>[2]หน้าผ้า!DL309</f>
        <v>0</v>
      </c>
      <c r="AI300" s="1">
        <f>[2]หน้าผ้า!DM309</f>
        <v>0</v>
      </c>
      <c r="AJ300" s="3">
        <f>[2]หน้าผ้า!DN309</f>
        <v>0</v>
      </c>
      <c r="AK300" s="3">
        <f>[2]หน้าผ้า!DQ309</f>
        <v>0</v>
      </c>
      <c r="AL300" s="3">
        <f>[2]หน้าผ้า!DR309</f>
        <v>0</v>
      </c>
      <c r="AM300" s="3">
        <f>[2]หน้าผ้า!DS309</f>
        <v>0</v>
      </c>
      <c r="AN300" s="3">
        <f>[2]หน้าผ้า!DT309</f>
        <v>0</v>
      </c>
      <c r="AO300" s="3">
        <f>[2]หน้าผ้า!DU309</f>
        <v>0</v>
      </c>
      <c r="AP300" s="3">
        <f>[2]หน้าผ้า!DP309</f>
        <v>0</v>
      </c>
      <c r="AQ300" s="3">
        <f>[2]หน้าผ้า!DW309</f>
        <v>0</v>
      </c>
      <c r="AR300" s="3">
        <f>[2]หน้าผ้า!DX309</f>
        <v>0</v>
      </c>
      <c r="AS300" s="3">
        <f>[2]หน้าผ้า!DY309</f>
        <v>0</v>
      </c>
      <c r="AT300" s="3">
        <f>[2]หน้าผ้า!DZ309</f>
        <v>0</v>
      </c>
      <c r="AU300" s="3">
        <f>[2]หน้าผ้า!EA309</f>
        <v>0</v>
      </c>
      <c r="AV300" s="1">
        <f>[2]หน้าผ้า!EB309</f>
        <v>0</v>
      </c>
      <c r="AW300" s="2">
        <f>[2]หน้าผ้า!EC309</f>
        <v>0</v>
      </c>
      <c r="AX300" s="2">
        <f>[2]หน้าผ้า!ED309</f>
        <v>0</v>
      </c>
      <c r="AY300" s="2">
        <f>[2]หน้าผ้า!AG309</f>
        <v>0</v>
      </c>
      <c r="AZ300" s="2">
        <f>[2]หน้าผ้า!EG309</f>
        <v>0</v>
      </c>
      <c r="BA300" s="2">
        <f>[2]หน้าผ้า!EH309</f>
        <v>0</v>
      </c>
      <c r="BB300" s="2">
        <f>[2]หน้าผ้า!EI309</f>
        <v>0</v>
      </c>
      <c r="BC300" s="1">
        <f>[2]หน้าผ้า!BZ309</f>
        <v>0</v>
      </c>
      <c r="BD300" s="56">
        <f>[2]หน้าผ้า!CA309</f>
        <v>0</v>
      </c>
    </row>
    <row r="301" spans="1:56" ht="27.75" customHeight="1" x14ac:dyDescent="0.45">
      <c r="A301" s="3">
        <f>[2]หน้าผ้า!C310</f>
        <v>0</v>
      </c>
      <c r="B301" s="14">
        <f>[2]หน้าผ้า!B310</f>
        <v>0</v>
      </c>
      <c r="C301" s="9">
        <f>[2]หน้าผ้า!E310</f>
        <v>0</v>
      </c>
      <c r="D301" s="13">
        <f>[2]หน้าผ้า!F310</f>
        <v>0</v>
      </c>
      <c r="E301" s="9">
        <f>[2]หน้าผ้า!G310</f>
        <v>0</v>
      </c>
      <c r="F301" s="9">
        <f>[2]หน้าผ้า!H310</f>
        <v>0</v>
      </c>
      <c r="G301" s="9">
        <f>[2]หน้าผ้า!I310</f>
        <v>0</v>
      </c>
      <c r="H301" s="9">
        <f>[2]หน้าผ้า!J310</f>
        <v>0</v>
      </c>
      <c r="I301" s="9">
        <f>[2]หน้าผ้า!L310</f>
        <v>0</v>
      </c>
      <c r="J301" s="9">
        <f>[2]หน้าผ้า!M310</f>
        <v>0</v>
      </c>
      <c r="K301" s="9">
        <f>[2]หน้าผ้า!N310</f>
        <v>0</v>
      </c>
      <c r="L301" s="9">
        <f>[2]หน้าผ้า!R310</f>
        <v>0</v>
      </c>
      <c r="M301" s="10">
        <f>[2]หน้าผ้า!T310</f>
        <v>0</v>
      </c>
      <c r="N301" s="9">
        <f>[2]หน้าผ้า!U310</f>
        <v>0</v>
      </c>
      <c r="O301" s="9">
        <f>[2]หน้าผ้า!V310</f>
        <v>0</v>
      </c>
      <c r="P301" s="10">
        <f>[2]หน้าผ้า!AB310</f>
        <v>0</v>
      </c>
      <c r="Q301" s="10">
        <f>[2]หน้าผ้า!AC310</f>
        <v>0</v>
      </c>
      <c r="R301" s="10">
        <f>[2]หน้าผ้า!AD310</f>
        <v>0</v>
      </c>
      <c r="S301" s="9">
        <f>[2]หน้าผ้า!Z310</f>
        <v>0</v>
      </c>
      <c r="T301" s="12">
        <f>[2]หน้าผ้า!X310</f>
        <v>0</v>
      </c>
      <c r="U301" s="11">
        <f>[2]หน้าผ้า!AA310</f>
        <v>0</v>
      </c>
      <c r="V301" s="10">
        <f>[2]หน้าผ้า!AJ310</f>
        <v>0</v>
      </c>
      <c r="W301" s="10">
        <f>[2]หน้าผ้า!AL310</f>
        <v>0</v>
      </c>
      <c r="X301" s="10">
        <f>[2]หน้าผ้า!AM310</f>
        <v>0</v>
      </c>
      <c r="Y301" s="10">
        <f>[2]หน้าผ้า!AN310</f>
        <v>0</v>
      </c>
      <c r="Z301" s="9">
        <f>[2]หน้าผ้า!AO310</f>
        <v>0</v>
      </c>
      <c r="AA301" s="8">
        <f>[2]หน้าผ้า!AQ310</f>
        <v>0</v>
      </c>
      <c r="AB301" s="8">
        <f>[2]หน้าผ้า!AR310</f>
        <v>0</v>
      </c>
      <c r="AC301" s="8">
        <f>[2]หน้าผ้า!AS310</f>
        <v>0</v>
      </c>
      <c r="AD301" s="8">
        <f>[2]หน้าผ้า!AT310</f>
        <v>0</v>
      </c>
      <c r="AE301" s="8">
        <f>[2]หน้าผ้า!AU310</f>
        <v>0</v>
      </c>
      <c r="AF301" s="8">
        <f>[2]หน้าผ้า!AI310</f>
        <v>0</v>
      </c>
      <c r="AG301" s="1">
        <f>[3]หน้าผ้า!DC313</f>
        <v>0</v>
      </c>
      <c r="AH301" s="1">
        <f>[2]หน้าผ้า!DL310</f>
        <v>0</v>
      </c>
      <c r="AI301" s="1">
        <f>[2]หน้าผ้า!DM310</f>
        <v>0</v>
      </c>
      <c r="AJ301" s="3">
        <f>[2]หน้าผ้า!DN310</f>
        <v>0</v>
      </c>
      <c r="AK301" s="3">
        <f>[2]หน้าผ้า!DQ310</f>
        <v>0</v>
      </c>
      <c r="AL301" s="3">
        <f>[2]หน้าผ้า!DR310</f>
        <v>0</v>
      </c>
      <c r="AM301" s="3">
        <f>[2]หน้าผ้า!DS310</f>
        <v>0</v>
      </c>
      <c r="AN301" s="3">
        <f>[2]หน้าผ้า!DT310</f>
        <v>0</v>
      </c>
      <c r="AO301" s="3">
        <f>[2]หน้าผ้า!DU310</f>
        <v>0</v>
      </c>
      <c r="AP301" s="3">
        <f>[2]หน้าผ้า!DP310</f>
        <v>0</v>
      </c>
      <c r="AQ301" s="3">
        <f>[2]หน้าผ้า!DW310</f>
        <v>0</v>
      </c>
      <c r="AR301" s="3">
        <f>[2]หน้าผ้า!DX310</f>
        <v>0</v>
      </c>
      <c r="AS301" s="3">
        <f>[2]หน้าผ้า!DY310</f>
        <v>0</v>
      </c>
      <c r="AT301" s="3">
        <f>[2]หน้าผ้า!DZ310</f>
        <v>0</v>
      </c>
      <c r="AU301" s="3">
        <f>[2]หน้าผ้า!EA310</f>
        <v>0</v>
      </c>
      <c r="AV301" s="1">
        <f>[2]หน้าผ้า!EB310</f>
        <v>0</v>
      </c>
      <c r="AW301" s="2">
        <f>[2]หน้าผ้า!EC310</f>
        <v>0</v>
      </c>
      <c r="AX301" s="2">
        <f>[2]หน้าผ้า!ED310</f>
        <v>0</v>
      </c>
      <c r="AY301" s="2">
        <f>[2]หน้าผ้า!AG310</f>
        <v>0</v>
      </c>
      <c r="AZ301" s="2">
        <f>[2]หน้าผ้า!EG310</f>
        <v>0</v>
      </c>
      <c r="BA301" s="2">
        <f>[2]หน้าผ้า!EH310</f>
        <v>0</v>
      </c>
      <c r="BB301" s="2">
        <f>[2]หน้าผ้า!EI310</f>
        <v>0</v>
      </c>
      <c r="BC301" s="1">
        <f>[2]หน้าผ้า!BZ310</f>
        <v>0</v>
      </c>
      <c r="BD301" s="56">
        <f>[2]หน้าผ้า!CA310</f>
        <v>0</v>
      </c>
    </row>
    <row r="302" spans="1:56" ht="27.75" customHeight="1" x14ac:dyDescent="0.45">
      <c r="A302" s="3">
        <f>[2]หน้าผ้า!C311</f>
        <v>0</v>
      </c>
      <c r="B302" s="14">
        <f>[2]หน้าผ้า!B311</f>
        <v>0</v>
      </c>
      <c r="C302" s="9">
        <f>[2]หน้าผ้า!E311</f>
        <v>0</v>
      </c>
      <c r="D302" s="13">
        <f>[2]หน้าผ้า!F311</f>
        <v>0</v>
      </c>
      <c r="E302" s="9">
        <f>[2]หน้าผ้า!G311</f>
        <v>0</v>
      </c>
      <c r="F302" s="9">
        <f>[2]หน้าผ้า!H311</f>
        <v>0</v>
      </c>
      <c r="G302" s="9">
        <f>[2]หน้าผ้า!I311</f>
        <v>0</v>
      </c>
      <c r="H302" s="9">
        <f>[2]หน้าผ้า!J311</f>
        <v>0</v>
      </c>
      <c r="I302" s="9">
        <f>[2]หน้าผ้า!L311</f>
        <v>0</v>
      </c>
      <c r="J302" s="9">
        <f>[2]หน้าผ้า!M311</f>
        <v>0</v>
      </c>
      <c r="K302" s="9">
        <f>[2]หน้าผ้า!N311</f>
        <v>0</v>
      </c>
      <c r="L302" s="9">
        <f>[2]หน้าผ้า!R311</f>
        <v>0</v>
      </c>
      <c r="M302" s="10">
        <f>[2]หน้าผ้า!T311</f>
        <v>0</v>
      </c>
      <c r="N302" s="9">
        <f>[2]หน้าผ้า!U311</f>
        <v>0</v>
      </c>
      <c r="O302" s="9">
        <f>[2]หน้าผ้า!V311</f>
        <v>0</v>
      </c>
      <c r="P302" s="10">
        <f>[2]หน้าผ้า!AB311</f>
        <v>0</v>
      </c>
      <c r="Q302" s="10">
        <f>[2]หน้าผ้า!AC311</f>
        <v>0</v>
      </c>
      <c r="R302" s="10">
        <f>[2]หน้าผ้า!AD311</f>
        <v>0</v>
      </c>
      <c r="S302" s="9">
        <f>[2]หน้าผ้า!Z311</f>
        <v>0</v>
      </c>
      <c r="T302" s="12">
        <f>[2]หน้าผ้า!X311</f>
        <v>0</v>
      </c>
      <c r="U302" s="11">
        <f>[2]หน้าผ้า!AA311</f>
        <v>0</v>
      </c>
      <c r="V302" s="10">
        <f>[2]หน้าผ้า!AJ311</f>
        <v>0</v>
      </c>
      <c r="W302" s="10">
        <f>[2]หน้าผ้า!AL311</f>
        <v>0</v>
      </c>
      <c r="X302" s="10">
        <f>[2]หน้าผ้า!AM311</f>
        <v>0</v>
      </c>
      <c r="Y302" s="10">
        <f>[2]หน้าผ้า!AN311</f>
        <v>0</v>
      </c>
      <c r="Z302" s="9">
        <f>[2]หน้าผ้า!AO311</f>
        <v>0</v>
      </c>
      <c r="AA302" s="8">
        <f>[2]หน้าผ้า!AQ311</f>
        <v>0</v>
      </c>
      <c r="AB302" s="8">
        <f>[2]หน้าผ้า!AR311</f>
        <v>0</v>
      </c>
      <c r="AC302" s="8">
        <f>[2]หน้าผ้า!AS311</f>
        <v>0</v>
      </c>
      <c r="AD302" s="8">
        <f>[2]หน้าผ้า!AT311</f>
        <v>0</v>
      </c>
      <c r="AE302" s="8">
        <f>[2]หน้าผ้า!AU311</f>
        <v>0</v>
      </c>
      <c r="AF302" s="8">
        <f>[2]หน้าผ้า!AI311</f>
        <v>0</v>
      </c>
      <c r="AG302" s="1">
        <f>[3]หน้าผ้า!DC314</f>
        <v>0</v>
      </c>
      <c r="AH302" s="1">
        <f>[2]หน้าผ้า!DL311</f>
        <v>0</v>
      </c>
      <c r="AI302" s="1">
        <f>[2]หน้าผ้า!DM311</f>
        <v>0</v>
      </c>
      <c r="AJ302" s="3">
        <f>[2]หน้าผ้า!DN311</f>
        <v>0</v>
      </c>
      <c r="AK302" s="3">
        <f>[2]หน้าผ้า!DQ311</f>
        <v>0</v>
      </c>
      <c r="AL302" s="3">
        <f>[2]หน้าผ้า!DR311</f>
        <v>0</v>
      </c>
      <c r="AM302" s="3">
        <f>[2]หน้าผ้า!DS311</f>
        <v>0</v>
      </c>
      <c r="AN302" s="3">
        <f>[2]หน้าผ้า!DT311</f>
        <v>0</v>
      </c>
      <c r="AO302" s="3">
        <f>[2]หน้าผ้า!DU311</f>
        <v>0</v>
      </c>
      <c r="AP302" s="3">
        <f>[2]หน้าผ้า!DP311</f>
        <v>0</v>
      </c>
      <c r="AQ302" s="3">
        <f>[2]หน้าผ้า!DW311</f>
        <v>0</v>
      </c>
      <c r="AR302" s="3">
        <f>[2]หน้าผ้า!DX311</f>
        <v>0</v>
      </c>
      <c r="AS302" s="3">
        <f>[2]หน้าผ้า!DY311</f>
        <v>0</v>
      </c>
      <c r="AT302" s="3">
        <f>[2]หน้าผ้า!DZ311</f>
        <v>0</v>
      </c>
      <c r="AU302" s="3">
        <f>[2]หน้าผ้า!EA311</f>
        <v>0</v>
      </c>
      <c r="AV302" s="1">
        <f>[2]หน้าผ้า!EB311</f>
        <v>0</v>
      </c>
      <c r="AW302" s="2">
        <f>[2]หน้าผ้า!EC311</f>
        <v>0</v>
      </c>
      <c r="AX302" s="2">
        <f>[2]หน้าผ้า!ED311</f>
        <v>0</v>
      </c>
      <c r="AY302" s="2">
        <f>[2]หน้าผ้า!AG311</f>
        <v>0</v>
      </c>
      <c r="AZ302" s="2">
        <f>[2]หน้าผ้า!EG311</f>
        <v>0</v>
      </c>
      <c r="BA302" s="2">
        <f>[2]หน้าผ้า!EH311</f>
        <v>0</v>
      </c>
      <c r="BB302" s="2">
        <f>[2]หน้าผ้า!EI311</f>
        <v>0</v>
      </c>
      <c r="BC302" s="1">
        <f>[2]หน้าผ้า!BZ311</f>
        <v>0</v>
      </c>
      <c r="BD302" s="56">
        <f>[2]หน้าผ้า!CA311</f>
        <v>0</v>
      </c>
    </row>
    <row r="303" spans="1:56" ht="27.75" customHeight="1" x14ac:dyDescent="0.45">
      <c r="A303" s="3">
        <f>[2]หน้าผ้า!C312</f>
        <v>0</v>
      </c>
      <c r="B303" s="14">
        <f>[2]หน้าผ้า!B312</f>
        <v>0</v>
      </c>
      <c r="C303" s="9">
        <f>[2]หน้าผ้า!E312</f>
        <v>0</v>
      </c>
      <c r="D303" s="13">
        <f>[2]หน้าผ้า!F312</f>
        <v>0</v>
      </c>
      <c r="E303" s="9">
        <f>[2]หน้าผ้า!G312</f>
        <v>0</v>
      </c>
      <c r="F303" s="9">
        <f>[2]หน้าผ้า!H312</f>
        <v>0</v>
      </c>
      <c r="G303" s="9">
        <f>[2]หน้าผ้า!I312</f>
        <v>0</v>
      </c>
      <c r="H303" s="9">
        <f>[2]หน้าผ้า!J312</f>
        <v>0</v>
      </c>
      <c r="I303" s="9">
        <f>[2]หน้าผ้า!L312</f>
        <v>0</v>
      </c>
      <c r="J303" s="9">
        <f>[2]หน้าผ้า!M312</f>
        <v>0</v>
      </c>
      <c r="K303" s="9">
        <f>[2]หน้าผ้า!N312</f>
        <v>0</v>
      </c>
      <c r="L303" s="9">
        <f>[2]หน้าผ้า!R312</f>
        <v>0</v>
      </c>
      <c r="M303" s="10">
        <f>[2]หน้าผ้า!T312</f>
        <v>0</v>
      </c>
      <c r="N303" s="9">
        <f>[2]หน้าผ้า!U312</f>
        <v>0</v>
      </c>
      <c r="O303" s="9">
        <f>[2]หน้าผ้า!V312</f>
        <v>0</v>
      </c>
      <c r="P303" s="10">
        <f>[2]หน้าผ้า!AB312</f>
        <v>0</v>
      </c>
      <c r="Q303" s="10">
        <f>[2]หน้าผ้า!AC312</f>
        <v>0</v>
      </c>
      <c r="R303" s="10">
        <f>[2]หน้าผ้า!AD312</f>
        <v>0</v>
      </c>
      <c r="S303" s="9">
        <f>[2]หน้าผ้า!Z312</f>
        <v>0</v>
      </c>
      <c r="T303" s="12">
        <f>[2]หน้าผ้า!X312</f>
        <v>0</v>
      </c>
      <c r="U303" s="11">
        <f>[2]หน้าผ้า!AA312</f>
        <v>0</v>
      </c>
      <c r="V303" s="10">
        <f>[2]หน้าผ้า!AJ312</f>
        <v>0</v>
      </c>
      <c r="W303" s="10">
        <f>[2]หน้าผ้า!AL312</f>
        <v>0</v>
      </c>
      <c r="X303" s="10">
        <f>[2]หน้าผ้า!AM312</f>
        <v>0</v>
      </c>
      <c r="Y303" s="10">
        <f>[2]หน้าผ้า!AN312</f>
        <v>0</v>
      </c>
      <c r="Z303" s="9">
        <f>[2]หน้าผ้า!AO312</f>
        <v>0</v>
      </c>
      <c r="AA303" s="8">
        <f>[2]หน้าผ้า!AQ312</f>
        <v>0</v>
      </c>
      <c r="AB303" s="8">
        <f>[2]หน้าผ้า!AR312</f>
        <v>0</v>
      </c>
      <c r="AC303" s="8">
        <f>[2]หน้าผ้า!AS312</f>
        <v>0</v>
      </c>
      <c r="AD303" s="8">
        <f>[2]หน้าผ้า!AT312</f>
        <v>0</v>
      </c>
      <c r="AE303" s="8">
        <f>[2]หน้าผ้า!AU312</f>
        <v>0</v>
      </c>
      <c r="AF303" s="8">
        <f>[2]หน้าผ้า!AI312</f>
        <v>0</v>
      </c>
      <c r="AG303" s="1">
        <f>[3]หน้าผ้า!DC315</f>
        <v>0</v>
      </c>
      <c r="AH303" s="1">
        <f>[2]หน้าผ้า!DL312</f>
        <v>0</v>
      </c>
      <c r="AI303" s="1">
        <f>[2]หน้าผ้า!DM312</f>
        <v>0</v>
      </c>
      <c r="AJ303" s="3">
        <f>[2]หน้าผ้า!DN312</f>
        <v>0</v>
      </c>
      <c r="AK303" s="3">
        <f>[2]หน้าผ้า!DQ312</f>
        <v>0</v>
      </c>
      <c r="AL303" s="3">
        <f>[2]หน้าผ้า!DR312</f>
        <v>0</v>
      </c>
      <c r="AM303" s="3">
        <f>[2]หน้าผ้า!DS312</f>
        <v>0</v>
      </c>
      <c r="AN303" s="3">
        <f>[2]หน้าผ้า!DT312</f>
        <v>0</v>
      </c>
      <c r="AO303" s="3">
        <f>[2]หน้าผ้า!DU312</f>
        <v>0</v>
      </c>
      <c r="AP303" s="3">
        <f>[2]หน้าผ้า!DP312</f>
        <v>0</v>
      </c>
      <c r="AQ303" s="3">
        <f>[2]หน้าผ้า!DW312</f>
        <v>0</v>
      </c>
      <c r="AR303" s="3">
        <f>[2]หน้าผ้า!DX312</f>
        <v>0</v>
      </c>
      <c r="AS303" s="3">
        <f>[2]หน้าผ้า!DY312</f>
        <v>0</v>
      </c>
      <c r="AT303" s="3">
        <f>[2]หน้าผ้า!DZ312</f>
        <v>0</v>
      </c>
      <c r="AU303" s="3">
        <f>[2]หน้าผ้า!EA312</f>
        <v>0</v>
      </c>
      <c r="AV303" s="1">
        <f>[2]หน้าผ้า!EB312</f>
        <v>0</v>
      </c>
      <c r="AW303" s="2">
        <f>[2]หน้าผ้า!EC312</f>
        <v>0</v>
      </c>
      <c r="AX303" s="2">
        <f>[2]หน้าผ้า!ED312</f>
        <v>0</v>
      </c>
      <c r="AY303" s="2">
        <f>[2]หน้าผ้า!AG312</f>
        <v>0</v>
      </c>
      <c r="AZ303" s="2">
        <f>[2]หน้าผ้า!EG312</f>
        <v>0</v>
      </c>
      <c r="BA303" s="2">
        <f>[2]หน้าผ้า!EH312</f>
        <v>0</v>
      </c>
      <c r="BB303" s="2">
        <f>[2]หน้าผ้า!EI312</f>
        <v>0</v>
      </c>
      <c r="BC303" s="1">
        <f>[2]หน้าผ้า!BZ312</f>
        <v>0</v>
      </c>
      <c r="BD303" s="56">
        <f>[2]หน้าผ้า!CA312</f>
        <v>0</v>
      </c>
    </row>
    <row r="304" spans="1:56" ht="27.75" customHeight="1" x14ac:dyDescent="0.45">
      <c r="A304" s="3">
        <f>[2]หน้าผ้า!C313</f>
        <v>0</v>
      </c>
      <c r="B304" s="14">
        <f>[2]หน้าผ้า!B313</f>
        <v>0</v>
      </c>
      <c r="C304" s="9">
        <f>[2]หน้าผ้า!E313</f>
        <v>0</v>
      </c>
      <c r="D304" s="13">
        <f>[2]หน้าผ้า!F313</f>
        <v>0</v>
      </c>
      <c r="E304" s="9">
        <f>[2]หน้าผ้า!G313</f>
        <v>0</v>
      </c>
      <c r="F304" s="9">
        <f>[2]หน้าผ้า!H313</f>
        <v>0</v>
      </c>
      <c r="G304" s="9">
        <f>[2]หน้าผ้า!I313</f>
        <v>0</v>
      </c>
      <c r="H304" s="9">
        <f>[2]หน้าผ้า!J313</f>
        <v>0</v>
      </c>
      <c r="I304" s="9">
        <f>[2]หน้าผ้า!L313</f>
        <v>0</v>
      </c>
      <c r="J304" s="9">
        <f>[2]หน้าผ้า!M313</f>
        <v>0</v>
      </c>
      <c r="K304" s="9">
        <f>[2]หน้าผ้า!N313</f>
        <v>0</v>
      </c>
      <c r="L304" s="9">
        <f>[2]หน้าผ้า!R313</f>
        <v>0</v>
      </c>
      <c r="M304" s="10">
        <f>[2]หน้าผ้า!T313</f>
        <v>0</v>
      </c>
      <c r="N304" s="9">
        <f>[2]หน้าผ้า!U313</f>
        <v>0</v>
      </c>
      <c r="O304" s="9">
        <f>[2]หน้าผ้า!V313</f>
        <v>0</v>
      </c>
      <c r="P304" s="10">
        <f>[2]หน้าผ้า!AB313</f>
        <v>0</v>
      </c>
      <c r="Q304" s="10">
        <f>[2]หน้าผ้า!AC313</f>
        <v>0</v>
      </c>
      <c r="R304" s="10">
        <f>[2]หน้าผ้า!AD313</f>
        <v>0</v>
      </c>
      <c r="S304" s="9">
        <f>[2]หน้าผ้า!Z313</f>
        <v>0</v>
      </c>
      <c r="T304" s="12">
        <f>[2]หน้าผ้า!X313</f>
        <v>0</v>
      </c>
      <c r="U304" s="11">
        <f>[2]หน้าผ้า!AA313</f>
        <v>0</v>
      </c>
      <c r="V304" s="10">
        <f>[2]หน้าผ้า!AJ313</f>
        <v>0</v>
      </c>
      <c r="W304" s="10">
        <f>[2]หน้าผ้า!AL313</f>
        <v>0</v>
      </c>
      <c r="X304" s="10">
        <f>[2]หน้าผ้า!AM313</f>
        <v>0</v>
      </c>
      <c r="Y304" s="10">
        <f>[2]หน้าผ้า!AN313</f>
        <v>0</v>
      </c>
      <c r="Z304" s="9">
        <f>[2]หน้าผ้า!AO313</f>
        <v>0</v>
      </c>
      <c r="AA304" s="8">
        <f>[2]หน้าผ้า!AQ313</f>
        <v>0</v>
      </c>
      <c r="AB304" s="8">
        <f>[2]หน้าผ้า!AR313</f>
        <v>0</v>
      </c>
      <c r="AC304" s="8">
        <f>[2]หน้าผ้า!AS313</f>
        <v>0</v>
      </c>
      <c r="AD304" s="8">
        <f>[2]หน้าผ้า!AT313</f>
        <v>0</v>
      </c>
      <c r="AE304" s="8">
        <f>[2]หน้าผ้า!AU313</f>
        <v>0</v>
      </c>
      <c r="AF304" s="8">
        <f>[2]หน้าผ้า!AI313</f>
        <v>0</v>
      </c>
      <c r="AG304" s="1">
        <f>[3]หน้าผ้า!DC316</f>
        <v>0</v>
      </c>
      <c r="AH304" s="1">
        <f>[2]หน้าผ้า!DL313</f>
        <v>0</v>
      </c>
      <c r="AI304" s="1">
        <f>[2]หน้าผ้า!DM313</f>
        <v>0</v>
      </c>
      <c r="AJ304" s="3">
        <f>[2]หน้าผ้า!DN313</f>
        <v>0</v>
      </c>
      <c r="AK304" s="3">
        <f>[2]หน้าผ้า!DQ313</f>
        <v>0</v>
      </c>
      <c r="AL304" s="3">
        <f>[2]หน้าผ้า!DR313</f>
        <v>0</v>
      </c>
      <c r="AM304" s="3">
        <f>[2]หน้าผ้า!DS313</f>
        <v>0</v>
      </c>
      <c r="AN304" s="3">
        <f>[2]หน้าผ้า!DT313</f>
        <v>0</v>
      </c>
      <c r="AO304" s="3">
        <f>[2]หน้าผ้า!DU313</f>
        <v>0</v>
      </c>
      <c r="AP304" s="3">
        <f>[2]หน้าผ้า!DP313</f>
        <v>0</v>
      </c>
      <c r="AQ304" s="3">
        <f>[2]หน้าผ้า!DW313</f>
        <v>0</v>
      </c>
      <c r="AR304" s="3">
        <f>[2]หน้าผ้า!DX313</f>
        <v>0</v>
      </c>
      <c r="AS304" s="3">
        <f>[2]หน้าผ้า!DY313</f>
        <v>0</v>
      </c>
      <c r="AT304" s="3">
        <f>[2]หน้าผ้า!DZ313</f>
        <v>0</v>
      </c>
      <c r="AU304" s="3">
        <f>[2]หน้าผ้า!EA313</f>
        <v>0</v>
      </c>
      <c r="AV304" s="1">
        <f>[2]หน้าผ้า!EB313</f>
        <v>0</v>
      </c>
      <c r="AW304" s="2">
        <f>[2]หน้าผ้า!EC313</f>
        <v>0</v>
      </c>
      <c r="AX304" s="2">
        <f>[2]หน้าผ้า!ED313</f>
        <v>0</v>
      </c>
      <c r="AY304" s="2">
        <f>[2]หน้าผ้า!AG313</f>
        <v>0</v>
      </c>
      <c r="AZ304" s="2">
        <f>[2]หน้าผ้า!EG313</f>
        <v>0</v>
      </c>
      <c r="BA304" s="2">
        <f>[2]หน้าผ้า!EH313</f>
        <v>0</v>
      </c>
      <c r="BB304" s="2">
        <f>[2]หน้าผ้า!EI313</f>
        <v>0</v>
      </c>
      <c r="BC304" s="1">
        <f>[2]หน้าผ้า!BZ313</f>
        <v>0</v>
      </c>
      <c r="BD304" s="56">
        <f>[2]หน้าผ้า!CA313</f>
        <v>0</v>
      </c>
    </row>
    <row r="305" spans="1:56" ht="27.75" customHeight="1" x14ac:dyDescent="0.45">
      <c r="A305" s="3">
        <f>[2]หน้าผ้า!C314</f>
        <v>0</v>
      </c>
      <c r="B305" s="14">
        <f>[2]หน้าผ้า!B314</f>
        <v>0</v>
      </c>
      <c r="C305" s="9">
        <f>[2]หน้าผ้า!E314</f>
        <v>0</v>
      </c>
      <c r="D305" s="13">
        <f>[2]หน้าผ้า!F314</f>
        <v>0</v>
      </c>
      <c r="E305" s="9">
        <f>[2]หน้าผ้า!G314</f>
        <v>0</v>
      </c>
      <c r="F305" s="9">
        <f>[2]หน้าผ้า!H314</f>
        <v>0</v>
      </c>
      <c r="G305" s="9">
        <f>[2]หน้าผ้า!I314</f>
        <v>0</v>
      </c>
      <c r="H305" s="9">
        <f>[2]หน้าผ้า!J314</f>
        <v>0</v>
      </c>
      <c r="I305" s="9">
        <f>[2]หน้าผ้า!L314</f>
        <v>0</v>
      </c>
      <c r="J305" s="9">
        <f>[2]หน้าผ้า!M314</f>
        <v>0</v>
      </c>
      <c r="K305" s="9">
        <f>[2]หน้าผ้า!N314</f>
        <v>0</v>
      </c>
      <c r="L305" s="9">
        <f>[2]หน้าผ้า!R314</f>
        <v>0</v>
      </c>
      <c r="M305" s="10">
        <f>[2]หน้าผ้า!T314</f>
        <v>0</v>
      </c>
      <c r="N305" s="9">
        <f>[2]หน้าผ้า!U314</f>
        <v>0</v>
      </c>
      <c r="O305" s="9">
        <f>[2]หน้าผ้า!V314</f>
        <v>0</v>
      </c>
      <c r="P305" s="10">
        <f>[2]หน้าผ้า!AB314</f>
        <v>0</v>
      </c>
      <c r="Q305" s="10">
        <f>[2]หน้าผ้า!AC314</f>
        <v>0</v>
      </c>
      <c r="R305" s="10">
        <f>[2]หน้าผ้า!AD314</f>
        <v>0</v>
      </c>
      <c r="S305" s="9">
        <f>[2]หน้าผ้า!Z314</f>
        <v>0</v>
      </c>
      <c r="T305" s="12">
        <f>[2]หน้าผ้า!X314</f>
        <v>0</v>
      </c>
      <c r="U305" s="11">
        <f>[2]หน้าผ้า!AA314</f>
        <v>0</v>
      </c>
      <c r="V305" s="10">
        <f>[2]หน้าผ้า!AJ314</f>
        <v>0</v>
      </c>
      <c r="W305" s="10">
        <f>[2]หน้าผ้า!AL314</f>
        <v>0</v>
      </c>
      <c r="X305" s="10">
        <f>[2]หน้าผ้า!AM314</f>
        <v>0</v>
      </c>
      <c r="Y305" s="10">
        <f>[2]หน้าผ้า!AN314</f>
        <v>0</v>
      </c>
      <c r="Z305" s="9">
        <f>[2]หน้าผ้า!AO314</f>
        <v>0</v>
      </c>
      <c r="AA305" s="8">
        <f>[2]หน้าผ้า!AQ314</f>
        <v>0</v>
      </c>
      <c r="AB305" s="8">
        <f>[2]หน้าผ้า!AR314</f>
        <v>0</v>
      </c>
      <c r="AC305" s="8">
        <f>[2]หน้าผ้า!AS314</f>
        <v>0</v>
      </c>
      <c r="AD305" s="8">
        <f>[2]หน้าผ้า!AT314</f>
        <v>0</v>
      </c>
      <c r="AE305" s="8">
        <f>[2]หน้าผ้า!AU314</f>
        <v>0</v>
      </c>
      <c r="AF305" s="8">
        <f>[2]หน้าผ้า!AI314</f>
        <v>0</v>
      </c>
      <c r="AG305" s="1">
        <f>[3]หน้าผ้า!DC317</f>
        <v>0</v>
      </c>
      <c r="AH305" s="1">
        <f>[2]หน้าผ้า!DL314</f>
        <v>0</v>
      </c>
      <c r="AI305" s="1">
        <f>[2]หน้าผ้า!DM314</f>
        <v>0</v>
      </c>
      <c r="AJ305" s="3">
        <f>[2]หน้าผ้า!DN314</f>
        <v>0</v>
      </c>
      <c r="AK305" s="3">
        <f>[2]หน้าผ้า!DQ314</f>
        <v>0</v>
      </c>
      <c r="AL305" s="3">
        <f>[2]หน้าผ้า!DR314</f>
        <v>0</v>
      </c>
      <c r="AM305" s="3">
        <f>[2]หน้าผ้า!DS314</f>
        <v>0</v>
      </c>
      <c r="AN305" s="3">
        <f>[2]หน้าผ้า!DT314</f>
        <v>0</v>
      </c>
      <c r="AO305" s="3">
        <f>[2]หน้าผ้า!DU314</f>
        <v>0</v>
      </c>
      <c r="AP305" s="3">
        <f>[2]หน้าผ้า!DP314</f>
        <v>0</v>
      </c>
      <c r="AQ305" s="3">
        <f>[2]หน้าผ้า!DW314</f>
        <v>0</v>
      </c>
      <c r="AR305" s="3">
        <f>[2]หน้าผ้า!DX314</f>
        <v>0</v>
      </c>
      <c r="AS305" s="3">
        <f>[2]หน้าผ้า!DY314</f>
        <v>0</v>
      </c>
      <c r="AT305" s="3">
        <f>[2]หน้าผ้า!DZ314</f>
        <v>0</v>
      </c>
      <c r="AU305" s="3">
        <f>[2]หน้าผ้า!EA314</f>
        <v>0</v>
      </c>
      <c r="AV305" s="1">
        <f>[2]หน้าผ้า!EB314</f>
        <v>0</v>
      </c>
      <c r="AW305" s="2">
        <f>[2]หน้าผ้า!EC314</f>
        <v>0</v>
      </c>
      <c r="AX305" s="2">
        <f>[2]หน้าผ้า!ED314</f>
        <v>0</v>
      </c>
      <c r="AY305" s="2">
        <f>[2]หน้าผ้า!AG314</f>
        <v>0</v>
      </c>
      <c r="AZ305" s="2">
        <f>[2]หน้าผ้า!EG314</f>
        <v>0</v>
      </c>
      <c r="BA305" s="2">
        <f>[2]หน้าผ้า!EH314</f>
        <v>0</v>
      </c>
      <c r="BB305" s="2">
        <f>[2]หน้าผ้า!EI314</f>
        <v>0</v>
      </c>
      <c r="BC305" s="1">
        <f>[2]หน้าผ้า!BZ314</f>
        <v>0</v>
      </c>
      <c r="BD305" s="56">
        <f>[2]หน้าผ้า!CA314</f>
        <v>0</v>
      </c>
    </row>
    <row r="306" spans="1:56" ht="27.75" customHeight="1" x14ac:dyDescent="0.45">
      <c r="A306" s="3">
        <f>[2]หน้าผ้า!C315</f>
        <v>0</v>
      </c>
      <c r="B306" s="14">
        <f>[2]หน้าผ้า!B315</f>
        <v>0</v>
      </c>
      <c r="C306" s="9">
        <f>[2]หน้าผ้า!E315</f>
        <v>0</v>
      </c>
      <c r="D306" s="13">
        <f>[2]หน้าผ้า!F315</f>
        <v>0</v>
      </c>
      <c r="E306" s="9">
        <f>[2]หน้าผ้า!G315</f>
        <v>0</v>
      </c>
      <c r="F306" s="9">
        <f>[2]หน้าผ้า!H315</f>
        <v>0</v>
      </c>
      <c r="G306" s="9">
        <f>[2]หน้าผ้า!I315</f>
        <v>0</v>
      </c>
      <c r="H306" s="9">
        <f>[2]หน้าผ้า!J315</f>
        <v>0</v>
      </c>
      <c r="I306" s="9">
        <f>[2]หน้าผ้า!L315</f>
        <v>0</v>
      </c>
      <c r="J306" s="9">
        <f>[2]หน้าผ้า!M315</f>
        <v>0</v>
      </c>
      <c r="K306" s="9">
        <f>[2]หน้าผ้า!N315</f>
        <v>0</v>
      </c>
      <c r="L306" s="9">
        <f>[2]หน้าผ้า!R315</f>
        <v>0</v>
      </c>
      <c r="M306" s="10">
        <f>[2]หน้าผ้า!T315</f>
        <v>0</v>
      </c>
      <c r="N306" s="9">
        <f>[2]หน้าผ้า!U315</f>
        <v>0</v>
      </c>
      <c r="O306" s="9">
        <f>[2]หน้าผ้า!V315</f>
        <v>0</v>
      </c>
      <c r="P306" s="10">
        <f>[2]หน้าผ้า!AB315</f>
        <v>0</v>
      </c>
      <c r="Q306" s="10">
        <f>[2]หน้าผ้า!AC315</f>
        <v>0</v>
      </c>
      <c r="R306" s="10">
        <f>[2]หน้าผ้า!AD315</f>
        <v>0</v>
      </c>
      <c r="S306" s="9">
        <f>[2]หน้าผ้า!Z315</f>
        <v>0</v>
      </c>
      <c r="T306" s="12">
        <f>[2]หน้าผ้า!X315</f>
        <v>0</v>
      </c>
      <c r="U306" s="11">
        <f>[2]หน้าผ้า!AA315</f>
        <v>0</v>
      </c>
      <c r="V306" s="10">
        <f>[2]หน้าผ้า!AJ315</f>
        <v>0</v>
      </c>
      <c r="W306" s="10">
        <f>[2]หน้าผ้า!AL315</f>
        <v>0</v>
      </c>
      <c r="X306" s="10">
        <f>[2]หน้าผ้า!AM315</f>
        <v>0</v>
      </c>
      <c r="Y306" s="10">
        <f>[2]หน้าผ้า!AN315</f>
        <v>0</v>
      </c>
      <c r="Z306" s="9">
        <f>[2]หน้าผ้า!AO315</f>
        <v>0</v>
      </c>
      <c r="AA306" s="8">
        <f>[2]หน้าผ้า!AQ315</f>
        <v>0</v>
      </c>
      <c r="AB306" s="8">
        <f>[2]หน้าผ้า!AR315</f>
        <v>0</v>
      </c>
      <c r="AC306" s="8">
        <f>[2]หน้าผ้า!AS315</f>
        <v>0</v>
      </c>
      <c r="AD306" s="8">
        <f>[2]หน้าผ้า!AT315</f>
        <v>0</v>
      </c>
      <c r="AE306" s="8">
        <f>[2]หน้าผ้า!AU315</f>
        <v>0</v>
      </c>
      <c r="AF306" s="8">
        <f>[2]หน้าผ้า!AI315</f>
        <v>0</v>
      </c>
      <c r="AG306" s="1">
        <f>[3]หน้าผ้า!DC318</f>
        <v>0</v>
      </c>
      <c r="AH306" s="1">
        <f>[2]หน้าผ้า!DL315</f>
        <v>0</v>
      </c>
      <c r="AI306" s="1">
        <f>[2]หน้าผ้า!DM315</f>
        <v>0</v>
      </c>
      <c r="AJ306" s="3">
        <f>[2]หน้าผ้า!DN315</f>
        <v>0</v>
      </c>
      <c r="AK306" s="3">
        <f>[2]หน้าผ้า!DQ315</f>
        <v>0</v>
      </c>
      <c r="AL306" s="3">
        <f>[2]หน้าผ้า!DR315</f>
        <v>0</v>
      </c>
      <c r="AM306" s="3">
        <f>[2]หน้าผ้า!DS315</f>
        <v>0</v>
      </c>
      <c r="AN306" s="3">
        <f>[2]หน้าผ้า!DT315</f>
        <v>0</v>
      </c>
      <c r="AO306" s="3">
        <f>[2]หน้าผ้า!DU315</f>
        <v>0</v>
      </c>
      <c r="AP306" s="3">
        <f>[2]หน้าผ้า!DP315</f>
        <v>0</v>
      </c>
      <c r="AQ306" s="3">
        <f>[2]หน้าผ้า!DW315</f>
        <v>0</v>
      </c>
      <c r="AR306" s="3">
        <f>[2]หน้าผ้า!DX315</f>
        <v>0</v>
      </c>
      <c r="AS306" s="3">
        <f>[2]หน้าผ้า!DY315</f>
        <v>0</v>
      </c>
      <c r="AT306" s="3">
        <f>[2]หน้าผ้า!DZ315</f>
        <v>0</v>
      </c>
      <c r="AU306" s="3">
        <f>[2]หน้าผ้า!EA315</f>
        <v>0</v>
      </c>
      <c r="AV306" s="1">
        <f>[2]หน้าผ้า!EB315</f>
        <v>0</v>
      </c>
      <c r="AW306" s="2">
        <f>[2]หน้าผ้า!EC315</f>
        <v>0</v>
      </c>
      <c r="AX306" s="2">
        <f>[2]หน้าผ้า!ED315</f>
        <v>0</v>
      </c>
      <c r="AY306" s="2">
        <f>[2]หน้าผ้า!AG315</f>
        <v>0</v>
      </c>
      <c r="AZ306" s="2">
        <f>[2]หน้าผ้า!EG315</f>
        <v>0</v>
      </c>
      <c r="BA306" s="2">
        <f>[2]หน้าผ้า!EH315</f>
        <v>0</v>
      </c>
      <c r="BB306" s="2">
        <f>[2]หน้าผ้า!EI315</f>
        <v>0</v>
      </c>
      <c r="BC306" s="1">
        <f>[2]หน้าผ้า!BZ315</f>
        <v>0</v>
      </c>
      <c r="BD306" s="56">
        <f>[2]หน้าผ้า!CA315</f>
        <v>0</v>
      </c>
    </row>
    <row r="307" spans="1:56" ht="27.75" customHeight="1" x14ac:dyDescent="0.45">
      <c r="A307" s="3">
        <f>[2]หน้าผ้า!C316</f>
        <v>0</v>
      </c>
      <c r="B307" s="14">
        <f>[2]หน้าผ้า!B316</f>
        <v>0</v>
      </c>
      <c r="C307" s="9">
        <f>[2]หน้าผ้า!E316</f>
        <v>0</v>
      </c>
      <c r="D307" s="13">
        <f>[2]หน้าผ้า!F316</f>
        <v>0</v>
      </c>
      <c r="E307" s="9">
        <f>[2]หน้าผ้า!G316</f>
        <v>0</v>
      </c>
      <c r="F307" s="9">
        <f>[2]หน้าผ้า!H316</f>
        <v>0</v>
      </c>
      <c r="G307" s="9">
        <f>[2]หน้าผ้า!I316</f>
        <v>0</v>
      </c>
      <c r="H307" s="9">
        <f>[2]หน้าผ้า!J316</f>
        <v>0</v>
      </c>
      <c r="I307" s="9">
        <f>[2]หน้าผ้า!L316</f>
        <v>0</v>
      </c>
      <c r="J307" s="9">
        <f>[2]หน้าผ้า!M316</f>
        <v>0</v>
      </c>
      <c r="K307" s="9">
        <f>[2]หน้าผ้า!N316</f>
        <v>0</v>
      </c>
      <c r="L307" s="9">
        <f>[2]หน้าผ้า!R316</f>
        <v>0</v>
      </c>
      <c r="M307" s="10">
        <f>[2]หน้าผ้า!T316</f>
        <v>0</v>
      </c>
      <c r="N307" s="9">
        <f>[2]หน้าผ้า!U316</f>
        <v>0</v>
      </c>
      <c r="O307" s="9">
        <f>[2]หน้าผ้า!V316</f>
        <v>0</v>
      </c>
      <c r="P307" s="10">
        <f>[2]หน้าผ้า!AB316</f>
        <v>0</v>
      </c>
      <c r="Q307" s="10">
        <f>[2]หน้าผ้า!AC316</f>
        <v>0</v>
      </c>
      <c r="R307" s="10">
        <f>[2]หน้าผ้า!AD316</f>
        <v>0</v>
      </c>
      <c r="S307" s="9">
        <f>[2]หน้าผ้า!Z316</f>
        <v>0</v>
      </c>
      <c r="T307" s="12">
        <f>[2]หน้าผ้า!X316</f>
        <v>0</v>
      </c>
      <c r="U307" s="11">
        <f>[2]หน้าผ้า!AA316</f>
        <v>0</v>
      </c>
      <c r="V307" s="10">
        <f>[2]หน้าผ้า!AJ316</f>
        <v>0</v>
      </c>
      <c r="W307" s="10">
        <f>[2]หน้าผ้า!AL316</f>
        <v>0</v>
      </c>
      <c r="X307" s="10">
        <f>[2]หน้าผ้า!AM316</f>
        <v>0</v>
      </c>
      <c r="Y307" s="10">
        <f>[2]หน้าผ้า!AN316</f>
        <v>0</v>
      </c>
      <c r="Z307" s="9">
        <f>[2]หน้าผ้า!AO316</f>
        <v>0</v>
      </c>
      <c r="AA307" s="8">
        <f>[2]หน้าผ้า!AQ316</f>
        <v>0</v>
      </c>
      <c r="AB307" s="8">
        <f>[2]หน้าผ้า!AR316</f>
        <v>0</v>
      </c>
      <c r="AC307" s="8">
        <f>[2]หน้าผ้า!AS316</f>
        <v>0</v>
      </c>
      <c r="AD307" s="8">
        <f>[2]หน้าผ้า!AT316</f>
        <v>0</v>
      </c>
      <c r="AE307" s="8">
        <f>[2]หน้าผ้า!AU316</f>
        <v>0</v>
      </c>
      <c r="AF307" s="8">
        <f>[2]หน้าผ้า!AI316</f>
        <v>0</v>
      </c>
      <c r="AG307" s="1">
        <f>[3]หน้าผ้า!DC319</f>
        <v>0</v>
      </c>
      <c r="AH307" s="1">
        <f>[2]หน้าผ้า!DL316</f>
        <v>0</v>
      </c>
      <c r="AI307" s="1">
        <f>[2]หน้าผ้า!DM316</f>
        <v>0</v>
      </c>
      <c r="AJ307" s="3">
        <f>[2]หน้าผ้า!DN316</f>
        <v>0</v>
      </c>
      <c r="AK307" s="3">
        <f>[2]หน้าผ้า!DQ316</f>
        <v>0</v>
      </c>
      <c r="AL307" s="3">
        <f>[2]หน้าผ้า!DR316</f>
        <v>0</v>
      </c>
      <c r="AM307" s="3">
        <f>[2]หน้าผ้า!DS316</f>
        <v>0</v>
      </c>
      <c r="AN307" s="3">
        <f>[2]หน้าผ้า!DT316</f>
        <v>0</v>
      </c>
      <c r="AO307" s="3">
        <f>[2]หน้าผ้า!DU316</f>
        <v>0</v>
      </c>
      <c r="AP307" s="3">
        <f>[2]หน้าผ้า!DP316</f>
        <v>0</v>
      </c>
      <c r="AQ307" s="3">
        <f>[2]หน้าผ้า!DW316</f>
        <v>0</v>
      </c>
      <c r="AR307" s="3">
        <f>[2]หน้าผ้า!DX316</f>
        <v>0</v>
      </c>
      <c r="AS307" s="3">
        <f>[2]หน้าผ้า!DY316</f>
        <v>0</v>
      </c>
      <c r="AT307" s="3">
        <f>[2]หน้าผ้า!DZ316</f>
        <v>0</v>
      </c>
      <c r="AU307" s="3">
        <f>[2]หน้าผ้า!EA316</f>
        <v>0</v>
      </c>
      <c r="AV307" s="1">
        <f>[2]หน้าผ้า!EB316</f>
        <v>0</v>
      </c>
      <c r="AW307" s="2">
        <f>[2]หน้าผ้า!EC316</f>
        <v>0</v>
      </c>
      <c r="AX307" s="2">
        <f>[2]หน้าผ้า!ED316</f>
        <v>0</v>
      </c>
      <c r="AY307" s="2">
        <f>[2]หน้าผ้า!AG316</f>
        <v>0</v>
      </c>
      <c r="AZ307" s="2">
        <f>[2]หน้าผ้า!EG316</f>
        <v>0</v>
      </c>
      <c r="BA307" s="2">
        <f>[2]หน้าผ้า!EH316</f>
        <v>0</v>
      </c>
      <c r="BB307" s="2">
        <f>[2]หน้าผ้า!EI316</f>
        <v>0</v>
      </c>
      <c r="BC307" s="1">
        <f>[2]หน้าผ้า!BZ316</f>
        <v>0</v>
      </c>
      <c r="BD307" s="56">
        <f>[2]หน้าผ้า!CA316</f>
        <v>0</v>
      </c>
    </row>
    <row r="308" spans="1:56" ht="27.75" customHeight="1" x14ac:dyDescent="0.45">
      <c r="A308" s="3">
        <f>[2]หน้าผ้า!C317</f>
        <v>0</v>
      </c>
      <c r="B308" s="14">
        <f>[2]หน้าผ้า!B317</f>
        <v>0</v>
      </c>
      <c r="C308" s="9">
        <f>[2]หน้าผ้า!E317</f>
        <v>0</v>
      </c>
      <c r="D308" s="13">
        <f>[2]หน้าผ้า!F317</f>
        <v>0</v>
      </c>
      <c r="E308" s="9">
        <f>[2]หน้าผ้า!G317</f>
        <v>0</v>
      </c>
      <c r="F308" s="9">
        <f>[2]หน้าผ้า!H317</f>
        <v>0</v>
      </c>
      <c r="G308" s="9">
        <f>[2]หน้าผ้า!I317</f>
        <v>0</v>
      </c>
      <c r="H308" s="9">
        <f>[2]หน้าผ้า!J317</f>
        <v>0</v>
      </c>
      <c r="I308" s="9">
        <f>[2]หน้าผ้า!L317</f>
        <v>0</v>
      </c>
      <c r="J308" s="9">
        <f>[2]หน้าผ้า!M317</f>
        <v>0</v>
      </c>
      <c r="K308" s="9">
        <f>[2]หน้าผ้า!N317</f>
        <v>0</v>
      </c>
      <c r="L308" s="9">
        <f>[2]หน้าผ้า!R317</f>
        <v>0</v>
      </c>
      <c r="M308" s="10">
        <f>[2]หน้าผ้า!T317</f>
        <v>0</v>
      </c>
      <c r="N308" s="9">
        <f>[2]หน้าผ้า!U317</f>
        <v>0</v>
      </c>
      <c r="O308" s="9">
        <f>[2]หน้าผ้า!V317</f>
        <v>0</v>
      </c>
      <c r="P308" s="10">
        <f>[2]หน้าผ้า!AB317</f>
        <v>0</v>
      </c>
      <c r="Q308" s="10">
        <f>[2]หน้าผ้า!AC317</f>
        <v>0</v>
      </c>
      <c r="R308" s="10">
        <f>[2]หน้าผ้า!AD317</f>
        <v>0</v>
      </c>
      <c r="S308" s="9">
        <f>[2]หน้าผ้า!Z317</f>
        <v>0</v>
      </c>
      <c r="T308" s="12">
        <f>[2]หน้าผ้า!X317</f>
        <v>0</v>
      </c>
      <c r="U308" s="11">
        <f>[2]หน้าผ้า!AA317</f>
        <v>0</v>
      </c>
      <c r="V308" s="10">
        <f>[2]หน้าผ้า!AJ317</f>
        <v>0</v>
      </c>
      <c r="W308" s="10">
        <f>[2]หน้าผ้า!AL317</f>
        <v>0</v>
      </c>
      <c r="X308" s="10">
        <f>[2]หน้าผ้า!AM317</f>
        <v>0</v>
      </c>
      <c r="Y308" s="10">
        <f>[2]หน้าผ้า!AN317</f>
        <v>0</v>
      </c>
      <c r="Z308" s="9">
        <f>[2]หน้าผ้า!AO317</f>
        <v>0</v>
      </c>
      <c r="AA308" s="8">
        <f>[2]หน้าผ้า!AQ317</f>
        <v>0</v>
      </c>
      <c r="AB308" s="8">
        <f>[2]หน้าผ้า!AR317</f>
        <v>0</v>
      </c>
      <c r="AC308" s="8">
        <f>[2]หน้าผ้า!AS317</f>
        <v>0</v>
      </c>
      <c r="AD308" s="8">
        <f>[2]หน้าผ้า!AT317</f>
        <v>0</v>
      </c>
      <c r="AE308" s="8">
        <f>[2]หน้าผ้า!AU317</f>
        <v>0</v>
      </c>
      <c r="AF308" s="8">
        <f>[2]หน้าผ้า!AI317</f>
        <v>0</v>
      </c>
      <c r="AG308" s="1">
        <f>[3]หน้าผ้า!DC320</f>
        <v>0</v>
      </c>
      <c r="AH308" s="1">
        <f>[2]หน้าผ้า!DL317</f>
        <v>0</v>
      </c>
      <c r="AI308" s="1">
        <f>[2]หน้าผ้า!DM317</f>
        <v>0</v>
      </c>
      <c r="AJ308" s="3">
        <f>[2]หน้าผ้า!DN317</f>
        <v>0</v>
      </c>
      <c r="AK308" s="3">
        <f>[2]หน้าผ้า!DQ317</f>
        <v>0</v>
      </c>
      <c r="AL308" s="3">
        <f>[2]หน้าผ้า!DR317</f>
        <v>0</v>
      </c>
      <c r="AM308" s="3">
        <f>[2]หน้าผ้า!DS317</f>
        <v>0</v>
      </c>
      <c r="AN308" s="3">
        <f>[2]หน้าผ้า!DT317</f>
        <v>0</v>
      </c>
      <c r="AO308" s="3">
        <f>[2]หน้าผ้า!DU317</f>
        <v>0</v>
      </c>
      <c r="AP308" s="3">
        <f>[2]หน้าผ้า!DP317</f>
        <v>0</v>
      </c>
      <c r="AQ308" s="3">
        <f>[2]หน้าผ้า!DW317</f>
        <v>0</v>
      </c>
      <c r="AR308" s="3">
        <f>[2]หน้าผ้า!DX317</f>
        <v>0</v>
      </c>
      <c r="AS308" s="3">
        <f>[2]หน้าผ้า!DY317</f>
        <v>0</v>
      </c>
      <c r="AT308" s="3">
        <f>[2]หน้าผ้า!DZ317</f>
        <v>0</v>
      </c>
      <c r="AU308" s="3">
        <f>[2]หน้าผ้า!EA317</f>
        <v>0</v>
      </c>
      <c r="AV308" s="1">
        <f>[2]หน้าผ้า!EB317</f>
        <v>0</v>
      </c>
      <c r="AW308" s="2">
        <f>[2]หน้าผ้า!EC317</f>
        <v>0</v>
      </c>
      <c r="AX308" s="2">
        <f>[2]หน้าผ้า!ED317</f>
        <v>0</v>
      </c>
      <c r="AY308" s="2">
        <f>[2]หน้าผ้า!AG317</f>
        <v>0</v>
      </c>
      <c r="AZ308" s="2">
        <f>[2]หน้าผ้า!EG317</f>
        <v>0</v>
      </c>
      <c r="BA308" s="2">
        <f>[2]หน้าผ้า!EH317</f>
        <v>0</v>
      </c>
      <c r="BB308" s="2">
        <f>[2]หน้าผ้า!EI317</f>
        <v>0</v>
      </c>
      <c r="BC308" s="1">
        <f>[2]หน้าผ้า!BZ317</f>
        <v>0</v>
      </c>
      <c r="BD308" s="56">
        <f>[2]หน้าผ้า!CA317</f>
        <v>0</v>
      </c>
    </row>
    <row r="309" spans="1:56" ht="27.75" customHeight="1" x14ac:dyDescent="0.45">
      <c r="A309" s="3">
        <f>[2]หน้าผ้า!C318</f>
        <v>0</v>
      </c>
      <c r="B309" s="14">
        <f>[2]หน้าผ้า!B318</f>
        <v>0</v>
      </c>
      <c r="C309" s="9">
        <f>[2]หน้าผ้า!E318</f>
        <v>0</v>
      </c>
      <c r="D309" s="13">
        <f>[2]หน้าผ้า!F318</f>
        <v>0</v>
      </c>
      <c r="E309" s="9">
        <f>[2]หน้าผ้า!G318</f>
        <v>0</v>
      </c>
      <c r="F309" s="9">
        <f>[2]หน้าผ้า!H318</f>
        <v>0</v>
      </c>
      <c r="G309" s="9">
        <f>[2]หน้าผ้า!I318</f>
        <v>0</v>
      </c>
      <c r="H309" s="9">
        <f>[2]หน้าผ้า!J318</f>
        <v>0</v>
      </c>
      <c r="I309" s="9">
        <f>[2]หน้าผ้า!L318</f>
        <v>0</v>
      </c>
      <c r="J309" s="9">
        <f>[2]หน้าผ้า!M318</f>
        <v>0</v>
      </c>
      <c r="K309" s="9">
        <f>[2]หน้าผ้า!N318</f>
        <v>0</v>
      </c>
      <c r="L309" s="9">
        <f>[2]หน้าผ้า!R318</f>
        <v>0</v>
      </c>
      <c r="M309" s="10">
        <f>[2]หน้าผ้า!T318</f>
        <v>0</v>
      </c>
      <c r="N309" s="9">
        <f>[2]หน้าผ้า!U318</f>
        <v>0</v>
      </c>
      <c r="O309" s="9">
        <f>[2]หน้าผ้า!V318</f>
        <v>0</v>
      </c>
      <c r="P309" s="10">
        <f>[2]หน้าผ้า!AB318</f>
        <v>0</v>
      </c>
      <c r="Q309" s="10">
        <f>[2]หน้าผ้า!AC318</f>
        <v>0</v>
      </c>
      <c r="R309" s="10">
        <f>[2]หน้าผ้า!AD318</f>
        <v>0</v>
      </c>
      <c r="S309" s="9">
        <f>[2]หน้าผ้า!Z318</f>
        <v>0</v>
      </c>
      <c r="T309" s="12">
        <f>[2]หน้าผ้า!X318</f>
        <v>0</v>
      </c>
      <c r="U309" s="11">
        <f>[2]หน้าผ้า!AA318</f>
        <v>0</v>
      </c>
      <c r="V309" s="10">
        <f>[2]หน้าผ้า!AJ318</f>
        <v>0</v>
      </c>
      <c r="W309" s="10">
        <f>[2]หน้าผ้า!AL318</f>
        <v>0</v>
      </c>
      <c r="X309" s="10">
        <f>[2]หน้าผ้า!AM318</f>
        <v>0</v>
      </c>
      <c r="Y309" s="10">
        <f>[2]หน้าผ้า!AN318</f>
        <v>0</v>
      </c>
      <c r="Z309" s="9">
        <f>[2]หน้าผ้า!AO318</f>
        <v>0</v>
      </c>
      <c r="AA309" s="8">
        <f>[2]หน้าผ้า!AQ318</f>
        <v>0</v>
      </c>
      <c r="AB309" s="8">
        <f>[2]หน้าผ้า!AR318</f>
        <v>0</v>
      </c>
      <c r="AC309" s="8">
        <f>[2]หน้าผ้า!AS318</f>
        <v>0</v>
      </c>
      <c r="AD309" s="8">
        <f>[2]หน้าผ้า!AT318</f>
        <v>0</v>
      </c>
      <c r="AE309" s="8">
        <f>[2]หน้าผ้า!AU318</f>
        <v>0</v>
      </c>
      <c r="AF309" s="8">
        <f>[2]หน้าผ้า!AI318</f>
        <v>0</v>
      </c>
      <c r="AG309" s="1">
        <f>[3]หน้าผ้า!DC321</f>
        <v>0</v>
      </c>
      <c r="AH309" s="1">
        <f>[2]หน้าผ้า!DL318</f>
        <v>0</v>
      </c>
      <c r="AI309" s="1">
        <f>[2]หน้าผ้า!DM318</f>
        <v>0</v>
      </c>
      <c r="AJ309" s="3">
        <f>[2]หน้าผ้า!DN318</f>
        <v>0</v>
      </c>
      <c r="AK309" s="3">
        <f>[2]หน้าผ้า!DQ318</f>
        <v>0</v>
      </c>
      <c r="AL309" s="3">
        <f>[2]หน้าผ้า!DR318</f>
        <v>0</v>
      </c>
      <c r="AM309" s="3">
        <f>[2]หน้าผ้า!DS318</f>
        <v>0</v>
      </c>
      <c r="AN309" s="3">
        <f>[2]หน้าผ้า!DT318</f>
        <v>0</v>
      </c>
      <c r="AO309" s="3">
        <f>[2]หน้าผ้า!DU318</f>
        <v>0</v>
      </c>
      <c r="AP309" s="3">
        <f>[2]หน้าผ้า!DP318</f>
        <v>0</v>
      </c>
      <c r="AQ309" s="3">
        <f>[2]หน้าผ้า!DW318</f>
        <v>0</v>
      </c>
      <c r="AR309" s="3">
        <f>[2]หน้าผ้า!DX318</f>
        <v>0</v>
      </c>
      <c r="AS309" s="3">
        <f>[2]หน้าผ้า!DY318</f>
        <v>0</v>
      </c>
      <c r="AT309" s="3">
        <f>[2]หน้าผ้า!DZ318</f>
        <v>0</v>
      </c>
      <c r="AU309" s="3">
        <f>[2]หน้าผ้า!EA318</f>
        <v>0</v>
      </c>
      <c r="AV309" s="1">
        <f>[2]หน้าผ้า!EB318</f>
        <v>0</v>
      </c>
      <c r="AW309" s="2">
        <f>[2]หน้าผ้า!EC318</f>
        <v>0</v>
      </c>
      <c r="AX309" s="2">
        <f>[2]หน้าผ้า!ED318</f>
        <v>0</v>
      </c>
      <c r="AY309" s="2">
        <f>[2]หน้าผ้า!AG318</f>
        <v>0</v>
      </c>
      <c r="AZ309" s="2">
        <f>[2]หน้าผ้า!EG318</f>
        <v>0</v>
      </c>
      <c r="BA309" s="2">
        <f>[2]หน้าผ้า!EH318</f>
        <v>0</v>
      </c>
      <c r="BB309" s="2">
        <f>[2]หน้าผ้า!EI318</f>
        <v>0</v>
      </c>
      <c r="BC309" s="1">
        <f>[2]หน้าผ้า!BZ318</f>
        <v>0</v>
      </c>
      <c r="BD309" s="56">
        <f>[2]หน้าผ้า!CA318</f>
        <v>0</v>
      </c>
    </row>
    <row r="310" spans="1:56" ht="27.75" customHeight="1" x14ac:dyDescent="0.45">
      <c r="A310" s="3">
        <f>[2]หน้าผ้า!C319</f>
        <v>0</v>
      </c>
      <c r="B310" s="14">
        <f>[2]หน้าผ้า!B319</f>
        <v>0</v>
      </c>
      <c r="C310" s="9">
        <f>[2]หน้าผ้า!E319</f>
        <v>0</v>
      </c>
      <c r="D310" s="13">
        <f>[2]หน้าผ้า!F319</f>
        <v>0</v>
      </c>
      <c r="E310" s="9">
        <f>[2]หน้าผ้า!G319</f>
        <v>0</v>
      </c>
      <c r="F310" s="9">
        <f>[2]หน้าผ้า!H319</f>
        <v>0</v>
      </c>
      <c r="G310" s="9">
        <f>[2]หน้าผ้า!I319</f>
        <v>0</v>
      </c>
      <c r="H310" s="9">
        <f>[2]หน้าผ้า!J319</f>
        <v>0</v>
      </c>
      <c r="I310" s="9">
        <f>[2]หน้าผ้า!L319</f>
        <v>0</v>
      </c>
      <c r="J310" s="9">
        <f>[2]หน้าผ้า!M319</f>
        <v>0</v>
      </c>
      <c r="K310" s="9">
        <f>[2]หน้าผ้า!N319</f>
        <v>0</v>
      </c>
      <c r="L310" s="9">
        <f>[2]หน้าผ้า!R319</f>
        <v>0</v>
      </c>
      <c r="M310" s="10">
        <f>[2]หน้าผ้า!T319</f>
        <v>0</v>
      </c>
      <c r="N310" s="9">
        <f>[2]หน้าผ้า!U319</f>
        <v>0</v>
      </c>
      <c r="O310" s="9">
        <f>[2]หน้าผ้า!V319</f>
        <v>0</v>
      </c>
      <c r="P310" s="10">
        <f>[2]หน้าผ้า!AB319</f>
        <v>0</v>
      </c>
      <c r="Q310" s="10">
        <f>[2]หน้าผ้า!AC319</f>
        <v>0</v>
      </c>
      <c r="R310" s="10">
        <f>[2]หน้าผ้า!AD319</f>
        <v>0</v>
      </c>
      <c r="S310" s="9">
        <f>[2]หน้าผ้า!Z319</f>
        <v>0</v>
      </c>
      <c r="T310" s="12">
        <f>[2]หน้าผ้า!X319</f>
        <v>0</v>
      </c>
      <c r="U310" s="11">
        <f>[2]หน้าผ้า!AA319</f>
        <v>0</v>
      </c>
      <c r="V310" s="10">
        <f>[2]หน้าผ้า!AJ319</f>
        <v>0</v>
      </c>
      <c r="W310" s="10">
        <f>[2]หน้าผ้า!AL319</f>
        <v>0</v>
      </c>
      <c r="X310" s="10">
        <f>[2]หน้าผ้า!AM319</f>
        <v>0</v>
      </c>
      <c r="Y310" s="10">
        <f>[2]หน้าผ้า!AN319</f>
        <v>0</v>
      </c>
      <c r="Z310" s="9">
        <f>[2]หน้าผ้า!AO319</f>
        <v>0</v>
      </c>
      <c r="AA310" s="8">
        <f>[2]หน้าผ้า!AQ319</f>
        <v>0</v>
      </c>
      <c r="AB310" s="8">
        <f>[2]หน้าผ้า!AR319</f>
        <v>0</v>
      </c>
      <c r="AC310" s="8">
        <f>[2]หน้าผ้า!AS319</f>
        <v>0</v>
      </c>
      <c r="AD310" s="8">
        <f>[2]หน้าผ้า!AT319</f>
        <v>0</v>
      </c>
      <c r="AE310" s="8">
        <f>[2]หน้าผ้า!AU319</f>
        <v>0</v>
      </c>
      <c r="AF310" s="8">
        <f>[2]หน้าผ้า!AI319</f>
        <v>0</v>
      </c>
      <c r="AG310" s="1">
        <f>[3]หน้าผ้า!DC322</f>
        <v>0</v>
      </c>
      <c r="AH310" s="1">
        <f>[2]หน้าผ้า!DL319</f>
        <v>0</v>
      </c>
      <c r="AI310" s="1">
        <f>[2]หน้าผ้า!DM319</f>
        <v>0</v>
      </c>
      <c r="AJ310" s="3">
        <f>[2]หน้าผ้า!DN319</f>
        <v>0</v>
      </c>
      <c r="AK310" s="3">
        <f>[2]หน้าผ้า!DQ319</f>
        <v>0</v>
      </c>
      <c r="AL310" s="3">
        <f>[2]หน้าผ้า!DR319</f>
        <v>0</v>
      </c>
      <c r="AM310" s="3">
        <f>[2]หน้าผ้า!DS319</f>
        <v>0</v>
      </c>
      <c r="AN310" s="3">
        <f>[2]หน้าผ้า!DT319</f>
        <v>0</v>
      </c>
      <c r="AO310" s="3">
        <f>[2]หน้าผ้า!DU319</f>
        <v>0</v>
      </c>
      <c r="AP310" s="3">
        <f>[2]หน้าผ้า!DP319</f>
        <v>0</v>
      </c>
      <c r="AQ310" s="3">
        <f>[2]หน้าผ้า!DW319</f>
        <v>0</v>
      </c>
      <c r="AR310" s="3">
        <f>[2]หน้าผ้า!DX319</f>
        <v>0</v>
      </c>
      <c r="AS310" s="3">
        <f>[2]หน้าผ้า!DY319</f>
        <v>0</v>
      </c>
      <c r="AT310" s="3">
        <f>[2]หน้าผ้า!DZ319</f>
        <v>0</v>
      </c>
      <c r="AU310" s="3">
        <f>[2]หน้าผ้า!EA319</f>
        <v>0</v>
      </c>
      <c r="AV310" s="1">
        <f>[2]หน้าผ้า!EB319</f>
        <v>0</v>
      </c>
      <c r="AW310" s="2">
        <f>[2]หน้าผ้า!EC319</f>
        <v>0</v>
      </c>
      <c r="AX310" s="2">
        <f>[2]หน้าผ้า!ED319</f>
        <v>0</v>
      </c>
      <c r="AY310" s="2">
        <f>[2]หน้าผ้า!AG319</f>
        <v>0</v>
      </c>
      <c r="AZ310" s="2">
        <f>[2]หน้าผ้า!EG319</f>
        <v>0</v>
      </c>
      <c r="BA310" s="2">
        <f>[2]หน้าผ้า!EH319</f>
        <v>0</v>
      </c>
      <c r="BB310" s="2">
        <f>[2]หน้าผ้า!EI319</f>
        <v>0</v>
      </c>
      <c r="BC310" s="1">
        <f>[2]หน้าผ้า!BZ319</f>
        <v>0</v>
      </c>
      <c r="BD310" s="56">
        <f>[2]หน้าผ้า!CA319</f>
        <v>0</v>
      </c>
    </row>
    <row r="311" spans="1:56" ht="27.75" customHeight="1" x14ac:dyDescent="0.45">
      <c r="A311" s="3">
        <f>[2]หน้าผ้า!C320</f>
        <v>0</v>
      </c>
      <c r="B311" s="14">
        <f>[2]หน้าผ้า!B320</f>
        <v>0</v>
      </c>
      <c r="C311" s="9">
        <f>[2]หน้าผ้า!E320</f>
        <v>0</v>
      </c>
      <c r="D311" s="13">
        <f>[2]หน้าผ้า!F320</f>
        <v>0</v>
      </c>
      <c r="E311" s="9">
        <f>[2]หน้าผ้า!G320</f>
        <v>0</v>
      </c>
      <c r="F311" s="9">
        <f>[2]หน้าผ้า!H320</f>
        <v>0</v>
      </c>
      <c r="G311" s="9">
        <f>[2]หน้าผ้า!I320</f>
        <v>0</v>
      </c>
      <c r="H311" s="9">
        <f>[2]หน้าผ้า!J320</f>
        <v>0</v>
      </c>
      <c r="I311" s="9">
        <f>[2]หน้าผ้า!L320</f>
        <v>0</v>
      </c>
      <c r="J311" s="9">
        <f>[2]หน้าผ้า!M320</f>
        <v>0</v>
      </c>
      <c r="K311" s="9">
        <f>[2]หน้าผ้า!N320</f>
        <v>0</v>
      </c>
      <c r="L311" s="9">
        <f>[2]หน้าผ้า!R320</f>
        <v>0</v>
      </c>
      <c r="M311" s="10">
        <f>[2]หน้าผ้า!T320</f>
        <v>0</v>
      </c>
      <c r="N311" s="9">
        <f>[2]หน้าผ้า!U320</f>
        <v>0</v>
      </c>
      <c r="O311" s="9">
        <f>[2]หน้าผ้า!V320</f>
        <v>0</v>
      </c>
      <c r="P311" s="10">
        <f>[2]หน้าผ้า!AB320</f>
        <v>0</v>
      </c>
      <c r="Q311" s="10">
        <f>[2]หน้าผ้า!AC320</f>
        <v>0</v>
      </c>
      <c r="R311" s="10">
        <f>[2]หน้าผ้า!AD320</f>
        <v>0</v>
      </c>
      <c r="S311" s="9">
        <f>[2]หน้าผ้า!Z320</f>
        <v>0</v>
      </c>
      <c r="T311" s="12">
        <f>[2]หน้าผ้า!X320</f>
        <v>0</v>
      </c>
      <c r="U311" s="11">
        <f>[2]หน้าผ้า!AA320</f>
        <v>0</v>
      </c>
      <c r="V311" s="10">
        <f>[2]หน้าผ้า!AJ320</f>
        <v>0</v>
      </c>
      <c r="W311" s="10">
        <f>[2]หน้าผ้า!AL320</f>
        <v>0</v>
      </c>
      <c r="X311" s="10">
        <f>[2]หน้าผ้า!AM320</f>
        <v>0</v>
      </c>
      <c r="Y311" s="10">
        <f>[2]หน้าผ้า!AN320</f>
        <v>0</v>
      </c>
      <c r="Z311" s="9">
        <f>[2]หน้าผ้า!AO320</f>
        <v>0</v>
      </c>
      <c r="AA311" s="8">
        <f>[2]หน้าผ้า!AQ320</f>
        <v>0</v>
      </c>
      <c r="AB311" s="8">
        <f>[2]หน้าผ้า!AR320</f>
        <v>0</v>
      </c>
      <c r="AC311" s="8">
        <f>[2]หน้าผ้า!AS320</f>
        <v>0</v>
      </c>
      <c r="AD311" s="8">
        <f>[2]หน้าผ้า!AT320</f>
        <v>0</v>
      </c>
      <c r="AE311" s="8">
        <f>[2]หน้าผ้า!AU320</f>
        <v>0</v>
      </c>
      <c r="AF311" s="8">
        <f>[2]หน้าผ้า!AI320</f>
        <v>0</v>
      </c>
      <c r="AG311" s="1">
        <f>[3]หน้าผ้า!DC323</f>
        <v>0</v>
      </c>
      <c r="AH311" s="1">
        <f>[2]หน้าผ้า!DL320</f>
        <v>0</v>
      </c>
      <c r="AI311" s="1">
        <f>[2]หน้าผ้า!DM320</f>
        <v>0</v>
      </c>
      <c r="AJ311" s="3">
        <f>[2]หน้าผ้า!DN320</f>
        <v>0</v>
      </c>
      <c r="AK311" s="3">
        <f>[2]หน้าผ้า!DQ320</f>
        <v>0</v>
      </c>
      <c r="AL311" s="3">
        <f>[2]หน้าผ้า!DR320</f>
        <v>0</v>
      </c>
      <c r="AM311" s="3">
        <f>[2]หน้าผ้า!DS320</f>
        <v>0</v>
      </c>
      <c r="AN311" s="3">
        <f>[2]หน้าผ้า!DT320</f>
        <v>0</v>
      </c>
      <c r="AO311" s="3">
        <f>[2]หน้าผ้า!DU320</f>
        <v>0</v>
      </c>
      <c r="AP311" s="3">
        <f>[2]หน้าผ้า!DP320</f>
        <v>0</v>
      </c>
      <c r="AQ311" s="3">
        <f>[2]หน้าผ้า!DW320</f>
        <v>0</v>
      </c>
      <c r="AR311" s="3">
        <f>[2]หน้าผ้า!DX320</f>
        <v>0</v>
      </c>
      <c r="AS311" s="3">
        <f>[2]หน้าผ้า!DY320</f>
        <v>0</v>
      </c>
      <c r="AT311" s="3">
        <f>[2]หน้าผ้า!DZ320</f>
        <v>0</v>
      </c>
      <c r="AU311" s="3">
        <f>[2]หน้าผ้า!EA320</f>
        <v>0</v>
      </c>
      <c r="AV311" s="1">
        <f>[2]หน้าผ้า!EB320</f>
        <v>0</v>
      </c>
      <c r="AW311" s="2">
        <f>[2]หน้าผ้า!EC320</f>
        <v>0</v>
      </c>
      <c r="AX311" s="2">
        <f>[2]หน้าผ้า!ED320</f>
        <v>0</v>
      </c>
      <c r="AY311" s="2">
        <f>[2]หน้าผ้า!AG320</f>
        <v>0</v>
      </c>
      <c r="AZ311" s="2">
        <f>[2]หน้าผ้า!EG320</f>
        <v>0</v>
      </c>
      <c r="BA311" s="2">
        <f>[2]หน้าผ้า!EH320</f>
        <v>0</v>
      </c>
      <c r="BB311" s="2">
        <f>[2]หน้าผ้า!EI320</f>
        <v>0</v>
      </c>
      <c r="BC311" s="1">
        <f>[2]หน้าผ้า!BZ320</f>
        <v>0</v>
      </c>
      <c r="BD311" s="56">
        <f>[2]หน้าผ้า!CA320</f>
        <v>0</v>
      </c>
    </row>
    <row r="312" spans="1:56" ht="27.75" customHeight="1" x14ac:dyDescent="0.45">
      <c r="A312" s="3">
        <f>[2]หน้าผ้า!C321</f>
        <v>0</v>
      </c>
      <c r="B312" s="14">
        <f>[2]หน้าผ้า!B321</f>
        <v>0</v>
      </c>
      <c r="C312" s="9">
        <f>[2]หน้าผ้า!E321</f>
        <v>0</v>
      </c>
      <c r="D312" s="13">
        <f>[2]หน้าผ้า!F321</f>
        <v>0</v>
      </c>
      <c r="E312" s="9">
        <f>[2]หน้าผ้า!G321</f>
        <v>0</v>
      </c>
      <c r="F312" s="9">
        <f>[2]หน้าผ้า!H321</f>
        <v>0</v>
      </c>
      <c r="G312" s="9">
        <f>[2]หน้าผ้า!I321</f>
        <v>0</v>
      </c>
      <c r="H312" s="9">
        <f>[2]หน้าผ้า!J321</f>
        <v>0</v>
      </c>
      <c r="I312" s="9">
        <f>[2]หน้าผ้า!L321</f>
        <v>0</v>
      </c>
      <c r="J312" s="9">
        <f>[2]หน้าผ้า!M321</f>
        <v>0</v>
      </c>
      <c r="K312" s="9">
        <f>[2]หน้าผ้า!N321</f>
        <v>0</v>
      </c>
      <c r="L312" s="9">
        <f>[2]หน้าผ้า!R321</f>
        <v>0</v>
      </c>
      <c r="M312" s="10">
        <f>[2]หน้าผ้า!T321</f>
        <v>0</v>
      </c>
      <c r="N312" s="9">
        <f>[2]หน้าผ้า!U321</f>
        <v>0</v>
      </c>
      <c r="O312" s="9">
        <f>[2]หน้าผ้า!V321</f>
        <v>0</v>
      </c>
      <c r="P312" s="10">
        <f>[2]หน้าผ้า!AB321</f>
        <v>0</v>
      </c>
      <c r="Q312" s="10">
        <f>[2]หน้าผ้า!AC321</f>
        <v>0</v>
      </c>
      <c r="R312" s="10">
        <f>[2]หน้าผ้า!AD321</f>
        <v>0</v>
      </c>
      <c r="S312" s="9">
        <f>[2]หน้าผ้า!Z321</f>
        <v>0</v>
      </c>
      <c r="T312" s="12">
        <f>[2]หน้าผ้า!X321</f>
        <v>0</v>
      </c>
      <c r="U312" s="11">
        <f>[2]หน้าผ้า!AA321</f>
        <v>0</v>
      </c>
      <c r="V312" s="10">
        <f>[2]หน้าผ้า!AJ321</f>
        <v>0</v>
      </c>
      <c r="W312" s="10">
        <f>[2]หน้าผ้า!AL321</f>
        <v>0</v>
      </c>
      <c r="X312" s="10">
        <f>[2]หน้าผ้า!AM321</f>
        <v>0</v>
      </c>
      <c r="Y312" s="10">
        <f>[2]หน้าผ้า!AN321</f>
        <v>0</v>
      </c>
      <c r="Z312" s="9">
        <f>[2]หน้าผ้า!AO321</f>
        <v>0</v>
      </c>
      <c r="AA312" s="8">
        <f>[2]หน้าผ้า!AQ321</f>
        <v>0</v>
      </c>
      <c r="AB312" s="8">
        <f>[2]หน้าผ้า!AR321</f>
        <v>0</v>
      </c>
      <c r="AC312" s="8">
        <f>[2]หน้าผ้า!AS321</f>
        <v>0</v>
      </c>
      <c r="AD312" s="8">
        <f>[2]หน้าผ้า!AT321</f>
        <v>0</v>
      </c>
      <c r="AE312" s="8">
        <f>[2]หน้าผ้า!AU321</f>
        <v>0</v>
      </c>
      <c r="AF312" s="8">
        <f>[2]หน้าผ้า!AI321</f>
        <v>0</v>
      </c>
      <c r="AG312" s="1">
        <f>[3]หน้าผ้า!DC324</f>
        <v>0</v>
      </c>
      <c r="AH312" s="1">
        <f>[2]หน้าผ้า!DL321</f>
        <v>0</v>
      </c>
      <c r="AI312" s="1">
        <f>[2]หน้าผ้า!DM321</f>
        <v>0</v>
      </c>
      <c r="AJ312" s="3">
        <f>[2]หน้าผ้า!DN321</f>
        <v>0</v>
      </c>
      <c r="AK312" s="3">
        <f>[2]หน้าผ้า!DQ321</f>
        <v>0</v>
      </c>
      <c r="AL312" s="3">
        <f>[2]หน้าผ้า!DR321</f>
        <v>0</v>
      </c>
      <c r="AM312" s="3">
        <f>[2]หน้าผ้า!DS321</f>
        <v>0</v>
      </c>
      <c r="AN312" s="3">
        <f>[2]หน้าผ้า!DT321</f>
        <v>0</v>
      </c>
      <c r="AO312" s="3">
        <f>[2]หน้าผ้า!DU321</f>
        <v>0</v>
      </c>
      <c r="AP312" s="3">
        <f>[2]หน้าผ้า!DP321</f>
        <v>0</v>
      </c>
      <c r="AQ312" s="3">
        <f>[2]หน้าผ้า!DW321</f>
        <v>0</v>
      </c>
      <c r="AR312" s="3">
        <f>[2]หน้าผ้า!DX321</f>
        <v>0</v>
      </c>
      <c r="AS312" s="3">
        <f>[2]หน้าผ้า!DY321</f>
        <v>0</v>
      </c>
      <c r="AT312" s="3">
        <f>[2]หน้าผ้า!DZ321</f>
        <v>0</v>
      </c>
      <c r="AU312" s="3">
        <f>[2]หน้าผ้า!EA321</f>
        <v>0</v>
      </c>
      <c r="AV312" s="1">
        <f>[2]หน้าผ้า!EB321</f>
        <v>0</v>
      </c>
      <c r="AW312" s="2">
        <f>[2]หน้าผ้า!EC321</f>
        <v>0</v>
      </c>
      <c r="AX312" s="2">
        <f>[2]หน้าผ้า!ED321</f>
        <v>0</v>
      </c>
      <c r="AY312" s="2">
        <f>[2]หน้าผ้า!AG321</f>
        <v>0</v>
      </c>
      <c r="AZ312" s="2">
        <f>[2]หน้าผ้า!EG321</f>
        <v>0</v>
      </c>
      <c r="BA312" s="2">
        <f>[2]หน้าผ้า!EH321</f>
        <v>0</v>
      </c>
      <c r="BB312" s="2">
        <f>[2]หน้าผ้า!EI321</f>
        <v>0</v>
      </c>
      <c r="BC312" s="1">
        <f>[2]หน้าผ้า!BZ321</f>
        <v>0</v>
      </c>
      <c r="BD312" s="56">
        <f>[2]หน้าผ้า!CA321</f>
        <v>0</v>
      </c>
    </row>
    <row r="313" spans="1:56" ht="27.75" customHeight="1" x14ac:dyDescent="0.45">
      <c r="A313" s="3">
        <f>[2]หน้าผ้า!C322</f>
        <v>0</v>
      </c>
      <c r="B313" s="14">
        <f>[2]หน้าผ้า!B322</f>
        <v>0</v>
      </c>
      <c r="C313" s="9">
        <f>[2]หน้าผ้า!E322</f>
        <v>0</v>
      </c>
      <c r="D313" s="13">
        <f>[2]หน้าผ้า!F322</f>
        <v>0</v>
      </c>
      <c r="E313" s="9">
        <f>[2]หน้าผ้า!G322</f>
        <v>0</v>
      </c>
      <c r="F313" s="9">
        <f>[2]หน้าผ้า!H322</f>
        <v>0</v>
      </c>
      <c r="G313" s="9">
        <f>[2]หน้าผ้า!I322</f>
        <v>0</v>
      </c>
      <c r="H313" s="9">
        <f>[2]หน้าผ้า!J322</f>
        <v>0</v>
      </c>
      <c r="I313" s="9">
        <f>[2]หน้าผ้า!L322</f>
        <v>0</v>
      </c>
      <c r="J313" s="9">
        <f>[2]หน้าผ้า!M322</f>
        <v>0</v>
      </c>
      <c r="K313" s="9">
        <f>[2]หน้าผ้า!N322</f>
        <v>0</v>
      </c>
      <c r="L313" s="9">
        <f>[2]หน้าผ้า!R322</f>
        <v>0</v>
      </c>
      <c r="M313" s="10">
        <f>[2]หน้าผ้า!T322</f>
        <v>0</v>
      </c>
      <c r="N313" s="9">
        <f>[2]หน้าผ้า!U322</f>
        <v>0</v>
      </c>
      <c r="O313" s="9">
        <f>[2]หน้าผ้า!V322</f>
        <v>0</v>
      </c>
      <c r="P313" s="10">
        <f>[2]หน้าผ้า!AB322</f>
        <v>0</v>
      </c>
      <c r="Q313" s="10">
        <f>[2]หน้าผ้า!AC322</f>
        <v>0</v>
      </c>
      <c r="R313" s="10">
        <f>[2]หน้าผ้า!AD322</f>
        <v>0</v>
      </c>
      <c r="S313" s="9">
        <f>[2]หน้าผ้า!Z322</f>
        <v>0</v>
      </c>
      <c r="T313" s="12">
        <f>[2]หน้าผ้า!X322</f>
        <v>0</v>
      </c>
      <c r="U313" s="11">
        <f>[2]หน้าผ้า!AA322</f>
        <v>0</v>
      </c>
      <c r="V313" s="10">
        <f>[2]หน้าผ้า!AJ322</f>
        <v>0</v>
      </c>
      <c r="W313" s="10">
        <f>[2]หน้าผ้า!AL322</f>
        <v>0</v>
      </c>
      <c r="X313" s="10">
        <f>[2]หน้าผ้า!AM322</f>
        <v>0</v>
      </c>
      <c r="Y313" s="10">
        <f>[2]หน้าผ้า!AN322</f>
        <v>0</v>
      </c>
      <c r="Z313" s="9">
        <f>[2]หน้าผ้า!AO322</f>
        <v>0</v>
      </c>
      <c r="AA313" s="8">
        <f>[2]หน้าผ้า!AQ322</f>
        <v>0</v>
      </c>
      <c r="AB313" s="8">
        <f>[2]หน้าผ้า!AR322</f>
        <v>0</v>
      </c>
      <c r="AC313" s="8">
        <f>[2]หน้าผ้า!AS322</f>
        <v>0</v>
      </c>
      <c r="AD313" s="8">
        <f>[2]หน้าผ้า!AT322</f>
        <v>0</v>
      </c>
      <c r="AE313" s="8">
        <f>[2]หน้าผ้า!AU322</f>
        <v>0</v>
      </c>
      <c r="AF313" s="8">
        <f>[2]หน้าผ้า!AI322</f>
        <v>0</v>
      </c>
      <c r="AG313" s="1">
        <f>[3]หน้าผ้า!DC325</f>
        <v>0</v>
      </c>
      <c r="AH313" s="1">
        <f>[2]หน้าผ้า!DL322</f>
        <v>0</v>
      </c>
      <c r="AI313" s="1">
        <f>[2]หน้าผ้า!DM322</f>
        <v>0</v>
      </c>
      <c r="AJ313" s="3">
        <f>[2]หน้าผ้า!DN322</f>
        <v>0</v>
      </c>
      <c r="AK313" s="3">
        <f>[2]หน้าผ้า!DQ322</f>
        <v>0</v>
      </c>
      <c r="AL313" s="3">
        <f>[2]หน้าผ้า!DR322</f>
        <v>0</v>
      </c>
      <c r="AM313" s="3">
        <f>[2]หน้าผ้า!DS322</f>
        <v>0</v>
      </c>
      <c r="AN313" s="3">
        <f>[2]หน้าผ้า!DT322</f>
        <v>0</v>
      </c>
      <c r="AO313" s="3">
        <f>[2]หน้าผ้า!DU322</f>
        <v>0</v>
      </c>
      <c r="AP313" s="3">
        <f>[2]หน้าผ้า!DP322</f>
        <v>0</v>
      </c>
      <c r="AQ313" s="3">
        <f>[2]หน้าผ้า!DW322</f>
        <v>0</v>
      </c>
      <c r="AR313" s="3">
        <f>[2]หน้าผ้า!DX322</f>
        <v>0</v>
      </c>
      <c r="AS313" s="3">
        <f>[2]หน้าผ้า!DY322</f>
        <v>0</v>
      </c>
      <c r="AT313" s="3">
        <f>[2]หน้าผ้า!DZ322</f>
        <v>0</v>
      </c>
      <c r="AU313" s="3">
        <f>[2]หน้าผ้า!EA322</f>
        <v>0</v>
      </c>
      <c r="AV313" s="1">
        <f>[2]หน้าผ้า!EB322</f>
        <v>0</v>
      </c>
      <c r="AW313" s="2">
        <f>[2]หน้าผ้า!EC322</f>
        <v>0</v>
      </c>
      <c r="AX313" s="2">
        <f>[2]หน้าผ้า!ED322</f>
        <v>0</v>
      </c>
      <c r="AY313" s="2">
        <f>[2]หน้าผ้า!AG322</f>
        <v>0</v>
      </c>
      <c r="AZ313" s="2">
        <f>[2]หน้าผ้า!EG322</f>
        <v>0</v>
      </c>
      <c r="BA313" s="2">
        <f>[2]หน้าผ้า!EH322</f>
        <v>0</v>
      </c>
      <c r="BB313" s="2">
        <f>[2]หน้าผ้า!EI322</f>
        <v>0</v>
      </c>
      <c r="BC313" s="1">
        <f>[2]หน้าผ้า!BZ322</f>
        <v>0</v>
      </c>
      <c r="BD313" s="56">
        <f>[2]หน้าผ้า!CA322</f>
        <v>0</v>
      </c>
    </row>
    <row r="314" spans="1:56" ht="27.75" customHeight="1" x14ac:dyDescent="0.45">
      <c r="A314" s="3">
        <f>[2]หน้าผ้า!C323</f>
        <v>0</v>
      </c>
      <c r="B314" s="14">
        <f>[2]หน้าผ้า!B323</f>
        <v>0</v>
      </c>
      <c r="C314" s="9">
        <f>[2]หน้าผ้า!E323</f>
        <v>0</v>
      </c>
      <c r="D314" s="13">
        <f>[2]หน้าผ้า!F323</f>
        <v>0</v>
      </c>
      <c r="E314" s="9">
        <f>[2]หน้าผ้า!G323</f>
        <v>0</v>
      </c>
      <c r="F314" s="9">
        <f>[2]หน้าผ้า!H323</f>
        <v>0</v>
      </c>
      <c r="G314" s="9">
        <f>[2]หน้าผ้า!I323</f>
        <v>0</v>
      </c>
      <c r="H314" s="9">
        <f>[2]หน้าผ้า!J323</f>
        <v>0</v>
      </c>
      <c r="I314" s="9">
        <f>[2]หน้าผ้า!L323</f>
        <v>0</v>
      </c>
      <c r="J314" s="9">
        <f>[2]หน้าผ้า!M323</f>
        <v>0</v>
      </c>
      <c r="K314" s="9">
        <f>[2]หน้าผ้า!N323</f>
        <v>0</v>
      </c>
      <c r="L314" s="9">
        <f>[2]หน้าผ้า!R323</f>
        <v>0</v>
      </c>
      <c r="M314" s="10">
        <f>[2]หน้าผ้า!T323</f>
        <v>0</v>
      </c>
      <c r="N314" s="9">
        <f>[2]หน้าผ้า!U323</f>
        <v>0</v>
      </c>
      <c r="O314" s="9">
        <f>[2]หน้าผ้า!V323</f>
        <v>0</v>
      </c>
      <c r="P314" s="10">
        <f>[2]หน้าผ้า!AB323</f>
        <v>0</v>
      </c>
      <c r="Q314" s="10">
        <f>[2]หน้าผ้า!AC323</f>
        <v>0</v>
      </c>
      <c r="R314" s="10">
        <f>[2]หน้าผ้า!AD323</f>
        <v>0</v>
      </c>
      <c r="S314" s="9">
        <f>[2]หน้าผ้า!Z323</f>
        <v>0</v>
      </c>
      <c r="T314" s="12">
        <f>[2]หน้าผ้า!X323</f>
        <v>0</v>
      </c>
      <c r="U314" s="11">
        <f>[2]หน้าผ้า!AA323</f>
        <v>0</v>
      </c>
      <c r="V314" s="10">
        <f>[2]หน้าผ้า!AJ323</f>
        <v>0</v>
      </c>
      <c r="W314" s="10">
        <f>[2]หน้าผ้า!AL323</f>
        <v>0</v>
      </c>
      <c r="X314" s="10">
        <f>[2]หน้าผ้า!AM323</f>
        <v>0</v>
      </c>
      <c r="Y314" s="10">
        <f>[2]หน้าผ้า!AN323</f>
        <v>0</v>
      </c>
      <c r="Z314" s="9">
        <f>[2]หน้าผ้า!AO323</f>
        <v>0</v>
      </c>
      <c r="AA314" s="8">
        <f>[2]หน้าผ้า!AQ323</f>
        <v>0</v>
      </c>
      <c r="AB314" s="8">
        <f>[2]หน้าผ้า!AR323</f>
        <v>0</v>
      </c>
      <c r="AC314" s="8">
        <f>[2]หน้าผ้า!AS323</f>
        <v>0</v>
      </c>
      <c r="AD314" s="8">
        <f>[2]หน้าผ้า!AT323</f>
        <v>0</v>
      </c>
      <c r="AE314" s="8">
        <f>[2]หน้าผ้า!AU323</f>
        <v>0</v>
      </c>
      <c r="AF314" s="8">
        <f>[2]หน้าผ้า!AI323</f>
        <v>0</v>
      </c>
      <c r="AG314" s="1">
        <f>[3]หน้าผ้า!DC326</f>
        <v>0</v>
      </c>
      <c r="AH314" s="1">
        <f>[2]หน้าผ้า!DL323</f>
        <v>0</v>
      </c>
      <c r="AI314" s="1">
        <f>[2]หน้าผ้า!DM323</f>
        <v>0</v>
      </c>
      <c r="AJ314" s="3">
        <f>[2]หน้าผ้า!DN323</f>
        <v>0</v>
      </c>
      <c r="AK314" s="3">
        <f>[2]หน้าผ้า!DQ323</f>
        <v>0</v>
      </c>
      <c r="AL314" s="3">
        <f>[2]หน้าผ้า!DR323</f>
        <v>0</v>
      </c>
      <c r="AM314" s="3">
        <f>[2]หน้าผ้า!DS323</f>
        <v>0</v>
      </c>
      <c r="AN314" s="3">
        <f>[2]หน้าผ้า!DT323</f>
        <v>0</v>
      </c>
      <c r="AO314" s="3">
        <f>[2]หน้าผ้า!DU323</f>
        <v>0</v>
      </c>
      <c r="AP314" s="3">
        <f>[2]หน้าผ้า!DP323</f>
        <v>0</v>
      </c>
      <c r="AQ314" s="3">
        <f>[2]หน้าผ้า!DW323</f>
        <v>0</v>
      </c>
      <c r="AR314" s="3">
        <f>[2]หน้าผ้า!DX323</f>
        <v>0</v>
      </c>
      <c r="AS314" s="3">
        <f>[2]หน้าผ้า!DY323</f>
        <v>0</v>
      </c>
      <c r="AT314" s="3">
        <f>[2]หน้าผ้า!DZ323</f>
        <v>0</v>
      </c>
      <c r="AU314" s="3">
        <f>[2]หน้าผ้า!EA323</f>
        <v>0</v>
      </c>
      <c r="AV314" s="1">
        <f>[2]หน้าผ้า!EB323</f>
        <v>0</v>
      </c>
      <c r="AW314" s="2">
        <f>[2]หน้าผ้า!EC323</f>
        <v>0</v>
      </c>
      <c r="AX314" s="2">
        <f>[2]หน้าผ้า!ED323</f>
        <v>0</v>
      </c>
      <c r="AY314" s="2">
        <f>[2]หน้าผ้า!AG323</f>
        <v>0</v>
      </c>
      <c r="AZ314" s="2">
        <f>[2]หน้าผ้า!EG323</f>
        <v>0</v>
      </c>
      <c r="BA314" s="2">
        <f>[2]หน้าผ้า!EH323</f>
        <v>0</v>
      </c>
      <c r="BB314" s="2">
        <f>[2]หน้าผ้า!EI323</f>
        <v>0</v>
      </c>
      <c r="BC314" s="1">
        <f>[2]หน้าผ้า!BZ323</f>
        <v>0</v>
      </c>
      <c r="BD314" s="56">
        <f>[2]หน้าผ้า!CA323</f>
        <v>0</v>
      </c>
    </row>
    <row r="315" spans="1:56" ht="27.75" customHeight="1" x14ac:dyDescent="0.45">
      <c r="A315" s="3">
        <f>[2]หน้าผ้า!C324</f>
        <v>0</v>
      </c>
      <c r="B315" s="14">
        <f>[2]หน้าผ้า!B324</f>
        <v>0</v>
      </c>
      <c r="C315" s="9">
        <f>[2]หน้าผ้า!E324</f>
        <v>0</v>
      </c>
      <c r="D315" s="13">
        <f>[2]หน้าผ้า!F324</f>
        <v>0</v>
      </c>
      <c r="E315" s="9">
        <f>[2]หน้าผ้า!G324</f>
        <v>0</v>
      </c>
      <c r="F315" s="9">
        <f>[2]หน้าผ้า!H324</f>
        <v>0</v>
      </c>
      <c r="G315" s="9">
        <f>[2]หน้าผ้า!I324</f>
        <v>0</v>
      </c>
      <c r="H315" s="9">
        <f>[2]หน้าผ้า!J324</f>
        <v>0</v>
      </c>
      <c r="I315" s="9">
        <f>[2]หน้าผ้า!L324</f>
        <v>0</v>
      </c>
      <c r="J315" s="9">
        <f>[2]หน้าผ้า!M324</f>
        <v>0</v>
      </c>
      <c r="K315" s="9">
        <f>[2]หน้าผ้า!N324</f>
        <v>0</v>
      </c>
      <c r="L315" s="9">
        <f>[2]หน้าผ้า!R324</f>
        <v>0</v>
      </c>
      <c r="M315" s="10">
        <f>[2]หน้าผ้า!T324</f>
        <v>0</v>
      </c>
      <c r="N315" s="9">
        <f>[2]หน้าผ้า!U324</f>
        <v>0</v>
      </c>
      <c r="O315" s="9">
        <f>[2]หน้าผ้า!V324</f>
        <v>0</v>
      </c>
      <c r="P315" s="10">
        <f>[2]หน้าผ้า!AB324</f>
        <v>0</v>
      </c>
      <c r="Q315" s="10">
        <f>[2]หน้าผ้า!AC324</f>
        <v>0</v>
      </c>
      <c r="R315" s="10">
        <f>[2]หน้าผ้า!AD324</f>
        <v>0</v>
      </c>
      <c r="S315" s="9">
        <f>[2]หน้าผ้า!Z324</f>
        <v>0</v>
      </c>
      <c r="T315" s="12">
        <f>[2]หน้าผ้า!X324</f>
        <v>0</v>
      </c>
      <c r="U315" s="11">
        <f>[2]หน้าผ้า!AA324</f>
        <v>0</v>
      </c>
      <c r="V315" s="10">
        <f>[2]หน้าผ้า!AJ324</f>
        <v>0</v>
      </c>
      <c r="W315" s="10">
        <f>[2]หน้าผ้า!AL324</f>
        <v>0</v>
      </c>
      <c r="X315" s="10">
        <f>[2]หน้าผ้า!AM324</f>
        <v>0</v>
      </c>
      <c r="Y315" s="10">
        <f>[2]หน้าผ้า!AN324</f>
        <v>0</v>
      </c>
      <c r="Z315" s="9">
        <f>[2]หน้าผ้า!AO324</f>
        <v>0</v>
      </c>
      <c r="AA315" s="8">
        <f>[2]หน้าผ้า!AQ324</f>
        <v>0</v>
      </c>
      <c r="AB315" s="8">
        <f>[2]หน้าผ้า!AR324</f>
        <v>0</v>
      </c>
      <c r="AC315" s="8">
        <f>[2]หน้าผ้า!AS324</f>
        <v>0</v>
      </c>
      <c r="AD315" s="8">
        <f>[2]หน้าผ้า!AT324</f>
        <v>0</v>
      </c>
      <c r="AE315" s="8">
        <f>[2]หน้าผ้า!AU324</f>
        <v>0</v>
      </c>
      <c r="AF315" s="8">
        <f>[2]หน้าผ้า!AI324</f>
        <v>0</v>
      </c>
      <c r="AG315" s="1">
        <f>[3]หน้าผ้า!DC327</f>
        <v>0</v>
      </c>
      <c r="AH315" s="1">
        <f>[2]หน้าผ้า!DL324</f>
        <v>0</v>
      </c>
      <c r="AI315" s="1">
        <f>[2]หน้าผ้า!DM324</f>
        <v>0</v>
      </c>
      <c r="AJ315" s="3">
        <f>[2]หน้าผ้า!DN324</f>
        <v>0</v>
      </c>
      <c r="AK315" s="3">
        <f>[2]หน้าผ้า!DQ324</f>
        <v>0</v>
      </c>
      <c r="AL315" s="3">
        <f>[2]หน้าผ้า!DR324</f>
        <v>0</v>
      </c>
      <c r="AM315" s="3">
        <f>[2]หน้าผ้า!DS324</f>
        <v>0</v>
      </c>
      <c r="AN315" s="3">
        <f>[2]หน้าผ้า!DT324</f>
        <v>0</v>
      </c>
      <c r="AO315" s="3">
        <f>[2]หน้าผ้า!DU324</f>
        <v>0</v>
      </c>
      <c r="AP315" s="3">
        <f>[2]หน้าผ้า!DP324</f>
        <v>0</v>
      </c>
      <c r="AQ315" s="3">
        <f>[2]หน้าผ้า!DW324</f>
        <v>0</v>
      </c>
      <c r="AR315" s="3">
        <f>[2]หน้าผ้า!DX324</f>
        <v>0</v>
      </c>
      <c r="AS315" s="3">
        <f>[2]หน้าผ้า!DY324</f>
        <v>0</v>
      </c>
      <c r="AT315" s="3">
        <f>[2]หน้าผ้า!DZ324</f>
        <v>0</v>
      </c>
      <c r="AU315" s="3">
        <f>[2]หน้าผ้า!EA324</f>
        <v>0</v>
      </c>
      <c r="AV315" s="1">
        <f>[2]หน้าผ้า!EB324</f>
        <v>0</v>
      </c>
      <c r="AW315" s="2">
        <f>[2]หน้าผ้า!EC324</f>
        <v>0</v>
      </c>
      <c r="AX315" s="2">
        <f>[2]หน้าผ้า!ED324</f>
        <v>0</v>
      </c>
      <c r="AY315" s="2">
        <f>[2]หน้าผ้า!AG324</f>
        <v>0</v>
      </c>
      <c r="AZ315" s="2">
        <f>[2]หน้าผ้า!EG324</f>
        <v>0</v>
      </c>
      <c r="BA315" s="2">
        <f>[2]หน้าผ้า!EH324</f>
        <v>0</v>
      </c>
      <c r="BB315" s="2">
        <f>[2]หน้าผ้า!EI324</f>
        <v>0</v>
      </c>
      <c r="BC315" s="1">
        <f>[2]หน้าผ้า!BZ324</f>
        <v>0</v>
      </c>
      <c r="BD315" s="56">
        <f>[2]หน้าผ้า!CA324</f>
        <v>0</v>
      </c>
    </row>
    <row r="316" spans="1:56" ht="27.75" customHeight="1" x14ac:dyDescent="0.45">
      <c r="A316" s="3">
        <f>[2]หน้าผ้า!C325</f>
        <v>0</v>
      </c>
      <c r="B316" s="14">
        <f>[2]หน้าผ้า!B325</f>
        <v>0</v>
      </c>
      <c r="C316" s="9">
        <f>[2]หน้าผ้า!E325</f>
        <v>0</v>
      </c>
      <c r="D316" s="13">
        <f>[2]หน้าผ้า!F325</f>
        <v>0</v>
      </c>
      <c r="E316" s="9">
        <f>[2]หน้าผ้า!G325</f>
        <v>0</v>
      </c>
      <c r="F316" s="9">
        <f>[2]หน้าผ้า!H325</f>
        <v>0</v>
      </c>
      <c r="G316" s="9">
        <f>[2]หน้าผ้า!I325</f>
        <v>0</v>
      </c>
      <c r="H316" s="9">
        <f>[2]หน้าผ้า!J325</f>
        <v>0</v>
      </c>
      <c r="I316" s="9">
        <f>[2]หน้าผ้า!L325</f>
        <v>0</v>
      </c>
      <c r="J316" s="9">
        <f>[2]หน้าผ้า!M325</f>
        <v>0</v>
      </c>
      <c r="K316" s="9">
        <f>[2]หน้าผ้า!N325</f>
        <v>0</v>
      </c>
      <c r="L316" s="9">
        <f>[2]หน้าผ้า!R325</f>
        <v>0</v>
      </c>
      <c r="M316" s="10">
        <f>[2]หน้าผ้า!T325</f>
        <v>0</v>
      </c>
      <c r="N316" s="9">
        <f>[2]หน้าผ้า!U325</f>
        <v>0</v>
      </c>
      <c r="O316" s="9">
        <f>[2]หน้าผ้า!V325</f>
        <v>0</v>
      </c>
      <c r="P316" s="10">
        <f>[2]หน้าผ้า!AB325</f>
        <v>0</v>
      </c>
      <c r="Q316" s="10">
        <f>[2]หน้าผ้า!AC325</f>
        <v>0</v>
      </c>
      <c r="R316" s="10">
        <f>[2]หน้าผ้า!AD325</f>
        <v>0</v>
      </c>
      <c r="S316" s="9">
        <f>[2]หน้าผ้า!Z325</f>
        <v>0</v>
      </c>
      <c r="T316" s="12">
        <f>[2]หน้าผ้า!X325</f>
        <v>0</v>
      </c>
      <c r="U316" s="11">
        <f>[2]หน้าผ้า!AA325</f>
        <v>0</v>
      </c>
      <c r="V316" s="10">
        <f>[2]หน้าผ้า!AJ325</f>
        <v>0</v>
      </c>
      <c r="W316" s="10">
        <f>[2]หน้าผ้า!AL325</f>
        <v>0</v>
      </c>
      <c r="X316" s="10">
        <f>[2]หน้าผ้า!AM325</f>
        <v>0</v>
      </c>
      <c r="Y316" s="10">
        <f>[2]หน้าผ้า!AN325</f>
        <v>0</v>
      </c>
      <c r="Z316" s="9">
        <f>[2]หน้าผ้า!AO325</f>
        <v>0</v>
      </c>
      <c r="AA316" s="8">
        <f>[2]หน้าผ้า!AQ325</f>
        <v>0</v>
      </c>
      <c r="AB316" s="8">
        <f>[2]หน้าผ้า!AR325</f>
        <v>0</v>
      </c>
      <c r="AC316" s="8">
        <f>[2]หน้าผ้า!AS325</f>
        <v>0</v>
      </c>
      <c r="AD316" s="8">
        <f>[2]หน้าผ้า!AT325</f>
        <v>0</v>
      </c>
      <c r="AE316" s="8">
        <f>[2]หน้าผ้า!AU325</f>
        <v>0</v>
      </c>
      <c r="AF316" s="8">
        <f>[2]หน้าผ้า!AI325</f>
        <v>0</v>
      </c>
      <c r="AG316" s="1">
        <f>[3]หน้าผ้า!DC328</f>
        <v>0</v>
      </c>
      <c r="AH316" s="1">
        <f>[2]หน้าผ้า!DL325</f>
        <v>0</v>
      </c>
      <c r="AI316" s="1">
        <f>[2]หน้าผ้า!DM325</f>
        <v>0</v>
      </c>
      <c r="AJ316" s="3">
        <f>[2]หน้าผ้า!DN325</f>
        <v>0</v>
      </c>
      <c r="AK316" s="3">
        <f>[2]หน้าผ้า!DQ325</f>
        <v>0</v>
      </c>
      <c r="AL316" s="3">
        <f>[2]หน้าผ้า!DR325</f>
        <v>0</v>
      </c>
      <c r="AM316" s="3">
        <f>[2]หน้าผ้า!DS325</f>
        <v>0</v>
      </c>
      <c r="AN316" s="3">
        <f>[2]หน้าผ้า!DT325</f>
        <v>0</v>
      </c>
      <c r="AO316" s="3">
        <f>[2]หน้าผ้า!DU325</f>
        <v>0</v>
      </c>
      <c r="AP316" s="3">
        <f>[2]หน้าผ้า!DP325</f>
        <v>0</v>
      </c>
      <c r="AQ316" s="3">
        <f>[2]หน้าผ้า!DW325</f>
        <v>0</v>
      </c>
      <c r="AR316" s="3">
        <f>[2]หน้าผ้า!DX325</f>
        <v>0</v>
      </c>
      <c r="AS316" s="3">
        <f>[2]หน้าผ้า!DY325</f>
        <v>0</v>
      </c>
      <c r="AT316" s="3">
        <f>[2]หน้าผ้า!DZ325</f>
        <v>0</v>
      </c>
      <c r="AU316" s="3">
        <f>[2]หน้าผ้า!EA325</f>
        <v>0</v>
      </c>
      <c r="AV316" s="1">
        <f>[2]หน้าผ้า!EB325</f>
        <v>0</v>
      </c>
      <c r="AW316" s="2">
        <f>[2]หน้าผ้า!EC325</f>
        <v>0</v>
      </c>
      <c r="AX316" s="2">
        <f>[2]หน้าผ้า!ED325</f>
        <v>0</v>
      </c>
      <c r="AY316" s="2">
        <f>[2]หน้าผ้า!AG325</f>
        <v>0</v>
      </c>
      <c r="AZ316" s="2">
        <f>[2]หน้าผ้า!EG325</f>
        <v>0</v>
      </c>
      <c r="BA316" s="2">
        <f>[2]หน้าผ้า!EH325</f>
        <v>0</v>
      </c>
      <c r="BB316" s="2">
        <f>[2]หน้าผ้า!EI325</f>
        <v>0</v>
      </c>
      <c r="BC316" s="1">
        <f>[2]หน้าผ้า!BZ325</f>
        <v>0</v>
      </c>
      <c r="BD316" s="56">
        <f>[2]หน้าผ้า!CA325</f>
        <v>0</v>
      </c>
    </row>
    <row r="317" spans="1:56" ht="27.75" customHeight="1" x14ac:dyDescent="0.45">
      <c r="A317" s="3">
        <f>[2]หน้าผ้า!C326</f>
        <v>0</v>
      </c>
      <c r="B317" s="14">
        <f>[2]หน้าผ้า!B326</f>
        <v>0</v>
      </c>
      <c r="C317" s="9">
        <f>[2]หน้าผ้า!E326</f>
        <v>0</v>
      </c>
      <c r="D317" s="13">
        <f>[2]หน้าผ้า!F326</f>
        <v>0</v>
      </c>
      <c r="E317" s="9">
        <f>[2]หน้าผ้า!G326</f>
        <v>0</v>
      </c>
      <c r="F317" s="9">
        <f>[2]หน้าผ้า!H326</f>
        <v>0</v>
      </c>
      <c r="G317" s="9">
        <f>[2]หน้าผ้า!I326</f>
        <v>0</v>
      </c>
      <c r="H317" s="9">
        <f>[2]หน้าผ้า!J326</f>
        <v>0</v>
      </c>
      <c r="I317" s="9">
        <f>[2]หน้าผ้า!L326</f>
        <v>0</v>
      </c>
      <c r="J317" s="9">
        <f>[2]หน้าผ้า!M326</f>
        <v>0</v>
      </c>
      <c r="K317" s="9">
        <f>[2]หน้าผ้า!N326</f>
        <v>0</v>
      </c>
      <c r="L317" s="9">
        <f>[2]หน้าผ้า!R326</f>
        <v>0</v>
      </c>
      <c r="M317" s="10">
        <f>[2]หน้าผ้า!T326</f>
        <v>0</v>
      </c>
      <c r="N317" s="9">
        <f>[2]หน้าผ้า!U326</f>
        <v>0</v>
      </c>
      <c r="O317" s="9">
        <f>[2]หน้าผ้า!V326</f>
        <v>0</v>
      </c>
      <c r="P317" s="10">
        <f>[2]หน้าผ้า!AB326</f>
        <v>0</v>
      </c>
      <c r="Q317" s="10">
        <f>[2]หน้าผ้า!AC326</f>
        <v>0</v>
      </c>
      <c r="R317" s="10">
        <f>[2]หน้าผ้า!AD326</f>
        <v>0</v>
      </c>
      <c r="S317" s="9">
        <f>[2]หน้าผ้า!Z326</f>
        <v>0</v>
      </c>
      <c r="T317" s="12">
        <f>[2]หน้าผ้า!X326</f>
        <v>0</v>
      </c>
      <c r="U317" s="11">
        <f>[2]หน้าผ้า!AA326</f>
        <v>0</v>
      </c>
      <c r="V317" s="10">
        <f>[2]หน้าผ้า!AJ326</f>
        <v>0</v>
      </c>
      <c r="W317" s="10">
        <f>[2]หน้าผ้า!AL326</f>
        <v>0</v>
      </c>
      <c r="X317" s="10">
        <f>[2]หน้าผ้า!AM326</f>
        <v>0</v>
      </c>
      <c r="Y317" s="10">
        <f>[2]หน้าผ้า!AN326</f>
        <v>0</v>
      </c>
      <c r="Z317" s="9">
        <f>[2]หน้าผ้า!AO326</f>
        <v>0</v>
      </c>
      <c r="AA317" s="8">
        <f>[2]หน้าผ้า!AQ326</f>
        <v>0</v>
      </c>
      <c r="AB317" s="8">
        <f>[2]หน้าผ้า!AR326</f>
        <v>0</v>
      </c>
      <c r="AC317" s="8">
        <f>[2]หน้าผ้า!AS326</f>
        <v>0</v>
      </c>
      <c r="AD317" s="8">
        <f>[2]หน้าผ้า!AT326</f>
        <v>0</v>
      </c>
      <c r="AE317" s="8">
        <f>[2]หน้าผ้า!AU326</f>
        <v>0</v>
      </c>
      <c r="AF317" s="8">
        <f>[2]หน้าผ้า!AI326</f>
        <v>0</v>
      </c>
      <c r="AG317" s="1">
        <f>[3]หน้าผ้า!DC329</f>
        <v>0</v>
      </c>
      <c r="AH317" s="1">
        <f>[2]หน้าผ้า!DL326</f>
        <v>0</v>
      </c>
      <c r="AI317" s="1">
        <f>[2]หน้าผ้า!DM326</f>
        <v>0</v>
      </c>
      <c r="AJ317" s="3">
        <f>[2]หน้าผ้า!DN326</f>
        <v>0</v>
      </c>
      <c r="AK317" s="3">
        <f>[2]หน้าผ้า!DQ326</f>
        <v>0</v>
      </c>
      <c r="AL317" s="3">
        <f>[2]หน้าผ้า!DR326</f>
        <v>0</v>
      </c>
      <c r="AM317" s="3">
        <f>[2]หน้าผ้า!DS326</f>
        <v>0</v>
      </c>
      <c r="AN317" s="3">
        <f>[2]หน้าผ้า!DT326</f>
        <v>0</v>
      </c>
      <c r="AO317" s="3">
        <f>[2]หน้าผ้า!DU326</f>
        <v>0</v>
      </c>
      <c r="AP317" s="3">
        <f>[2]หน้าผ้า!DP326</f>
        <v>0</v>
      </c>
      <c r="AQ317" s="3">
        <f>[2]หน้าผ้า!DW326</f>
        <v>0</v>
      </c>
      <c r="AR317" s="3">
        <f>[2]หน้าผ้า!DX326</f>
        <v>0</v>
      </c>
      <c r="AS317" s="3">
        <f>[2]หน้าผ้า!DY326</f>
        <v>0</v>
      </c>
      <c r="AT317" s="3">
        <f>[2]หน้าผ้า!DZ326</f>
        <v>0</v>
      </c>
      <c r="AU317" s="3">
        <f>[2]หน้าผ้า!EA326</f>
        <v>0</v>
      </c>
      <c r="AV317" s="1">
        <f>[2]หน้าผ้า!EB326</f>
        <v>0</v>
      </c>
      <c r="AW317" s="2">
        <f>[2]หน้าผ้า!EC326</f>
        <v>0</v>
      </c>
      <c r="AX317" s="2">
        <f>[2]หน้าผ้า!ED326</f>
        <v>0</v>
      </c>
      <c r="AY317" s="2">
        <f>[2]หน้าผ้า!AG326</f>
        <v>0</v>
      </c>
      <c r="AZ317" s="2">
        <f>[2]หน้าผ้า!EG326</f>
        <v>0</v>
      </c>
      <c r="BA317" s="2">
        <f>[2]หน้าผ้า!EH326</f>
        <v>0</v>
      </c>
      <c r="BB317" s="2">
        <f>[2]หน้าผ้า!EI326</f>
        <v>0</v>
      </c>
      <c r="BC317" s="1">
        <f>[2]หน้าผ้า!BZ326</f>
        <v>0</v>
      </c>
      <c r="BD317" s="56">
        <f>[2]หน้าผ้า!CA326</f>
        <v>0</v>
      </c>
    </row>
    <row r="318" spans="1:56" ht="27.75" customHeight="1" x14ac:dyDescent="0.45">
      <c r="A318" s="3">
        <f>[2]หน้าผ้า!C327</f>
        <v>0</v>
      </c>
      <c r="B318" s="14">
        <f>[2]หน้าผ้า!B327</f>
        <v>0</v>
      </c>
      <c r="C318" s="9">
        <f>[2]หน้าผ้า!E327</f>
        <v>0</v>
      </c>
      <c r="D318" s="13">
        <f>[2]หน้าผ้า!F327</f>
        <v>0</v>
      </c>
      <c r="E318" s="9">
        <f>[2]หน้าผ้า!G327</f>
        <v>0</v>
      </c>
      <c r="F318" s="9">
        <f>[2]หน้าผ้า!H327</f>
        <v>0</v>
      </c>
      <c r="G318" s="9">
        <f>[2]หน้าผ้า!I327</f>
        <v>0</v>
      </c>
      <c r="H318" s="9">
        <f>[2]หน้าผ้า!J327</f>
        <v>0</v>
      </c>
      <c r="I318" s="9">
        <f>[2]หน้าผ้า!L327</f>
        <v>0</v>
      </c>
      <c r="J318" s="9">
        <f>[2]หน้าผ้า!M327</f>
        <v>0</v>
      </c>
      <c r="K318" s="9">
        <f>[2]หน้าผ้า!N327</f>
        <v>0</v>
      </c>
      <c r="L318" s="9">
        <f>[2]หน้าผ้า!R327</f>
        <v>0</v>
      </c>
      <c r="M318" s="10">
        <f>[2]หน้าผ้า!T327</f>
        <v>0</v>
      </c>
      <c r="N318" s="9">
        <f>[2]หน้าผ้า!U327</f>
        <v>0</v>
      </c>
      <c r="O318" s="9">
        <f>[2]หน้าผ้า!V327</f>
        <v>0</v>
      </c>
      <c r="P318" s="10">
        <f>[2]หน้าผ้า!AB327</f>
        <v>0</v>
      </c>
      <c r="Q318" s="10">
        <f>[2]หน้าผ้า!AC327</f>
        <v>0</v>
      </c>
      <c r="R318" s="10">
        <f>[2]หน้าผ้า!AD327</f>
        <v>0</v>
      </c>
      <c r="S318" s="9">
        <f>[2]หน้าผ้า!Z327</f>
        <v>0</v>
      </c>
      <c r="T318" s="12">
        <f>[2]หน้าผ้า!X327</f>
        <v>0</v>
      </c>
      <c r="U318" s="11">
        <f>[2]หน้าผ้า!AA327</f>
        <v>0</v>
      </c>
      <c r="V318" s="10">
        <f>[2]หน้าผ้า!AJ327</f>
        <v>0</v>
      </c>
      <c r="W318" s="10">
        <f>[2]หน้าผ้า!AL327</f>
        <v>0</v>
      </c>
      <c r="X318" s="10">
        <f>[2]หน้าผ้า!AM327</f>
        <v>0</v>
      </c>
      <c r="Y318" s="10">
        <f>[2]หน้าผ้า!AN327</f>
        <v>0</v>
      </c>
      <c r="Z318" s="9">
        <f>[2]หน้าผ้า!AO327</f>
        <v>0</v>
      </c>
      <c r="AA318" s="8">
        <f>[2]หน้าผ้า!AQ327</f>
        <v>0</v>
      </c>
      <c r="AB318" s="8">
        <f>[2]หน้าผ้า!AR327</f>
        <v>0</v>
      </c>
      <c r="AC318" s="8">
        <f>[2]หน้าผ้า!AS327</f>
        <v>0</v>
      </c>
      <c r="AD318" s="8">
        <f>[2]หน้าผ้า!AT327</f>
        <v>0</v>
      </c>
      <c r="AE318" s="8">
        <f>[2]หน้าผ้า!AU327</f>
        <v>0</v>
      </c>
      <c r="AF318" s="8">
        <f>[2]หน้าผ้า!AI327</f>
        <v>0</v>
      </c>
      <c r="AG318" s="1">
        <f>[3]หน้าผ้า!DC330</f>
        <v>0</v>
      </c>
      <c r="AH318" s="1">
        <f>[2]หน้าผ้า!DL327</f>
        <v>0</v>
      </c>
      <c r="AI318" s="1">
        <f>[2]หน้าผ้า!DM327</f>
        <v>0</v>
      </c>
      <c r="AJ318" s="3">
        <f>[2]หน้าผ้า!DN327</f>
        <v>0</v>
      </c>
      <c r="AK318" s="3">
        <f>[2]หน้าผ้า!DQ327</f>
        <v>0</v>
      </c>
      <c r="AL318" s="3">
        <f>[2]หน้าผ้า!DR327</f>
        <v>0</v>
      </c>
      <c r="AM318" s="3">
        <f>[2]หน้าผ้า!DS327</f>
        <v>0</v>
      </c>
      <c r="AN318" s="3">
        <f>[2]หน้าผ้า!DT327</f>
        <v>0</v>
      </c>
      <c r="AO318" s="3">
        <f>[2]หน้าผ้า!DU327</f>
        <v>0</v>
      </c>
      <c r="AP318" s="3">
        <f>[2]หน้าผ้า!DP327</f>
        <v>0</v>
      </c>
      <c r="AQ318" s="3">
        <f>[2]หน้าผ้า!DW327</f>
        <v>0</v>
      </c>
      <c r="AR318" s="3">
        <f>[2]หน้าผ้า!DX327</f>
        <v>0</v>
      </c>
      <c r="AS318" s="3">
        <f>[2]หน้าผ้า!DY327</f>
        <v>0</v>
      </c>
      <c r="AT318" s="3">
        <f>[2]หน้าผ้า!DZ327</f>
        <v>0</v>
      </c>
      <c r="AU318" s="3">
        <f>[2]หน้าผ้า!EA327</f>
        <v>0</v>
      </c>
      <c r="AV318" s="1">
        <f>[2]หน้าผ้า!EB327</f>
        <v>0</v>
      </c>
      <c r="AW318" s="2">
        <f>[2]หน้าผ้า!EC327</f>
        <v>0</v>
      </c>
      <c r="AX318" s="2">
        <f>[2]หน้าผ้า!ED327</f>
        <v>0</v>
      </c>
      <c r="AY318" s="2">
        <f>[2]หน้าผ้า!AG327</f>
        <v>0</v>
      </c>
      <c r="AZ318" s="2">
        <f>[2]หน้าผ้า!EG327</f>
        <v>0</v>
      </c>
      <c r="BA318" s="2">
        <f>[2]หน้าผ้า!EH327</f>
        <v>0</v>
      </c>
      <c r="BB318" s="2">
        <f>[2]หน้าผ้า!EI327</f>
        <v>0</v>
      </c>
      <c r="BC318" s="1">
        <f>[2]หน้าผ้า!BZ327</f>
        <v>0</v>
      </c>
      <c r="BD318" s="56">
        <f>[2]หน้าผ้า!CA327</f>
        <v>0</v>
      </c>
    </row>
    <row r="319" spans="1:56" ht="27.75" customHeight="1" x14ac:dyDescent="0.45">
      <c r="A319" s="3">
        <f>[2]หน้าผ้า!C328</f>
        <v>0</v>
      </c>
      <c r="B319" s="14">
        <f>[2]หน้าผ้า!B328</f>
        <v>0</v>
      </c>
      <c r="C319" s="9">
        <f>[2]หน้าผ้า!E328</f>
        <v>0</v>
      </c>
      <c r="D319" s="13">
        <f>[2]หน้าผ้า!F328</f>
        <v>0</v>
      </c>
      <c r="E319" s="9">
        <f>[2]หน้าผ้า!G328</f>
        <v>0</v>
      </c>
      <c r="F319" s="9">
        <f>[2]หน้าผ้า!H328</f>
        <v>0</v>
      </c>
      <c r="G319" s="9">
        <f>[2]หน้าผ้า!I328</f>
        <v>0</v>
      </c>
      <c r="H319" s="9">
        <f>[2]หน้าผ้า!J328</f>
        <v>0</v>
      </c>
      <c r="I319" s="9">
        <f>[2]หน้าผ้า!L328</f>
        <v>0</v>
      </c>
      <c r="J319" s="9">
        <f>[2]หน้าผ้า!M328</f>
        <v>0</v>
      </c>
      <c r="K319" s="9">
        <f>[2]หน้าผ้า!N328</f>
        <v>0</v>
      </c>
      <c r="L319" s="9">
        <f>[2]หน้าผ้า!R328</f>
        <v>0</v>
      </c>
      <c r="M319" s="10">
        <f>[2]หน้าผ้า!T328</f>
        <v>0</v>
      </c>
      <c r="N319" s="9">
        <f>[2]หน้าผ้า!U328</f>
        <v>0</v>
      </c>
      <c r="O319" s="9">
        <f>[2]หน้าผ้า!V328</f>
        <v>0</v>
      </c>
      <c r="P319" s="10">
        <f>[2]หน้าผ้า!AB328</f>
        <v>0</v>
      </c>
      <c r="Q319" s="10">
        <f>[2]หน้าผ้า!AC328</f>
        <v>0</v>
      </c>
      <c r="R319" s="10">
        <f>[2]หน้าผ้า!AD328</f>
        <v>0</v>
      </c>
      <c r="S319" s="9">
        <f>[2]หน้าผ้า!Z328</f>
        <v>0</v>
      </c>
      <c r="T319" s="12">
        <f>[2]หน้าผ้า!X328</f>
        <v>0</v>
      </c>
      <c r="U319" s="11">
        <f>[2]หน้าผ้า!AA328</f>
        <v>0</v>
      </c>
      <c r="V319" s="10">
        <f>[2]หน้าผ้า!AJ328</f>
        <v>0</v>
      </c>
      <c r="W319" s="10">
        <f>[2]หน้าผ้า!AL328</f>
        <v>0</v>
      </c>
      <c r="X319" s="10">
        <f>[2]หน้าผ้า!AM328</f>
        <v>0</v>
      </c>
      <c r="Y319" s="10">
        <f>[2]หน้าผ้า!AN328</f>
        <v>0</v>
      </c>
      <c r="Z319" s="9">
        <f>[2]หน้าผ้า!AO328</f>
        <v>0</v>
      </c>
      <c r="AA319" s="8">
        <f>[2]หน้าผ้า!AQ328</f>
        <v>0</v>
      </c>
      <c r="AB319" s="8">
        <f>[2]หน้าผ้า!AR328</f>
        <v>0</v>
      </c>
      <c r="AC319" s="8">
        <f>[2]หน้าผ้า!AS328</f>
        <v>0</v>
      </c>
      <c r="AD319" s="8">
        <f>[2]หน้าผ้า!AT328</f>
        <v>0</v>
      </c>
      <c r="AE319" s="8">
        <f>[2]หน้าผ้า!AU328</f>
        <v>0</v>
      </c>
      <c r="AF319" s="8">
        <f>[2]หน้าผ้า!AI328</f>
        <v>0</v>
      </c>
      <c r="AG319" s="1">
        <f>[3]หน้าผ้า!DC331</f>
        <v>0</v>
      </c>
      <c r="AH319" s="1">
        <f>[2]หน้าผ้า!DL328</f>
        <v>0</v>
      </c>
      <c r="AI319" s="1">
        <f>[2]หน้าผ้า!DM328</f>
        <v>0</v>
      </c>
      <c r="AJ319" s="3">
        <f>[2]หน้าผ้า!DN328</f>
        <v>0</v>
      </c>
      <c r="AK319" s="3">
        <f>[2]หน้าผ้า!DQ328</f>
        <v>0</v>
      </c>
      <c r="AL319" s="3">
        <f>[2]หน้าผ้า!DR328</f>
        <v>0</v>
      </c>
      <c r="AM319" s="3">
        <f>[2]หน้าผ้า!DS328</f>
        <v>0</v>
      </c>
      <c r="AN319" s="3">
        <f>[2]หน้าผ้า!DT328</f>
        <v>0</v>
      </c>
      <c r="AO319" s="3">
        <f>[2]หน้าผ้า!DU328</f>
        <v>0</v>
      </c>
      <c r="AP319" s="3">
        <f>[2]หน้าผ้า!DP328</f>
        <v>0</v>
      </c>
      <c r="AQ319" s="3">
        <f>[2]หน้าผ้า!DW328</f>
        <v>0</v>
      </c>
      <c r="AR319" s="3">
        <f>[2]หน้าผ้า!DX328</f>
        <v>0</v>
      </c>
      <c r="AS319" s="3">
        <f>[2]หน้าผ้า!DY328</f>
        <v>0</v>
      </c>
      <c r="AT319" s="3">
        <f>[2]หน้าผ้า!DZ328</f>
        <v>0</v>
      </c>
      <c r="AU319" s="3">
        <f>[2]หน้าผ้า!EA328</f>
        <v>0</v>
      </c>
      <c r="AV319" s="1">
        <f>[2]หน้าผ้า!EB328</f>
        <v>0</v>
      </c>
      <c r="AW319" s="2">
        <f>[2]หน้าผ้า!EC328</f>
        <v>0</v>
      </c>
      <c r="AX319" s="2">
        <f>[2]หน้าผ้า!ED328</f>
        <v>0</v>
      </c>
      <c r="AY319" s="2">
        <f>[2]หน้าผ้า!AG328</f>
        <v>0</v>
      </c>
      <c r="AZ319" s="2">
        <f>[2]หน้าผ้า!EG328</f>
        <v>0</v>
      </c>
      <c r="BA319" s="2">
        <f>[2]หน้าผ้า!EH328</f>
        <v>0</v>
      </c>
      <c r="BB319" s="2">
        <f>[2]หน้าผ้า!EI328</f>
        <v>0</v>
      </c>
      <c r="BC319" s="1">
        <f>[2]หน้าผ้า!BZ328</f>
        <v>0</v>
      </c>
      <c r="BD319" s="56">
        <f>[2]หน้าผ้า!CA328</f>
        <v>0</v>
      </c>
    </row>
    <row r="320" spans="1:56" ht="27.75" customHeight="1" x14ac:dyDescent="0.45">
      <c r="A320" s="3">
        <f>[2]หน้าผ้า!C329</f>
        <v>0</v>
      </c>
      <c r="B320" s="14">
        <f>[2]หน้าผ้า!B329</f>
        <v>0</v>
      </c>
      <c r="C320" s="9">
        <f>[2]หน้าผ้า!E329</f>
        <v>0</v>
      </c>
      <c r="D320" s="13">
        <f>[2]หน้าผ้า!F329</f>
        <v>0</v>
      </c>
      <c r="E320" s="9">
        <f>[2]หน้าผ้า!G329</f>
        <v>0</v>
      </c>
      <c r="F320" s="9">
        <f>[2]หน้าผ้า!H329</f>
        <v>0</v>
      </c>
      <c r="G320" s="9">
        <f>[2]หน้าผ้า!I329</f>
        <v>0</v>
      </c>
      <c r="H320" s="9">
        <f>[2]หน้าผ้า!J329</f>
        <v>0</v>
      </c>
      <c r="I320" s="9">
        <f>[2]หน้าผ้า!L329</f>
        <v>0</v>
      </c>
      <c r="J320" s="9">
        <f>[2]หน้าผ้า!M329</f>
        <v>0</v>
      </c>
      <c r="K320" s="9">
        <f>[2]หน้าผ้า!N329</f>
        <v>0</v>
      </c>
      <c r="L320" s="9">
        <f>[2]หน้าผ้า!R329</f>
        <v>0</v>
      </c>
      <c r="M320" s="10">
        <f>[2]หน้าผ้า!T329</f>
        <v>0</v>
      </c>
      <c r="N320" s="9">
        <f>[2]หน้าผ้า!U329</f>
        <v>0</v>
      </c>
      <c r="O320" s="9">
        <f>[2]หน้าผ้า!V329</f>
        <v>0</v>
      </c>
      <c r="P320" s="10">
        <f>[2]หน้าผ้า!AB329</f>
        <v>0</v>
      </c>
      <c r="Q320" s="10">
        <f>[2]หน้าผ้า!AC329</f>
        <v>0</v>
      </c>
      <c r="R320" s="10">
        <f>[2]หน้าผ้า!AD329</f>
        <v>0</v>
      </c>
      <c r="S320" s="9">
        <f>[2]หน้าผ้า!Z329</f>
        <v>0</v>
      </c>
      <c r="T320" s="12">
        <f>[2]หน้าผ้า!X329</f>
        <v>0</v>
      </c>
      <c r="U320" s="11">
        <f>[2]หน้าผ้า!AA329</f>
        <v>0</v>
      </c>
      <c r="V320" s="10">
        <f>[2]หน้าผ้า!AJ329</f>
        <v>0</v>
      </c>
      <c r="W320" s="10">
        <f>[2]หน้าผ้า!AL329</f>
        <v>0</v>
      </c>
      <c r="X320" s="10">
        <f>[2]หน้าผ้า!AM329</f>
        <v>0</v>
      </c>
      <c r="Y320" s="10">
        <f>[2]หน้าผ้า!AN329</f>
        <v>0</v>
      </c>
      <c r="Z320" s="9">
        <f>[2]หน้าผ้า!AO329</f>
        <v>0</v>
      </c>
      <c r="AA320" s="8">
        <f>[2]หน้าผ้า!AQ329</f>
        <v>0</v>
      </c>
      <c r="AB320" s="8">
        <f>[2]หน้าผ้า!AR329</f>
        <v>0</v>
      </c>
      <c r="AC320" s="8">
        <f>[2]หน้าผ้า!AS329</f>
        <v>0</v>
      </c>
      <c r="AD320" s="8">
        <f>[2]หน้าผ้า!AT329</f>
        <v>0</v>
      </c>
      <c r="AE320" s="8">
        <f>[2]หน้าผ้า!AU329</f>
        <v>0</v>
      </c>
      <c r="AF320" s="8">
        <f>[2]หน้าผ้า!AI329</f>
        <v>0</v>
      </c>
      <c r="AG320" s="1">
        <f>[3]หน้าผ้า!DC332</f>
        <v>0</v>
      </c>
      <c r="AH320" s="1">
        <f>[2]หน้าผ้า!DL329</f>
        <v>0</v>
      </c>
      <c r="AI320" s="1">
        <f>[2]หน้าผ้า!DM329</f>
        <v>0</v>
      </c>
      <c r="AJ320" s="3">
        <f>[2]หน้าผ้า!DN329</f>
        <v>0</v>
      </c>
      <c r="AK320" s="3">
        <f>[2]หน้าผ้า!DQ329</f>
        <v>0</v>
      </c>
      <c r="AL320" s="3">
        <f>[2]หน้าผ้า!DR329</f>
        <v>0</v>
      </c>
      <c r="AM320" s="3">
        <f>[2]หน้าผ้า!DS329</f>
        <v>0</v>
      </c>
      <c r="AN320" s="3">
        <f>[2]หน้าผ้า!DT329</f>
        <v>0</v>
      </c>
      <c r="AO320" s="3">
        <f>[2]หน้าผ้า!DU329</f>
        <v>0</v>
      </c>
      <c r="AP320" s="3">
        <f>[2]หน้าผ้า!DP329</f>
        <v>0</v>
      </c>
      <c r="AQ320" s="3">
        <f>[2]หน้าผ้า!DW329</f>
        <v>0</v>
      </c>
      <c r="AR320" s="3">
        <f>[2]หน้าผ้า!DX329</f>
        <v>0</v>
      </c>
      <c r="AS320" s="3">
        <f>[2]หน้าผ้า!DY329</f>
        <v>0</v>
      </c>
      <c r="AT320" s="3">
        <f>[2]หน้าผ้า!DZ329</f>
        <v>0</v>
      </c>
      <c r="AU320" s="3">
        <f>[2]หน้าผ้า!EA329</f>
        <v>0</v>
      </c>
      <c r="AV320" s="1">
        <f>[2]หน้าผ้า!EB329</f>
        <v>0</v>
      </c>
      <c r="AW320" s="2">
        <f>[2]หน้าผ้า!EC329</f>
        <v>0</v>
      </c>
      <c r="AX320" s="2">
        <f>[2]หน้าผ้า!ED329</f>
        <v>0</v>
      </c>
      <c r="AY320" s="2">
        <f>[2]หน้าผ้า!AG329</f>
        <v>0</v>
      </c>
      <c r="AZ320" s="2">
        <f>[2]หน้าผ้า!EG329</f>
        <v>0</v>
      </c>
      <c r="BA320" s="2">
        <f>[2]หน้าผ้า!EH329</f>
        <v>0</v>
      </c>
      <c r="BB320" s="2">
        <f>[2]หน้าผ้า!EI329</f>
        <v>0</v>
      </c>
      <c r="BC320" s="1">
        <f>[2]หน้าผ้า!BZ329</f>
        <v>0</v>
      </c>
      <c r="BD320" s="56">
        <f>[2]หน้าผ้า!CA329</f>
        <v>0</v>
      </c>
    </row>
    <row r="321" spans="1:56" ht="27.75" customHeight="1" x14ac:dyDescent="0.45">
      <c r="A321" s="3">
        <f>[2]หน้าผ้า!C330</f>
        <v>0</v>
      </c>
      <c r="B321" s="14">
        <f>[2]หน้าผ้า!B330</f>
        <v>0</v>
      </c>
      <c r="C321" s="9">
        <f>[2]หน้าผ้า!E330</f>
        <v>0</v>
      </c>
      <c r="D321" s="13">
        <f>[2]หน้าผ้า!F330</f>
        <v>0</v>
      </c>
      <c r="E321" s="9">
        <f>[2]หน้าผ้า!G330</f>
        <v>0</v>
      </c>
      <c r="F321" s="9">
        <f>[2]หน้าผ้า!H330</f>
        <v>0</v>
      </c>
      <c r="G321" s="9">
        <f>[2]หน้าผ้า!I330</f>
        <v>0</v>
      </c>
      <c r="H321" s="9">
        <f>[2]หน้าผ้า!J330</f>
        <v>0</v>
      </c>
      <c r="I321" s="9">
        <f>[2]หน้าผ้า!L330</f>
        <v>0</v>
      </c>
      <c r="J321" s="9">
        <f>[2]หน้าผ้า!M330</f>
        <v>0</v>
      </c>
      <c r="K321" s="9">
        <f>[2]หน้าผ้า!N330</f>
        <v>0</v>
      </c>
      <c r="L321" s="9">
        <f>[2]หน้าผ้า!R330</f>
        <v>0</v>
      </c>
      <c r="M321" s="10">
        <f>[2]หน้าผ้า!T330</f>
        <v>0</v>
      </c>
      <c r="N321" s="9">
        <f>[2]หน้าผ้า!U330</f>
        <v>0</v>
      </c>
      <c r="O321" s="9">
        <f>[2]หน้าผ้า!V330</f>
        <v>0</v>
      </c>
      <c r="P321" s="10">
        <f>[2]หน้าผ้า!AB330</f>
        <v>0</v>
      </c>
      <c r="Q321" s="10">
        <f>[2]หน้าผ้า!AC330</f>
        <v>0</v>
      </c>
      <c r="R321" s="10">
        <f>[2]หน้าผ้า!AD330</f>
        <v>0</v>
      </c>
      <c r="S321" s="9">
        <f>[2]หน้าผ้า!Z330</f>
        <v>0</v>
      </c>
      <c r="T321" s="12">
        <f>[2]หน้าผ้า!X330</f>
        <v>0</v>
      </c>
      <c r="U321" s="11">
        <f>[2]หน้าผ้า!AA330</f>
        <v>0</v>
      </c>
      <c r="V321" s="10">
        <f>[2]หน้าผ้า!AJ330</f>
        <v>0</v>
      </c>
      <c r="W321" s="10">
        <f>[2]หน้าผ้า!AL330</f>
        <v>0</v>
      </c>
      <c r="X321" s="10">
        <f>[2]หน้าผ้า!AM330</f>
        <v>0</v>
      </c>
      <c r="Y321" s="10">
        <f>[2]หน้าผ้า!AN330</f>
        <v>0</v>
      </c>
      <c r="Z321" s="9">
        <f>[2]หน้าผ้า!AO330</f>
        <v>0</v>
      </c>
      <c r="AA321" s="8">
        <f>[2]หน้าผ้า!AQ330</f>
        <v>0</v>
      </c>
      <c r="AB321" s="8">
        <f>[2]หน้าผ้า!AR330</f>
        <v>0</v>
      </c>
      <c r="AC321" s="8">
        <f>[2]หน้าผ้า!AS330</f>
        <v>0</v>
      </c>
      <c r="AD321" s="8">
        <f>[2]หน้าผ้า!AT330</f>
        <v>0</v>
      </c>
      <c r="AE321" s="8">
        <f>[2]หน้าผ้า!AU330</f>
        <v>0</v>
      </c>
      <c r="AF321" s="8">
        <f>[2]หน้าผ้า!AI330</f>
        <v>0</v>
      </c>
      <c r="AG321" s="1">
        <f>[3]หน้าผ้า!DC333</f>
        <v>0</v>
      </c>
      <c r="AH321" s="1">
        <f>[2]หน้าผ้า!DL330</f>
        <v>0</v>
      </c>
      <c r="AI321" s="1">
        <f>[2]หน้าผ้า!DM330</f>
        <v>0</v>
      </c>
      <c r="AJ321" s="3">
        <f>[2]หน้าผ้า!DN330</f>
        <v>0</v>
      </c>
      <c r="AK321" s="3">
        <f>[2]หน้าผ้า!DQ330</f>
        <v>0</v>
      </c>
      <c r="AL321" s="3">
        <f>[2]หน้าผ้า!DR330</f>
        <v>0</v>
      </c>
      <c r="AM321" s="3">
        <f>[2]หน้าผ้า!DS330</f>
        <v>0</v>
      </c>
      <c r="AN321" s="3">
        <f>[2]หน้าผ้า!DT330</f>
        <v>0</v>
      </c>
      <c r="AO321" s="3">
        <f>[2]หน้าผ้า!DU330</f>
        <v>0</v>
      </c>
      <c r="AP321" s="3">
        <f>[2]หน้าผ้า!DP330</f>
        <v>0</v>
      </c>
      <c r="AQ321" s="3">
        <f>[2]หน้าผ้า!DW330</f>
        <v>0</v>
      </c>
      <c r="AR321" s="3">
        <f>[2]หน้าผ้า!DX330</f>
        <v>0</v>
      </c>
      <c r="AS321" s="3">
        <f>[2]หน้าผ้า!DY330</f>
        <v>0</v>
      </c>
      <c r="AT321" s="3">
        <f>[2]หน้าผ้า!DZ330</f>
        <v>0</v>
      </c>
      <c r="AU321" s="3">
        <f>[2]หน้าผ้า!EA330</f>
        <v>0</v>
      </c>
      <c r="AV321" s="1">
        <f>[2]หน้าผ้า!EB330</f>
        <v>0</v>
      </c>
      <c r="AW321" s="2">
        <f>[2]หน้าผ้า!EC330</f>
        <v>0</v>
      </c>
      <c r="AX321" s="2">
        <f>[2]หน้าผ้า!ED330</f>
        <v>0</v>
      </c>
      <c r="AY321" s="2">
        <f>[2]หน้าผ้า!AG330</f>
        <v>0</v>
      </c>
      <c r="AZ321" s="2">
        <f>[2]หน้าผ้า!EG330</f>
        <v>0</v>
      </c>
      <c r="BA321" s="2">
        <f>[2]หน้าผ้า!EH330</f>
        <v>0</v>
      </c>
      <c r="BB321" s="2">
        <f>[2]หน้าผ้า!EI330</f>
        <v>0</v>
      </c>
      <c r="BC321" s="1">
        <f>[2]หน้าผ้า!BZ330</f>
        <v>0</v>
      </c>
      <c r="BD321" s="56">
        <f>[2]หน้าผ้า!CA330</f>
        <v>0</v>
      </c>
    </row>
    <row r="322" spans="1:56" ht="27.75" customHeight="1" x14ac:dyDescent="0.45">
      <c r="A322" s="3">
        <f>[2]หน้าผ้า!C331</f>
        <v>0</v>
      </c>
      <c r="B322" s="14">
        <f>[2]หน้าผ้า!B331</f>
        <v>0</v>
      </c>
      <c r="C322" s="9">
        <f>[2]หน้าผ้า!E331</f>
        <v>0</v>
      </c>
      <c r="D322" s="13">
        <f>[2]หน้าผ้า!F331</f>
        <v>0</v>
      </c>
      <c r="E322" s="9">
        <f>[2]หน้าผ้า!G331</f>
        <v>0</v>
      </c>
      <c r="F322" s="9">
        <f>[2]หน้าผ้า!H331</f>
        <v>0</v>
      </c>
      <c r="G322" s="9">
        <f>[2]หน้าผ้า!I331</f>
        <v>0</v>
      </c>
      <c r="H322" s="9">
        <f>[2]หน้าผ้า!J331</f>
        <v>0</v>
      </c>
      <c r="I322" s="9">
        <f>[2]หน้าผ้า!L331</f>
        <v>0</v>
      </c>
      <c r="J322" s="9">
        <f>[2]หน้าผ้า!M331</f>
        <v>0</v>
      </c>
      <c r="K322" s="9">
        <f>[2]หน้าผ้า!N331</f>
        <v>0</v>
      </c>
      <c r="L322" s="9">
        <f>[2]หน้าผ้า!R331</f>
        <v>0</v>
      </c>
      <c r="M322" s="10">
        <f>[2]หน้าผ้า!T331</f>
        <v>0</v>
      </c>
      <c r="N322" s="9">
        <f>[2]หน้าผ้า!U331</f>
        <v>0</v>
      </c>
      <c r="O322" s="9">
        <f>[2]หน้าผ้า!V331</f>
        <v>0</v>
      </c>
      <c r="P322" s="10">
        <f>[2]หน้าผ้า!AB331</f>
        <v>0</v>
      </c>
      <c r="Q322" s="10">
        <f>[2]หน้าผ้า!AC331</f>
        <v>0</v>
      </c>
      <c r="R322" s="10">
        <f>[2]หน้าผ้า!AD331</f>
        <v>0</v>
      </c>
      <c r="S322" s="9">
        <f>[2]หน้าผ้า!Z331</f>
        <v>0</v>
      </c>
      <c r="T322" s="12">
        <f>[2]หน้าผ้า!X331</f>
        <v>0</v>
      </c>
      <c r="U322" s="11">
        <f>[2]หน้าผ้า!AA331</f>
        <v>0</v>
      </c>
      <c r="V322" s="10">
        <f>[2]หน้าผ้า!AJ331</f>
        <v>0</v>
      </c>
      <c r="W322" s="10">
        <f>[2]หน้าผ้า!AL331</f>
        <v>0</v>
      </c>
      <c r="X322" s="10">
        <f>[2]หน้าผ้า!AM331</f>
        <v>0</v>
      </c>
      <c r="Y322" s="10">
        <f>[2]หน้าผ้า!AN331</f>
        <v>0</v>
      </c>
      <c r="Z322" s="9">
        <f>[2]หน้าผ้า!AO331</f>
        <v>0</v>
      </c>
      <c r="AA322" s="8">
        <f>[2]หน้าผ้า!AQ331</f>
        <v>0</v>
      </c>
      <c r="AB322" s="8">
        <f>[2]หน้าผ้า!AR331</f>
        <v>0</v>
      </c>
      <c r="AC322" s="8">
        <f>[2]หน้าผ้า!AS331</f>
        <v>0</v>
      </c>
      <c r="AD322" s="8">
        <f>[2]หน้าผ้า!AT331</f>
        <v>0</v>
      </c>
      <c r="AE322" s="8">
        <f>[2]หน้าผ้า!AU331</f>
        <v>0</v>
      </c>
      <c r="AF322" s="8">
        <f>[2]หน้าผ้า!AI331</f>
        <v>0</v>
      </c>
      <c r="AG322" s="1">
        <f>[3]หน้าผ้า!DC334</f>
        <v>0</v>
      </c>
      <c r="AH322" s="1">
        <f>[2]หน้าผ้า!DL331</f>
        <v>0</v>
      </c>
      <c r="AI322" s="1">
        <f>[2]หน้าผ้า!DM331</f>
        <v>0</v>
      </c>
      <c r="AJ322" s="3">
        <f>[2]หน้าผ้า!DN331</f>
        <v>0</v>
      </c>
      <c r="AK322" s="3">
        <f>[2]หน้าผ้า!DQ331</f>
        <v>0</v>
      </c>
      <c r="AL322" s="3">
        <f>[2]หน้าผ้า!DR331</f>
        <v>0</v>
      </c>
      <c r="AM322" s="3">
        <f>[2]หน้าผ้า!DS331</f>
        <v>0</v>
      </c>
      <c r="AN322" s="3">
        <f>[2]หน้าผ้า!DT331</f>
        <v>0</v>
      </c>
      <c r="AO322" s="3">
        <f>[2]หน้าผ้า!DU331</f>
        <v>0</v>
      </c>
      <c r="AP322" s="3">
        <f>[2]หน้าผ้า!DP331</f>
        <v>0</v>
      </c>
      <c r="AQ322" s="3">
        <f>[2]หน้าผ้า!DW331</f>
        <v>0</v>
      </c>
      <c r="AR322" s="3">
        <f>[2]หน้าผ้า!DX331</f>
        <v>0</v>
      </c>
      <c r="AS322" s="3">
        <f>[2]หน้าผ้า!DY331</f>
        <v>0</v>
      </c>
      <c r="AT322" s="3">
        <f>[2]หน้าผ้า!DZ331</f>
        <v>0</v>
      </c>
      <c r="AU322" s="3">
        <f>[2]หน้าผ้า!EA331</f>
        <v>0</v>
      </c>
      <c r="AV322" s="1">
        <f>[2]หน้าผ้า!EB331</f>
        <v>0</v>
      </c>
      <c r="AW322" s="2">
        <f>[2]หน้าผ้า!EC331</f>
        <v>0</v>
      </c>
      <c r="AX322" s="2">
        <f>[2]หน้าผ้า!ED331</f>
        <v>0</v>
      </c>
      <c r="AY322" s="2">
        <f>[2]หน้าผ้า!AG331</f>
        <v>0</v>
      </c>
      <c r="AZ322" s="2">
        <f>[2]หน้าผ้า!EG331</f>
        <v>0</v>
      </c>
      <c r="BA322" s="2">
        <f>[2]หน้าผ้า!EH331</f>
        <v>0</v>
      </c>
      <c r="BB322" s="2">
        <f>[2]หน้าผ้า!EI331</f>
        <v>0</v>
      </c>
      <c r="BC322" s="1">
        <f>[2]หน้าผ้า!BZ331</f>
        <v>0</v>
      </c>
      <c r="BD322" s="56">
        <f>[2]หน้าผ้า!CA331</f>
        <v>0</v>
      </c>
    </row>
    <row r="323" spans="1:56" ht="27.75" customHeight="1" x14ac:dyDescent="0.45">
      <c r="A323" s="3">
        <f>[2]หน้าผ้า!C332</f>
        <v>0</v>
      </c>
      <c r="B323" s="14">
        <f>[2]หน้าผ้า!B332</f>
        <v>0</v>
      </c>
      <c r="C323" s="9">
        <f>[2]หน้าผ้า!E332</f>
        <v>0</v>
      </c>
      <c r="D323" s="13">
        <f>[2]หน้าผ้า!F332</f>
        <v>0</v>
      </c>
      <c r="E323" s="9">
        <f>[2]หน้าผ้า!G332</f>
        <v>0</v>
      </c>
      <c r="F323" s="9">
        <f>[2]หน้าผ้า!H332</f>
        <v>0</v>
      </c>
      <c r="G323" s="9">
        <f>[2]หน้าผ้า!I332</f>
        <v>0</v>
      </c>
      <c r="H323" s="9">
        <f>[2]หน้าผ้า!J332</f>
        <v>0</v>
      </c>
      <c r="I323" s="9">
        <f>[2]หน้าผ้า!L332</f>
        <v>0</v>
      </c>
      <c r="J323" s="9">
        <f>[2]หน้าผ้า!M332</f>
        <v>0</v>
      </c>
      <c r="K323" s="9">
        <f>[2]หน้าผ้า!N332</f>
        <v>0</v>
      </c>
      <c r="L323" s="9">
        <f>[2]หน้าผ้า!R332</f>
        <v>0</v>
      </c>
      <c r="M323" s="10">
        <f>[2]หน้าผ้า!T332</f>
        <v>0</v>
      </c>
      <c r="N323" s="9">
        <f>[2]หน้าผ้า!U332</f>
        <v>0</v>
      </c>
      <c r="O323" s="9">
        <f>[2]หน้าผ้า!V332</f>
        <v>0</v>
      </c>
      <c r="P323" s="10">
        <f>[2]หน้าผ้า!AB332</f>
        <v>0</v>
      </c>
      <c r="Q323" s="10">
        <f>[2]หน้าผ้า!AC332</f>
        <v>0</v>
      </c>
      <c r="R323" s="10">
        <f>[2]หน้าผ้า!AD332</f>
        <v>0</v>
      </c>
      <c r="S323" s="9">
        <f>[2]หน้าผ้า!Z332</f>
        <v>0</v>
      </c>
      <c r="T323" s="12">
        <f>[2]หน้าผ้า!X332</f>
        <v>0</v>
      </c>
      <c r="U323" s="11">
        <f>[2]หน้าผ้า!AA332</f>
        <v>0</v>
      </c>
      <c r="V323" s="10">
        <f>[2]หน้าผ้า!AJ332</f>
        <v>0</v>
      </c>
      <c r="W323" s="10">
        <f>[2]หน้าผ้า!AL332</f>
        <v>0</v>
      </c>
      <c r="X323" s="10">
        <f>[2]หน้าผ้า!AM332</f>
        <v>0</v>
      </c>
      <c r="Y323" s="10">
        <f>[2]หน้าผ้า!AN332</f>
        <v>0</v>
      </c>
      <c r="Z323" s="9">
        <f>[2]หน้าผ้า!AO332</f>
        <v>0</v>
      </c>
      <c r="AA323" s="8">
        <f>[2]หน้าผ้า!AQ332</f>
        <v>0</v>
      </c>
      <c r="AB323" s="8">
        <f>[2]หน้าผ้า!AR332</f>
        <v>0</v>
      </c>
      <c r="AC323" s="8">
        <f>[2]หน้าผ้า!AS332</f>
        <v>0</v>
      </c>
      <c r="AD323" s="8">
        <f>[2]หน้าผ้า!AT332</f>
        <v>0</v>
      </c>
      <c r="AE323" s="8">
        <f>[2]หน้าผ้า!AU332</f>
        <v>0</v>
      </c>
      <c r="AF323" s="8">
        <f>[2]หน้าผ้า!AI332</f>
        <v>0</v>
      </c>
      <c r="AG323" s="1">
        <f>[3]หน้าผ้า!DC335</f>
        <v>0</v>
      </c>
      <c r="AH323" s="1">
        <f>[2]หน้าผ้า!DL332</f>
        <v>0</v>
      </c>
      <c r="AI323" s="1">
        <f>[2]หน้าผ้า!DM332</f>
        <v>0</v>
      </c>
      <c r="AJ323" s="3">
        <f>[2]หน้าผ้า!DN332</f>
        <v>0</v>
      </c>
      <c r="AK323" s="3">
        <f>[2]หน้าผ้า!DQ332</f>
        <v>0</v>
      </c>
      <c r="AL323" s="3">
        <f>[2]หน้าผ้า!DR332</f>
        <v>0</v>
      </c>
      <c r="AM323" s="3">
        <f>[2]หน้าผ้า!DS332</f>
        <v>0</v>
      </c>
      <c r="AN323" s="3">
        <f>[2]หน้าผ้า!DT332</f>
        <v>0</v>
      </c>
      <c r="AO323" s="3">
        <f>[2]หน้าผ้า!DU332</f>
        <v>0</v>
      </c>
      <c r="AP323" s="3">
        <f>[2]หน้าผ้า!DP332</f>
        <v>0</v>
      </c>
      <c r="AQ323" s="3">
        <f>[2]หน้าผ้า!DW332</f>
        <v>0</v>
      </c>
      <c r="AR323" s="3">
        <f>[2]หน้าผ้า!DX332</f>
        <v>0</v>
      </c>
      <c r="AS323" s="3">
        <f>[2]หน้าผ้า!DY332</f>
        <v>0</v>
      </c>
      <c r="AT323" s="3">
        <f>[2]หน้าผ้า!DZ332</f>
        <v>0</v>
      </c>
      <c r="AU323" s="3">
        <f>[2]หน้าผ้า!EA332</f>
        <v>0</v>
      </c>
      <c r="AV323" s="1">
        <f>[2]หน้าผ้า!EB332</f>
        <v>0</v>
      </c>
      <c r="AW323" s="2">
        <f>[2]หน้าผ้า!EC332</f>
        <v>0</v>
      </c>
      <c r="AX323" s="2">
        <f>[2]หน้าผ้า!ED332</f>
        <v>0</v>
      </c>
      <c r="AY323" s="2">
        <f>[2]หน้าผ้า!AG332</f>
        <v>0</v>
      </c>
      <c r="AZ323" s="2">
        <f>[2]หน้าผ้า!EG332</f>
        <v>0</v>
      </c>
      <c r="BA323" s="2">
        <f>[2]หน้าผ้า!EH332</f>
        <v>0</v>
      </c>
      <c r="BB323" s="2">
        <f>[2]หน้าผ้า!EI332</f>
        <v>0</v>
      </c>
      <c r="BC323" s="1">
        <f>[2]หน้าผ้า!BZ332</f>
        <v>0</v>
      </c>
      <c r="BD323" s="56">
        <f>[2]หน้าผ้า!CA332</f>
        <v>0</v>
      </c>
    </row>
    <row r="324" spans="1:56" ht="27.75" customHeight="1" x14ac:dyDescent="0.45">
      <c r="A324" s="3">
        <f>[2]หน้าผ้า!C333</f>
        <v>0</v>
      </c>
      <c r="B324" s="14">
        <f>[2]หน้าผ้า!B333</f>
        <v>0</v>
      </c>
      <c r="C324" s="9">
        <f>[2]หน้าผ้า!E333</f>
        <v>0</v>
      </c>
      <c r="D324" s="13">
        <f>[2]หน้าผ้า!F333</f>
        <v>0</v>
      </c>
      <c r="E324" s="9">
        <f>[2]หน้าผ้า!G333</f>
        <v>0</v>
      </c>
      <c r="F324" s="9">
        <f>[2]หน้าผ้า!H333</f>
        <v>0</v>
      </c>
      <c r="G324" s="9">
        <f>[2]หน้าผ้า!I333</f>
        <v>0</v>
      </c>
      <c r="H324" s="9">
        <f>[2]หน้าผ้า!J333</f>
        <v>0</v>
      </c>
      <c r="I324" s="9">
        <f>[2]หน้าผ้า!L333</f>
        <v>0</v>
      </c>
      <c r="J324" s="9">
        <f>[2]หน้าผ้า!M333</f>
        <v>0</v>
      </c>
      <c r="K324" s="9">
        <f>[2]หน้าผ้า!N333</f>
        <v>0</v>
      </c>
      <c r="L324" s="9">
        <f>[2]หน้าผ้า!R333</f>
        <v>0</v>
      </c>
      <c r="M324" s="10">
        <f>[2]หน้าผ้า!T333</f>
        <v>0</v>
      </c>
      <c r="N324" s="9">
        <f>[2]หน้าผ้า!U333</f>
        <v>0</v>
      </c>
      <c r="O324" s="9">
        <f>[2]หน้าผ้า!V333</f>
        <v>0</v>
      </c>
      <c r="P324" s="10">
        <f>[2]หน้าผ้า!AB333</f>
        <v>0</v>
      </c>
      <c r="Q324" s="10">
        <f>[2]หน้าผ้า!AC333</f>
        <v>0</v>
      </c>
      <c r="R324" s="10">
        <f>[2]หน้าผ้า!AD333</f>
        <v>0</v>
      </c>
      <c r="S324" s="9">
        <f>[2]หน้าผ้า!Z333</f>
        <v>0</v>
      </c>
      <c r="T324" s="12">
        <f>[2]หน้าผ้า!X333</f>
        <v>0</v>
      </c>
      <c r="U324" s="11">
        <f>[2]หน้าผ้า!AA333</f>
        <v>0</v>
      </c>
      <c r="V324" s="10">
        <f>[2]หน้าผ้า!AJ333</f>
        <v>0</v>
      </c>
      <c r="W324" s="10">
        <f>[2]หน้าผ้า!AL333</f>
        <v>0</v>
      </c>
      <c r="X324" s="10">
        <f>[2]หน้าผ้า!AM333</f>
        <v>0</v>
      </c>
      <c r="Y324" s="10">
        <f>[2]หน้าผ้า!AN333</f>
        <v>0</v>
      </c>
      <c r="Z324" s="9">
        <f>[2]หน้าผ้า!AO333</f>
        <v>0</v>
      </c>
      <c r="AA324" s="8">
        <f>[2]หน้าผ้า!AQ333</f>
        <v>0</v>
      </c>
      <c r="AB324" s="8">
        <f>[2]หน้าผ้า!AR333</f>
        <v>0</v>
      </c>
      <c r="AC324" s="8">
        <f>[2]หน้าผ้า!AS333</f>
        <v>0</v>
      </c>
      <c r="AD324" s="8">
        <f>[2]หน้าผ้า!AT333</f>
        <v>0</v>
      </c>
      <c r="AE324" s="8">
        <f>[2]หน้าผ้า!AU333</f>
        <v>0</v>
      </c>
      <c r="AF324" s="8">
        <f>[2]หน้าผ้า!AI333</f>
        <v>0</v>
      </c>
      <c r="AG324" s="1">
        <f>[3]หน้าผ้า!DC336</f>
        <v>0</v>
      </c>
      <c r="AH324" s="1">
        <f>[2]หน้าผ้า!DL333</f>
        <v>0</v>
      </c>
      <c r="AI324" s="1">
        <f>[2]หน้าผ้า!DM333</f>
        <v>0</v>
      </c>
      <c r="AJ324" s="3">
        <f>[2]หน้าผ้า!DN333</f>
        <v>0</v>
      </c>
      <c r="AK324" s="3">
        <f>[2]หน้าผ้า!DQ333</f>
        <v>0</v>
      </c>
      <c r="AL324" s="3">
        <f>[2]หน้าผ้า!DR333</f>
        <v>0</v>
      </c>
      <c r="AM324" s="3">
        <f>[2]หน้าผ้า!DS333</f>
        <v>0</v>
      </c>
      <c r="AN324" s="3">
        <f>[2]หน้าผ้า!DT333</f>
        <v>0</v>
      </c>
      <c r="AO324" s="3">
        <f>[2]หน้าผ้า!DU333</f>
        <v>0</v>
      </c>
      <c r="AP324" s="3">
        <f>[2]หน้าผ้า!DP333</f>
        <v>0</v>
      </c>
      <c r="AQ324" s="3">
        <f>[2]หน้าผ้า!DW333</f>
        <v>0</v>
      </c>
      <c r="AR324" s="3">
        <f>[2]หน้าผ้า!DX333</f>
        <v>0</v>
      </c>
      <c r="AS324" s="3">
        <f>[2]หน้าผ้า!DY333</f>
        <v>0</v>
      </c>
      <c r="AT324" s="3">
        <f>[2]หน้าผ้า!DZ333</f>
        <v>0</v>
      </c>
      <c r="AU324" s="3">
        <f>[2]หน้าผ้า!EA333</f>
        <v>0</v>
      </c>
      <c r="AV324" s="1">
        <f>[2]หน้าผ้า!EB333</f>
        <v>0</v>
      </c>
      <c r="AW324" s="2">
        <f>[2]หน้าผ้า!EC333</f>
        <v>0</v>
      </c>
      <c r="AX324" s="2">
        <f>[2]หน้าผ้า!ED333</f>
        <v>0</v>
      </c>
      <c r="AY324" s="2">
        <f>[2]หน้าผ้า!AG333</f>
        <v>0</v>
      </c>
      <c r="AZ324" s="2">
        <f>[2]หน้าผ้า!EG333</f>
        <v>0</v>
      </c>
      <c r="BA324" s="2">
        <f>[2]หน้าผ้า!EH333</f>
        <v>0</v>
      </c>
      <c r="BB324" s="2">
        <f>[2]หน้าผ้า!EI333</f>
        <v>0</v>
      </c>
      <c r="BC324" s="1">
        <f>[2]หน้าผ้า!BZ333</f>
        <v>0</v>
      </c>
      <c r="BD324" s="56">
        <f>[2]หน้าผ้า!CA333</f>
        <v>0</v>
      </c>
    </row>
    <row r="325" spans="1:56" ht="27.75" customHeight="1" x14ac:dyDescent="0.45">
      <c r="A325" s="3">
        <f>[2]หน้าผ้า!C334</f>
        <v>0</v>
      </c>
      <c r="B325" s="14">
        <f>[2]หน้าผ้า!B334</f>
        <v>0</v>
      </c>
      <c r="C325" s="9">
        <f>[2]หน้าผ้า!E334</f>
        <v>0</v>
      </c>
      <c r="D325" s="13">
        <f>[2]หน้าผ้า!F334</f>
        <v>0</v>
      </c>
      <c r="E325" s="9">
        <f>[2]หน้าผ้า!G334</f>
        <v>0</v>
      </c>
      <c r="F325" s="9">
        <f>[2]หน้าผ้า!H334</f>
        <v>0</v>
      </c>
      <c r="G325" s="9">
        <f>[2]หน้าผ้า!I334</f>
        <v>0</v>
      </c>
      <c r="H325" s="9">
        <f>[2]หน้าผ้า!J334</f>
        <v>0</v>
      </c>
      <c r="I325" s="9">
        <f>[2]หน้าผ้า!L334</f>
        <v>0</v>
      </c>
      <c r="J325" s="9">
        <f>[2]หน้าผ้า!M334</f>
        <v>0</v>
      </c>
      <c r="K325" s="9">
        <f>[2]หน้าผ้า!N334</f>
        <v>0</v>
      </c>
      <c r="L325" s="9">
        <f>[2]หน้าผ้า!R334</f>
        <v>0</v>
      </c>
      <c r="M325" s="10">
        <f>[2]หน้าผ้า!T334</f>
        <v>0</v>
      </c>
      <c r="N325" s="9">
        <f>[2]หน้าผ้า!U334</f>
        <v>0</v>
      </c>
      <c r="O325" s="9">
        <f>[2]หน้าผ้า!V334</f>
        <v>0</v>
      </c>
      <c r="P325" s="10">
        <f>[2]หน้าผ้า!AB334</f>
        <v>0</v>
      </c>
      <c r="Q325" s="10">
        <f>[2]หน้าผ้า!AC334</f>
        <v>0</v>
      </c>
      <c r="R325" s="10">
        <f>[2]หน้าผ้า!AD334</f>
        <v>0</v>
      </c>
      <c r="S325" s="9">
        <f>[2]หน้าผ้า!Z334</f>
        <v>0</v>
      </c>
      <c r="T325" s="12">
        <f>[2]หน้าผ้า!X334</f>
        <v>0</v>
      </c>
      <c r="U325" s="11">
        <f>[2]หน้าผ้า!AA334</f>
        <v>0</v>
      </c>
      <c r="V325" s="10">
        <f>[2]หน้าผ้า!AJ334</f>
        <v>0</v>
      </c>
      <c r="W325" s="10">
        <f>[2]หน้าผ้า!AL334</f>
        <v>0</v>
      </c>
      <c r="X325" s="10">
        <f>[2]หน้าผ้า!AM334</f>
        <v>0</v>
      </c>
      <c r="Y325" s="10">
        <f>[2]หน้าผ้า!AN334</f>
        <v>0</v>
      </c>
      <c r="Z325" s="9">
        <f>[2]หน้าผ้า!AO334</f>
        <v>0</v>
      </c>
      <c r="AA325" s="8">
        <f>[2]หน้าผ้า!AQ334</f>
        <v>0</v>
      </c>
      <c r="AB325" s="8">
        <f>[2]หน้าผ้า!AR334</f>
        <v>0</v>
      </c>
      <c r="AC325" s="8">
        <f>[2]หน้าผ้า!AS334</f>
        <v>0</v>
      </c>
      <c r="AD325" s="8">
        <f>[2]หน้าผ้า!AT334</f>
        <v>0</v>
      </c>
      <c r="AE325" s="8">
        <f>[2]หน้าผ้า!AU334</f>
        <v>0</v>
      </c>
      <c r="AF325" s="8">
        <f>[2]หน้าผ้า!AI334</f>
        <v>0</v>
      </c>
      <c r="AG325" s="1">
        <f>[3]หน้าผ้า!DC337</f>
        <v>0</v>
      </c>
      <c r="AH325" s="1">
        <f>[2]หน้าผ้า!DL334</f>
        <v>0</v>
      </c>
      <c r="AI325" s="1">
        <f>[2]หน้าผ้า!DM334</f>
        <v>0</v>
      </c>
      <c r="AJ325" s="3">
        <f>[2]หน้าผ้า!DN334</f>
        <v>0</v>
      </c>
      <c r="AK325" s="3">
        <f>[2]หน้าผ้า!DQ334</f>
        <v>0</v>
      </c>
      <c r="AL325" s="3">
        <f>[2]หน้าผ้า!DR334</f>
        <v>0</v>
      </c>
      <c r="AM325" s="3">
        <f>[2]หน้าผ้า!DS334</f>
        <v>0</v>
      </c>
      <c r="AN325" s="3">
        <f>[2]หน้าผ้า!DT334</f>
        <v>0</v>
      </c>
      <c r="AO325" s="3">
        <f>[2]หน้าผ้า!DU334</f>
        <v>0</v>
      </c>
      <c r="AP325" s="3">
        <f>[2]หน้าผ้า!DP334</f>
        <v>0</v>
      </c>
      <c r="AQ325" s="3">
        <f>[2]หน้าผ้า!DW334</f>
        <v>0</v>
      </c>
      <c r="AR325" s="3">
        <f>[2]หน้าผ้า!DX334</f>
        <v>0</v>
      </c>
      <c r="AS325" s="3">
        <f>[2]หน้าผ้า!DY334</f>
        <v>0</v>
      </c>
      <c r="AT325" s="3">
        <f>[2]หน้าผ้า!DZ334</f>
        <v>0</v>
      </c>
      <c r="AU325" s="3">
        <f>[2]หน้าผ้า!EA334</f>
        <v>0</v>
      </c>
      <c r="AV325" s="1">
        <f>[2]หน้าผ้า!EB334</f>
        <v>0</v>
      </c>
      <c r="AW325" s="2">
        <f>[2]หน้าผ้า!EC334</f>
        <v>0</v>
      </c>
      <c r="AX325" s="2">
        <f>[2]หน้าผ้า!ED334</f>
        <v>0</v>
      </c>
      <c r="AY325" s="2">
        <f>[2]หน้าผ้า!AG334</f>
        <v>0</v>
      </c>
      <c r="AZ325" s="2">
        <f>[2]หน้าผ้า!EG334</f>
        <v>0</v>
      </c>
      <c r="BA325" s="2">
        <f>[2]หน้าผ้า!EH334</f>
        <v>0</v>
      </c>
      <c r="BB325" s="2">
        <f>[2]หน้าผ้า!EI334</f>
        <v>0</v>
      </c>
      <c r="BC325" s="1">
        <f>[2]หน้าผ้า!BZ334</f>
        <v>0</v>
      </c>
      <c r="BD325" s="56">
        <f>[2]หน้าผ้า!CA334</f>
        <v>0</v>
      </c>
    </row>
    <row r="326" spans="1:56" ht="27.75" customHeight="1" x14ac:dyDescent="0.45">
      <c r="A326" s="3">
        <f>[2]หน้าผ้า!C335</f>
        <v>0</v>
      </c>
      <c r="B326" s="14">
        <f>[2]หน้าผ้า!B335</f>
        <v>0</v>
      </c>
      <c r="C326" s="9">
        <f>[2]หน้าผ้า!E335</f>
        <v>0</v>
      </c>
      <c r="D326" s="13">
        <f>[2]หน้าผ้า!F335</f>
        <v>0</v>
      </c>
      <c r="E326" s="9">
        <f>[2]หน้าผ้า!G335</f>
        <v>0</v>
      </c>
      <c r="F326" s="9">
        <f>[2]หน้าผ้า!H335</f>
        <v>0</v>
      </c>
      <c r="G326" s="9">
        <f>[2]หน้าผ้า!I335</f>
        <v>0</v>
      </c>
      <c r="H326" s="9">
        <f>[2]หน้าผ้า!J335</f>
        <v>0</v>
      </c>
      <c r="I326" s="9">
        <f>[2]หน้าผ้า!L335</f>
        <v>0</v>
      </c>
      <c r="J326" s="9">
        <f>[2]หน้าผ้า!M335</f>
        <v>0</v>
      </c>
      <c r="K326" s="9">
        <f>[2]หน้าผ้า!N335</f>
        <v>0</v>
      </c>
      <c r="L326" s="9">
        <f>[2]หน้าผ้า!R335</f>
        <v>0</v>
      </c>
      <c r="M326" s="10">
        <f>[2]หน้าผ้า!T335</f>
        <v>0</v>
      </c>
      <c r="N326" s="9">
        <f>[2]หน้าผ้า!U335</f>
        <v>0</v>
      </c>
      <c r="O326" s="9">
        <f>[2]หน้าผ้า!V335</f>
        <v>0</v>
      </c>
      <c r="P326" s="10">
        <f>[2]หน้าผ้า!AB335</f>
        <v>0</v>
      </c>
      <c r="Q326" s="10">
        <f>[2]หน้าผ้า!AC335</f>
        <v>0</v>
      </c>
      <c r="R326" s="10">
        <f>[2]หน้าผ้า!AD335</f>
        <v>0</v>
      </c>
      <c r="S326" s="9">
        <f>[2]หน้าผ้า!Z335</f>
        <v>0</v>
      </c>
      <c r="T326" s="12">
        <f>[2]หน้าผ้า!X335</f>
        <v>0</v>
      </c>
      <c r="U326" s="11">
        <f>[2]หน้าผ้า!AA335</f>
        <v>0</v>
      </c>
      <c r="V326" s="10">
        <f>[2]หน้าผ้า!AJ335</f>
        <v>0</v>
      </c>
      <c r="W326" s="10">
        <f>[2]หน้าผ้า!AL335</f>
        <v>0</v>
      </c>
      <c r="X326" s="10">
        <f>[2]หน้าผ้า!AM335</f>
        <v>0</v>
      </c>
      <c r="Y326" s="10">
        <f>[2]หน้าผ้า!AN335</f>
        <v>0</v>
      </c>
      <c r="Z326" s="9">
        <f>[2]หน้าผ้า!AO335</f>
        <v>0</v>
      </c>
      <c r="AA326" s="8">
        <f>[2]หน้าผ้า!AQ335</f>
        <v>0</v>
      </c>
      <c r="AB326" s="8">
        <f>[2]หน้าผ้า!AR335</f>
        <v>0</v>
      </c>
      <c r="AC326" s="8">
        <f>[2]หน้าผ้า!AS335</f>
        <v>0</v>
      </c>
      <c r="AD326" s="8">
        <f>[2]หน้าผ้า!AT335</f>
        <v>0</v>
      </c>
      <c r="AE326" s="8">
        <f>[2]หน้าผ้า!AU335</f>
        <v>0</v>
      </c>
      <c r="AF326" s="8">
        <f>[2]หน้าผ้า!AI335</f>
        <v>0</v>
      </c>
      <c r="AG326" s="1">
        <f>[3]หน้าผ้า!DC338</f>
        <v>0</v>
      </c>
      <c r="AH326" s="1">
        <f>[2]หน้าผ้า!DL335</f>
        <v>0</v>
      </c>
      <c r="AI326" s="1">
        <f>[2]หน้าผ้า!DM335</f>
        <v>0</v>
      </c>
      <c r="AJ326" s="3">
        <f>[2]หน้าผ้า!DN335</f>
        <v>0</v>
      </c>
      <c r="AK326" s="3">
        <f>[2]หน้าผ้า!DQ335</f>
        <v>0</v>
      </c>
      <c r="AL326" s="3">
        <f>[2]หน้าผ้า!DR335</f>
        <v>0</v>
      </c>
      <c r="AM326" s="3">
        <f>[2]หน้าผ้า!DS335</f>
        <v>0</v>
      </c>
      <c r="AN326" s="3">
        <f>[2]หน้าผ้า!DT335</f>
        <v>0</v>
      </c>
      <c r="AO326" s="3">
        <f>[2]หน้าผ้า!DU335</f>
        <v>0</v>
      </c>
      <c r="AP326" s="3">
        <f>[2]หน้าผ้า!DP335</f>
        <v>0</v>
      </c>
      <c r="AQ326" s="3">
        <f>[2]หน้าผ้า!DW335</f>
        <v>0</v>
      </c>
      <c r="AR326" s="3">
        <f>[2]หน้าผ้า!DX335</f>
        <v>0</v>
      </c>
      <c r="AS326" s="3">
        <f>[2]หน้าผ้า!DY335</f>
        <v>0</v>
      </c>
      <c r="AT326" s="3">
        <f>[2]หน้าผ้า!DZ335</f>
        <v>0</v>
      </c>
      <c r="AU326" s="3">
        <f>[2]หน้าผ้า!EA335</f>
        <v>0</v>
      </c>
      <c r="AV326" s="1">
        <f>[2]หน้าผ้า!EB335</f>
        <v>0</v>
      </c>
      <c r="AW326" s="2">
        <f>[2]หน้าผ้า!EC335</f>
        <v>0</v>
      </c>
      <c r="AX326" s="2">
        <f>[2]หน้าผ้า!ED335</f>
        <v>0</v>
      </c>
      <c r="AY326" s="2">
        <f>[2]หน้าผ้า!AG335</f>
        <v>0</v>
      </c>
      <c r="AZ326" s="2">
        <f>[2]หน้าผ้า!EG335</f>
        <v>0</v>
      </c>
      <c r="BA326" s="2">
        <f>[2]หน้าผ้า!EH335</f>
        <v>0</v>
      </c>
      <c r="BB326" s="2">
        <f>[2]หน้าผ้า!EI335</f>
        <v>0</v>
      </c>
      <c r="BC326" s="1">
        <f>[2]หน้าผ้า!BZ335</f>
        <v>0</v>
      </c>
      <c r="BD326" s="56">
        <f>[2]หน้าผ้า!CA335</f>
        <v>0</v>
      </c>
    </row>
    <row r="327" spans="1:56" ht="27.75" customHeight="1" x14ac:dyDescent="0.45">
      <c r="A327" s="3">
        <f>[2]หน้าผ้า!C336</f>
        <v>0</v>
      </c>
      <c r="B327" s="14">
        <f>[2]หน้าผ้า!B336</f>
        <v>0</v>
      </c>
      <c r="C327" s="9">
        <f>[2]หน้าผ้า!E336</f>
        <v>0</v>
      </c>
      <c r="D327" s="13">
        <f>[2]หน้าผ้า!F336</f>
        <v>0</v>
      </c>
      <c r="E327" s="9">
        <f>[2]หน้าผ้า!G336</f>
        <v>0</v>
      </c>
      <c r="F327" s="9">
        <f>[2]หน้าผ้า!H336</f>
        <v>0</v>
      </c>
      <c r="G327" s="9">
        <f>[2]หน้าผ้า!I336</f>
        <v>0</v>
      </c>
      <c r="H327" s="9">
        <f>[2]หน้าผ้า!J336</f>
        <v>0</v>
      </c>
      <c r="I327" s="9">
        <f>[2]หน้าผ้า!L336</f>
        <v>0</v>
      </c>
      <c r="J327" s="9">
        <f>[2]หน้าผ้า!M336</f>
        <v>0</v>
      </c>
      <c r="K327" s="9">
        <f>[2]หน้าผ้า!N336</f>
        <v>0</v>
      </c>
      <c r="L327" s="9">
        <f>[2]หน้าผ้า!R336</f>
        <v>0</v>
      </c>
      <c r="M327" s="10">
        <f>[2]หน้าผ้า!T336</f>
        <v>0</v>
      </c>
      <c r="N327" s="9">
        <f>[2]หน้าผ้า!U336</f>
        <v>0</v>
      </c>
      <c r="O327" s="9">
        <f>[2]หน้าผ้า!V336</f>
        <v>0</v>
      </c>
      <c r="P327" s="10">
        <f>[2]หน้าผ้า!AB336</f>
        <v>0</v>
      </c>
      <c r="Q327" s="10">
        <f>[2]หน้าผ้า!AC336</f>
        <v>0</v>
      </c>
      <c r="R327" s="10">
        <f>[2]หน้าผ้า!AD336</f>
        <v>0</v>
      </c>
      <c r="S327" s="9">
        <f>[2]หน้าผ้า!Z336</f>
        <v>0</v>
      </c>
      <c r="T327" s="12">
        <f>[2]หน้าผ้า!X336</f>
        <v>0</v>
      </c>
      <c r="U327" s="11">
        <f>[2]หน้าผ้า!AA336</f>
        <v>0</v>
      </c>
      <c r="V327" s="10">
        <f>[2]หน้าผ้า!AJ336</f>
        <v>0</v>
      </c>
      <c r="W327" s="10">
        <f>[2]หน้าผ้า!AL336</f>
        <v>0</v>
      </c>
      <c r="X327" s="10">
        <f>[2]หน้าผ้า!AM336</f>
        <v>0</v>
      </c>
      <c r="Y327" s="10">
        <f>[2]หน้าผ้า!AN336</f>
        <v>0</v>
      </c>
      <c r="Z327" s="9">
        <f>[2]หน้าผ้า!AO336</f>
        <v>0</v>
      </c>
      <c r="AA327" s="8">
        <f>[2]หน้าผ้า!AQ336</f>
        <v>0</v>
      </c>
      <c r="AB327" s="8">
        <f>[2]หน้าผ้า!AR336</f>
        <v>0</v>
      </c>
      <c r="AC327" s="8">
        <f>[2]หน้าผ้า!AS336</f>
        <v>0</v>
      </c>
      <c r="AD327" s="8">
        <f>[2]หน้าผ้า!AT336</f>
        <v>0</v>
      </c>
      <c r="AE327" s="8">
        <f>[2]หน้าผ้า!AU336</f>
        <v>0</v>
      </c>
      <c r="AF327" s="8">
        <f>[2]หน้าผ้า!AI336</f>
        <v>0</v>
      </c>
      <c r="AG327" s="1">
        <f>[3]หน้าผ้า!DC339</f>
        <v>0</v>
      </c>
      <c r="AH327" s="1">
        <f>[2]หน้าผ้า!DL336</f>
        <v>0</v>
      </c>
      <c r="AI327" s="1">
        <f>[2]หน้าผ้า!DM336</f>
        <v>0</v>
      </c>
      <c r="AJ327" s="3">
        <f>[2]หน้าผ้า!DN336</f>
        <v>0</v>
      </c>
      <c r="AK327" s="3">
        <f>[2]หน้าผ้า!DQ336</f>
        <v>0</v>
      </c>
      <c r="AL327" s="3">
        <f>[2]หน้าผ้า!DR336</f>
        <v>0</v>
      </c>
      <c r="AM327" s="3">
        <f>[2]หน้าผ้า!DS336</f>
        <v>0</v>
      </c>
      <c r="AN327" s="3">
        <f>[2]หน้าผ้า!DT336</f>
        <v>0</v>
      </c>
      <c r="AO327" s="3">
        <f>[2]หน้าผ้า!DU336</f>
        <v>0</v>
      </c>
      <c r="AP327" s="3">
        <f>[2]หน้าผ้า!DP336</f>
        <v>0</v>
      </c>
      <c r="AQ327" s="3">
        <f>[2]หน้าผ้า!DW336</f>
        <v>0</v>
      </c>
      <c r="AR327" s="3">
        <f>[2]หน้าผ้า!DX336</f>
        <v>0</v>
      </c>
      <c r="AS327" s="3">
        <f>[2]หน้าผ้า!DY336</f>
        <v>0</v>
      </c>
      <c r="AT327" s="3">
        <f>[2]หน้าผ้า!DZ336</f>
        <v>0</v>
      </c>
      <c r="AU327" s="3">
        <f>[2]หน้าผ้า!EA336</f>
        <v>0</v>
      </c>
      <c r="AV327" s="1">
        <f>[2]หน้าผ้า!EB336</f>
        <v>0</v>
      </c>
      <c r="AW327" s="2">
        <f>[2]หน้าผ้า!EC336</f>
        <v>0</v>
      </c>
      <c r="AX327" s="2">
        <f>[2]หน้าผ้า!ED336</f>
        <v>0</v>
      </c>
      <c r="AY327" s="2">
        <f>[2]หน้าผ้า!AG336</f>
        <v>0</v>
      </c>
      <c r="AZ327" s="2">
        <f>[2]หน้าผ้า!EG336</f>
        <v>0</v>
      </c>
      <c r="BA327" s="2">
        <f>[2]หน้าผ้า!EH336</f>
        <v>0</v>
      </c>
      <c r="BB327" s="2">
        <f>[2]หน้าผ้า!EI336</f>
        <v>0</v>
      </c>
      <c r="BC327" s="1">
        <f>[2]หน้าผ้า!BZ336</f>
        <v>0</v>
      </c>
      <c r="BD327" s="56">
        <f>[2]หน้าผ้า!CA336</f>
        <v>0</v>
      </c>
    </row>
    <row r="328" spans="1:56" ht="27.75" customHeight="1" x14ac:dyDescent="0.45">
      <c r="A328" s="3">
        <f>[2]หน้าผ้า!C337</f>
        <v>0</v>
      </c>
      <c r="B328" s="14">
        <f>[2]หน้าผ้า!B337</f>
        <v>0</v>
      </c>
      <c r="C328" s="9">
        <f>[2]หน้าผ้า!E337</f>
        <v>0</v>
      </c>
      <c r="D328" s="13">
        <f>[2]หน้าผ้า!F337</f>
        <v>0</v>
      </c>
      <c r="E328" s="9">
        <f>[2]หน้าผ้า!G337</f>
        <v>0</v>
      </c>
      <c r="F328" s="9">
        <f>[2]หน้าผ้า!H337</f>
        <v>0</v>
      </c>
      <c r="G328" s="9">
        <f>[2]หน้าผ้า!I337</f>
        <v>0</v>
      </c>
      <c r="H328" s="9">
        <f>[2]หน้าผ้า!J337</f>
        <v>0</v>
      </c>
      <c r="I328" s="9">
        <f>[2]หน้าผ้า!L337</f>
        <v>0</v>
      </c>
      <c r="J328" s="9">
        <f>[2]หน้าผ้า!M337</f>
        <v>0</v>
      </c>
      <c r="K328" s="9">
        <f>[2]หน้าผ้า!N337</f>
        <v>0</v>
      </c>
      <c r="L328" s="9">
        <f>[2]หน้าผ้า!R337</f>
        <v>0</v>
      </c>
      <c r="M328" s="10">
        <f>[2]หน้าผ้า!T337</f>
        <v>0</v>
      </c>
      <c r="N328" s="9">
        <f>[2]หน้าผ้า!U337</f>
        <v>0</v>
      </c>
      <c r="O328" s="9">
        <f>[2]หน้าผ้า!V337</f>
        <v>0</v>
      </c>
      <c r="P328" s="10">
        <f>[2]หน้าผ้า!AB337</f>
        <v>0</v>
      </c>
      <c r="Q328" s="10">
        <f>[2]หน้าผ้า!AC337</f>
        <v>0</v>
      </c>
      <c r="R328" s="10">
        <f>[2]หน้าผ้า!AD337</f>
        <v>0</v>
      </c>
      <c r="S328" s="9">
        <f>[2]หน้าผ้า!Z337</f>
        <v>0</v>
      </c>
      <c r="T328" s="12">
        <f>[2]หน้าผ้า!X337</f>
        <v>0</v>
      </c>
      <c r="U328" s="11">
        <f>[2]หน้าผ้า!AA337</f>
        <v>0</v>
      </c>
      <c r="V328" s="10">
        <f>[2]หน้าผ้า!AJ337</f>
        <v>0</v>
      </c>
      <c r="W328" s="10">
        <f>[2]หน้าผ้า!AL337</f>
        <v>0</v>
      </c>
      <c r="X328" s="10">
        <f>[2]หน้าผ้า!AM337</f>
        <v>0</v>
      </c>
      <c r="Y328" s="10">
        <f>[2]หน้าผ้า!AN337</f>
        <v>0</v>
      </c>
      <c r="Z328" s="9">
        <f>[2]หน้าผ้า!AO337</f>
        <v>0</v>
      </c>
      <c r="AA328" s="8">
        <f>[2]หน้าผ้า!AQ337</f>
        <v>0</v>
      </c>
      <c r="AB328" s="8">
        <f>[2]หน้าผ้า!AR337</f>
        <v>0</v>
      </c>
      <c r="AC328" s="8">
        <f>[2]หน้าผ้า!AS337</f>
        <v>0</v>
      </c>
      <c r="AD328" s="8">
        <f>[2]หน้าผ้า!AT337</f>
        <v>0</v>
      </c>
      <c r="AE328" s="8">
        <f>[2]หน้าผ้า!AU337</f>
        <v>0</v>
      </c>
      <c r="AF328" s="8">
        <f>[2]หน้าผ้า!AI337</f>
        <v>0</v>
      </c>
      <c r="AG328" s="1">
        <f>[3]หน้าผ้า!DC340</f>
        <v>0</v>
      </c>
      <c r="AH328" s="1">
        <f>[2]หน้าผ้า!DL337</f>
        <v>0</v>
      </c>
      <c r="AI328" s="1">
        <f>[2]หน้าผ้า!DM337</f>
        <v>0</v>
      </c>
      <c r="AJ328" s="3">
        <f>[2]หน้าผ้า!DN337</f>
        <v>0</v>
      </c>
      <c r="AK328" s="3">
        <f>[2]หน้าผ้า!DQ337</f>
        <v>0</v>
      </c>
      <c r="AL328" s="3">
        <f>[2]หน้าผ้า!DR337</f>
        <v>0</v>
      </c>
      <c r="AM328" s="3">
        <f>[2]หน้าผ้า!DS337</f>
        <v>0</v>
      </c>
      <c r="AN328" s="3">
        <f>[2]หน้าผ้า!DT337</f>
        <v>0</v>
      </c>
      <c r="AO328" s="3">
        <f>[2]หน้าผ้า!DU337</f>
        <v>0</v>
      </c>
      <c r="AP328" s="3">
        <f>[2]หน้าผ้า!DP337</f>
        <v>0</v>
      </c>
      <c r="AQ328" s="3">
        <f>[2]หน้าผ้า!DW337</f>
        <v>0</v>
      </c>
      <c r="AR328" s="3">
        <f>[2]หน้าผ้า!DX337</f>
        <v>0</v>
      </c>
      <c r="AS328" s="3">
        <f>[2]หน้าผ้า!DY337</f>
        <v>0</v>
      </c>
      <c r="AT328" s="3">
        <f>[2]หน้าผ้า!DZ337</f>
        <v>0</v>
      </c>
      <c r="AU328" s="3">
        <f>[2]หน้าผ้า!EA337</f>
        <v>0</v>
      </c>
      <c r="AV328" s="1">
        <f>[2]หน้าผ้า!EB337</f>
        <v>0</v>
      </c>
      <c r="AW328" s="2">
        <f>[2]หน้าผ้า!EC337</f>
        <v>0</v>
      </c>
      <c r="AX328" s="2">
        <f>[2]หน้าผ้า!ED337</f>
        <v>0</v>
      </c>
      <c r="AY328" s="2">
        <f>[2]หน้าผ้า!AG337</f>
        <v>0</v>
      </c>
      <c r="AZ328" s="2">
        <f>[2]หน้าผ้า!EG337</f>
        <v>0</v>
      </c>
      <c r="BA328" s="2">
        <f>[2]หน้าผ้า!EH337</f>
        <v>0</v>
      </c>
      <c r="BB328" s="2">
        <f>[2]หน้าผ้า!EI337</f>
        <v>0</v>
      </c>
      <c r="BC328" s="1">
        <f>[2]หน้าผ้า!BZ337</f>
        <v>0</v>
      </c>
      <c r="BD328" s="56">
        <f>[2]หน้าผ้า!CA337</f>
        <v>0</v>
      </c>
    </row>
    <row r="329" spans="1:56" ht="27.75" customHeight="1" x14ac:dyDescent="0.45">
      <c r="A329" s="3">
        <f>[2]หน้าผ้า!C338</f>
        <v>0</v>
      </c>
      <c r="B329" s="14">
        <f>[2]หน้าผ้า!B338</f>
        <v>0</v>
      </c>
      <c r="C329" s="9">
        <f>[2]หน้าผ้า!E338</f>
        <v>0</v>
      </c>
      <c r="D329" s="13">
        <f>[2]หน้าผ้า!F338</f>
        <v>0</v>
      </c>
      <c r="E329" s="9">
        <f>[2]หน้าผ้า!G338</f>
        <v>0</v>
      </c>
      <c r="F329" s="9">
        <f>[2]หน้าผ้า!H338</f>
        <v>0</v>
      </c>
      <c r="G329" s="9">
        <f>[2]หน้าผ้า!I338</f>
        <v>0</v>
      </c>
      <c r="H329" s="9">
        <f>[2]หน้าผ้า!J338</f>
        <v>0</v>
      </c>
      <c r="I329" s="9">
        <f>[2]หน้าผ้า!L338</f>
        <v>0</v>
      </c>
      <c r="J329" s="9">
        <f>[2]หน้าผ้า!M338</f>
        <v>0</v>
      </c>
      <c r="K329" s="9">
        <f>[2]หน้าผ้า!N338</f>
        <v>0</v>
      </c>
      <c r="L329" s="9">
        <f>[2]หน้าผ้า!R338</f>
        <v>0</v>
      </c>
      <c r="M329" s="10">
        <f>[2]หน้าผ้า!T338</f>
        <v>0</v>
      </c>
      <c r="N329" s="9">
        <f>[2]หน้าผ้า!U338</f>
        <v>0</v>
      </c>
      <c r="O329" s="9">
        <f>[2]หน้าผ้า!V338</f>
        <v>0</v>
      </c>
      <c r="P329" s="10">
        <f>[2]หน้าผ้า!AB338</f>
        <v>0</v>
      </c>
      <c r="Q329" s="10">
        <f>[2]หน้าผ้า!AC338</f>
        <v>0</v>
      </c>
      <c r="R329" s="10">
        <f>[2]หน้าผ้า!AD338</f>
        <v>0</v>
      </c>
      <c r="S329" s="9">
        <f>[2]หน้าผ้า!Z338</f>
        <v>0</v>
      </c>
      <c r="T329" s="12">
        <f>[2]หน้าผ้า!X338</f>
        <v>0</v>
      </c>
      <c r="U329" s="11">
        <f>[2]หน้าผ้า!AA338</f>
        <v>0</v>
      </c>
      <c r="V329" s="10">
        <f>[2]หน้าผ้า!AJ338</f>
        <v>0</v>
      </c>
      <c r="W329" s="10">
        <f>[2]หน้าผ้า!AL338</f>
        <v>0</v>
      </c>
      <c r="X329" s="10">
        <f>[2]หน้าผ้า!AM338</f>
        <v>0</v>
      </c>
      <c r="Y329" s="10">
        <f>[2]หน้าผ้า!AN338</f>
        <v>0</v>
      </c>
      <c r="Z329" s="9">
        <f>[2]หน้าผ้า!AO338</f>
        <v>0</v>
      </c>
      <c r="AA329" s="8">
        <f>[2]หน้าผ้า!AQ338</f>
        <v>0</v>
      </c>
      <c r="AB329" s="8">
        <f>[2]หน้าผ้า!AR338</f>
        <v>0</v>
      </c>
      <c r="AC329" s="8">
        <f>[2]หน้าผ้า!AS338</f>
        <v>0</v>
      </c>
      <c r="AD329" s="8">
        <f>[2]หน้าผ้า!AT338</f>
        <v>0</v>
      </c>
      <c r="AE329" s="8">
        <f>[2]หน้าผ้า!AU338</f>
        <v>0</v>
      </c>
      <c r="AF329" s="8">
        <f>[2]หน้าผ้า!AI338</f>
        <v>0</v>
      </c>
      <c r="AG329" s="1">
        <f>[3]หน้าผ้า!DC341</f>
        <v>0</v>
      </c>
      <c r="AH329" s="1">
        <f>[2]หน้าผ้า!DL338</f>
        <v>0</v>
      </c>
      <c r="AI329" s="1">
        <f>[2]หน้าผ้า!DM338</f>
        <v>0</v>
      </c>
      <c r="AJ329" s="3">
        <f>[2]หน้าผ้า!DN338</f>
        <v>0</v>
      </c>
      <c r="AK329" s="3">
        <f>[2]หน้าผ้า!DQ338</f>
        <v>0</v>
      </c>
      <c r="AL329" s="3">
        <f>[2]หน้าผ้า!DR338</f>
        <v>0</v>
      </c>
      <c r="AM329" s="3">
        <f>[2]หน้าผ้า!DS338</f>
        <v>0</v>
      </c>
      <c r="AN329" s="3">
        <f>[2]หน้าผ้า!DT338</f>
        <v>0</v>
      </c>
      <c r="AO329" s="3">
        <f>[2]หน้าผ้า!DU338</f>
        <v>0</v>
      </c>
      <c r="AP329" s="3">
        <f>[2]หน้าผ้า!DP338</f>
        <v>0</v>
      </c>
      <c r="AQ329" s="3">
        <f>[2]หน้าผ้า!DW338</f>
        <v>0</v>
      </c>
      <c r="AR329" s="3">
        <f>[2]หน้าผ้า!DX338</f>
        <v>0</v>
      </c>
      <c r="AS329" s="3">
        <f>[2]หน้าผ้า!DY338</f>
        <v>0</v>
      </c>
      <c r="AT329" s="3">
        <f>[2]หน้าผ้า!DZ338</f>
        <v>0</v>
      </c>
      <c r="AU329" s="3">
        <f>[2]หน้าผ้า!EA338</f>
        <v>0</v>
      </c>
      <c r="AV329" s="1">
        <f>[2]หน้าผ้า!EB338</f>
        <v>0</v>
      </c>
      <c r="AW329" s="2">
        <f>[2]หน้าผ้า!EC338</f>
        <v>0</v>
      </c>
      <c r="AX329" s="2">
        <f>[2]หน้าผ้า!ED338</f>
        <v>0</v>
      </c>
      <c r="AY329" s="2">
        <f>[2]หน้าผ้า!AG338</f>
        <v>0</v>
      </c>
      <c r="AZ329" s="2">
        <f>[2]หน้าผ้า!EG338</f>
        <v>0</v>
      </c>
      <c r="BA329" s="2">
        <f>[2]หน้าผ้า!EH338</f>
        <v>0</v>
      </c>
      <c r="BB329" s="2">
        <f>[2]หน้าผ้า!EI338</f>
        <v>0</v>
      </c>
      <c r="BC329" s="1">
        <f>[2]หน้าผ้า!BZ338</f>
        <v>0</v>
      </c>
      <c r="BD329" s="56">
        <f>[2]หน้าผ้า!CA338</f>
        <v>0</v>
      </c>
    </row>
    <row r="330" spans="1:56" ht="27.75" customHeight="1" x14ac:dyDescent="0.45">
      <c r="A330" s="3">
        <f>[2]หน้าผ้า!C339</f>
        <v>0</v>
      </c>
      <c r="B330" s="14">
        <f>[2]หน้าผ้า!B339</f>
        <v>0</v>
      </c>
      <c r="C330" s="9">
        <f>[2]หน้าผ้า!E339</f>
        <v>0</v>
      </c>
      <c r="D330" s="13">
        <f>[2]หน้าผ้า!F339</f>
        <v>0</v>
      </c>
      <c r="E330" s="9">
        <f>[2]หน้าผ้า!G339</f>
        <v>0</v>
      </c>
      <c r="F330" s="9">
        <f>[2]หน้าผ้า!H339</f>
        <v>0</v>
      </c>
      <c r="G330" s="9">
        <f>[2]หน้าผ้า!I339</f>
        <v>0</v>
      </c>
      <c r="H330" s="9">
        <f>[2]หน้าผ้า!J339</f>
        <v>0</v>
      </c>
      <c r="I330" s="9">
        <f>[2]หน้าผ้า!L339</f>
        <v>0</v>
      </c>
      <c r="J330" s="9">
        <f>[2]หน้าผ้า!M339</f>
        <v>0</v>
      </c>
      <c r="K330" s="9">
        <f>[2]หน้าผ้า!N339</f>
        <v>0</v>
      </c>
      <c r="L330" s="9">
        <f>[2]หน้าผ้า!R339</f>
        <v>0</v>
      </c>
      <c r="M330" s="10">
        <f>[2]หน้าผ้า!T339</f>
        <v>0</v>
      </c>
      <c r="N330" s="9">
        <f>[2]หน้าผ้า!U339</f>
        <v>0</v>
      </c>
      <c r="O330" s="9">
        <f>[2]หน้าผ้า!V339</f>
        <v>0</v>
      </c>
      <c r="P330" s="10">
        <f>[2]หน้าผ้า!AB339</f>
        <v>0</v>
      </c>
      <c r="Q330" s="10">
        <f>[2]หน้าผ้า!AC339</f>
        <v>0</v>
      </c>
      <c r="R330" s="10">
        <f>[2]หน้าผ้า!AD339</f>
        <v>0</v>
      </c>
      <c r="S330" s="9">
        <f>[2]หน้าผ้า!Z339</f>
        <v>0</v>
      </c>
      <c r="T330" s="12">
        <f>[2]หน้าผ้า!X339</f>
        <v>0</v>
      </c>
      <c r="U330" s="11">
        <f>[2]หน้าผ้า!AA339</f>
        <v>0</v>
      </c>
      <c r="V330" s="10">
        <f>[2]หน้าผ้า!AJ339</f>
        <v>0</v>
      </c>
      <c r="W330" s="10">
        <f>[2]หน้าผ้า!AL339</f>
        <v>0</v>
      </c>
      <c r="X330" s="10">
        <f>[2]หน้าผ้า!AM339</f>
        <v>0</v>
      </c>
      <c r="Y330" s="10">
        <f>[2]หน้าผ้า!AN339</f>
        <v>0</v>
      </c>
      <c r="Z330" s="9">
        <f>[2]หน้าผ้า!AO339</f>
        <v>0</v>
      </c>
      <c r="AA330" s="8">
        <f>[2]หน้าผ้า!AQ339</f>
        <v>0</v>
      </c>
      <c r="AB330" s="8">
        <f>[2]หน้าผ้า!AR339</f>
        <v>0</v>
      </c>
      <c r="AC330" s="8">
        <f>[2]หน้าผ้า!AS339</f>
        <v>0</v>
      </c>
      <c r="AD330" s="8">
        <f>[2]หน้าผ้า!AT339</f>
        <v>0</v>
      </c>
      <c r="AE330" s="8">
        <f>[2]หน้าผ้า!AU339</f>
        <v>0</v>
      </c>
      <c r="AF330" s="8">
        <f>[2]หน้าผ้า!AI339</f>
        <v>0</v>
      </c>
      <c r="AG330" s="1">
        <f>[3]หน้าผ้า!DC342</f>
        <v>0</v>
      </c>
      <c r="AH330" s="1">
        <f>[2]หน้าผ้า!DL339</f>
        <v>0</v>
      </c>
      <c r="AI330" s="1">
        <f>[2]หน้าผ้า!DM339</f>
        <v>0</v>
      </c>
      <c r="AJ330" s="3">
        <f>[2]หน้าผ้า!DN339</f>
        <v>0</v>
      </c>
      <c r="AK330" s="3">
        <f>[2]หน้าผ้า!DQ339</f>
        <v>0</v>
      </c>
      <c r="AL330" s="3">
        <f>[2]หน้าผ้า!DR339</f>
        <v>0</v>
      </c>
      <c r="AM330" s="3">
        <f>[2]หน้าผ้า!DS339</f>
        <v>0</v>
      </c>
      <c r="AN330" s="3">
        <f>[2]หน้าผ้า!DT339</f>
        <v>0</v>
      </c>
      <c r="AO330" s="3">
        <f>[2]หน้าผ้า!DU339</f>
        <v>0</v>
      </c>
      <c r="AP330" s="3">
        <f>[2]หน้าผ้า!DP339</f>
        <v>0</v>
      </c>
      <c r="AQ330" s="3">
        <f>[2]หน้าผ้า!DW339</f>
        <v>0</v>
      </c>
      <c r="AR330" s="3">
        <f>[2]หน้าผ้า!DX339</f>
        <v>0</v>
      </c>
      <c r="AS330" s="3">
        <f>[2]หน้าผ้า!DY339</f>
        <v>0</v>
      </c>
      <c r="AT330" s="3">
        <f>[2]หน้าผ้า!DZ339</f>
        <v>0</v>
      </c>
      <c r="AU330" s="3">
        <f>[2]หน้าผ้า!EA339</f>
        <v>0</v>
      </c>
      <c r="AV330" s="1">
        <f>[2]หน้าผ้า!EB339</f>
        <v>0</v>
      </c>
      <c r="AW330" s="2">
        <f>[2]หน้าผ้า!EC339</f>
        <v>0</v>
      </c>
      <c r="AX330" s="2">
        <f>[2]หน้าผ้า!ED339</f>
        <v>0</v>
      </c>
      <c r="AY330" s="2">
        <f>[2]หน้าผ้า!AG339</f>
        <v>0</v>
      </c>
      <c r="AZ330" s="2">
        <f>[2]หน้าผ้า!EG339</f>
        <v>0</v>
      </c>
      <c r="BA330" s="2">
        <f>[2]หน้าผ้า!EH339</f>
        <v>0</v>
      </c>
      <c r="BB330" s="2">
        <f>[2]หน้าผ้า!EI339</f>
        <v>0</v>
      </c>
      <c r="BC330" s="1">
        <f>[2]หน้าผ้า!BZ339</f>
        <v>0</v>
      </c>
      <c r="BD330" s="56">
        <f>[2]หน้าผ้า!CA339</f>
        <v>0</v>
      </c>
    </row>
    <row r="331" spans="1:56" ht="27.75" customHeight="1" x14ac:dyDescent="0.45">
      <c r="A331" s="3">
        <f>[2]หน้าผ้า!C340</f>
        <v>0</v>
      </c>
      <c r="B331" s="14">
        <f>[2]หน้าผ้า!B340</f>
        <v>0</v>
      </c>
      <c r="C331" s="9">
        <f>[2]หน้าผ้า!E340</f>
        <v>0</v>
      </c>
      <c r="D331" s="13">
        <f>[2]หน้าผ้า!F340</f>
        <v>0</v>
      </c>
      <c r="E331" s="9">
        <f>[2]หน้าผ้า!G340</f>
        <v>0</v>
      </c>
      <c r="F331" s="9">
        <f>[2]หน้าผ้า!H340</f>
        <v>0</v>
      </c>
      <c r="G331" s="9">
        <f>[2]หน้าผ้า!I340</f>
        <v>0</v>
      </c>
      <c r="H331" s="9">
        <f>[2]หน้าผ้า!J340</f>
        <v>0</v>
      </c>
      <c r="I331" s="9">
        <f>[2]หน้าผ้า!L340</f>
        <v>0</v>
      </c>
      <c r="J331" s="9">
        <f>[2]หน้าผ้า!M340</f>
        <v>0</v>
      </c>
      <c r="K331" s="9">
        <f>[2]หน้าผ้า!N340</f>
        <v>0</v>
      </c>
      <c r="L331" s="9">
        <f>[2]หน้าผ้า!R340</f>
        <v>0</v>
      </c>
      <c r="M331" s="10">
        <f>[2]หน้าผ้า!T340</f>
        <v>0</v>
      </c>
      <c r="N331" s="9">
        <f>[2]หน้าผ้า!U340</f>
        <v>0</v>
      </c>
      <c r="O331" s="9">
        <f>[2]หน้าผ้า!V340</f>
        <v>0</v>
      </c>
      <c r="P331" s="10">
        <f>[2]หน้าผ้า!AB340</f>
        <v>0</v>
      </c>
      <c r="Q331" s="10">
        <f>[2]หน้าผ้า!AC340</f>
        <v>0</v>
      </c>
      <c r="R331" s="10">
        <f>[2]หน้าผ้า!AD340</f>
        <v>0</v>
      </c>
      <c r="S331" s="9">
        <f>[2]หน้าผ้า!Z340</f>
        <v>0</v>
      </c>
      <c r="T331" s="12">
        <f>[2]หน้าผ้า!X340</f>
        <v>0</v>
      </c>
      <c r="U331" s="11">
        <f>[2]หน้าผ้า!AA340</f>
        <v>0</v>
      </c>
      <c r="V331" s="10">
        <f>[2]หน้าผ้า!AJ340</f>
        <v>0</v>
      </c>
      <c r="W331" s="10">
        <f>[2]หน้าผ้า!AL340</f>
        <v>0</v>
      </c>
      <c r="X331" s="10">
        <f>[2]หน้าผ้า!AM340</f>
        <v>0</v>
      </c>
      <c r="Y331" s="10">
        <f>[2]หน้าผ้า!AN340</f>
        <v>0</v>
      </c>
      <c r="Z331" s="9">
        <f>[2]หน้าผ้า!AO340</f>
        <v>0</v>
      </c>
      <c r="AA331" s="8">
        <f>[2]หน้าผ้า!AQ340</f>
        <v>0</v>
      </c>
      <c r="AB331" s="8">
        <f>[2]หน้าผ้า!AR340</f>
        <v>0</v>
      </c>
      <c r="AC331" s="8">
        <f>[2]หน้าผ้า!AS340</f>
        <v>0</v>
      </c>
      <c r="AD331" s="8">
        <f>[2]หน้าผ้า!AT340</f>
        <v>0</v>
      </c>
      <c r="AE331" s="8">
        <f>[2]หน้าผ้า!AU340</f>
        <v>0</v>
      </c>
      <c r="AF331" s="8">
        <f>[2]หน้าผ้า!AI340</f>
        <v>0</v>
      </c>
      <c r="AG331" s="1">
        <f>[3]หน้าผ้า!DC343</f>
        <v>0</v>
      </c>
      <c r="AH331" s="1">
        <f>[2]หน้าผ้า!DL340</f>
        <v>0</v>
      </c>
      <c r="AI331" s="1">
        <f>[2]หน้าผ้า!DM340</f>
        <v>0</v>
      </c>
      <c r="AJ331" s="3">
        <f>[2]หน้าผ้า!DN340</f>
        <v>0</v>
      </c>
      <c r="AK331" s="3">
        <f>[2]หน้าผ้า!DQ340</f>
        <v>0</v>
      </c>
      <c r="AL331" s="3">
        <f>[2]หน้าผ้า!DR340</f>
        <v>0</v>
      </c>
      <c r="AM331" s="3">
        <f>[2]หน้าผ้า!DS340</f>
        <v>0</v>
      </c>
      <c r="AN331" s="3">
        <f>[2]หน้าผ้า!DT340</f>
        <v>0</v>
      </c>
      <c r="AO331" s="3">
        <f>[2]หน้าผ้า!DU340</f>
        <v>0</v>
      </c>
      <c r="AP331" s="3">
        <f>[2]หน้าผ้า!DP340</f>
        <v>0</v>
      </c>
      <c r="AQ331" s="3">
        <f>[2]หน้าผ้า!DW340</f>
        <v>0</v>
      </c>
      <c r="AR331" s="3">
        <f>[2]หน้าผ้า!DX340</f>
        <v>0</v>
      </c>
      <c r="AS331" s="3">
        <f>[2]หน้าผ้า!DY340</f>
        <v>0</v>
      </c>
      <c r="AT331" s="3">
        <f>[2]หน้าผ้า!DZ340</f>
        <v>0</v>
      </c>
      <c r="AU331" s="3">
        <f>[2]หน้าผ้า!EA340</f>
        <v>0</v>
      </c>
      <c r="AV331" s="1">
        <f>[2]หน้าผ้า!EB340</f>
        <v>0</v>
      </c>
      <c r="AW331" s="2">
        <f>[2]หน้าผ้า!EC340</f>
        <v>0</v>
      </c>
      <c r="AX331" s="2">
        <f>[2]หน้าผ้า!ED340</f>
        <v>0</v>
      </c>
      <c r="AY331" s="2">
        <f>[2]หน้าผ้า!AG340</f>
        <v>0</v>
      </c>
      <c r="AZ331" s="2">
        <f>[2]หน้าผ้า!EG340</f>
        <v>0</v>
      </c>
      <c r="BA331" s="2">
        <f>[2]หน้าผ้า!EH340</f>
        <v>0</v>
      </c>
      <c r="BB331" s="2">
        <f>[2]หน้าผ้า!EI340</f>
        <v>0</v>
      </c>
      <c r="BC331" s="1">
        <f>[2]หน้าผ้า!BZ340</f>
        <v>0</v>
      </c>
      <c r="BD331" s="56">
        <f>[2]หน้าผ้า!CA340</f>
        <v>0</v>
      </c>
    </row>
    <row r="332" spans="1:56" ht="27.75" customHeight="1" x14ac:dyDescent="0.45">
      <c r="A332" s="3">
        <f>[2]หน้าผ้า!C341</f>
        <v>0</v>
      </c>
      <c r="B332" s="14">
        <f>[2]หน้าผ้า!B341</f>
        <v>0</v>
      </c>
      <c r="C332" s="9">
        <f>[2]หน้าผ้า!E341</f>
        <v>0</v>
      </c>
      <c r="D332" s="13">
        <f>[2]หน้าผ้า!F341</f>
        <v>0</v>
      </c>
      <c r="E332" s="9">
        <f>[2]หน้าผ้า!G341</f>
        <v>0</v>
      </c>
      <c r="F332" s="9">
        <f>[2]หน้าผ้า!H341</f>
        <v>0</v>
      </c>
      <c r="G332" s="9">
        <f>[2]หน้าผ้า!I341</f>
        <v>0</v>
      </c>
      <c r="H332" s="9">
        <f>[2]หน้าผ้า!J341</f>
        <v>0</v>
      </c>
      <c r="I332" s="9">
        <f>[2]หน้าผ้า!L341</f>
        <v>0</v>
      </c>
      <c r="J332" s="9">
        <f>[2]หน้าผ้า!M341</f>
        <v>0</v>
      </c>
      <c r="K332" s="9">
        <f>[2]หน้าผ้า!N341</f>
        <v>0</v>
      </c>
      <c r="L332" s="9">
        <f>[2]หน้าผ้า!R341</f>
        <v>0</v>
      </c>
      <c r="M332" s="10">
        <f>[2]หน้าผ้า!T341</f>
        <v>0</v>
      </c>
      <c r="N332" s="9">
        <f>[2]หน้าผ้า!U341</f>
        <v>0</v>
      </c>
      <c r="O332" s="9">
        <f>[2]หน้าผ้า!V341</f>
        <v>0</v>
      </c>
      <c r="P332" s="10">
        <f>[2]หน้าผ้า!AB341</f>
        <v>0</v>
      </c>
      <c r="Q332" s="10">
        <f>[2]หน้าผ้า!AC341</f>
        <v>0</v>
      </c>
      <c r="R332" s="10">
        <f>[2]หน้าผ้า!AD341</f>
        <v>0</v>
      </c>
      <c r="S332" s="9">
        <f>[2]หน้าผ้า!Z341</f>
        <v>0</v>
      </c>
      <c r="T332" s="12">
        <f>[2]หน้าผ้า!X341</f>
        <v>0</v>
      </c>
      <c r="U332" s="11">
        <f>[2]หน้าผ้า!AA341</f>
        <v>0</v>
      </c>
      <c r="V332" s="10">
        <f>[2]หน้าผ้า!AJ341</f>
        <v>0</v>
      </c>
      <c r="W332" s="10">
        <f>[2]หน้าผ้า!AL341</f>
        <v>0</v>
      </c>
      <c r="X332" s="10">
        <f>[2]หน้าผ้า!AM341</f>
        <v>0</v>
      </c>
      <c r="Y332" s="10">
        <f>[2]หน้าผ้า!AN341</f>
        <v>0</v>
      </c>
      <c r="Z332" s="9">
        <f>[2]หน้าผ้า!AO341</f>
        <v>0</v>
      </c>
      <c r="AA332" s="8">
        <f>[2]หน้าผ้า!AQ341</f>
        <v>0</v>
      </c>
      <c r="AB332" s="8">
        <f>[2]หน้าผ้า!AR341</f>
        <v>0</v>
      </c>
      <c r="AC332" s="8">
        <f>[2]หน้าผ้า!AS341</f>
        <v>0</v>
      </c>
      <c r="AD332" s="8">
        <f>[2]หน้าผ้า!AT341</f>
        <v>0</v>
      </c>
      <c r="AE332" s="8">
        <f>[2]หน้าผ้า!AU341</f>
        <v>0</v>
      </c>
      <c r="AF332" s="8">
        <f>[2]หน้าผ้า!AI341</f>
        <v>0</v>
      </c>
      <c r="AG332" s="1">
        <f>[3]หน้าผ้า!DC344</f>
        <v>0</v>
      </c>
      <c r="AH332" s="1">
        <f>[2]หน้าผ้า!DL341</f>
        <v>0</v>
      </c>
      <c r="AI332" s="1">
        <f>[2]หน้าผ้า!DM341</f>
        <v>0</v>
      </c>
      <c r="AJ332" s="3">
        <f>[2]หน้าผ้า!DN341</f>
        <v>0</v>
      </c>
      <c r="AK332" s="3">
        <f>[2]หน้าผ้า!DQ341</f>
        <v>0</v>
      </c>
      <c r="AL332" s="3">
        <f>[2]หน้าผ้า!DR341</f>
        <v>0</v>
      </c>
      <c r="AM332" s="3">
        <f>[2]หน้าผ้า!DS341</f>
        <v>0</v>
      </c>
      <c r="AN332" s="3">
        <f>[2]หน้าผ้า!DT341</f>
        <v>0</v>
      </c>
      <c r="AO332" s="3">
        <f>[2]หน้าผ้า!DU341</f>
        <v>0</v>
      </c>
      <c r="AP332" s="3">
        <f>[2]หน้าผ้า!DP341</f>
        <v>0</v>
      </c>
      <c r="AQ332" s="3">
        <f>[2]หน้าผ้า!DW341</f>
        <v>0</v>
      </c>
      <c r="AR332" s="3">
        <f>[2]หน้าผ้า!DX341</f>
        <v>0</v>
      </c>
      <c r="AS332" s="3">
        <f>[2]หน้าผ้า!DY341</f>
        <v>0</v>
      </c>
      <c r="AT332" s="3">
        <f>[2]หน้าผ้า!DZ341</f>
        <v>0</v>
      </c>
      <c r="AU332" s="3">
        <f>[2]หน้าผ้า!EA341</f>
        <v>0</v>
      </c>
      <c r="AV332" s="1">
        <f>[2]หน้าผ้า!EB341</f>
        <v>0</v>
      </c>
      <c r="AW332" s="2">
        <f>[2]หน้าผ้า!EC341</f>
        <v>0</v>
      </c>
      <c r="AX332" s="2">
        <f>[2]หน้าผ้า!ED341</f>
        <v>0</v>
      </c>
      <c r="AY332" s="2">
        <f>[2]หน้าผ้า!AG341</f>
        <v>0</v>
      </c>
      <c r="AZ332" s="2">
        <f>[2]หน้าผ้า!EG341</f>
        <v>0</v>
      </c>
      <c r="BA332" s="2">
        <f>[2]หน้าผ้า!EH341</f>
        <v>0</v>
      </c>
      <c r="BB332" s="2">
        <f>[2]หน้าผ้า!EI341</f>
        <v>0</v>
      </c>
      <c r="BC332" s="1">
        <f>[2]หน้าผ้า!BZ341</f>
        <v>0</v>
      </c>
      <c r="BD332" s="56">
        <f>[2]หน้าผ้า!CA341</f>
        <v>0</v>
      </c>
    </row>
    <row r="333" spans="1:56" ht="27.75" customHeight="1" x14ac:dyDescent="0.45">
      <c r="A333" s="3">
        <f>[2]หน้าผ้า!C342</f>
        <v>0</v>
      </c>
      <c r="B333" s="14">
        <f>[2]หน้าผ้า!B342</f>
        <v>0</v>
      </c>
      <c r="C333" s="9">
        <f>[2]หน้าผ้า!E342</f>
        <v>0</v>
      </c>
      <c r="D333" s="13">
        <f>[2]หน้าผ้า!F342</f>
        <v>0</v>
      </c>
      <c r="E333" s="9">
        <f>[2]หน้าผ้า!G342</f>
        <v>0</v>
      </c>
      <c r="F333" s="9">
        <f>[2]หน้าผ้า!H342</f>
        <v>0</v>
      </c>
      <c r="G333" s="9">
        <f>[2]หน้าผ้า!I342</f>
        <v>0</v>
      </c>
      <c r="H333" s="9">
        <f>[2]หน้าผ้า!J342</f>
        <v>0</v>
      </c>
      <c r="I333" s="9">
        <f>[2]หน้าผ้า!L342</f>
        <v>0</v>
      </c>
      <c r="J333" s="9">
        <f>[2]หน้าผ้า!M342</f>
        <v>0</v>
      </c>
      <c r="K333" s="9">
        <f>[2]หน้าผ้า!N342</f>
        <v>0</v>
      </c>
      <c r="L333" s="9">
        <f>[2]หน้าผ้า!R342</f>
        <v>0</v>
      </c>
      <c r="M333" s="10">
        <f>[2]หน้าผ้า!T342</f>
        <v>0</v>
      </c>
      <c r="N333" s="9">
        <f>[2]หน้าผ้า!U342</f>
        <v>0</v>
      </c>
      <c r="O333" s="9">
        <f>[2]หน้าผ้า!V342</f>
        <v>0</v>
      </c>
      <c r="P333" s="10">
        <f>[2]หน้าผ้า!AB342</f>
        <v>0</v>
      </c>
      <c r="Q333" s="10">
        <f>[2]หน้าผ้า!AC342</f>
        <v>0</v>
      </c>
      <c r="R333" s="10">
        <f>[2]หน้าผ้า!AD342</f>
        <v>0</v>
      </c>
      <c r="S333" s="9">
        <f>[2]หน้าผ้า!Z342</f>
        <v>0</v>
      </c>
      <c r="T333" s="12">
        <f>[2]หน้าผ้า!X342</f>
        <v>0</v>
      </c>
      <c r="U333" s="11">
        <f>[2]หน้าผ้า!AA342</f>
        <v>0</v>
      </c>
      <c r="V333" s="10">
        <f>[2]หน้าผ้า!AJ342</f>
        <v>0</v>
      </c>
      <c r="W333" s="10">
        <f>[2]หน้าผ้า!AL342</f>
        <v>0</v>
      </c>
      <c r="X333" s="10">
        <f>[2]หน้าผ้า!AM342</f>
        <v>0</v>
      </c>
      <c r="Y333" s="10">
        <f>[2]หน้าผ้า!AN342</f>
        <v>0</v>
      </c>
      <c r="Z333" s="9">
        <f>[2]หน้าผ้า!AO342</f>
        <v>0</v>
      </c>
      <c r="AA333" s="8">
        <f>[2]หน้าผ้า!AQ342</f>
        <v>0</v>
      </c>
      <c r="AB333" s="8">
        <f>[2]หน้าผ้า!AR342</f>
        <v>0</v>
      </c>
      <c r="AC333" s="8">
        <f>[2]หน้าผ้า!AS342</f>
        <v>0</v>
      </c>
      <c r="AD333" s="8">
        <f>[2]หน้าผ้า!AT342</f>
        <v>0</v>
      </c>
      <c r="AE333" s="8">
        <f>[2]หน้าผ้า!AU342</f>
        <v>0</v>
      </c>
      <c r="AF333" s="8">
        <f>[2]หน้าผ้า!AI342</f>
        <v>0</v>
      </c>
      <c r="AG333" s="1">
        <f>[3]หน้าผ้า!DC345</f>
        <v>0</v>
      </c>
      <c r="AH333" s="1">
        <f>[2]หน้าผ้า!DL342</f>
        <v>0</v>
      </c>
      <c r="AI333" s="1">
        <f>[2]หน้าผ้า!DM342</f>
        <v>0</v>
      </c>
      <c r="AJ333" s="3">
        <f>[2]หน้าผ้า!DN342</f>
        <v>0</v>
      </c>
      <c r="AK333" s="3">
        <f>[2]หน้าผ้า!DQ342</f>
        <v>0</v>
      </c>
      <c r="AL333" s="3">
        <f>[2]หน้าผ้า!DR342</f>
        <v>0</v>
      </c>
      <c r="AM333" s="3">
        <f>[2]หน้าผ้า!DS342</f>
        <v>0</v>
      </c>
      <c r="AN333" s="3">
        <f>[2]หน้าผ้า!DT342</f>
        <v>0</v>
      </c>
      <c r="AO333" s="3">
        <f>[2]หน้าผ้า!DU342</f>
        <v>0</v>
      </c>
      <c r="AP333" s="3">
        <f>[2]หน้าผ้า!DP342</f>
        <v>0</v>
      </c>
      <c r="AQ333" s="3">
        <f>[2]หน้าผ้า!DW342</f>
        <v>0</v>
      </c>
      <c r="AR333" s="3">
        <f>[2]หน้าผ้า!DX342</f>
        <v>0</v>
      </c>
      <c r="AS333" s="3">
        <f>[2]หน้าผ้า!DY342</f>
        <v>0</v>
      </c>
      <c r="AT333" s="3">
        <f>[2]หน้าผ้า!DZ342</f>
        <v>0</v>
      </c>
      <c r="AU333" s="3">
        <f>[2]หน้าผ้า!EA342</f>
        <v>0</v>
      </c>
      <c r="AV333" s="1">
        <f>[2]หน้าผ้า!EB342</f>
        <v>0</v>
      </c>
      <c r="AW333" s="2">
        <f>[2]หน้าผ้า!EC342</f>
        <v>0</v>
      </c>
      <c r="AX333" s="2">
        <f>[2]หน้าผ้า!ED342</f>
        <v>0</v>
      </c>
      <c r="AY333" s="2">
        <f>[2]หน้าผ้า!AG342</f>
        <v>0</v>
      </c>
      <c r="AZ333" s="2">
        <f>[2]หน้าผ้า!EG342</f>
        <v>0</v>
      </c>
      <c r="BA333" s="2">
        <f>[2]หน้าผ้า!EH342</f>
        <v>0</v>
      </c>
      <c r="BB333" s="2">
        <f>[2]หน้าผ้า!EI342</f>
        <v>0</v>
      </c>
      <c r="BC333" s="1">
        <f>[2]หน้าผ้า!BZ342</f>
        <v>0</v>
      </c>
      <c r="BD333" s="56">
        <f>[2]หน้าผ้า!CA342</f>
        <v>0</v>
      </c>
    </row>
    <row r="334" spans="1:56" ht="27.75" customHeight="1" x14ac:dyDescent="0.45">
      <c r="A334" s="3">
        <f>[2]หน้าผ้า!C343</f>
        <v>0</v>
      </c>
      <c r="B334" s="14">
        <f>[2]หน้าผ้า!B343</f>
        <v>0</v>
      </c>
      <c r="C334" s="9">
        <f>[2]หน้าผ้า!E343</f>
        <v>0</v>
      </c>
      <c r="D334" s="13">
        <f>[2]หน้าผ้า!F343</f>
        <v>0</v>
      </c>
      <c r="E334" s="9">
        <f>[2]หน้าผ้า!G343</f>
        <v>0</v>
      </c>
      <c r="F334" s="9">
        <f>[2]หน้าผ้า!H343</f>
        <v>0</v>
      </c>
      <c r="G334" s="9">
        <f>[2]หน้าผ้า!I343</f>
        <v>0</v>
      </c>
      <c r="H334" s="9">
        <f>[2]หน้าผ้า!J343</f>
        <v>0</v>
      </c>
      <c r="I334" s="9">
        <f>[2]หน้าผ้า!L343</f>
        <v>0</v>
      </c>
      <c r="J334" s="9">
        <f>[2]หน้าผ้า!M343</f>
        <v>0</v>
      </c>
      <c r="K334" s="9">
        <f>[2]หน้าผ้า!N343</f>
        <v>0</v>
      </c>
      <c r="L334" s="9">
        <f>[2]หน้าผ้า!R343</f>
        <v>0</v>
      </c>
      <c r="M334" s="10">
        <f>[2]หน้าผ้า!T343</f>
        <v>0</v>
      </c>
      <c r="N334" s="9">
        <f>[2]หน้าผ้า!U343</f>
        <v>0</v>
      </c>
      <c r="O334" s="9">
        <f>[2]หน้าผ้า!V343</f>
        <v>0</v>
      </c>
      <c r="P334" s="10">
        <f>[2]หน้าผ้า!AB343</f>
        <v>0</v>
      </c>
      <c r="Q334" s="10">
        <f>[2]หน้าผ้า!AC343</f>
        <v>0</v>
      </c>
      <c r="R334" s="10">
        <f>[2]หน้าผ้า!AD343</f>
        <v>0</v>
      </c>
      <c r="S334" s="9">
        <f>[2]หน้าผ้า!Z343</f>
        <v>0</v>
      </c>
      <c r="T334" s="12">
        <f>[2]หน้าผ้า!X343</f>
        <v>0</v>
      </c>
      <c r="U334" s="11">
        <f>[2]หน้าผ้า!AA343</f>
        <v>0</v>
      </c>
      <c r="V334" s="10">
        <f>[2]หน้าผ้า!AJ343</f>
        <v>0</v>
      </c>
      <c r="W334" s="10">
        <f>[2]หน้าผ้า!AL343</f>
        <v>0</v>
      </c>
      <c r="X334" s="10">
        <f>[2]หน้าผ้า!AM343</f>
        <v>0</v>
      </c>
      <c r="Y334" s="10">
        <f>[2]หน้าผ้า!AN343</f>
        <v>0</v>
      </c>
      <c r="Z334" s="9">
        <f>[2]หน้าผ้า!AO343</f>
        <v>0</v>
      </c>
      <c r="AA334" s="8">
        <f>[2]หน้าผ้า!AQ343</f>
        <v>0</v>
      </c>
      <c r="AB334" s="8">
        <f>[2]หน้าผ้า!AR343</f>
        <v>0</v>
      </c>
      <c r="AC334" s="8">
        <f>[2]หน้าผ้า!AS343</f>
        <v>0</v>
      </c>
      <c r="AD334" s="8">
        <f>[2]หน้าผ้า!AT343</f>
        <v>0</v>
      </c>
      <c r="AE334" s="8">
        <f>[2]หน้าผ้า!AU343</f>
        <v>0</v>
      </c>
      <c r="AF334" s="8">
        <f>[2]หน้าผ้า!AI343</f>
        <v>0</v>
      </c>
      <c r="AG334" s="1">
        <f>[3]หน้าผ้า!DC346</f>
        <v>0</v>
      </c>
      <c r="AH334" s="1">
        <f>[2]หน้าผ้า!DL343</f>
        <v>0</v>
      </c>
      <c r="AI334" s="1">
        <f>[2]หน้าผ้า!DM343</f>
        <v>0</v>
      </c>
      <c r="AJ334" s="3">
        <f>[2]หน้าผ้า!DN343</f>
        <v>0</v>
      </c>
      <c r="AK334" s="3">
        <f>[2]หน้าผ้า!DQ343</f>
        <v>0</v>
      </c>
      <c r="AL334" s="3">
        <f>[2]หน้าผ้า!DR343</f>
        <v>0</v>
      </c>
      <c r="AM334" s="3">
        <f>[2]หน้าผ้า!DS343</f>
        <v>0</v>
      </c>
      <c r="AN334" s="3">
        <f>[2]หน้าผ้า!DT343</f>
        <v>0</v>
      </c>
      <c r="AO334" s="3">
        <f>[2]หน้าผ้า!DU343</f>
        <v>0</v>
      </c>
      <c r="AP334" s="3">
        <f>[2]หน้าผ้า!DP343</f>
        <v>0</v>
      </c>
      <c r="AQ334" s="3">
        <f>[2]หน้าผ้า!DW343</f>
        <v>0</v>
      </c>
      <c r="AR334" s="3">
        <f>[2]หน้าผ้า!DX343</f>
        <v>0</v>
      </c>
      <c r="AS334" s="3">
        <f>[2]หน้าผ้า!DY343</f>
        <v>0</v>
      </c>
      <c r="AT334" s="3">
        <f>[2]หน้าผ้า!DZ343</f>
        <v>0</v>
      </c>
      <c r="AU334" s="3">
        <f>[2]หน้าผ้า!EA343</f>
        <v>0</v>
      </c>
      <c r="AV334" s="1">
        <f>[2]หน้าผ้า!EB343</f>
        <v>0</v>
      </c>
      <c r="AW334" s="2">
        <f>[2]หน้าผ้า!EC343</f>
        <v>0</v>
      </c>
      <c r="AX334" s="2">
        <f>[2]หน้าผ้า!ED343</f>
        <v>0</v>
      </c>
      <c r="AY334" s="2">
        <f>[2]หน้าผ้า!AG343</f>
        <v>0</v>
      </c>
      <c r="AZ334" s="2">
        <f>[2]หน้าผ้า!EG343</f>
        <v>0</v>
      </c>
      <c r="BA334" s="2">
        <f>[2]หน้าผ้า!EH343</f>
        <v>0</v>
      </c>
      <c r="BB334" s="2">
        <f>[2]หน้าผ้า!EI343</f>
        <v>0</v>
      </c>
      <c r="BC334" s="1">
        <f>[2]หน้าผ้า!BZ343</f>
        <v>0</v>
      </c>
      <c r="BD334" s="56">
        <f>[2]หน้าผ้า!CA343</f>
        <v>0</v>
      </c>
    </row>
    <row r="335" spans="1:56" ht="27.75" customHeight="1" x14ac:dyDescent="0.45">
      <c r="A335" s="3">
        <f>[2]หน้าผ้า!C344</f>
        <v>0</v>
      </c>
      <c r="B335" s="14">
        <f>[2]หน้าผ้า!B344</f>
        <v>0</v>
      </c>
      <c r="C335" s="9">
        <f>[2]หน้าผ้า!E344</f>
        <v>0</v>
      </c>
      <c r="D335" s="13">
        <f>[2]หน้าผ้า!F344</f>
        <v>0</v>
      </c>
      <c r="E335" s="9">
        <f>[2]หน้าผ้า!G344</f>
        <v>0</v>
      </c>
      <c r="F335" s="9">
        <f>[2]หน้าผ้า!H344</f>
        <v>0</v>
      </c>
      <c r="G335" s="9">
        <f>[2]หน้าผ้า!I344</f>
        <v>0</v>
      </c>
      <c r="H335" s="9">
        <f>[2]หน้าผ้า!J344</f>
        <v>0</v>
      </c>
      <c r="I335" s="9">
        <f>[2]หน้าผ้า!L344</f>
        <v>0</v>
      </c>
      <c r="J335" s="9">
        <f>[2]หน้าผ้า!M344</f>
        <v>0</v>
      </c>
      <c r="K335" s="9">
        <f>[2]หน้าผ้า!N344</f>
        <v>0</v>
      </c>
      <c r="L335" s="9">
        <f>[2]หน้าผ้า!R344</f>
        <v>0</v>
      </c>
      <c r="M335" s="10">
        <f>[2]หน้าผ้า!T344</f>
        <v>0</v>
      </c>
      <c r="N335" s="9">
        <f>[2]หน้าผ้า!U344</f>
        <v>0</v>
      </c>
      <c r="O335" s="9">
        <f>[2]หน้าผ้า!V344</f>
        <v>0</v>
      </c>
      <c r="P335" s="10">
        <f>[2]หน้าผ้า!AB344</f>
        <v>0</v>
      </c>
      <c r="Q335" s="10">
        <f>[2]หน้าผ้า!AC344</f>
        <v>0</v>
      </c>
      <c r="R335" s="10">
        <f>[2]หน้าผ้า!AD344</f>
        <v>0</v>
      </c>
      <c r="S335" s="9">
        <f>[2]หน้าผ้า!Z344</f>
        <v>0</v>
      </c>
      <c r="T335" s="12">
        <f>[2]หน้าผ้า!X344</f>
        <v>0</v>
      </c>
      <c r="U335" s="11">
        <f>[2]หน้าผ้า!AA344</f>
        <v>0</v>
      </c>
      <c r="V335" s="10">
        <f>[2]หน้าผ้า!AJ344</f>
        <v>0</v>
      </c>
      <c r="W335" s="10">
        <f>[2]หน้าผ้า!AL344</f>
        <v>0</v>
      </c>
      <c r="X335" s="10">
        <f>[2]หน้าผ้า!AM344</f>
        <v>0</v>
      </c>
      <c r="Y335" s="10">
        <f>[2]หน้าผ้า!AN344</f>
        <v>0</v>
      </c>
      <c r="Z335" s="9">
        <f>[2]หน้าผ้า!AO344</f>
        <v>0</v>
      </c>
      <c r="AA335" s="8">
        <f>[2]หน้าผ้า!AQ344</f>
        <v>0</v>
      </c>
      <c r="AB335" s="8">
        <f>[2]หน้าผ้า!AR344</f>
        <v>0</v>
      </c>
      <c r="AC335" s="8">
        <f>[2]หน้าผ้า!AS344</f>
        <v>0</v>
      </c>
      <c r="AD335" s="8">
        <f>[2]หน้าผ้า!AT344</f>
        <v>0</v>
      </c>
      <c r="AE335" s="8">
        <f>[2]หน้าผ้า!AU344</f>
        <v>0</v>
      </c>
      <c r="AF335" s="8">
        <f>[2]หน้าผ้า!AI344</f>
        <v>0</v>
      </c>
      <c r="AG335" s="1">
        <f>[3]หน้าผ้า!DC347</f>
        <v>0</v>
      </c>
      <c r="AH335" s="1">
        <f>[2]หน้าผ้า!DL344</f>
        <v>0</v>
      </c>
      <c r="AI335" s="1">
        <f>[2]หน้าผ้า!DM344</f>
        <v>0</v>
      </c>
      <c r="AJ335" s="3">
        <f>[2]หน้าผ้า!DN344</f>
        <v>0</v>
      </c>
      <c r="AK335" s="3">
        <f>[2]หน้าผ้า!DQ344</f>
        <v>0</v>
      </c>
      <c r="AL335" s="3">
        <f>[2]หน้าผ้า!DR344</f>
        <v>0</v>
      </c>
      <c r="AM335" s="3">
        <f>[2]หน้าผ้า!DS344</f>
        <v>0</v>
      </c>
      <c r="AN335" s="3">
        <f>[2]หน้าผ้า!DT344</f>
        <v>0</v>
      </c>
      <c r="AO335" s="3">
        <f>[2]หน้าผ้า!DU344</f>
        <v>0</v>
      </c>
      <c r="AP335" s="3">
        <f>[2]หน้าผ้า!DP344</f>
        <v>0</v>
      </c>
      <c r="AQ335" s="3">
        <f>[2]หน้าผ้า!DW344</f>
        <v>0</v>
      </c>
      <c r="AR335" s="3">
        <f>[2]หน้าผ้า!DX344</f>
        <v>0</v>
      </c>
      <c r="AS335" s="3">
        <f>[2]หน้าผ้า!DY344</f>
        <v>0</v>
      </c>
      <c r="AT335" s="3">
        <f>[2]หน้าผ้า!DZ344</f>
        <v>0</v>
      </c>
      <c r="AU335" s="3">
        <f>[2]หน้าผ้า!EA344</f>
        <v>0</v>
      </c>
      <c r="AV335" s="1">
        <f>[2]หน้าผ้า!EB344</f>
        <v>0</v>
      </c>
      <c r="AW335" s="2">
        <f>[2]หน้าผ้า!EC344</f>
        <v>0</v>
      </c>
      <c r="AX335" s="2">
        <f>[2]หน้าผ้า!ED344</f>
        <v>0</v>
      </c>
      <c r="AY335" s="2">
        <f>[2]หน้าผ้า!AG344</f>
        <v>0</v>
      </c>
      <c r="AZ335" s="2">
        <f>[2]หน้าผ้า!EG344</f>
        <v>0</v>
      </c>
      <c r="BA335" s="2">
        <f>[2]หน้าผ้า!EH344</f>
        <v>0</v>
      </c>
      <c r="BB335" s="2">
        <f>[2]หน้าผ้า!EI344</f>
        <v>0</v>
      </c>
      <c r="BC335" s="1">
        <f>[2]หน้าผ้า!BZ344</f>
        <v>0</v>
      </c>
      <c r="BD335" s="56">
        <f>[2]หน้าผ้า!CA344</f>
        <v>0</v>
      </c>
    </row>
    <row r="336" spans="1:56" ht="27.75" customHeight="1" x14ac:dyDescent="0.45">
      <c r="A336" s="3">
        <f>[2]หน้าผ้า!C345</f>
        <v>0</v>
      </c>
      <c r="B336" s="14">
        <f>[2]หน้าผ้า!B345</f>
        <v>0</v>
      </c>
      <c r="C336" s="9">
        <f>[2]หน้าผ้า!E345</f>
        <v>0</v>
      </c>
      <c r="D336" s="13">
        <f>[2]หน้าผ้า!F345</f>
        <v>0</v>
      </c>
      <c r="E336" s="9">
        <f>[2]หน้าผ้า!G345</f>
        <v>0</v>
      </c>
      <c r="F336" s="9">
        <f>[2]หน้าผ้า!H345</f>
        <v>0</v>
      </c>
      <c r="G336" s="9">
        <f>[2]หน้าผ้า!I345</f>
        <v>0</v>
      </c>
      <c r="H336" s="9">
        <f>[2]หน้าผ้า!J345</f>
        <v>0</v>
      </c>
      <c r="I336" s="9">
        <f>[2]หน้าผ้า!L345</f>
        <v>0</v>
      </c>
      <c r="J336" s="9">
        <f>[2]หน้าผ้า!M345</f>
        <v>0</v>
      </c>
      <c r="K336" s="9">
        <f>[2]หน้าผ้า!N345</f>
        <v>0</v>
      </c>
      <c r="L336" s="9">
        <f>[2]หน้าผ้า!R345</f>
        <v>0</v>
      </c>
      <c r="M336" s="10">
        <f>[2]หน้าผ้า!T345</f>
        <v>0</v>
      </c>
      <c r="N336" s="9">
        <f>[2]หน้าผ้า!U345</f>
        <v>0</v>
      </c>
      <c r="O336" s="9">
        <f>[2]หน้าผ้า!V345</f>
        <v>0</v>
      </c>
      <c r="P336" s="10">
        <f>[2]หน้าผ้า!AB345</f>
        <v>0</v>
      </c>
      <c r="Q336" s="10">
        <f>[2]หน้าผ้า!AC345</f>
        <v>0</v>
      </c>
      <c r="R336" s="10">
        <f>[2]หน้าผ้า!AD345</f>
        <v>0</v>
      </c>
      <c r="S336" s="9">
        <f>[2]หน้าผ้า!Z345</f>
        <v>0</v>
      </c>
      <c r="T336" s="12">
        <f>[2]หน้าผ้า!X345</f>
        <v>0</v>
      </c>
      <c r="U336" s="11">
        <f>[2]หน้าผ้า!AA345</f>
        <v>0</v>
      </c>
      <c r="V336" s="10">
        <f>[2]หน้าผ้า!AJ345</f>
        <v>0</v>
      </c>
      <c r="W336" s="10">
        <f>[2]หน้าผ้า!AL345</f>
        <v>0</v>
      </c>
      <c r="X336" s="10">
        <f>[2]หน้าผ้า!AM345</f>
        <v>0</v>
      </c>
      <c r="Y336" s="10">
        <f>[2]หน้าผ้า!AN345</f>
        <v>0</v>
      </c>
      <c r="Z336" s="9">
        <f>[2]หน้าผ้า!AO345</f>
        <v>0</v>
      </c>
      <c r="AA336" s="8">
        <f>[2]หน้าผ้า!AQ345</f>
        <v>0</v>
      </c>
      <c r="AB336" s="8">
        <f>[2]หน้าผ้า!AR345</f>
        <v>0</v>
      </c>
      <c r="AC336" s="8">
        <f>[2]หน้าผ้า!AS345</f>
        <v>0</v>
      </c>
      <c r="AD336" s="8">
        <f>[2]หน้าผ้า!AT345</f>
        <v>0</v>
      </c>
      <c r="AE336" s="8">
        <f>[2]หน้าผ้า!AU345</f>
        <v>0</v>
      </c>
      <c r="AF336" s="8">
        <f>[2]หน้าผ้า!AI345</f>
        <v>0</v>
      </c>
      <c r="AG336" s="1">
        <f>[3]หน้าผ้า!DC348</f>
        <v>0</v>
      </c>
      <c r="AH336" s="1">
        <f>[2]หน้าผ้า!DL345</f>
        <v>0</v>
      </c>
      <c r="AI336" s="1">
        <f>[2]หน้าผ้า!DM345</f>
        <v>0</v>
      </c>
      <c r="AJ336" s="3">
        <f>[2]หน้าผ้า!DN345</f>
        <v>0</v>
      </c>
      <c r="AK336" s="3">
        <f>[2]หน้าผ้า!DQ345</f>
        <v>0</v>
      </c>
      <c r="AL336" s="3">
        <f>[2]หน้าผ้า!DR345</f>
        <v>0</v>
      </c>
      <c r="AM336" s="3">
        <f>[2]หน้าผ้า!DS345</f>
        <v>0</v>
      </c>
      <c r="AN336" s="3">
        <f>[2]หน้าผ้า!DT345</f>
        <v>0</v>
      </c>
      <c r="AO336" s="3">
        <f>[2]หน้าผ้า!DU345</f>
        <v>0</v>
      </c>
      <c r="AP336" s="3">
        <f>[2]หน้าผ้า!DP345</f>
        <v>0</v>
      </c>
      <c r="AQ336" s="3">
        <f>[2]หน้าผ้า!DW345</f>
        <v>0</v>
      </c>
      <c r="AR336" s="3">
        <f>[2]หน้าผ้า!DX345</f>
        <v>0</v>
      </c>
      <c r="AS336" s="3">
        <f>[2]หน้าผ้า!DY345</f>
        <v>0</v>
      </c>
      <c r="AT336" s="3">
        <f>[2]หน้าผ้า!DZ345</f>
        <v>0</v>
      </c>
      <c r="AU336" s="3">
        <f>[2]หน้าผ้า!EA345</f>
        <v>0</v>
      </c>
      <c r="AV336" s="1">
        <f>[2]หน้าผ้า!EB345</f>
        <v>0</v>
      </c>
      <c r="AW336" s="2">
        <f>[2]หน้าผ้า!EC345</f>
        <v>0</v>
      </c>
      <c r="AX336" s="2">
        <f>[2]หน้าผ้า!ED345</f>
        <v>0</v>
      </c>
      <c r="AY336" s="2">
        <f>[2]หน้าผ้า!AG345</f>
        <v>0</v>
      </c>
      <c r="AZ336" s="2">
        <f>[2]หน้าผ้า!EG345</f>
        <v>0</v>
      </c>
      <c r="BA336" s="2">
        <f>[2]หน้าผ้า!EH345</f>
        <v>0</v>
      </c>
      <c r="BB336" s="2">
        <f>[2]หน้าผ้า!EI345</f>
        <v>0</v>
      </c>
      <c r="BC336" s="1">
        <f>[2]หน้าผ้า!BZ345</f>
        <v>0</v>
      </c>
      <c r="BD336" s="56">
        <f>[2]หน้าผ้า!CA345</f>
        <v>0</v>
      </c>
    </row>
    <row r="337" spans="1:56" ht="27.75" customHeight="1" x14ac:dyDescent="0.45">
      <c r="A337" s="3">
        <f>[2]หน้าผ้า!C346</f>
        <v>0</v>
      </c>
      <c r="B337" s="14">
        <f>[2]หน้าผ้า!B346</f>
        <v>0</v>
      </c>
      <c r="C337" s="9">
        <f>[2]หน้าผ้า!E346</f>
        <v>0</v>
      </c>
      <c r="D337" s="13">
        <f>[2]หน้าผ้า!F346</f>
        <v>0</v>
      </c>
      <c r="E337" s="9">
        <f>[2]หน้าผ้า!G346</f>
        <v>0</v>
      </c>
      <c r="F337" s="9">
        <f>[2]หน้าผ้า!H346</f>
        <v>0</v>
      </c>
      <c r="G337" s="9">
        <f>[2]หน้าผ้า!I346</f>
        <v>0</v>
      </c>
      <c r="H337" s="9">
        <f>[2]หน้าผ้า!J346</f>
        <v>0</v>
      </c>
      <c r="I337" s="9">
        <f>[2]หน้าผ้า!L346</f>
        <v>0</v>
      </c>
      <c r="J337" s="9">
        <f>[2]หน้าผ้า!M346</f>
        <v>0</v>
      </c>
      <c r="K337" s="9">
        <f>[2]หน้าผ้า!N346</f>
        <v>0</v>
      </c>
      <c r="L337" s="9">
        <f>[2]หน้าผ้า!R346</f>
        <v>0</v>
      </c>
      <c r="M337" s="10">
        <f>[2]หน้าผ้า!T346</f>
        <v>0</v>
      </c>
      <c r="N337" s="9">
        <f>[2]หน้าผ้า!U346</f>
        <v>0</v>
      </c>
      <c r="O337" s="9">
        <f>[2]หน้าผ้า!V346</f>
        <v>0</v>
      </c>
      <c r="P337" s="10">
        <f>[2]หน้าผ้า!AB346</f>
        <v>0</v>
      </c>
      <c r="Q337" s="10">
        <f>[2]หน้าผ้า!AC346</f>
        <v>0</v>
      </c>
      <c r="R337" s="10">
        <f>[2]หน้าผ้า!AD346</f>
        <v>0</v>
      </c>
      <c r="S337" s="9">
        <f>[2]หน้าผ้า!Z346</f>
        <v>0</v>
      </c>
      <c r="T337" s="12">
        <f>[2]หน้าผ้า!X346</f>
        <v>0</v>
      </c>
      <c r="U337" s="11">
        <f>[2]หน้าผ้า!AA346</f>
        <v>0</v>
      </c>
      <c r="V337" s="10">
        <f>[2]หน้าผ้า!AJ346</f>
        <v>0</v>
      </c>
      <c r="W337" s="10">
        <f>[2]หน้าผ้า!AL346</f>
        <v>0</v>
      </c>
      <c r="X337" s="10">
        <f>[2]หน้าผ้า!AM346</f>
        <v>0</v>
      </c>
      <c r="Y337" s="10">
        <f>[2]หน้าผ้า!AN346</f>
        <v>0</v>
      </c>
      <c r="Z337" s="9">
        <f>[2]หน้าผ้า!AO346</f>
        <v>0</v>
      </c>
      <c r="AA337" s="8">
        <f>[2]หน้าผ้า!AQ346</f>
        <v>0</v>
      </c>
      <c r="AB337" s="8">
        <f>[2]หน้าผ้า!AR346</f>
        <v>0</v>
      </c>
      <c r="AC337" s="8">
        <f>[2]หน้าผ้า!AS346</f>
        <v>0</v>
      </c>
      <c r="AD337" s="8">
        <f>[2]หน้าผ้า!AT346</f>
        <v>0</v>
      </c>
      <c r="AE337" s="8">
        <f>[2]หน้าผ้า!AU346</f>
        <v>0</v>
      </c>
      <c r="AF337" s="8">
        <f>[2]หน้าผ้า!AI346</f>
        <v>0</v>
      </c>
      <c r="AG337" s="1">
        <f>[3]หน้าผ้า!DC349</f>
        <v>0</v>
      </c>
      <c r="AH337" s="1">
        <f>[2]หน้าผ้า!DL346</f>
        <v>0</v>
      </c>
      <c r="AI337" s="1">
        <f>[2]หน้าผ้า!DM346</f>
        <v>0</v>
      </c>
      <c r="AJ337" s="3">
        <f>[2]หน้าผ้า!DN346</f>
        <v>0</v>
      </c>
      <c r="AK337" s="3">
        <f>[2]หน้าผ้า!DQ346</f>
        <v>0</v>
      </c>
      <c r="AL337" s="3">
        <f>[2]หน้าผ้า!DR346</f>
        <v>0</v>
      </c>
      <c r="AM337" s="3">
        <f>[2]หน้าผ้า!DS346</f>
        <v>0</v>
      </c>
      <c r="AN337" s="3">
        <f>[2]หน้าผ้า!DT346</f>
        <v>0</v>
      </c>
      <c r="AO337" s="3">
        <f>[2]หน้าผ้า!DU346</f>
        <v>0</v>
      </c>
      <c r="AP337" s="3">
        <f>[2]หน้าผ้า!DP346</f>
        <v>0</v>
      </c>
      <c r="AQ337" s="3">
        <f>[2]หน้าผ้า!DW346</f>
        <v>0</v>
      </c>
      <c r="AR337" s="3">
        <f>[2]หน้าผ้า!DX346</f>
        <v>0</v>
      </c>
      <c r="AS337" s="3">
        <f>[2]หน้าผ้า!DY346</f>
        <v>0</v>
      </c>
      <c r="AT337" s="3">
        <f>[2]หน้าผ้า!DZ346</f>
        <v>0</v>
      </c>
      <c r="AU337" s="3">
        <f>[2]หน้าผ้า!EA346</f>
        <v>0</v>
      </c>
      <c r="AV337" s="1">
        <f>[2]หน้าผ้า!EB346</f>
        <v>0</v>
      </c>
      <c r="AW337" s="2">
        <f>[2]หน้าผ้า!EC346</f>
        <v>0</v>
      </c>
      <c r="AX337" s="2">
        <f>[2]หน้าผ้า!ED346</f>
        <v>0</v>
      </c>
      <c r="AY337" s="2">
        <f>[2]หน้าผ้า!AG346</f>
        <v>0</v>
      </c>
      <c r="AZ337" s="2">
        <f>[2]หน้าผ้า!EG346</f>
        <v>0</v>
      </c>
      <c r="BA337" s="2">
        <f>[2]หน้าผ้า!EH346</f>
        <v>0</v>
      </c>
      <c r="BB337" s="2">
        <f>[2]หน้าผ้า!EI346</f>
        <v>0</v>
      </c>
      <c r="BC337" s="1">
        <f>[2]หน้าผ้า!BZ346</f>
        <v>0</v>
      </c>
      <c r="BD337" s="56">
        <f>[2]หน้าผ้า!CA346</f>
        <v>0</v>
      </c>
    </row>
    <row r="338" spans="1:56" ht="27.75" customHeight="1" x14ac:dyDescent="0.45">
      <c r="A338" s="3">
        <f>[2]หน้าผ้า!C347</f>
        <v>0</v>
      </c>
      <c r="B338" s="14">
        <f>[2]หน้าผ้า!B347</f>
        <v>0</v>
      </c>
      <c r="C338" s="9">
        <f>[2]หน้าผ้า!E347</f>
        <v>0</v>
      </c>
      <c r="D338" s="13">
        <f>[2]หน้าผ้า!F347</f>
        <v>0</v>
      </c>
      <c r="E338" s="9">
        <f>[2]หน้าผ้า!G347</f>
        <v>0</v>
      </c>
      <c r="F338" s="9">
        <f>[2]หน้าผ้า!H347</f>
        <v>0</v>
      </c>
      <c r="G338" s="9">
        <f>[2]หน้าผ้า!I347</f>
        <v>0</v>
      </c>
      <c r="H338" s="9">
        <f>[2]หน้าผ้า!J347</f>
        <v>0</v>
      </c>
      <c r="I338" s="9">
        <f>[2]หน้าผ้า!L347</f>
        <v>0</v>
      </c>
      <c r="J338" s="9">
        <f>[2]หน้าผ้า!M347</f>
        <v>0</v>
      </c>
      <c r="K338" s="9">
        <f>[2]หน้าผ้า!N347</f>
        <v>0</v>
      </c>
      <c r="L338" s="9">
        <f>[2]หน้าผ้า!R347</f>
        <v>0</v>
      </c>
      <c r="M338" s="10">
        <f>[2]หน้าผ้า!T347</f>
        <v>0</v>
      </c>
      <c r="N338" s="9">
        <f>[2]หน้าผ้า!U347</f>
        <v>0</v>
      </c>
      <c r="O338" s="9">
        <f>[2]หน้าผ้า!V347</f>
        <v>0</v>
      </c>
      <c r="P338" s="10">
        <f>[2]หน้าผ้า!AB347</f>
        <v>0</v>
      </c>
      <c r="Q338" s="10">
        <f>[2]หน้าผ้า!AC347</f>
        <v>0</v>
      </c>
      <c r="R338" s="10">
        <f>[2]หน้าผ้า!AD347</f>
        <v>0</v>
      </c>
      <c r="S338" s="9">
        <f>[2]หน้าผ้า!Z347</f>
        <v>0</v>
      </c>
      <c r="T338" s="12">
        <f>[2]หน้าผ้า!X347</f>
        <v>0</v>
      </c>
      <c r="U338" s="11">
        <f>[2]หน้าผ้า!AA347</f>
        <v>0</v>
      </c>
      <c r="V338" s="10">
        <f>[2]หน้าผ้า!AJ347</f>
        <v>0</v>
      </c>
      <c r="W338" s="10">
        <f>[2]หน้าผ้า!AL347</f>
        <v>0</v>
      </c>
      <c r="X338" s="10">
        <f>[2]หน้าผ้า!AM347</f>
        <v>0</v>
      </c>
      <c r="Y338" s="10">
        <f>[2]หน้าผ้า!AN347</f>
        <v>0</v>
      </c>
      <c r="Z338" s="9">
        <f>[2]หน้าผ้า!AO347</f>
        <v>0</v>
      </c>
      <c r="AA338" s="8">
        <f>[2]หน้าผ้า!AQ347</f>
        <v>0</v>
      </c>
      <c r="AB338" s="8">
        <f>[2]หน้าผ้า!AR347</f>
        <v>0</v>
      </c>
      <c r="AC338" s="8">
        <f>[2]หน้าผ้า!AS347</f>
        <v>0</v>
      </c>
      <c r="AD338" s="8">
        <f>[2]หน้าผ้า!AT347</f>
        <v>0</v>
      </c>
      <c r="AE338" s="8">
        <f>[2]หน้าผ้า!AU347</f>
        <v>0</v>
      </c>
      <c r="AF338" s="8">
        <f>[2]หน้าผ้า!AI347</f>
        <v>0</v>
      </c>
      <c r="AG338" s="1">
        <f>[3]หน้าผ้า!DC350</f>
        <v>0</v>
      </c>
      <c r="AH338" s="1">
        <f>[2]หน้าผ้า!DL347</f>
        <v>0</v>
      </c>
      <c r="AI338" s="1">
        <f>[2]หน้าผ้า!DM347</f>
        <v>0</v>
      </c>
      <c r="AJ338" s="3">
        <f>[2]หน้าผ้า!DN347</f>
        <v>0</v>
      </c>
      <c r="AK338" s="3">
        <f>[2]หน้าผ้า!DQ347</f>
        <v>0</v>
      </c>
      <c r="AL338" s="3">
        <f>[2]หน้าผ้า!DR347</f>
        <v>0</v>
      </c>
      <c r="AM338" s="3">
        <f>[2]หน้าผ้า!DS347</f>
        <v>0</v>
      </c>
      <c r="AN338" s="3">
        <f>[2]หน้าผ้า!DT347</f>
        <v>0</v>
      </c>
      <c r="AO338" s="3">
        <f>[2]หน้าผ้า!DU347</f>
        <v>0</v>
      </c>
      <c r="AP338" s="3">
        <f>[2]หน้าผ้า!DP347</f>
        <v>0</v>
      </c>
      <c r="AQ338" s="3">
        <f>[2]หน้าผ้า!DW347</f>
        <v>0</v>
      </c>
      <c r="AR338" s="3">
        <f>[2]หน้าผ้า!DX347</f>
        <v>0</v>
      </c>
      <c r="AS338" s="3">
        <f>[2]หน้าผ้า!DY347</f>
        <v>0</v>
      </c>
      <c r="AT338" s="3">
        <f>[2]หน้าผ้า!DZ347</f>
        <v>0</v>
      </c>
      <c r="AU338" s="3">
        <f>[2]หน้าผ้า!EA347</f>
        <v>0</v>
      </c>
      <c r="AV338" s="1">
        <f>[2]หน้าผ้า!EB347</f>
        <v>0</v>
      </c>
      <c r="AW338" s="2">
        <f>[2]หน้าผ้า!EC347</f>
        <v>0</v>
      </c>
      <c r="AX338" s="2">
        <f>[2]หน้าผ้า!ED347</f>
        <v>0</v>
      </c>
      <c r="AY338" s="2">
        <f>[2]หน้าผ้า!AG347</f>
        <v>0</v>
      </c>
      <c r="AZ338" s="2">
        <f>[2]หน้าผ้า!EG347</f>
        <v>0</v>
      </c>
      <c r="BA338" s="2">
        <f>[2]หน้าผ้า!EH347</f>
        <v>0</v>
      </c>
      <c r="BB338" s="2">
        <f>[2]หน้าผ้า!EI347</f>
        <v>0</v>
      </c>
      <c r="BC338" s="1">
        <f>[2]หน้าผ้า!BZ347</f>
        <v>0</v>
      </c>
      <c r="BD338" s="56">
        <f>[2]หน้าผ้า!CA347</f>
        <v>0</v>
      </c>
    </row>
    <row r="339" spans="1:56" ht="27.75" customHeight="1" x14ac:dyDescent="0.45">
      <c r="A339" s="3">
        <f>[2]หน้าผ้า!C348</f>
        <v>0</v>
      </c>
      <c r="B339" s="14">
        <f>[2]หน้าผ้า!B348</f>
        <v>0</v>
      </c>
      <c r="C339" s="9">
        <f>[2]หน้าผ้า!E348</f>
        <v>0</v>
      </c>
      <c r="D339" s="13">
        <f>[2]หน้าผ้า!F348</f>
        <v>0</v>
      </c>
      <c r="E339" s="9">
        <f>[2]หน้าผ้า!G348</f>
        <v>0</v>
      </c>
      <c r="F339" s="9">
        <f>[2]หน้าผ้า!H348</f>
        <v>0</v>
      </c>
      <c r="G339" s="9">
        <f>[2]หน้าผ้า!I348</f>
        <v>0</v>
      </c>
      <c r="H339" s="9">
        <f>[2]หน้าผ้า!J348</f>
        <v>0</v>
      </c>
      <c r="I339" s="9">
        <f>[2]หน้าผ้า!L348</f>
        <v>0</v>
      </c>
      <c r="J339" s="9">
        <f>[2]หน้าผ้า!M348</f>
        <v>0</v>
      </c>
      <c r="K339" s="9">
        <f>[2]หน้าผ้า!N348</f>
        <v>0</v>
      </c>
      <c r="L339" s="9">
        <f>[2]หน้าผ้า!R348</f>
        <v>0</v>
      </c>
      <c r="M339" s="10">
        <f>[2]หน้าผ้า!T348</f>
        <v>0</v>
      </c>
      <c r="N339" s="9">
        <f>[2]หน้าผ้า!U348</f>
        <v>0</v>
      </c>
      <c r="O339" s="9">
        <f>[2]หน้าผ้า!V348</f>
        <v>0</v>
      </c>
      <c r="P339" s="10">
        <f>[2]หน้าผ้า!AB348</f>
        <v>0</v>
      </c>
      <c r="Q339" s="10">
        <f>[2]หน้าผ้า!AC348</f>
        <v>0</v>
      </c>
      <c r="R339" s="10">
        <f>[2]หน้าผ้า!AD348</f>
        <v>0</v>
      </c>
      <c r="S339" s="9">
        <f>[2]หน้าผ้า!Z348</f>
        <v>0</v>
      </c>
      <c r="T339" s="12">
        <f>[2]หน้าผ้า!X348</f>
        <v>0</v>
      </c>
      <c r="U339" s="11">
        <f>[2]หน้าผ้า!AA348</f>
        <v>0</v>
      </c>
      <c r="V339" s="10">
        <f>[2]หน้าผ้า!AJ348</f>
        <v>0</v>
      </c>
      <c r="W339" s="10">
        <f>[2]หน้าผ้า!AL348</f>
        <v>0</v>
      </c>
      <c r="X339" s="10">
        <f>[2]หน้าผ้า!AM348</f>
        <v>0</v>
      </c>
      <c r="Y339" s="10">
        <f>[2]หน้าผ้า!AN348</f>
        <v>0</v>
      </c>
      <c r="Z339" s="9">
        <f>[2]หน้าผ้า!AO348</f>
        <v>0</v>
      </c>
      <c r="AA339" s="8">
        <f>[2]หน้าผ้า!AQ348</f>
        <v>0</v>
      </c>
      <c r="AB339" s="8">
        <f>[2]หน้าผ้า!AR348</f>
        <v>0</v>
      </c>
      <c r="AC339" s="8">
        <f>[2]หน้าผ้า!AS348</f>
        <v>0</v>
      </c>
      <c r="AD339" s="8">
        <f>[2]หน้าผ้า!AT348</f>
        <v>0</v>
      </c>
      <c r="AE339" s="8">
        <f>[2]หน้าผ้า!AU348</f>
        <v>0</v>
      </c>
      <c r="AF339" s="8">
        <f>[2]หน้าผ้า!AI348</f>
        <v>0</v>
      </c>
      <c r="AG339" s="1">
        <f>[3]หน้าผ้า!DC351</f>
        <v>0</v>
      </c>
      <c r="AH339" s="1">
        <f>[2]หน้าผ้า!DL348</f>
        <v>0</v>
      </c>
      <c r="AI339" s="1">
        <f>[2]หน้าผ้า!DM348</f>
        <v>0</v>
      </c>
      <c r="AJ339" s="3">
        <f>[2]หน้าผ้า!DN348</f>
        <v>0</v>
      </c>
      <c r="AK339" s="3">
        <f>[2]หน้าผ้า!DQ348</f>
        <v>0</v>
      </c>
      <c r="AL339" s="3">
        <f>[2]หน้าผ้า!DR348</f>
        <v>0</v>
      </c>
      <c r="AM339" s="3">
        <f>[2]หน้าผ้า!DS348</f>
        <v>0</v>
      </c>
      <c r="AN339" s="3">
        <f>[2]หน้าผ้า!DT348</f>
        <v>0</v>
      </c>
      <c r="AO339" s="3">
        <f>[2]หน้าผ้า!DU348</f>
        <v>0</v>
      </c>
      <c r="AP339" s="3">
        <f>[2]หน้าผ้า!DP348</f>
        <v>0</v>
      </c>
      <c r="AQ339" s="3">
        <f>[2]หน้าผ้า!DW348</f>
        <v>0</v>
      </c>
      <c r="AR339" s="3">
        <f>[2]หน้าผ้า!DX348</f>
        <v>0</v>
      </c>
      <c r="AS339" s="3">
        <f>[2]หน้าผ้า!DY348</f>
        <v>0</v>
      </c>
      <c r="AT339" s="3">
        <f>[2]หน้าผ้า!DZ348</f>
        <v>0</v>
      </c>
      <c r="AU339" s="3">
        <f>[2]หน้าผ้า!EA348</f>
        <v>0</v>
      </c>
      <c r="AV339" s="1">
        <f>[2]หน้าผ้า!EB348</f>
        <v>0</v>
      </c>
      <c r="AW339" s="2">
        <f>[2]หน้าผ้า!EC348</f>
        <v>0</v>
      </c>
      <c r="AX339" s="2">
        <f>[2]หน้าผ้า!ED348</f>
        <v>0</v>
      </c>
      <c r="AY339" s="2">
        <f>[2]หน้าผ้า!AG348</f>
        <v>0</v>
      </c>
      <c r="AZ339" s="2">
        <f>[2]หน้าผ้า!EG348</f>
        <v>0</v>
      </c>
      <c r="BA339" s="2">
        <f>[2]หน้าผ้า!EH348</f>
        <v>0</v>
      </c>
      <c r="BB339" s="2">
        <f>[2]หน้าผ้า!EI348</f>
        <v>0</v>
      </c>
      <c r="BC339" s="1">
        <f>[2]หน้าผ้า!BZ348</f>
        <v>0</v>
      </c>
      <c r="BD339" s="56">
        <f>[2]หน้าผ้า!CA348</f>
        <v>0</v>
      </c>
    </row>
    <row r="340" spans="1:56" ht="27.75" customHeight="1" x14ac:dyDescent="0.45">
      <c r="A340" s="3">
        <f>[2]หน้าผ้า!C349</f>
        <v>0</v>
      </c>
      <c r="B340" s="14">
        <f>[2]หน้าผ้า!B349</f>
        <v>0</v>
      </c>
      <c r="C340" s="9">
        <f>[2]หน้าผ้า!E349</f>
        <v>0</v>
      </c>
      <c r="D340" s="13">
        <f>[2]หน้าผ้า!F349</f>
        <v>0</v>
      </c>
      <c r="E340" s="9">
        <f>[2]หน้าผ้า!G349</f>
        <v>0</v>
      </c>
      <c r="F340" s="9">
        <f>[2]หน้าผ้า!H349</f>
        <v>0</v>
      </c>
      <c r="G340" s="9">
        <f>[2]หน้าผ้า!I349</f>
        <v>0</v>
      </c>
      <c r="H340" s="9">
        <f>[2]หน้าผ้า!J349</f>
        <v>0</v>
      </c>
      <c r="I340" s="9">
        <f>[2]หน้าผ้า!L349</f>
        <v>0</v>
      </c>
      <c r="J340" s="9">
        <f>[2]หน้าผ้า!M349</f>
        <v>0</v>
      </c>
      <c r="K340" s="9">
        <f>[2]หน้าผ้า!N349</f>
        <v>0</v>
      </c>
      <c r="L340" s="9">
        <f>[2]หน้าผ้า!R349</f>
        <v>0</v>
      </c>
      <c r="M340" s="10">
        <f>[2]หน้าผ้า!T349</f>
        <v>0</v>
      </c>
      <c r="N340" s="9">
        <f>[2]หน้าผ้า!U349</f>
        <v>0</v>
      </c>
      <c r="O340" s="9">
        <f>[2]หน้าผ้า!V349</f>
        <v>0</v>
      </c>
      <c r="P340" s="10">
        <f>[2]หน้าผ้า!AB349</f>
        <v>0</v>
      </c>
      <c r="Q340" s="10">
        <f>[2]หน้าผ้า!AC349</f>
        <v>0</v>
      </c>
      <c r="R340" s="10">
        <f>[2]หน้าผ้า!AD349</f>
        <v>0</v>
      </c>
      <c r="S340" s="9">
        <f>[2]หน้าผ้า!Z349</f>
        <v>0</v>
      </c>
      <c r="T340" s="12">
        <f>[2]หน้าผ้า!X349</f>
        <v>0</v>
      </c>
      <c r="U340" s="11">
        <f>[2]หน้าผ้า!AA349</f>
        <v>0</v>
      </c>
      <c r="V340" s="10">
        <f>[2]หน้าผ้า!AJ349</f>
        <v>0</v>
      </c>
      <c r="W340" s="10">
        <f>[2]หน้าผ้า!AL349</f>
        <v>0</v>
      </c>
      <c r="X340" s="10">
        <f>[2]หน้าผ้า!AM349</f>
        <v>0</v>
      </c>
      <c r="Y340" s="10">
        <f>[2]หน้าผ้า!AN349</f>
        <v>0</v>
      </c>
      <c r="Z340" s="9">
        <f>[2]หน้าผ้า!AO349</f>
        <v>0</v>
      </c>
      <c r="AA340" s="8">
        <f>[2]หน้าผ้า!AQ349</f>
        <v>0</v>
      </c>
      <c r="AB340" s="8">
        <f>[2]หน้าผ้า!AR349</f>
        <v>0</v>
      </c>
      <c r="AC340" s="8">
        <f>[2]หน้าผ้า!AS349</f>
        <v>0</v>
      </c>
      <c r="AD340" s="8">
        <f>[2]หน้าผ้า!AT349</f>
        <v>0</v>
      </c>
      <c r="AE340" s="8">
        <f>[2]หน้าผ้า!AU349</f>
        <v>0</v>
      </c>
      <c r="AF340" s="8">
        <f>[2]หน้าผ้า!AI349</f>
        <v>0</v>
      </c>
      <c r="AG340" s="1">
        <f>[3]หน้าผ้า!DC352</f>
        <v>0</v>
      </c>
      <c r="AH340" s="1">
        <f>[2]หน้าผ้า!DL349</f>
        <v>0</v>
      </c>
      <c r="AI340" s="1">
        <f>[2]หน้าผ้า!DM349</f>
        <v>0</v>
      </c>
      <c r="AJ340" s="3">
        <f>[2]หน้าผ้า!DN349</f>
        <v>0</v>
      </c>
      <c r="AK340" s="3">
        <f>[2]หน้าผ้า!DQ349</f>
        <v>0</v>
      </c>
      <c r="AL340" s="3">
        <f>[2]หน้าผ้า!DR349</f>
        <v>0</v>
      </c>
      <c r="AM340" s="3">
        <f>[2]หน้าผ้า!DS349</f>
        <v>0</v>
      </c>
      <c r="AN340" s="3">
        <f>[2]หน้าผ้า!DT349</f>
        <v>0</v>
      </c>
      <c r="AO340" s="3">
        <f>[2]หน้าผ้า!DU349</f>
        <v>0</v>
      </c>
      <c r="AP340" s="3">
        <f>[2]หน้าผ้า!DP349</f>
        <v>0</v>
      </c>
      <c r="AQ340" s="3">
        <f>[2]หน้าผ้า!DW349</f>
        <v>0</v>
      </c>
      <c r="AR340" s="3">
        <f>[2]หน้าผ้า!DX349</f>
        <v>0</v>
      </c>
      <c r="AS340" s="3">
        <f>[2]หน้าผ้า!DY349</f>
        <v>0</v>
      </c>
      <c r="AT340" s="3">
        <f>[2]หน้าผ้า!DZ349</f>
        <v>0</v>
      </c>
      <c r="AU340" s="3">
        <f>[2]หน้าผ้า!EA349</f>
        <v>0</v>
      </c>
      <c r="AV340" s="1">
        <f>[2]หน้าผ้า!EB349</f>
        <v>0</v>
      </c>
      <c r="AW340" s="2">
        <f>[2]หน้าผ้า!EC349</f>
        <v>0</v>
      </c>
      <c r="AX340" s="2">
        <f>[2]หน้าผ้า!ED349</f>
        <v>0</v>
      </c>
      <c r="AY340" s="2">
        <f>[2]หน้าผ้า!AG349</f>
        <v>0</v>
      </c>
      <c r="AZ340" s="2">
        <f>[2]หน้าผ้า!EG349</f>
        <v>0</v>
      </c>
      <c r="BA340" s="2">
        <f>[2]หน้าผ้า!EH349</f>
        <v>0</v>
      </c>
      <c r="BB340" s="2">
        <f>[2]หน้าผ้า!EI349</f>
        <v>0</v>
      </c>
      <c r="BC340" s="1">
        <f>[2]หน้าผ้า!BZ349</f>
        <v>0</v>
      </c>
      <c r="BD340" s="56">
        <f>[2]หน้าผ้า!CA349</f>
        <v>0</v>
      </c>
    </row>
    <row r="341" spans="1:56" ht="27.75" customHeight="1" x14ac:dyDescent="0.45">
      <c r="A341" s="3">
        <f>[2]หน้าผ้า!C350</f>
        <v>0</v>
      </c>
      <c r="B341" s="14">
        <f>[2]หน้าผ้า!B350</f>
        <v>0</v>
      </c>
      <c r="C341" s="9">
        <f>[2]หน้าผ้า!E350</f>
        <v>0</v>
      </c>
      <c r="D341" s="13">
        <f>[2]หน้าผ้า!F350</f>
        <v>0</v>
      </c>
      <c r="E341" s="9">
        <f>[2]หน้าผ้า!G350</f>
        <v>0</v>
      </c>
      <c r="F341" s="9">
        <f>[2]หน้าผ้า!H350</f>
        <v>0</v>
      </c>
      <c r="G341" s="9">
        <f>[2]หน้าผ้า!I350</f>
        <v>0</v>
      </c>
      <c r="H341" s="9">
        <f>[2]หน้าผ้า!J350</f>
        <v>0</v>
      </c>
      <c r="I341" s="9">
        <f>[2]หน้าผ้า!L350</f>
        <v>0</v>
      </c>
      <c r="J341" s="9">
        <f>[2]หน้าผ้า!M350</f>
        <v>0</v>
      </c>
      <c r="K341" s="9">
        <f>[2]หน้าผ้า!N350</f>
        <v>0</v>
      </c>
      <c r="L341" s="9">
        <f>[2]หน้าผ้า!R350</f>
        <v>0</v>
      </c>
      <c r="M341" s="10">
        <f>[2]หน้าผ้า!T350</f>
        <v>0</v>
      </c>
      <c r="N341" s="9">
        <f>[2]หน้าผ้า!U350</f>
        <v>0</v>
      </c>
      <c r="O341" s="9">
        <f>[2]หน้าผ้า!V350</f>
        <v>0</v>
      </c>
      <c r="P341" s="10">
        <f>[2]หน้าผ้า!AB350</f>
        <v>0</v>
      </c>
      <c r="Q341" s="10">
        <f>[2]หน้าผ้า!AC350</f>
        <v>0</v>
      </c>
      <c r="R341" s="10">
        <f>[2]หน้าผ้า!AD350</f>
        <v>0</v>
      </c>
      <c r="S341" s="9">
        <f>[2]หน้าผ้า!Z350</f>
        <v>0</v>
      </c>
      <c r="T341" s="12">
        <f>[2]หน้าผ้า!X350</f>
        <v>0</v>
      </c>
      <c r="U341" s="11">
        <f>[2]หน้าผ้า!AA350</f>
        <v>0</v>
      </c>
      <c r="V341" s="10">
        <f>[2]หน้าผ้า!AJ350</f>
        <v>0</v>
      </c>
      <c r="W341" s="10">
        <f>[2]หน้าผ้า!AL350</f>
        <v>0</v>
      </c>
      <c r="X341" s="10">
        <f>[2]หน้าผ้า!AM350</f>
        <v>0</v>
      </c>
      <c r="Y341" s="10">
        <f>[2]หน้าผ้า!AN350</f>
        <v>0</v>
      </c>
      <c r="Z341" s="9">
        <f>[2]หน้าผ้า!AO350</f>
        <v>0</v>
      </c>
      <c r="AA341" s="8">
        <f>[2]หน้าผ้า!AQ350</f>
        <v>0</v>
      </c>
      <c r="AB341" s="8">
        <f>[2]หน้าผ้า!AR350</f>
        <v>0</v>
      </c>
      <c r="AC341" s="8">
        <f>[2]หน้าผ้า!AS350</f>
        <v>0</v>
      </c>
      <c r="AD341" s="8">
        <f>[2]หน้าผ้า!AT350</f>
        <v>0</v>
      </c>
      <c r="AE341" s="8">
        <f>[2]หน้าผ้า!AU350</f>
        <v>0</v>
      </c>
      <c r="AF341" s="8">
        <f>[2]หน้าผ้า!AI350</f>
        <v>0</v>
      </c>
      <c r="AG341" s="1">
        <f>[3]หน้าผ้า!DC353</f>
        <v>0</v>
      </c>
      <c r="AH341" s="1">
        <f>[2]หน้าผ้า!DL350</f>
        <v>0</v>
      </c>
      <c r="AI341" s="1">
        <f>[2]หน้าผ้า!DM350</f>
        <v>0</v>
      </c>
      <c r="AJ341" s="3">
        <f>[2]หน้าผ้า!DN350</f>
        <v>0</v>
      </c>
      <c r="AK341" s="3">
        <f>[2]หน้าผ้า!DQ350</f>
        <v>0</v>
      </c>
      <c r="AL341" s="3">
        <f>[2]หน้าผ้า!DR350</f>
        <v>0</v>
      </c>
      <c r="AM341" s="3">
        <f>[2]หน้าผ้า!DS350</f>
        <v>0</v>
      </c>
      <c r="AN341" s="3">
        <f>[2]หน้าผ้า!DT350</f>
        <v>0</v>
      </c>
      <c r="AO341" s="3">
        <f>[2]หน้าผ้า!DU350</f>
        <v>0</v>
      </c>
      <c r="AP341" s="3">
        <f>[2]หน้าผ้า!DP350</f>
        <v>0</v>
      </c>
      <c r="AQ341" s="3">
        <f>[2]หน้าผ้า!DW350</f>
        <v>0</v>
      </c>
      <c r="AR341" s="3">
        <f>[2]หน้าผ้า!DX350</f>
        <v>0</v>
      </c>
      <c r="AS341" s="3">
        <f>[2]หน้าผ้า!DY350</f>
        <v>0</v>
      </c>
      <c r="AT341" s="3">
        <f>[2]หน้าผ้า!DZ350</f>
        <v>0</v>
      </c>
      <c r="AU341" s="3">
        <f>[2]หน้าผ้า!EA350</f>
        <v>0</v>
      </c>
      <c r="AV341" s="1">
        <f>[2]หน้าผ้า!EB350</f>
        <v>0</v>
      </c>
      <c r="AW341" s="2">
        <f>[2]หน้าผ้า!EC350</f>
        <v>0</v>
      </c>
      <c r="AX341" s="2">
        <f>[2]หน้าผ้า!ED350</f>
        <v>0</v>
      </c>
      <c r="AY341" s="2">
        <f>[2]หน้าผ้า!AG350</f>
        <v>0</v>
      </c>
      <c r="AZ341" s="2">
        <f>[2]หน้าผ้า!EG350</f>
        <v>0</v>
      </c>
      <c r="BA341" s="2">
        <f>[2]หน้าผ้า!EH350</f>
        <v>0</v>
      </c>
      <c r="BB341" s="2">
        <f>[2]หน้าผ้า!EI350</f>
        <v>0</v>
      </c>
      <c r="BC341" s="1">
        <f>[2]หน้าผ้า!BZ350</f>
        <v>0</v>
      </c>
      <c r="BD341" s="56">
        <f>[2]หน้าผ้า!CA350</f>
        <v>0</v>
      </c>
    </row>
    <row r="342" spans="1:56" ht="27.75" customHeight="1" x14ac:dyDescent="0.45">
      <c r="A342" s="3">
        <f>[2]หน้าผ้า!C351</f>
        <v>0</v>
      </c>
      <c r="B342" s="14">
        <f>[2]หน้าผ้า!B351</f>
        <v>0</v>
      </c>
      <c r="C342" s="9">
        <f>[2]หน้าผ้า!E351</f>
        <v>0</v>
      </c>
      <c r="D342" s="13">
        <f>[2]หน้าผ้า!F351</f>
        <v>0</v>
      </c>
      <c r="E342" s="9">
        <f>[2]หน้าผ้า!G351</f>
        <v>0</v>
      </c>
      <c r="F342" s="9">
        <f>[2]หน้าผ้า!H351</f>
        <v>0</v>
      </c>
      <c r="G342" s="9">
        <f>[2]หน้าผ้า!I351</f>
        <v>0</v>
      </c>
      <c r="H342" s="9">
        <f>[2]หน้าผ้า!J351</f>
        <v>0</v>
      </c>
      <c r="I342" s="9">
        <f>[2]หน้าผ้า!L351</f>
        <v>0</v>
      </c>
      <c r="J342" s="9">
        <f>[2]หน้าผ้า!M351</f>
        <v>0</v>
      </c>
      <c r="K342" s="9">
        <f>[2]หน้าผ้า!N351</f>
        <v>0</v>
      </c>
      <c r="L342" s="9">
        <f>[2]หน้าผ้า!R351</f>
        <v>0</v>
      </c>
      <c r="M342" s="10">
        <f>[2]หน้าผ้า!T351</f>
        <v>0</v>
      </c>
      <c r="N342" s="9">
        <f>[2]หน้าผ้า!U351</f>
        <v>0</v>
      </c>
      <c r="O342" s="9">
        <f>[2]หน้าผ้า!V351</f>
        <v>0</v>
      </c>
      <c r="P342" s="10">
        <f>[2]หน้าผ้า!AB351</f>
        <v>0</v>
      </c>
      <c r="Q342" s="10">
        <f>[2]หน้าผ้า!AC351</f>
        <v>0</v>
      </c>
      <c r="R342" s="10">
        <f>[2]หน้าผ้า!AD351</f>
        <v>0</v>
      </c>
      <c r="S342" s="9">
        <f>[2]หน้าผ้า!Z351</f>
        <v>0</v>
      </c>
      <c r="T342" s="12">
        <f>[2]หน้าผ้า!X351</f>
        <v>0</v>
      </c>
      <c r="U342" s="11">
        <f>[2]หน้าผ้า!AA351</f>
        <v>0</v>
      </c>
      <c r="V342" s="10">
        <f>[2]หน้าผ้า!AJ351</f>
        <v>0</v>
      </c>
      <c r="W342" s="10">
        <f>[2]หน้าผ้า!AL351</f>
        <v>0</v>
      </c>
      <c r="X342" s="10">
        <f>[2]หน้าผ้า!AM351</f>
        <v>0</v>
      </c>
      <c r="Y342" s="10">
        <f>[2]หน้าผ้า!AN351</f>
        <v>0</v>
      </c>
      <c r="Z342" s="9">
        <f>[2]หน้าผ้า!AO351</f>
        <v>0</v>
      </c>
      <c r="AA342" s="8">
        <f>[2]หน้าผ้า!AQ351</f>
        <v>0</v>
      </c>
      <c r="AB342" s="8">
        <f>[2]หน้าผ้า!AR351</f>
        <v>0</v>
      </c>
      <c r="AC342" s="8">
        <f>[2]หน้าผ้า!AS351</f>
        <v>0</v>
      </c>
      <c r="AD342" s="8">
        <f>[2]หน้าผ้า!AT351</f>
        <v>0</v>
      </c>
      <c r="AE342" s="8">
        <f>[2]หน้าผ้า!AU351</f>
        <v>0</v>
      </c>
      <c r="AF342" s="8">
        <f>[2]หน้าผ้า!AI351</f>
        <v>0</v>
      </c>
      <c r="AG342" s="1">
        <f>[3]หน้าผ้า!DC354</f>
        <v>0</v>
      </c>
      <c r="AH342" s="1">
        <f>[2]หน้าผ้า!DL351</f>
        <v>0</v>
      </c>
      <c r="AI342" s="1">
        <f>[2]หน้าผ้า!DM351</f>
        <v>0</v>
      </c>
      <c r="AJ342" s="3">
        <f>[2]หน้าผ้า!DN351</f>
        <v>0</v>
      </c>
      <c r="AK342" s="3">
        <f>[2]หน้าผ้า!DQ351</f>
        <v>0</v>
      </c>
      <c r="AL342" s="3">
        <f>[2]หน้าผ้า!DR351</f>
        <v>0</v>
      </c>
      <c r="AM342" s="3">
        <f>[2]หน้าผ้า!DS351</f>
        <v>0</v>
      </c>
      <c r="AN342" s="3">
        <f>[2]หน้าผ้า!DT351</f>
        <v>0</v>
      </c>
      <c r="AO342" s="3">
        <f>[2]หน้าผ้า!DU351</f>
        <v>0</v>
      </c>
      <c r="AP342" s="3">
        <f>[2]หน้าผ้า!DP351</f>
        <v>0</v>
      </c>
      <c r="AQ342" s="3">
        <f>[2]หน้าผ้า!DW351</f>
        <v>0</v>
      </c>
      <c r="AR342" s="3">
        <f>[2]หน้าผ้า!DX351</f>
        <v>0</v>
      </c>
      <c r="AS342" s="3">
        <f>[2]หน้าผ้า!DY351</f>
        <v>0</v>
      </c>
      <c r="AT342" s="3">
        <f>[2]หน้าผ้า!DZ351</f>
        <v>0</v>
      </c>
      <c r="AU342" s="3">
        <f>[2]หน้าผ้า!EA351</f>
        <v>0</v>
      </c>
      <c r="AV342" s="1">
        <f>[2]หน้าผ้า!EB351</f>
        <v>0</v>
      </c>
      <c r="AW342" s="2">
        <f>[2]หน้าผ้า!EC351</f>
        <v>0</v>
      </c>
      <c r="AX342" s="2">
        <f>[2]หน้าผ้า!ED351</f>
        <v>0</v>
      </c>
      <c r="AY342" s="2">
        <f>[2]หน้าผ้า!AG351</f>
        <v>0</v>
      </c>
      <c r="AZ342" s="2">
        <f>[2]หน้าผ้า!EG351</f>
        <v>0</v>
      </c>
      <c r="BA342" s="2">
        <f>[2]หน้าผ้า!EH351</f>
        <v>0</v>
      </c>
      <c r="BB342" s="2">
        <f>[2]หน้าผ้า!EI351</f>
        <v>0</v>
      </c>
      <c r="BC342" s="1">
        <f>[2]หน้าผ้า!BZ351</f>
        <v>0</v>
      </c>
      <c r="BD342" s="56">
        <f>[2]หน้าผ้า!CA351</f>
        <v>0</v>
      </c>
    </row>
    <row r="343" spans="1:56" ht="27.75" customHeight="1" x14ac:dyDescent="0.45">
      <c r="A343" s="3">
        <f>[2]หน้าผ้า!C352</f>
        <v>0</v>
      </c>
      <c r="B343" s="14">
        <f>[2]หน้าผ้า!B352</f>
        <v>0</v>
      </c>
      <c r="C343" s="9">
        <f>[2]หน้าผ้า!E352</f>
        <v>0</v>
      </c>
      <c r="D343" s="13">
        <f>[2]หน้าผ้า!F352</f>
        <v>0</v>
      </c>
      <c r="E343" s="9">
        <f>[2]หน้าผ้า!G352</f>
        <v>0</v>
      </c>
      <c r="F343" s="9">
        <f>[2]หน้าผ้า!H352</f>
        <v>0</v>
      </c>
      <c r="G343" s="9">
        <f>[2]หน้าผ้า!I352</f>
        <v>0</v>
      </c>
      <c r="H343" s="9">
        <f>[2]หน้าผ้า!J352</f>
        <v>0</v>
      </c>
      <c r="I343" s="9">
        <f>[2]หน้าผ้า!L352</f>
        <v>0</v>
      </c>
      <c r="J343" s="9">
        <f>[2]หน้าผ้า!M352</f>
        <v>0</v>
      </c>
      <c r="K343" s="9">
        <f>[2]หน้าผ้า!N352</f>
        <v>0</v>
      </c>
      <c r="L343" s="9">
        <f>[2]หน้าผ้า!R352</f>
        <v>0</v>
      </c>
      <c r="M343" s="10">
        <f>[2]หน้าผ้า!T352</f>
        <v>0</v>
      </c>
      <c r="N343" s="9">
        <f>[2]หน้าผ้า!U352</f>
        <v>0</v>
      </c>
      <c r="O343" s="9">
        <f>[2]หน้าผ้า!V352</f>
        <v>0</v>
      </c>
      <c r="P343" s="10">
        <f>[2]หน้าผ้า!AB352</f>
        <v>0</v>
      </c>
      <c r="Q343" s="10">
        <f>[2]หน้าผ้า!AC352</f>
        <v>0</v>
      </c>
      <c r="R343" s="10">
        <f>[2]หน้าผ้า!AD352</f>
        <v>0</v>
      </c>
      <c r="S343" s="9">
        <f>[2]หน้าผ้า!Z352</f>
        <v>0</v>
      </c>
      <c r="T343" s="12">
        <f>[2]หน้าผ้า!X352</f>
        <v>0</v>
      </c>
      <c r="U343" s="11">
        <f>[2]หน้าผ้า!AA352</f>
        <v>0</v>
      </c>
      <c r="V343" s="10">
        <f>[2]หน้าผ้า!AJ352</f>
        <v>0</v>
      </c>
      <c r="W343" s="10">
        <f>[2]หน้าผ้า!AL352</f>
        <v>0</v>
      </c>
      <c r="X343" s="10">
        <f>[2]หน้าผ้า!AM352</f>
        <v>0</v>
      </c>
      <c r="Y343" s="10">
        <f>[2]หน้าผ้า!AN352</f>
        <v>0</v>
      </c>
      <c r="Z343" s="9">
        <f>[2]หน้าผ้า!AO352</f>
        <v>0</v>
      </c>
      <c r="AA343" s="8">
        <f>[2]หน้าผ้า!AQ352</f>
        <v>0</v>
      </c>
      <c r="AB343" s="8">
        <f>[2]หน้าผ้า!AR352</f>
        <v>0</v>
      </c>
      <c r="AC343" s="8">
        <f>[2]หน้าผ้า!AS352</f>
        <v>0</v>
      </c>
      <c r="AD343" s="8">
        <f>[2]หน้าผ้า!AT352</f>
        <v>0</v>
      </c>
      <c r="AE343" s="8">
        <f>[2]หน้าผ้า!AU352</f>
        <v>0</v>
      </c>
      <c r="AF343" s="8">
        <f>[2]หน้าผ้า!AI352</f>
        <v>0</v>
      </c>
      <c r="AG343" s="1">
        <f>[3]หน้าผ้า!DC355</f>
        <v>0</v>
      </c>
      <c r="AH343" s="1">
        <f>[2]หน้าผ้า!DL352</f>
        <v>0</v>
      </c>
      <c r="AI343" s="1">
        <f>[2]หน้าผ้า!DM352</f>
        <v>0</v>
      </c>
      <c r="AJ343" s="3">
        <f>[2]หน้าผ้า!DN352</f>
        <v>0</v>
      </c>
      <c r="AK343" s="3">
        <f>[2]หน้าผ้า!DQ352</f>
        <v>0</v>
      </c>
      <c r="AL343" s="3">
        <f>[2]หน้าผ้า!DR352</f>
        <v>0</v>
      </c>
      <c r="AM343" s="3">
        <f>[2]หน้าผ้า!DS352</f>
        <v>0</v>
      </c>
      <c r="AN343" s="3">
        <f>[2]หน้าผ้า!DT352</f>
        <v>0</v>
      </c>
      <c r="AO343" s="3">
        <f>[2]หน้าผ้า!DU352</f>
        <v>0</v>
      </c>
      <c r="AP343" s="3">
        <f>[2]หน้าผ้า!DP352</f>
        <v>0</v>
      </c>
      <c r="AQ343" s="3">
        <f>[2]หน้าผ้า!DW352</f>
        <v>0</v>
      </c>
      <c r="AR343" s="3">
        <f>[2]หน้าผ้า!DX352</f>
        <v>0</v>
      </c>
      <c r="AS343" s="3">
        <f>[2]หน้าผ้า!DY352</f>
        <v>0</v>
      </c>
      <c r="AT343" s="3">
        <f>[2]หน้าผ้า!DZ352</f>
        <v>0</v>
      </c>
      <c r="AU343" s="3">
        <f>[2]หน้าผ้า!EA352</f>
        <v>0</v>
      </c>
      <c r="AV343" s="1">
        <f>[2]หน้าผ้า!EB352</f>
        <v>0</v>
      </c>
      <c r="AW343" s="2">
        <f>[2]หน้าผ้า!EC352</f>
        <v>0</v>
      </c>
      <c r="AX343" s="2">
        <f>[2]หน้าผ้า!ED352</f>
        <v>0</v>
      </c>
      <c r="AY343" s="2">
        <f>[2]หน้าผ้า!AG352</f>
        <v>0</v>
      </c>
      <c r="AZ343" s="2">
        <f>[2]หน้าผ้า!EG352</f>
        <v>0</v>
      </c>
      <c r="BA343" s="2">
        <f>[2]หน้าผ้า!EH352</f>
        <v>0</v>
      </c>
      <c r="BB343" s="2">
        <f>[2]หน้าผ้า!EI352</f>
        <v>0</v>
      </c>
      <c r="BC343" s="1">
        <f>[2]หน้าผ้า!BZ352</f>
        <v>0</v>
      </c>
      <c r="BD343" s="56">
        <f>[2]หน้าผ้า!CA352</f>
        <v>0</v>
      </c>
    </row>
    <row r="344" spans="1:56" ht="27.75" customHeight="1" x14ac:dyDescent="0.45">
      <c r="A344" s="3">
        <f>[2]หน้าผ้า!C353</f>
        <v>0</v>
      </c>
      <c r="B344" s="14">
        <f>[2]หน้าผ้า!B353</f>
        <v>0</v>
      </c>
      <c r="C344" s="9">
        <f>[2]หน้าผ้า!E353</f>
        <v>0</v>
      </c>
      <c r="D344" s="13">
        <f>[2]หน้าผ้า!F353</f>
        <v>0</v>
      </c>
      <c r="E344" s="9">
        <f>[2]หน้าผ้า!G353</f>
        <v>0</v>
      </c>
      <c r="F344" s="9">
        <f>[2]หน้าผ้า!H353</f>
        <v>0</v>
      </c>
      <c r="G344" s="9">
        <f>[2]หน้าผ้า!I353</f>
        <v>0</v>
      </c>
      <c r="H344" s="9">
        <f>[2]หน้าผ้า!J353</f>
        <v>0</v>
      </c>
      <c r="I344" s="9">
        <f>[2]หน้าผ้า!L353</f>
        <v>0</v>
      </c>
      <c r="J344" s="9">
        <f>[2]หน้าผ้า!M353</f>
        <v>0</v>
      </c>
      <c r="K344" s="9">
        <f>[2]หน้าผ้า!N353</f>
        <v>0</v>
      </c>
      <c r="L344" s="9">
        <f>[2]หน้าผ้า!R353</f>
        <v>0</v>
      </c>
      <c r="M344" s="10">
        <f>[2]หน้าผ้า!T353</f>
        <v>0</v>
      </c>
      <c r="N344" s="9">
        <f>[2]หน้าผ้า!U353</f>
        <v>0</v>
      </c>
      <c r="O344" s="9">
        <f>[2]หน้าผ้า!V353</f>
        <v>0</v>
      </c>
      <c r="P344" s="10">
        <f>[2]หน้าผ้า!AB353</f>
        <v>0</v>
      </c>
      <c r="Q344" s="10">
        <f>[2]หน้าผ้า!AC353</f>
        <v>0</v>
      </c>
      <c r="R344" s="10">
        <f>[2]หน้าผ้า!AD353</f>
        <v>0</v>
      </c>
      <c r="S344" s="9">
        <f>[2]หน้าผ้า!Z353</f>
        <v>0</v>
      </c>
      <c r="T344" s="12">
        <f>[2]หน้าผ้า!X353</f>
        <v>0</v>
      </c>
      <c r="U344" s="11">
        <f>[2]หน้าผ้า!AA353</f>
        <v>0</v>
      </c>
      <c r="V344" s="10">
        <f>[2]หน้าผ้า!AJ353</f>
        <v>0</v>
      </c>
      <c r="W344" s="10">
        <f>[2]หน้าผ้า!AL353</f>
        <v>0</v>
      </c>
      <c r="X344" s="10">
        <f>[2]หน้าผ้า!AM353</f>
        <v>0</v>
      </c>
      <c r="Y344" s="10">
        <f>[2]หน้าผ้า!AN353</f>
        <v>0</v>
      </c>
      <c r="Z344" s="9">
        <f>[2]หน้าผ้า!AO353</f>
        <v>0</v>
      </c>
      <c r="AA344" s="8">
        <f>[2]หน้าผ้า!AQ353</f>
        <v>0</v>
      </c>
      <c r="AB344" s="8">
        <f>[2]หน้าผ้า!AR353</f>
        <v>0</v>
      </c>
      <c r="AC344" s="8">
        <f>[2]หน้าผ้า!AS353</f>
        <v>0</v>
      </c>
      <c r="AD344" s="8">
        <f>[2]หน้าผ้า!AT353</f>
        <v>0</v>
      </c>
      <c r="AE344" s="8">
        <f>[2]หน้าผ้า!AU353</f>
        <v>0</v>
      </c>
      <c r="AF344" s="8">
        <f>[2]หน้าผ้า!AI353</f>
        <v>0</v>
      </c>
      <c r="AG344" s="1">
        <f>[3]หน้าผ้า!DC356</f>
        <v>0</v>
      </c>
      <c r="AH344" s="1">
        <f>[2]หน้าผ้า!DL353</f>
        <v>0</v>
      </c>
      <c r="AI344" s="1">
        <f>[2]หน้าผ้า!DM353</f>
        <v>0</v>
      </c>
      <c r="AJ344" s="3">
        <f>[2]หน้าผ้า!DN353</f>
        <v>0</v>
      </c>
      <c r="AK344" s="3">
        <f>[2]หน้าผ้า!DQ353</f>
        <v>0</v>
      </c>
      <c r="AL344" s="3">
        <f>[2]หน้าผ้า!DR353</f>
        <v>0</v>
      </c>
      <c r="AM344" s="3">
        <f>[2]หน้าผ้า!DS353</f>
        <v>0</v>
      </c>
      <c r="AN344" s="3">
        <f>[2]หน้าผ้า!DT353</f>
        <v>0</v>
      </c>
      <c r="AO344" s="3">
        <f>[2]หน้าผ้า!DU353</f>
        <v>0</v>
      </c>
      <c r="AP344" s="3">
        <f>[2]หน้าผ้า!DP353</f>
        <v>0</v>
      </c>
      <c r="AQ344" s="3">
        <f>[2]หน้าผ้า!DW353</f>
        <v>0</v>
      </c>
      <c r="AR344" s="3">
        <f>[2]หน้าผ้า!DX353</f>
        <v>0</v>
      </c>
      <c r="AS344" s="3">
        <f>[2]หน้าผ้า!DY353</f>
        <v>0</v>
      </c>
      <c r="AT344" s="3">
        <f>[2]หน้าผ้า!DZ353</f>
        <v>0</v>
      </c>
      <c r="AU344" s="3">
        <f>[2]หน้าผ้า!EA353</f>
        <v>0</v>
      </c>
      <c r="AV344" s="1">
        <f>[2]หน้าผ้า!EB353</f>
        <v>0</v>
      </c>
      <c r="AW344" s="2">
        <f>[2]หน้าผ้า!EC353</f>
        <v>0</v>
      </c>
      <c r="AX344" s="2">
        <f>[2]หน้าผ้า!ED353</f>
        <v>0</v>
      </c>
      <c r="AY344" s="2">
        <f>[2]หน้าผ้า!AG353</f>
        <v>0</v>
      </c>
      <c r="AZ344" s="2">
        <f>[2]หน้าผ้า!EG353</f>
        <v>0</v>
      </c>
      <c r="BA344" s="2">
        <f>[2]หน้าผ้า!EH353</f>
        <v>0</v>
      </c>
      <c r="BB344" s="2">
        <f>[2]หน้าผ้า!EI353</f>
        <v>0</v>
      </c>
      <c r="BC344" s="1">
        <f>[2]หน้าผ้า!BZ353</f>
        <v>0</v>
      </c>
      <c r="BD344" s="56">
        <f>[2]หน้าผ้า!CA353</f>
        <v>0</v>
      </c>
    </row>
    <row r="345" spans="1:56" ht="27.75" customHeight="1" x14ac:dyDescent="0.45">
      <c r="A345" s="3">
        <f>[2]หน้าผ้า!C354</f>
        <v>0</v>
      </c>
      <c r="B345" s="14">
        <f>[2]หน้าผ้า!B354</f>
        <v>0</v>
      </c>
      <c r="C345" s="9">
        <f>[2]หน้าผ้า!E354</f>
        <v>0</v>
      </c>
      <c r="D345" s="13">
        <f>[2]หน้าผ้า!F354</f>
        <v>0</v>
      </c>
      <c r="E345" s="9">
        <f>[2]หน้าผ้า!G354</f>
        <v>0</v>
      </c>
      <c r="F345" s="9">
        <f>[2]หน้าผ้า!H354</f>
        <v>0</v>
      </c>
      <c r="G345" s="9">
        <f>[2]หน้าผ้า!I354</f>
        <v>0</v>
      </c>
      <c r="H345" s="9">
        <f>[2]หน้าผ้า!J354</f>
        <v>0</v>
      </c>
      <c r="I345" s="9">
        <f>[2]หน้าผ้า!L354</f>
        <v>0</v>
      </c>
      <c r="J345" s="9">
        <f>[2]หน้าผ้า!M354</f>
        <v>0</v>
      </c>
      <c r="K345" s="9">
        <f>[2]หน้าผ้า!N354</f>
        <v>0</v>
      </c>
      <c r="L345" s="9">
        <f>[2]หน้าผ้า!R354</f>
        <v>0</v>
      </c>
      <c r="M345" s="10">
        <f>[2]หน้าผ้า!T354</f>
        <v>0</v>
      </c>
      <c r="N345" s="9">
        <f>[2]หน้าผ้า!U354</f>
        <v>0</v>
      </c>
      <c r="O345" s="9">
        <f>[2]หน้าผ้า!V354</f>
        <v>0</v>
      </c>
      <c r="P345" s="10">
        <f>[2]หน้าผ้า!AB354</f>
        <v>0</v>
      </c>
      <c r="Q345" s="10">
        <f>[2]หน้าผ้า!AC354</f>
        <v>0</v>
      </c>
      <c r="R345" s="10">
        <f>[2]หน้าผ้า!AD354</f>
        <v>0</v>
      </c>
      <c r="S345" s="9">
        <f>[2]หน้าผ้า!Z354</f>
        <v>0</v>
      </c>
      <c r="T345" s="12">
        <f>[2]หน้าผ้า!X354</f>
        <v>0</v>
      </c>
      <c r="U345" s="11">
        <f>[2]หน้าผ้า!AA354</f>
        <v>0</v>
      </c>
      <c r="V345" s="10">
        <f>[2]หน้าผ้า!AJ354</f>
        <v>0</v>
      </c>
      <c r="W345" s="10">
        <f>[2]หน้าผ้า!AL354</f>
        <v>0</v>
      </c>
      <c r="X345" s="10">
        <f>[2]หน้าผ้า!AM354</f>
        <v>0</v>
      </c>
      <c r="Y345" s="10">
        <f>[2]หน้าผ้า!AN354</f>
        <v>0</v>
      </c>
      <c r="Z345" s="9">
        <f>[2]หน้าผ้า!AO354</f>
        <v>0</v>
      </c>
      <c r="AA345" s="8">
        <f>[2]หน้าผ้า!AQ354</f>
        <v>0</v>
      </c>
      <c r="AB345" s="8">
        <f>[2]หน้าผ้า!AR354</f>
        <v>0</v>
      </c>
      <c r="AC345" s="8">
        <f>[2]หน้าผ้า!AS354</f>
        <v>0</v>
      </c>
      <c r="AD345" s="8">
        <f>[2]หน้าผ้า!AT354</f>
        <v>0</v>
      </c>
      <c r="AE345" s="8">
        <f>[2]หน้าผ้า!AU354</f>
        <v>0</v>
      </c>
      <c r="AF345" s="8">
        <f>[2]หน้าผ้า!AI354</f>
        <v>0</v>
      </c>
      <c r="AG345" s="1">
        <f>[3]หน้าผ้า!DC357</f>
        <v>0</v>
      </c>
      <c r="AH345" s="1">
        <f>[2]หน้าผ้า!DL354</f>
        <v>0</v>
      </c>
      <c r="AI345" s="1">
        <f>[2]หน้าผ้า!DM354</f>
        <v>0</v>
      </c>
      <c r="AJ345" s="3">
        <f>[2]หน้าผ้า!DN354</f>
        <v>0</v>
      </c>
      <c r="AK345" s="3">
        <f>[2]หน้าผ้า!DQ354</f>
        <v>0</v>
      </c>
      <c r="AL345" s="3">
        <f>[2]หน้าผ้า!DR354</f>
        <v>0</v>
      </c>
      <c r="AM345" s="3">
        <f>[2]หน้าผ้า!DS354</f>
        <v>0</v>
      </c>
      <c r="AN345" s="3">
        <f>[2]หน้าผ้า!DT354</f>
        <v>0</v>
      </c>
      <c r="AO345" s="3">
        <f>[2]หน้าผ้า!DU354</f>
        <v>0</v>
      </c>
      <c r="AP345" s="3">
        <f>[2]หน้าผ้า!DP354</f>
        <v>0</v>
      </c>
      <c r="AQ345" s="3">
        <f>[2]หน้าผ้า!DW354</f>
        <v>0</v>
      </c>
      <c r="AR345" s="3">
        <f>[2]หน้าผ้า!DX354</f>
        <v>0</v>
      </c>
      <c r="AS345" s="3">
        <f>[2]หน้าผ้า!DY354</f>
        <v>0</v>
      </c>
      <c r="AT345" s="3">
        <f>[2]หน้าผ้า!DZ354</f>
        <v>0</v>
      </c>
      <c r="AU345" s="3">
        <f>[2]หน้าผ้า!EA354</f>
        <v>0</v>
      </c>
      <c r="AV345" s="1">
        <f>[2]หน้าผ้า!EB354</f>
        <v>0</v>
      </c>
      <c r="AW345" s="2">
        <f>[2]หน้าผ้า!EC354</f>
        <v>0</v>
      </c>
      <c r="AX345" s="2">
        <f>[2]หน้าผ้า!ED354</f>
        <v>0</v>
      </c>
      <c r="AY345" s="2">
        <f>[2]หน้าผ้า!AG354</f>
        <v>0</v>
      </c>
      <c r="AZ345" s="2">
        <f>[2]หน้าผ้า!EG354</f>
        <v>0</v>
      </c>
      <c r="BA345" s="2">
        <f>[2]หน้าผ้า!EH354</f>
        <v>0</v>
      </c>
      <c r="BB345" s="2">
        <f>[2]หน้าผ้า!EI354</f>
        <v>0</v>
      </c>
      <c r="BC345" s="1">
        <f>[2]หน้าผ้า!BZ354</f>
        <v>0</v>
      </c>
      <c r="BD345" s="56">
        <f>[2]หน้าผ้า!CA354</f>
        <v>0</v>
      </c>
    </row>
    <row r="346" spans="1:56" ht="27.75" customHeight="1" x14ac:dyDescent="0.45">
      <c r="A346" s="3">
        <f>[2]หน้าผ้า!C355</f>
        <v>0</v>
      </c>
      <c r="B346" s="14">
        <f>[2]หน้าผ้า!B355</f>
        <v>0</v>
      </c>
      <c r="C346" s="9">
        <f>[2]หน้าผ้า!E355</f>
        <v>0</v>
      </c>
      <c r="D346" s="13">
        <f>[2]หน้าผ้า!F355</f>
        <v>0</v>
      </c>
      <c r="E346" s="9">
        <f>[2]หน้าผ้า!G355</f>
        <v>0</v>
      </c>
      <c r="F346" s="9">
        <f>[2]หน้าผ้า!H355</f>
        <v>0</v>
      </c>
      <c r="G346" s="9">
        <f>[2]หน้าผ้า!I355</f>
        <v>0</v>
      </c>
      <c r="H346" s="9">
        <f>[2]หน้าผ้า!J355</f>
        <v>0</v>
      </c>
      <c r="I346" s="9">
        <f>[2]หน้าผ้า!L355</f>
        <v>0</v>
      </c>
      <c r="J346" s="9">
        <f>[2]หน้าผ้า!M355</f>
        <v>0</v>
      </c>
      <c r="K346" s="9">
        <f>[2]หน้าผ้า!N355</f>
        <v>0</v>
      </c>
      <c r="L346" s="9">
        <f>[2]หน้าผ้า!R355</f>
        <v>0</v>
      </c>
      <c r="M346" s="10">
        <f>[2]หน้าผ้า!T355</f>
        <v>0</v>
      </c>
      <c r="N346" s="9">
        <f>[2]หน้าผ้า!U355</f>
        <v>0</v>
      </c>
      <c r="O346" s="9">
        <f>[2]หน้าผ้า!V355</f>
        <v>0</v>
      </c>
      <c r="P346" s="10">
        <f>[2]หน้าผ้า!AB355</f>
        <v>0</v>
      </c>
      <c r="Q346" s="10">
        <f>[2]หน้าผ้า!AC355</f>
        <v>0</v>
      </c>
      <c r="R346" s="10">
        <f>[2]หน้าผ้า!AD355</f>
        <v>0</v>
      </c>
      <c r="S346" s="9">
        <f>[2]หน้าผ้า!Z355</f>
        <v>0</v>
      </c>
      <c r="T346" s="12">
        <f>[2]หน้าผ้า!X355</f>
        <v>0</v>
      </c>
      <c r="U346" s="11">
        <f>[2]หน้าผ้า!AA355</f>
        <v>0</v>
      </c>
      <c r="V346" s="10">
        <f>[2]หน้าผ้า!AJ355</f>
        <v>0</v>
      </c>
      <c r="W346" s="10">
        <f>[2]หน้าผ้า!AL355</f>
        <v>0</v>
      </c>
      <c r="X346" s="10">
        <f>[2]หน้าผ้า!AM355</f>
        <v>0</v>
      </c>
      <c r="Y346" s="10">
        <f>[2]หน้าผ้า!AN355</f>
        <v>0</v>
      </c>
      <c r="Z346" s="9">
        <f>[2]หน้าผ้า!AO355</f>
        <v>0</v>
      </c>
      <c r="AA346" s="8">
        <f>[2]หน้าผ้า!AQ355</f>
        <v>0</v>
      </c>
      <c r="AB346" s="8">
        <f>[2]หน้าผ้า!AR355</f>
        <v>0</v>
      </c>
      <c r="AC346" s="8">
        <f>[2]หน้าผ้า!AS355</f>
        <v>0</v>
      </c>
      <c r="AD346" s="8">
        <f>[2]หน้าผ้า!AT355</f>
        <v>0</v>
      </c>
      <c r="AE346" s="8">
        <f>[2]หน้าผ้า!AU355</f>
        <v>0</v>
      </c>
      <c r="AF346" s="8">
        <f>[2]หน้าผ้า!AI355</f>
        <v>0</v>
      </c>
      <c r="AG346" s="1">
        <f>[3]หน้าผ้า!DC358</f>
        <v>0</v>
      </c>
      <c r="AH346" s="1">
        <f>[2]หน้าผ้า!DL355</f>
        <v>0</v>
      </c>
      <c r="AI346" s="1">
        <f>[2]หน้าผ้า!DM355</f>
        <v>0</v>
      </c>
      <c r="AJ346" s="3">
        <f>[2]หน้าผ้า!DN355</f>
        <v>0</v>
      </c>
      <c r="AK346" s="3">
        <f>[2]หน้าผ้า!DQ355</f>
        <v>0</v>
      </c>
      <c r="AL346" s="3">
        <f>[2]หน้าผ้า!DR355</f>
        <v>0</v>
      </c>
      <c r="AM346" s="3">
        <f>[2]หน้าผ้า!DS355</f>
        <v>0</v>
      </c>
      <c r="AN346" s="3">
        <f>[2]หน้าผ้า!DT355</f>
        <v>0</v>
      </c>
      <c r="AO346" s="3">
        <f>[2]หน้าผ้า!DU355</f>
        <v>0</v>
      </c>
      <c r="AP346" s="3">
        <f>[2]หน้าผ้า!DP355</f>
        <v>0</v>
      </c>
      <c r="AQ346" s="3">
        <f>[2]หน้าผ้า!DW355</f>
        <v>0</v>
      </c>
      <c r="AR346" s="3">
        <f>[2]หน้าผ้า!DX355</f>
        <v>0</v>
      </c>
      <c r="AS346" s="3">
        <f>[2]หน้าผ้า!DY355</f>
        <v>0</v>
      </c>
      <c r="AT346" s="3">
        <f>[2]หน้าผ้า!DZ355</f>
        <v>0</v>
      </c>
      <c r="AU346" s="3">
        <f>[2]หน้าผ้า!EA355</f>
        <v>0</v>
      </c>
      <c r="AV346" s="1">
        <f>[2]หน้าผ้า!EB355</f>
        <v>0</v>
      </c>
      <c r="AW346" s="2">
        <f>[2]หน้าผ้า!EC355</f>
        <v>0</v>
      </c>
      <c r="AX346" s="2">
        <f>[2]หน้าผ้า!ED355</f>
        <v>0</v>
      </c>
      <c r="AY346" s="2">
        <f>[2]หน้าผ้า!AG355</f>
        <v>0</v>
      </c>
      <c r="AZ346" s="2">
        <f>[2]หน้าผ้า!EG355</f>
        <v>0</v>
      </c>
      <c r="BA346" s="2">
        <f>[2]หน้าผ้า!EH355</f>
        <v>0</v>
      </c>
      <c r="BB346" s="2">
        <f>[2]หน้าผ้า!EI355</f>
        <v>0</v>
      </c>
      <c r="BC346" s="1">
        <f>[2]หน้าผ้า!BZ355</f>
        <v>0</v>
      </c>
      <c r="BD346" s="56">
        <f>[2]หน้าผ้า!CA355</f>
        <v>0</v>
      </c>
    </row>
    <row r="347" spans="1:56" ht="27.75" customHeight="1" x14ac:dyDescent="0.45">
      <c r="A347" s="3">
        <f>[2]หน้าผ้า!C356</f>
        <v>0</v>
      </c>
      <c r="B347" s="14">
        <f>[2]หน้าผ้า!B356</f>
        <v>0</v>
      </c>
      <c r="C347" s="9">
        <f>[2]หน้าผ้า!E356</f>
        <v>0</v>
      </c>
      <c r="D347" s="13">
        <f>[2]หน้าผ้า!F356</f>
        <v>0</v>
      </c>
      <c r="E347" s="9">
        <f>[2]หน้าผ้า!G356</f>
        <v>0</v>
      </c>
      <c r="F347" s="9">
        <f>[2]หน้าผ้า!H356</f>
        <v>0</v>
      </c>
      <c r="G347" s="9">
        <f>[2]หน้าผ้า!I356</f>
        <v>0</v>
      </c>
      <c r="H347" s="9">
        <f>[2]หน้าผ้า!J356</f>
        <v>0</v>
      </c>
      <c r="I347" s="9">
        <f>[2]หน้าผ้า!L356</f>
        <v>0</v>
      </c>
      <c r="J347" s="9">
        <f>[2]หน้าผ้า!M356</f>
        <v>0</v>
      </c>
      <c r="K347" s="9">
        <f>[2]หน้าผ้า!N356</f>
        <v>0</v>
      </c>
      <c r="L347" s="9">
        <f>[2]หน้าผ้า!R356</f>
        <v>0</v>
      </c>
      <c r="M347" s="10">
        <f>[2]หน้าผ้า!T356</f>
        <v>0</v>
      </c>
      <c r="N347" s="9">
        <f>[2]หน้าผ้า!U356</f>
        <v>0</v>
      </c>
      <c r="O347" s="9">
        <f>[2]หน้าผ้า!V356</f>
        <v>0</v>
      </c>
      <c r="P347" s="10">
        <f>[2]หน้าผ้า!AB356</f>
        <v>0</v>
      </c>
      <c r="Q347" s="10">
        <f>[2]หน้าผ้า!AC356</f>
        <v>0</v>
      </c>
      <c r="R347" s="10">
        <f>[2]หน้าผ้า!AD356</f>
        <v>0</v>
      </c>
      <c r="S347" s="9">
        <f>[2]หน้าผ้า!Z356</f>
        <v>0</v>
      </c>
      <c r="T347" s="12">
        <f>[2]หน้าผ้า!X356</f>
        <v>0</v>
      </c>
      <c r="U347" s="11">
        <f>[2]หน้าผ้า!AA356</f>
        <v>0</v>
      </c>
      <c r="V347" s="10">
        <f>[2]หน้าผ้า!AJ356</f>
        <v>0</v>
      </c>
      <c r="W347" s="10">
        <f>[2]หน้าผ้า!AL356</f>
        <v>0</v>
      </c>
      <c r="X347" s="10">
        <f>[2]หน้าผ้า!AM356</f>
        <v>0</v>
      </c>
      <c r="Y347" s="10">
        <f>[2]หน้าผ้า!AN356</f>
        <v>0</v>
      </c>
      <c r="Z347" s="9">
        <f>[2]หน้าผ้า!AO356</f>
        <v>0</v>
      </c>
      <c r="AA347" s="8">
        <f>[2]หน้าผ้า!AQ356</f>
        <v>0</v>
      </c>
      <c r="AB347" s="8">
        <f>[2]หน้าผ้า!AR356</f>
        <v>0</v>
      </c>
      <c r="AC347" s="8">
        <f>[2]หน้าผ้า!AS356</f>
        <v>0</v>
      </c>
      <c r="AD347" s="8">
        <f>[2]หน้าผ้า!AT356</f>
        <v>0</v>
      </c>
      <c r="AE347" s="8">
        <f>[2]หน้าผ้า!AU356</f>
        <v>0</v>
      </c>
      <c r="AF347" s="8">
        <f>[2]หน้าผ้า!AI356</f>
        <v>0</v>
      </c>
      <c r="AG347" s="1">
        <f>[3]หน้าผ้า!DC359</f>
        <v>0</v>
      </c>
      <c r="AH347" s="1">
        <f>[2]หน้าผ้า!DL356</f>
        <v>0</v>
      </c>
      <c r="AI347" s="1">
        <f>[2]หน้าผ้า!DM356</f>
        <v>0</v>
      </c>
      <c r="AJ347" s="3">
        <f>[2]หน้าผ้า!DN356</f>
        <v>0</v>
      </c>
      <c r="AK347" s="3">
        <f>[2]หน้าผ้า!DQ356</f>
        <v>0</v>
      </c>
      <c r="AL347" s="3">
        <f>[2]หน้าผ้า!DR356</f>
        <v>0</v>
      </c>
      <c r="AM347" s="3">
        <f>[2]หน้าผ้า!DS356</f>
        <v>0</v>
      </c>
      <c r="AN347" s="3">
        <f>[2]หน้าผ้า!DT356</f>
        <v>0</v>
      </c>
      <c r="AO347" s="3">
        <f>[2]หน้าผ้า!DU356</f>
        <v>0</v>
      </c>
      <c r="AP347" s="3">
        <f>[2]หน้าผ้า!DP356</f>
        <v>0</v>
      </c>
      <c r="AQ347" s="3">
        <f>[2]หน้าผ้า!DW356</f>
        <v>0</v>
      </c>
      <c r="AR347" s="3">
        <f>[2]หน้าผ้า!DX356</f>
        <v>0</v>
      </c>
      <c r="AS347" s="3">
        <f>[2]หน้าผ้า!DY356</f>
        <v>0</v>
      </c>
      <c r="AT347" s="3">
        <f>[2]หน้าผ้า!DZ356</f>
        <v>0</v>
      </c>
      <c r="AU347" s="3">
        <f>[2]หน้าผ้า!EA356</f>
        <v>0</v>
      </c>
      <c r="AV347" s="1">
        <f>[2]หน้าผ้า!EB356</f>
        <v>0</v>
      </c>
      <c r="AW347" s="2">
        <f>[2]หน้าผ้า!EC356</f>
        <v>0</v>
      </c>
      <c r="AX347" s="2">
        <f>[2]หน้าผ้า!ED356</f>
        <v>0</v>
      </c>
      <c r="AY347" s="2">
        <f>[2]หน้าผ้า!AG356</f>
        <v>0</v>
      </c>
      <c r="AZ347" s="2">
        <f>[2]หน้าผ้า!EG356</f>
        <v>0</v>
      </c>
      <c r="BA347" s="2">
        <f>[2]หน้าผ้า!EH356</f>
        <v>0</v>
      </c>
      <c r="BB347" s="2">
        <f>[2]หน้าผ้า!EI356</f>
        <v>0</v>
      </c>
      <c r="BC347" s="1">
        <f>[2]หน้าผ้า!BZ356</f>
        <v>0</v>
      </c>
      <c r="BD347" s="56">
        <f>[2]หน้าผ้า!CA356</f>
        <v>0</v>
      </c>
    </row>
    <row r="348" spans="1:56" ht="27.75" customHeight="1" x14ac:dyDescent="0.45">
      <c r="A348" s="3">
        <f>[2]หน้าผ้า!C357</f>
        <v>0</v>
      </c>
      <c r="B348" s="14">
        <f>[2]หน้าผ้า!B357</f>
        <v>0</v>
      </c>
      <c r="C348" s="9">
        <f>[2]หน้าผ้า!E357</f>
        <v>0</v>
      </c>
      <c r="D348" s="13">
        <f>[2]หน้าผ้า!F357</f>
        <v>0</v>
      </c>
      <c r="E348" s="9">
        <f>[2]หน้าผ้า!G357</f>
        <v>0</v>
      </c>
      <c r="F348" s="9">
        <f>[2]หน้าผ้า!H357</f>
        <v>0</v>
      </c>
      <c r="G348" s="9">
        <f>[2]หน้าผ้า!I357</f>
        <v>0</v>
      </c>
      <c r="H348" s="9">
        <f>[2]หน้าผ้า!J357</f>
        <v>0</v>
      </c>
      <c r="I348" s="9">
        <f>[2]หน้าผ้า!L357</f>
        <v>0</v>
      </c>
      <c r="J348" s="9">
        <f>[2]หน้าผ้า!M357</f>
        <v>0</v>
      </c>
      <c r="K348" s="9">
        <f>[2]หน้าผ้า!N357</f>
        <v>0</v>
      </c>
      <c r="L348" s="9">
        <f>[2]หน้าผ้า!R357</f>
        <v>0</v>
      </c>
      <c r="M348" s="10">
        <f>[2]หน้าผ้า!T357</f>
        <v>0</v>
      </c>
      <c r="N348" s="9">
        <f>[2]หน้าผ้า!U357</f>
        <v>0</v>
      </c>
      <c r="O348" s="9">
        <f>[2]หน้าผ้า!V357</f>
        <v>0</v>
      </c>
      <c r="P348" s="10">
        <f>[2]หน้าผ้า!AB357</f>
        <v>0</v>
      </c>
      <c r="Q348" s="10">
        <f>[2]หน้าผ้า!AC357</f>
        <v>0</v>
      </c>
      <c r="R348" s="10">
        <f>[2]หน้าผ้า!AD357</f>
        <v>0</v>
      </c>
      <c r="S348" s="9">
        <f>[2]หน้าผ้า!Z357</f>
        <v>0</v>
      </c>
      <c r="T348" s="12">
        <f>[2]หน้าผ้า!X357</f>
        <v>0</v>
      </c>
      <c r="U348" s="11">
        <f>[2]หน้าผ้า!AA357</f>
        <v>0</v>
      </c>
      <c r="V348" s="10">
        <f>[2]หน้าผ้า!AJ357</f>
        <v>0</v>
      </c>
      <c r="W348" s="10">
        <f>[2]หน้าผ้า!AL357</f>
        <v>0</v>
      </c>
      <c r="X348" s="10">
        <f>[2]หน้าผ้า!AM357</f>
        <v>0</v>
      </c>
      <c r="Y348" s="10">
        <f>[2]หน้าผ้า!AN357</f>
        <v>0</v>
      </c>
      <c r="Z348" s="9">
        <f>[2]หน้าผ้า!AO357</f>
        <v>0</v>
      </c>
      <c r="AA348" s="8">
        <f>[2]หน้าผ้า!AQ357</f>
        <v>0</v>
      </c>
      <c r="AB348" s="8">
        <f>[2]หน้าผ้า!AR357</f>
        <v>0</v>
      </c>
      <c r="AC348" s="8">
        <f>[2]หน้าผ้า!AS357</f>
        <v>0</v>
      </c>
      <c r="AD348" s="8">
        <f>[2]หน้าผ้า!AT357</f>
        <v>0</v>
      </c>
      <c r="AE348" s="8">
        <f>[2]หน้าผ้า!AU357</f>
        <v>0</v>
      </c>
      <c r="AF348" s="8">
        <f>[2]หน้าผ้า!AI357</f>
        <v>0</v>
      </c>
      <c r="AG348" s="1">
        <f>[3]หน้าผ้า!DC360</f>
        <v>0</v>
      </c>
      <c r="AH348" s="1">
        <f>[2]หน้าผ้า!DL357</f>
        <v>0</v>
      </c>
      <c r="AI348" s="1">
        <f>[2]หน้าผ้า!DM357</f>
        <v>0</v>
      </c>
      <c r="AJ348" s="3">
        <f>[2]หน้าผ้า!DN357</f>
        <v>0</v>
      </c>
      <c r="AK348" s="3">
        <f>[2]หน้าผ้า!DQ357</f>
        <v>0</v>
      </c>
      <c r="AL348" s="3">
        <f>[2]หน้าผ้า!DR357</f>
        <v>0</v>
      </c>
      <c r="AM348" s="3">
        <f>[2]หน้าผ้า!DS357</f>
        <v>0</v>
      </c>
      <c r="AN348" s="3">
        <f>[2]หน้าผ้า!DT357</f>
        <v>0</v>
      </c>
      <c r="AO348" s="3">
        <f>[2]หน้าผ้า!DU357</f>
        <v>0</v>
      </c>
      <c r="AP348" s="3">
        <f>[2]หน้าผ้า!DP357</f>
        <v>0</v>
      </c>
      <c r="AQ348" s="3">
        <f>[2]หน้าผ้า!DW357</f>
        <v>0</v>
      </c>
      <c r="AR348" s="3">
        <f>[2]หน้าผ้า!DX357</f>
        <v>0</v>
      </c>
      <c r="AS348" s="3">
        <f>[2]หน้าผ้า!DY357</f>
        <v>0</v>
      </c>
      <c r="AT348" s="3">
        <f>[2]หน้าผ้า!DZ357</f>
        <v>0</v>
      </c>
      <c r="AU348" s="3">
        <f>[2]หน้าผ้า!EA357</f>
        <v>0</v>
      </c>
      <c r="AV348" s="1">
        <f>[2]หน้าผ้า!EB357</f>
        <v>0</v>
      </c>
      <c r="AW348" s="2">
        <f>[2]หน้าผ้า!EC357</f>
        <v>0</v>
      </c>
      <c r="AX348" s="2">
        <f>[2]หน้าผ้า!ED357</f>
        <v>0</v>
      </c>
      <c r="AY348" s="2">
        <f>[2]หน้าผ้า!AG357</f>
        <v>0</v>
      </c>
      <c r="AZ348" s="2">
        <f>[2]หน้าผ้า!EG357</f>
        <v>0</v>
      </c>
      <c r="BA348" s="2">
        <f>[2]หน้าผ้า!EH357</f>
        <v>0</v>
      </c>
      <c r="BB348" s="2">
        <f>[2]หน้าผ้า!EI357</f>
        <v>0</v>
      </c>
      <c r="BC348" s="1">
        <f>[2]หน้าผ้า!BZ357</f>
        <v>0</v>
      </c>
      <c r="BD348" s="56">
        <f>[2]หน้าผ้า!CA357</f>
        <v>0</v>
      </c>
    </row>
    <row r="349" spans="1:56" ht="27.75" customHeight="1" x14ac:dyDescent="0.45">
      <c r="A349" s="3">
        <f>[2]หน้าผ้า!C358</f>
        <v>0</v>
      </c>
      <c r="B349" s="14">
        <f>[2]หน้าผ้า!B358</f>
        <v>0</v>
      </c>
      <c r="C349" s="9">
        <f>[2]หน้าผ้า!E358</f>
        <v>0</v>
      </c>
      <c r="D349" s="13">
        <f>[2]หน้าผ้า!F358</f>
        <v>0</v>
      </c>
      <c r="E349" s="9">
        <f>[2]หน้าผ้า!G358</f>
        <v>0</v>
      </c>
      <c r="F349" s="9">
        <f>[2]หน้าผ้า!H358</f>
        <v>0</v>
      </c>
      <c r="G349" s="9">
        <f>[2]หน้าผ้า!I358</f>
        <v>0</v>
      </c>
      <c r="H349" s="9">
        <f>[2]หน้าผ้า!J358</f>
        <v>0</v>
      </c>
      <c r="I349" s="9">
        <f>[2]หน้าผ้า!L358</f>
        <v>0</v>
      </c>
      <c r="J349" s="9">
        <f>[2]หน้าผ้า!M358</f>
        <v>0</v>
      </c>
      <c r="K349" s="9">
        <f>[2]หน้าผ้า!N358</f>
        <v>0</v>
      </c>
      <c r="L349" s="9">
        <f>[2]หน้าผ้า!R358</f>
        <v>0</v>
      </c>
      <c r="M349" s="10">
        <f>[2]หน้าผ้า!T358</f>
        <v>0</v>
      </c>
      <c r="N349" s="9">
        <f>[2]หน้าผ้า!U358</f>
        <v>0</v>
      </c>
      <c r="O349" s="9">
        <f>[2]หน้าผ้า!V358</f>
        <v>0</v>
      </c>
      <c r="P349" s="10">
        <f>[2]หน้าผ้า!AB358</f>
        <v>0</v>
      </c>
      <c r="Q349" s="10">
        <f>[2]หน้าผ้า!AC358</f>
        <v>0</v>
      </c>
      <c r="R349" s="10">
        <f>[2]หน้าผ้า!AD358</f>
        <v>0</v>
      </c>
      <c r="S349" s="9">
        <f>[2]หน้าผ้า!Z358</f>
        <v>0</v>
      </c>
      <c r="T349" s="12">
        <f>[2]หน้าผ้า!X358</f>
        <v>0</v>
      </c>
      <c r="U349" s="11">
        <f>[2]หน้าผ้า!AA358</f>
        <v>0</v>
      </c>
      <c r="V349" s="10">
        <f>[2]หน้าผ้า!AJ358</f>
        <v>0</v>
      </c>
      <c r="W349" s="10">
        <f>[2]หน้าผ้า!AL358</f>
        <v>0</v>
      </c>
      <c r="X349" s="10">
        <f>[2]หน้าผ้า!AM358</f>
        <v>0</v>
      </c>
      <c r="Y349" s="10">
        <f>[2]หน้าผ้า!AN358</f>
        <v>0</v>
      </c>
      <c r="Z349" s="9">
        <f>[2]หน้าผ้า!AO358</f>
        <v>0</v>
      </c>
      <c r="AA349" s="8">
        <f>[2]หน้าผ้า!AQ358</f>
        <v>0</v>
      </c>
      <c r="AB349" s="8">
        <f>[2]หน้าผ้า!AR358</f>
        <v>0</v>
      </c>
      <c r="AC349" s="8">
        <f>[2]หน้าผ้า!AS358</f>
        <v>0</v>
      </c>
      <c r="AD349" s="8">
        <f>[2]หน้าผ้า!AT358</f>
        <v>0</v>
      </c>
      <c r="AE349" s="8">
        <f>[2]หน้าผ้า!AU358</f>
        <v>0</v>
      </c>
      <c r="AF349" s="8">
        <f>[2]หน้าผ้า!AI358</f>
        <v>0</v>
      </c>
      <c r="AG349" s="1">
        <f>[3]หน้าผ้า!DC361</f>
        <v>0</v>
      </c>
      <c r="AH349" s="1">
        <f>[2]หน้าผ้า!DL358</f>
        <v>0</v>
      </c>
      <c r="AI349" s="1">
        <f>[2]หน้าผ้า!DM358</f>
        <v>0</v>
      </c>
      <c r="AJ349" s="3">
        <f>[2]หน้าผ้า!DN358</f>
        <v>0</v>
      </c>
      <c r="AK349" s="3">
        <f>[2]หน้าผ้า!DQ358</f>
        <v>0</v>
      </c>
      <c r="AL349" s="3">
        <f>[2]หน้าผ้า!DR358</f>
        <v>0</v>
      </c>
      <c r="AM349" s="3">
        <f>[2]หน้าผ้า!DS358</f>
        <v>0</v>
      </c>
      <c r="AN349" s="3">
        <f>[2]หน้าผ้า!DT358</f>
        <v>0</v>
      </c>
      <c r="AO349" s="3">
        <f>[2]หน้าผ้า!DU358</f>
        <v>0</v>
      </c>
      <c r="AP349" s="3">
        <f>[2]หน้าผ้า!DP358</f>
        <v>0</v>
      </c>
      <c r="AQ349" s="3">
        <f>[2]หน้าผ้า!DW358</f>
        <v>0</v>
      </c>
      <c r="AR349" s="3">
        <f>[2]หน้าผ้า!DX358</f>
        <v>0</v>
      </c>
      <c r="AS349" s="3">
        <f>[2]หน้าผ้า!DY358</f>
        <v>0</v>
      </c>
      <c r="AT349" s="3">
        <f>[2]หน้าผ้า!DZ358</f>
        <v>0</v>
      </c>
      <c r="AU349" s="3">
        <f>[2]หน้าผ้า!EA358</f>
        <v>0</v>
      </c>
      <c r="AV349" s="1">
        <f>[2]หน้าผ้า!EB358</f>
        <v>0</v>
      </c>
      <c r="AW349" s="2">
        <f>[2]หน้าผ้า!EC358</f>
        <v>0</v>
      </c>
      <c r="AX349" s="2">
        <f>[2]หน้าผ้า!ED358</f>
        <v>0</v>
      </c>
      <c r="AY349" s="2">
        <f>[2]หน้าผ้า!AG358</f>
        <v>0</v>
      </c>
      <c r="AZ349" s="2">
        <f>[2]หน้าผ้า!EG358</f>
        <v>0</v>
      </c>
      <c r="BA349" s="2">
        <f>[2]หน้าผ้า!EH358</f>
        <v>0</v>
      </c>
      <c r="BB349" s="2">
        <f>[2]หน้าผ้า!EI358</f>
        <v>0</v>
      </c>
      <c r="BC349" s="1">
        <f>[2]หน้าผ้า!BZ358</f>
        <v>0</v>
      </c>
      <c r="BD349" s="56">
        <f>[2]หน้าผ้า!CA358</f>
        <v>0</v>
      </c>
    </row>
    <row r="350" spans="1:56" ht="27.75" customHeight="1" x14ac:dyDescent="0.45">
      <c r="A350" s="3">
        <f>[2]หน้าผ้า!C359</f>
        <v>0</v>
      </c>
      <c r="B350" s="14">
        <f>[2]หน้าผ้า!B359</f>
        <v>0</v>
      </c>
      <c r="C350" s="9">
        <f>[2]หน้าผ้า!E359</f>
        <v>0</v>
      </c>
      <c r="D350" s="13">
        <f>[2]หน้าผ้า!F359</f>
        <v>0</v>
      </c>
      <c r="E350" s="9">
        <f>[2]หน้าผ้า!G359</f>
        <v>0</v>
      </c>
      <c r="F350" s="9">
        <f>[2]หน้าผ้า!H359</f>
        <v>0</v>
      </c>
      <c r="G350" s="9">
        <f>[2]หน้าผ้า!I359</f>
        <v>0</v>
      </c>
      <c r="H350" s="9">
        <f>[2]หน้าผ้า!J359</f>
        <v>0</v>
      </c>
      <c r="I350" s="9">
        <f>[2]หน้าผ้า!L359</f>
        <v>0</v>
      </c>
      <c r="J350" s="9">
        <f>[2]หน้าผ้า!M359</f>
        <v>0</v>
      </c>
      <c r="K350" s="9">
        <f>[2]หน้าผ้า!N359</f>
        <v>0</v>
      </c>
      <c r="L350" s="9">
        <f>[2]หน้าผ้า!R359</f>
        <v>0</v>
      </c>
      <c r="M350" s="10">
        <f>[2]หน้าผ้า!T359</f>
        <v>0</v>
      </c>
      <c r="N350" s="9">
        <f>[2]หน้าผ้า!U359</f>
        <v>0</v>
      </c>
      <c r="O350" s="9">
        <f>[2]หน้าผ้า!V359</f>
        <v>0</v>
      </c>
      <c r="P350" s="10">
        <f>[2]หน้าผ้า!AB359</f>
        <v>0</v>
      </c>
      <c r="Q350" s="10">
        <f>[2]หน้าผ้า!AC359</f>
        <v>0</v>
      </c>
      <c r="R350" s="10">
        <f>[2]หน้าผ้า!AD359</f>
        <v>0</v>
      </c>
      <c r="S350" s="9">
        <f>[2]หน้าผ้า!Z359</f>
        <v>0</v>
      </c>
      <c r="T350" s="12">
        <f>[2]หน้าผ้า!X359</f>
        <v>0</v>
      </c>
      <c r="U350" s="11">
        <f>[2]หน้าผ้า!AA359</f>
        <v>0</v>
      </c>
      <c r="V350" s="10">
        <f>[2]หน้าผ้า!AJ359</f>
        <v>0</v>
      </c>
      <c r="W350" s="10">
        <f>[2]หน้าผ้า!AL359</f>
        <v>0</v>
      </c>
      <c r="X350" s="10">
        <f>[2]หน้าผ้า!AM359</f>
        <v>0</v>
      </c>
      <c r="Y350" s="10">
        <f>[2]หน้าผ้า!AN359</f>
        <v>0</v>
      </c>
      <c r="Z350" s="9">
        <f>[2]หน้าผ้า!AO359</f>
        <v>0</v>
      </c>
      <c r="AA350" s="8">
        <f>[2]หน้าผ้า!AQ359</f>
        <v>0</v>
      </c>
      <c r="AB350" s="8">
        <f>[2]หน้าผ้า!AR359</f>
        <v>0</v>
      </c>
      <c r="AC350" s="8">
        <f>[2]หน้าผ้า!AS359</f>
        <v>0</v>
      </c>
      <c r="AD350" s="8">
        <f>[2]หน้าผ้า!AT359</f>
        <v>0</v>
      </c>
      <c r="AE350" s="8">
        <f>[2]หน้าผ้า!AU359</f>
        <v>0</v>
      </c>
      <c r="AF350" s="8">
        <f>[2]หน้าผ้า!AI359</f>
        <v>0</v>
      </c>
      <c r="AG350" s="1">
        <f>[3]หน้าผ้า!DC362</f>
        <v>0</v>
      </c>
      <c r="AH350" s="1">
        <f>[2]หน้าผ้า!DL359</f>
        <v>0</v>
      </c>
      <c r="AI350" s="1">
        <f>[2]หน้าผ้า!DM359</f>
        <v>0</v>
      </c>
      <c r="AJ350" s="3">
        <f>[2]หน้าผ้า!DN359</f>
        <v>0</v>
      </c>
      <c r="AK350" s="3">
        <f>[2]หน้าผ้า!DQ359</f>
        <v>0</v>
      </c>
      <c r="AL350" s="3">
        <f>[2]หน้าผ้า!DR359</f>
        <v>0</v>
      </c>
      <c r="AM350" s="3">
        <f>[2]หน้าผ้า!DS359</f>
        <v>0</v>
      </c>
      <c r="AN350" s="3">
        <f>[2]หน้าผ้า!DT359</f>
        <v>0</v>
      </c>
      <c r="AO350" s="3">
        <f>[2]หน้าผ้า!DU359</f>
        <v>0</v>
      </c>
      <c r="AP350" s="3">
        <f>[2]หน้าผ้า!DP359</f>
        <v>0</v>
      </c>
      <c r="AQ350" s="3">
        <f>[2]หน้าผ้า!DW359</f>
        <v>0</v>
      </c>
      <c r="AR350" s="3">
        <f>[2]หน้าผ้า!DX359</f>
        <v>0</v>
      </c>
      <c r="AS350" s="3">
        <f>[2]หน้าผ้า!DY359</f>
        <v>0</v>
      </c>
      <c r="AT350" s="3">
        <f>[2]หน้าผ้า!DZ359</f>
        <v>0</v>
      </c>
      <c r="AU350" s="3">
        <f>[2]หน้าผ้า!EA359</f>
        <v>0</v>
      </c>
      <c r="AV350" s="1">
        <f>[2]หน้าผ้า!EB359</f>
        <v>0</v>
      </c>
      <c r="AW350" s="2">
        <f>[2]หน้าผ้า!EC359</f>
        <v>0</v>
      </c>
      <c r="AX350" s="2">
        <f>[2]หน้าผ้า!ED359</f>
        <v>0</v>
      </c>
      <c r="AY350" s="2">
        <f>[2]หน้าผ้า!AG359</f>
        <v>0</v>
      </c>
      <c r="AZ350" s="2">
        <f>[2]หน้าผ้า!EG359</f>
        <v>0</v>
      </c>
      <c r="BA350" s="2">
        <f>[2]หน้าผ้า!EH359</f>
        <v>0</v>
      </c>
      <c r="BB350" s="2">
        <f>[2]หน้าผ้า!EI359</f>
        <v>0</v>
      </c>
      <c r="BC350" s="1">
        <f>[2]หน้าผ้า!BZ359</f>
        <v>0</v>
      </c>
      <c r="BD350" s="56">
        <f>[2]หน้าผ้า!CA359</f>
        <v>0</v>
      </c>
    </row>
    <row r="351" spans="1:56" ht="27.75" customHeight="1" x14ac:dyDescent="0.45">
      <c r="A351" s="3">
        <f>[2]หน้าผ้า!C360</f>
        <v>0</v>
      </c>
      <c r="B351" s="14">
        <f>[2]หน้าผ้า!B360</f>
        <v>0</v>
      </c>
      <c r="C351" s="9">
        <f>[2]หน้าผ้า!E360</f>
        <v>0</v>
      </c>
      <c r="D351" s="13">
        <f>[2]หน้าผ้า!F360</f>
        <v>0</v>
      </c>
      <c r="E351" s="9">
        <f>[2]หน้าผ้า!G360</f>
        <v>0</v>
      </c>
      <c r="F351" s="9">
        <f>[2]หน้าผ้า!H360</f>
        <v>0</v>
      </c>
      <c r="G351" s="9">
        <f>[2]หน้าผ้า!I360</f>
        <v>0</v>
      </c>
      <c r="H351" s="9">
        <f>[2]หน้าผ้า!J360</f>
        <v>0</v>
      </c>
      <c r="I351" s="9">
        <f>[2]หน้าผ้า!L360</f>
        <v>0</v>
      </c>
      <c r="J351" s="9">
        <f>[2]หน้าผ้า!M360</f>
        <v>0</v>
      </c>
      <c r="K351" s="9">
        <f>[2]หน้าผ้า!N360</f>
        <v>0</v>
      </c>
      <c r="L351" s="9">
        <f>[2]หน้าผ้า!R360</f>
        <v>0</v>
      </c>
      <c r="M351" s="10">
        <f>[2]หน้าผ้า!T360</f>
        <v>0</v>
      </c>
      <c r="N351" s="9">
        <f>[2]หน้าผ้า!U360</f>
        <v>0</v>
      </c>
      <c r="O351" s="9">
        <f>[2]หน้าผ้า!V360</f>
        <v>0</v>
      </c>
      <c r="P351" s="10">
        <f>[2]หน้าผ้า!AB360</f>
        <v>0</v>
      </c>
      <c r="Q351" s="10">
        <f>[2]หน้าผ้า!AC360</f>
        <v>0</v>
      </c>
      <c r="R351" s="10">
        <f>[2]หน้าผ้า!AD360</f>
        <v>0</v>
      </c>
      <c r="S351" s="9">
        <f>[2]หน้าผ้า!Z360</f>
        <v>0</v>
      </c>
      <c r="T351" s="12">
        <f>[2]หน้าผ้า!X360</f>
        <v>0</v>
      </c>
      <c r="U351" s="11">
        <f>[2]หน้าผ้า!AA360</f>
        <v>0</v>
      </c>
      <c r="V351" s="10">
        <f>[2]หน้าผ้า!AJ360</f>
        <v>0</v>
      </c>
      <c r="W351" s="10">
        <f>[2]หน้าผ้า!AL360</f>
        <v>0</v>
      </c>
      <c r="X351" s="10">
        <f>[2]หน้าผ้า!AM360</f>
        <v>0</v>
      </c>
      <c r="Y351" s="10">
        <f>[2]หน้าผ้า!AN360</f>
        <v>0</v>
      </c>
      <c r="Z351" s="9">
        <f>[2]หน้าผ้า!AO360</f>
        <v>0</v>
      </c>
      <c r="AA351" s="8">
        <f>[2]หน้าผ้า!AQ360</f>
        <v>0</v>
      </c>
      <c r="AB351" s="8">
        <f>[2]หน้าผ้า!AR360</f>
        <v>0</v>
      </c>
      <c r="AC351" s="8">
        <f>[2]หน้าผ้า!AS360</f>
        <v>0</v>
      </c>
      <c r="AD351" s="8">
        <f>[2]หน้าผ้า!AT360</f>
        <v>0</v>
      </c>
      <c r="AE351" s="8">
        <f>[2]หน้าผ้า!AU360</f>
        <v>0</v>
      </c>
      <c r="AF351" s="8">
        <f>[2]หน้าผ้า!AI360</f>
        <v>0</v>
      </c>
      <c r="AG351" s="1">
        <f>[3]หน้าผ้า!DC363</f>
        <v>0</v>
      </c>
      <c r="AH351" s="1">
        <f>[2]หน้าผ้า!DL360</f>
        <v>0</v>
      </c>
      <c r="AI351" s="1">
        <f>[2]หน้าผ้า!DM360</f>
        <v>0</v>
      </c>
      <c r="AJ351" s="3">
        <f>[2]หน้าผ้า!DN360</f>
        <v>0</v>
      </c>
      <c r="AK351" s="3">
        <f>[2]หน้าผ้า!DQ360</f>
        <v>0</v>
      </c>
      <c r="AL351" s="3">
        <f>[2]หน้าผ้า!DR360</f>
        <v>0</v>
      </c>
      <c r="AM351" s="3">
        <f>[2]หน้าผ้า!DS360</f>
        <v>0</v>
      </c>
      <c r="AN351" s="3">
        <f>[2]หน้าผ้า!DT360</f>
        <v>0</v>
      </c>
      <c r="AO351" s="3">
        <f>[2]หน้าผ้า!DU360</f>
        <v>0</v>
      </c>
      <c r="AP351" s="3">
        <f>[2]หน้าผ้า!DP360</f>
        <v>0</v>
      </c>
      <c r="AQ351" s="3">
        <f>[2]หน้าผ้า!DW360</f>
        <v>0</v>
      </c>
      <c r="AR351" s="3">
        <f>[2]หน้าผ้า!DX360</f>
        <v>0</v>
      </c>
      <c r="AS351" s="3">
        <f>[2]หน้าผ้า!DY360</f>
        <v>0</v>
      </c>
      <c r="AT351" s="3">
        <f>[2]หน้าผ้า!DZ360</f>
        <v>0</v>
      </c>
      <c r="AU351" s="3">
        <f>[2]หน้าผ้า!EA360</f>
        <v>0</v>
      </c>
      <c r="AV351" s="1">
        <f>[2]หน้าผ้า!EB360</f>
        <v>0</v>
      </c>
      <c r="AW351" s="2">
        <f>[2]หน้าผ้า!EC360</f>
        <v>0</v>
      </c>
      <c r="AX351" s="2">
        <f>[2]หน้าผ้า!ED360</f>
        <v>0</v>
      </c>
      <c r="AY351" s="2">
        <f>[2]หน้าผ้า!AG360</f>
        <v>0</v>
      </c>
      <c r="AZ351" s="2">
        <f>[2]หน้าผ้า!EG360</f>
        <v>0</v>
      </c>
      <c r="BA351" s="2">
        <f>[2]หน้าผ้า!EH360</f>
        <v>0</v>
      </c>
      <c r="BB351" s="2">
        <f>[2]หน้าผ้า!EI360</f>
        <v>0</v>
      </c>
      <c r="BC351" s="1">
        <f>[2]หน้าผ้า!BZ360</f>
        <v>0</v>
      </c>
      <c r="BD351" s="56">
        <f>[2]หน้าผ้า!CA360</f>
        <v>0</v>
      </c>
    </row>
    <row r="352" spans="1:56" ht="27.75" customHeight="1" x14ac:dyDescent="0.45">
      <c r="A352" s="3">
        <f>[2]หน้าผ้า!C361</f>
        <v>0</v>
      </c>
      <c r="B352" s="14">
        <f>[2]หน้าผ้า!B361</f>
        <v>0</v>
      </c>
      <c r="C352" s="9">
        <f>[2]หน้าผ้า!E361</f>
        <v>0</v>
      </c>
      <c r="D352" s="13">
        <f>[2]หน้าผ้า!F361</f>
        <v>0</v>
      </c>
      <c r="E352" s="9">
        <f>[2]หน้าผ้า!G361</f>
        <v>0</v>
      </c>
      <c r="F352" s="9">
        <f>[2]หน้าผ้า!H361</f>
        <v>0</v>
      </c>
      <c r="G352" s="9">
        <f>[2]หน้าผ้า!I361</f>
        <v>0</v>
      </c>
      <c r="H352" s="9">
        <f>[2]หน้าผ้า!J361</f>
        <v>0</v>
      </c>
      <c r="I352" s="9">
        <f>[2]หน้าผ้า!L361</f>
        <v>0</v>
      </c>
      <c r="J352" s="9">
        <f>[2]หน้าผ้า!M361</f>
        <v>0</v>
      </c>
      <c r="K352" s="9">
        <f>[2]หน้าผ้า!N361</f>
        <v>0</v>
      </c>
      <c r="L352" s="9">
        <f>[2]หน้าผ้า!R361</f>
        <v>0</v>
      </c>
      <c r="M352" s="10">
        <f>[2]หน้าผ้า!T361</f>
        <v>0</v>
      </c>
      <c r="N352" s="9">
        <f>[2]หน้าผ้า!U361</f>
        <v>0</v>
      </c>
      <c r="O352" s="9">
        <f>[2]หน้าผ้า!V361</f>
        <v>0</v>
      </c>
      <c r="P352" s="10">
        <f>[2]หน้าผ้า!AB361</f>
        <v>0</v>
      </c>
      <c r="Q352" s="10">
        <f>[2]หน้าผ้า!AC361</f>
        <v>0</v>
      </c>
      <c r="R352" s="10">
        <f>[2]หน้าผ้า!AD361</f>
        <v>0</v>
      </c>
      <c r="S352" s="9">
        <f>[2]หน้าผ้า!Z361</f>
        <v>0</v>
      </c>
      <c r="T352" s="12">
        <f>[2]หน้าผ้า!X361</f>
        <v>0</v>
      </c>
      <c r="U352" s="11">
        <f>[2]หน้าผ้า!AA361</f>
        <v>0</v>
      </c>
      <c r="V352" s="10">
        <f>[2]หน้าผ้า!AJ361</f>
        <v>0</v>
      </c>
      <c r="W352" s="10">
        <f>[2]หน้าผ้า!AL361</f>
        <v>0</v>
      </c>
      <c r="X352" s="10">
        <f>[2]หน้าผ้า!AM361</f>
        <v>0</v>
      </c>
      <c r="Y352" s="10">
        <f>[2]หน้าผ้า!AN361</f>
        <v>0</v>
      </c>
      <c r="Z352" s="9">
        <f>[2]หน้าผ้า!AO361</f>
        <v>0</v>
      </c>
      <c r="AA352" s="8">
        <f>[2]หน้าผ้า!AQ361</f>
        <v>0</v>
      </c>
      <c r="AB352" s="8">
        <f>[2]หน้าผ้า!AR361</f>
        <v>0</v>
      </c>
      <c r="AC352" s="8">
        <f>[2]หน้าผ้า!AS361</f>
        <v>0</v>
      </c>
      <c r="AD352" s="8">
        <f>[2]หน้าผ้า!AT361</f>
        <v>0</v>
      </c>
      <c r="AE352" s="8">
        <f>[2]หน้าผ้า!AU361</f>
        <v>0</v>
      </c>
      <c r="AF352" s="8">
        <f>[2]หน้าผ้า!AI361</f>
        <v>0</v>
      </c>
      <c r="AG352" s="1">
        <f>[3]หน้าผ้า!DC364</f>
        <v>0</v>
      </c>
      <c r="AH352" s="1">
        <f>[2]หน้าผ้า!DL361</f>
        <v>0</v>
      </c>
      <c r="AI352" s="1">
        <f>[2]หน้าผ้า!DM361</f>
        <v>0</v>
      </c>
      <c r="AJ352" s="3">
        <f>[2]หน้าผ้า!DN361</f>
        <v>0</v>
      </c>
      <c r="AK352" s="3">
        <f>[2]หน้าผ้า!DQ361</f>
        <v>0</v>
      </c>
      <c r="AL352" s="3">
        <f>[2]หน้าผ้า!DR361</f>
        <v>0</v>
      </c>
      <c r="AM352" s="3">
        <f>[2]หน้าผ้า!DS361</f>
        <v>0</v>
      </c>
      <c r="AN352" s="3">
        <f>[2]หน้าผ้า!DT361</f>
        <v>0</v>
      </c>
      <c r="AO352" s="3">
        <f>[2]หน้าผ้า!DU361</f>
        <v>0</v>
      </c>
      <c r="AP352" s="3">
        <f>[2]หน้าผ้า!DP361</f>
        <v>0</v>
      </c>
      <c r="AQ352" s="3">
        <f>[2]หน้าผ้า!DW361</f>
        <v>0</v>
      </c>
      <c r="AR352" s="3">
        <f>[2]หน้าผ้า!DX361</f>
        <v>0</v>
      </c>
      <c r="AS352" s="3">
        <f>[2]หน้าผ้า!DY361</f>
        <v>0</v>
      </c>
      <c r="AT352" s="3">
        <f>[2]หน้าผ้า!DZ361</f>
        <v>0</v>
      </c>
      <c r="AU352" s="3">
        <f>[2]หน้าผ้า!EA361</f>
        <v>0</v>
      </c>
      <c r="AV352" s="1">
        <f>[2]หน้าผ้า!EB361</f>
        <v>0</v>
      </c>
      <c r="AW352" s="2">
        <f>[2]หน้าผ้า!EC361</f>
        <v>0</v>
      </c>
      <c r="AX352" s="2">
        <f>[2]หน้าผ้า!ED361</f>
        <v>0</v>
      </c>
      <c r="AY352" s="2">
        <f>[2]หน้าผ้า!AG361</f>
        <v>0</v>
      </c>
      <c r="AZ352" s="2">
        <f>[2]หน้าผ้า!EG361</f>
        <v>0</v>
      </c>
      <c r="BA352" s="2">
        <f>[2]หน้าผ้า!EH361</f>
        <v>0</v>
      </c>
      <c r="BB352" s="2">
        <f>[2]หน้าผ้า!EI361</f>
        <v>0</v>
      </c>
      <c r="BC352" s="1">
        <f>[2]หน้าผ้า!BZ361</f>
        <v>0</v>
      </c>
      <c r="BD352" s="56">
        <f>[2]หน้าผ้า!CA361</f>
        <v>0</v>
      </c>
    </row>
    <row r="353" spans="1:56" ht="27.75" customHeight="1" x14ac:dyDescent="0.45">
      <c r="A353" s="3">
        <f>[2]หน้าผ้า!C362</f>
        <v>0</v>
      </c>
      <c r="B353" s="14">
        <f>[2]หน้าผ้า!B362</f>
        <v>0</v>
      </c>
      <c r="C353" s="9">
        <f>[2]หน้าผ้า!E362</f>
        <v>0</v>
      </c>
      <c r="D353" s="13">
        <f>[2]หน้าผ้า!F362</f>
        <v>0</v>
      </c>
      <c r="E353" s="9">
        <f>[2]หน้าผ้า!G362</f>
        <v>0</v>
      </c>
      <c r="F353" s="9">
        <f>[2]หน้าผ้า!H362</f>
        <v>0</v>
      </c>
      <c r="G353" s="9">
        <f>[2]หน้าผ้า!I362</f>
        <v>0</v>
      </c>
      <c r="H353" s="9">
        <f>[2]หน้าผ้า!J362</f>
        <v>0</v>
      </c>
      <c r="I353" s="9">
        <f>[2]หน้าผ้า!L362</f>
        <v>0</v>
      </c>
      <c r="J353" s="9">
        <f>[2]หน้าผ้า!M362</f>
        <v>0</v>
      </c>
      <c r="K353" s="9">
        <f>[2]หน้าผ้า!N362</f>
        <v>0</v>
      </c>
      <c r="L353" s="9">
        <f>[2]หน้าผ้า!R362</f>
        <v>0</v>
      </c>
      <c r="M353" s="10">
        <f>[2]หน้าผ้า!T362</f>
        <v>0</v>
      </c>
      <c r="N353" s="9">
        <f>[2]หน้าผ้า!U362</f>
        <v>0</v>
      </c>
      <c r="O353" s="9">
        <f>[2]หน้าผ้า!V362</f>
        <v>0</v>
      </c>
      <c r="P353" s="10">
        <f>[2]หน้าผ้า!AB362</f>
        <v>0</v>
      </c>
      <c r="Q353" s="10">
        <f>[2]หน้าผ้า!AC362</f>
        <v>0</v>
      </c>
      <c r="R353" s="10">
        <f>[2]หน้าผ้า!AD362</f>
        <v>0</v>
      </c>
      <c r="S353" s="9">
        <f>[2]หน้าผ้า!Z362</f>
        <v>0</v>
      </c>
      <c r="T353" s="12">
        <f>[2]หน้าผ้า!X362</f>
        <v>0</v>
      </c>
      <c r="U353" s="11">
        <f>[2]หน้าผ้า!AA362</f>
        <v>0</v>
      </c>
      <c r="V353" s="10">
        <f>[2]หน้าผ้า!AJ362</f>
        <v>0</v>
      </c>
      <c r="W353" s="10">
        <f>[2]หน้าผ้า!AL362</f>
        <v>0</v>
      </c>
      <c r="X353" s="10">
        <f>[2]หน้าผ้า!AM362</f>
        <v>0</v>
      </c>
      <c r="Y353" s="10">
        <f>[2]หน้าผ้า!AN362</f>
        <v>0</v>
      </c>
      <c r="Z353" s="9">
        <f>[2]หน้าผ้า!AO362</f>
        <v>0</v>
      </c>
      <c r="AA353" s="8">
        <f>[2]หน้าผ้า!AQ362</f>
        <v>0</v>
      </c>
      <c r="AB353" s="8">
        <f>[2]หน้าผ้า!AR362</f>
        <v>0</v>
      </c>
      <c r="AC353" s="8">
        <f>[2]หน้าผ้า!AS362</f>
        <v>0</v>
      </c>
      <c r="AD353" s="8">
        <f>[2]หน้าผ้า!AT362</f>
        <v>0</v>
      </c>
      <c r="AE353" s="8">
        <f>[2]หน้าผ้า!AU362</f>
        <v>0</v>
      </c>
      <c r="AF353" s="8">
        <f>[2]หน้าผ้า!AI362</f>
        <v>0</v>
      </c>
      <c r="AG353" s="1">
        <f>[3]หน้าผ้า!DC365</f>
        <v>0</v>
      </c>
      <c r="AH353" s="1">
        <f>[2]หน้าผ้า!DL362</f>
        <v>0</v>
      </c>
      <c r="AI353" s="1">
        <f>[2]หน้าผ้า!DM362</f>
        <v>0</v>
      </c>
      <c r="AJ353" s="3">
        <f>[2]หน้าผ้า!DN362</f>
        <v>0</v>
      </c>
      <c r="AK353" s="3">
        <f>[2]หน้าผ้า!DQ362</f>
        <v>0</v>
      </c>
      <c r="AL353" s="3">
        <f>[2]หน้าผ้า!DR362</f>
        <v>0</v>
      </c>
      <c r="AM353" s="3">
        <f>[2]หน้าผ้า!DS362</f>
        <v>0</v>
      </c>
      <c r="AN353" s="3">
        <f>[2]หน้าผ้า!DT362</f>
        <v>0</v>
      </c>
      <c r="AO353" s="3">
        <f>[2]หน้าผ้า!DU362</f>
        <v>0</v>
      </c>
      <c r="AP353" s="3">
        <f>[2]หน้าผ้า!DP362</f>
        <v>0</v>
      </c>
      <c r="AQ353" s="3">
        <f>[2]หน้าผ้า!DW362</f>
        <v>0</v>
      </c>
      <c r="AR353" s="3">
        <f>[2]หน้าผ้า!DX362</f>
        <v>0</v>
      </c>
      <c r="AS353" s="3">
        <f>[2]หน้าผ้า!DY362</f>
        <v>0</v>
      </c>
      <c r="AT353" s="3">
        <f>[2]หน้าผ้า!DZ362</f>
        <v>0</v>
      </c>
      <c r="AU353" s="3">
        <f>[2]หน้าผ้า!EA362</f>
        <v>0</v>
      </c>
      <c r="AV353" s="1">
        <f>[2]หน้าผ้า!EB362</f>
        <v>0</v>
      </c>
      <c r="AW353" s="2">
        <f>[2]หน้าผ้า!EC362</f>
        <v>0</v>
      </c>
      <c r="AX353" s="2">
        <f>[2]หน้าผ้า!ED362</f>
        <v>0</v>
      </c>
      <c r="AY353" s="2">
        <f>[2]หน้าผ้า!AG362</f>
        <v>0</v>
      </c>
      <c r="AZ353" s="2">
        <f>[2]หน้าผ้า!EG362</f>
        <v>0</v>
      </c>
      <c r="BA353" s="2">
        <f>[2]หน้าผ้า!EH362</f>
        <v>0</v>
      </c>
      <c r="BB353" s="2">
        <f>[2]หน้าผ้า!EI362</f>
        <v>0</v>
      </c>
      <c r="BC353" s="1">
        <f>[2]หน้าผ้า!BZ362</f>
        <v>0</v>
      </c>
      <c r="BD353" s="56">
        <f>[2]หน้าผ้า!CA362</f>
        <v>0</v>
      </c>
    </row>
    <row r="354" spans="1:56" ht="27.75" customHeight="1" x14ac:dyDescent="0.45">
      <c r="A354" s="3">
        <f>[2]หน้าผ้า!C363</f>
        <v>0</v>
      </c>
      <c r="B354" s="14">
        <f>[2]หน้าผ้า!B363</f>
        <v>0</v>
      </c>
      <c r="C354" s="9">
        <f>[2]หน้าผ้า!E363</f>
        <v>0</v>
      </c>
      <c r="D354" s="13">
        <f>[2]หน้าผ้า!F363</f>
        <v>0</v>
      </c>
      <c r="E354" s="9">
        <f>[2]หน้าผ้า!G363</f>
        <v>0</v>
      </c>
      <c r="F354" s="9">
        <f>[2]หน้าผ้า!H363</f>
        <v>0</v>
      </c>
      <c r="G354" s="9">
        <f>[2]หน้าผ้า!I363</f>
        <v>0</v>
      </c>
      <c r="H354" s="9">
        <f>[2]หน้าผ้า!J363</f>
        <v>0</v>
      </c>
      <c r="I354" s="9">
        <f>[2]หน้าผ้า!L363</f>
        <v>0</v>
      </c>
      <c r="J354" s="9">
        <f>[2]หน้าผ้า!M363</f>
        <v>0</v>
      </c>
      <c r="K354" s="9">
        <f>[2]หน้าผ้า!N363</f>
        <v>0</v>
      </c>
      <c r="L354" s="9">
        <f>[2]หน้าผ้า!R363</f>
        <v>0</v>
      </c>
      <c r="M354" s="10">
        <f>[2]หน้าผ้า!T363</f>
        <v>0</v>
      </c>
      <c r="N354" s="9">
        <f>[2]หน้าผ้า!U363</f>
        <v>0</v>
      </c>
      <c r="O354" s="9">
        <f>[2]หน้าผ้า!V363</f>
        <v>0</v>
      </c>
      <c r="P354" s="10">
        <f>[2]หน้าผ้า!AB363</f>
        <v>0</v>
      </c>
      <c r="Q354" s="10">
        <f>[2]หน้าผ้า!AC363</f>
        <v>0</v>
      </c>
      <c r="R354" s="10">
        <f>[2]หน้าผ้า!AD363</f>
        <v>0</v>
      </c>
      <c r="S354" s="9">
        <f>[2]หน้าผ้า!Z363</f>
        <v>0</v>
      </c>
      <c r="T354" s="12">
        <f>[2]หน้าผ้า!X363</f>
        <v>0</v>
      </c>
      <c r="U354" s="11">
        <f>[2]หน้าผ้า!AA363</f>
        <v>0</v>
      </c>
      <c r="V354" s="10">
        <f>[2]หน้าผ้า!AJ363</f>
        <v>0</v>
      </c>
      <c r="W354" s="10">
        <f>[2]หน้าผ้า!AL363</f>
        <v>0</v>
      </c>
      <c r="X354" s="10">
        <f>[2]หน้าผ้า!AM363</f>
        <v>0</v>
      </c>
      <c r="Y354" s="10">
        <f>[2]หน้าผ้า!AN363</f>
        <v>0</v>
      </c>
      <c r="Z354" s="9">
        <f>[2]หน้าผ้า!AO363</f>
        <v>0</v>
      </c>
      <c r="AA354" s="8">
        <f>[2]หน้าผ้า!AQ363</f>
        <v>0</v>
      </c>
      <c r="AB354" s="8">
        <f>[2]หน้าผ้า!AR363</f>
        <v>0</v>
      </c>
      <c r="AC354" s="8">
        <f>[2]หน้าผ้า!AS363</f>
        <v>0</v>
      </c>
      <c r="AD354" s="8">
        <f>[2]หน้าผ้า!AT363</f>
        <v>0</v>
      </c>
      <c r="AE354" s="8">
        <f>[2]หน้าผ้า!AU363</f>
        <v>0</v>
      </c>
      <c r="AF354" s="8">
        <f>[2]หน้าผ้า!AI363</f>
        <v>0</v>
      </c>
      <c r="AG354" s="1">
        <f>[3]หน้าผ้า!DC366</f>
        <v>0</v>
      </c>
      <c r="AH354" s="1">
        <f>[2]หน้าผ้า!DL363</f>
        <v>0</v>
      </c>
      <c r="AI354" s="1">
        <f>[2]หน้าผ้า!DM363</f>
        <v>0</v>
      </c>
      <c r="AJ354" s="3">
        <f>[2]หน้าผ้า!DN363</f>
        <v>0</v>
      </c>
      <c r="AK354" s="3">
        <f>[2]หน้าผ้า!DQ363</f>
        <v>0</v>
      </c>
      <c r="AL354" s="3">
        <f>[2]หน้าผ้า!DR363</f>
        <v>0</v>
      </c>
      <c r="AM354" s="3">
        <f>[2]หน้าผ้า!DS363</f>
        <v>0</v>
      </c>
      <c r="AN354" s="3">
        <f>[2]หน้าผ้า!DT363</f>
        <v>0</v>
      </c>
      <c r="AO354" s="3">
        <f>[2]หน้าผ้า!DU363</f>
        <v>0</v>
      </c>
      <c r="AP354" s="3">
        <f>[2]หน้าผ้า!DP363</f>
        <v>0</v>
      </c>
      <c r="AQ354" s="3">
        <f>[2]หน้าผ้า!DW363</f>
        <v>0</v>
      </c>
      <c r="AR354" s="3">
        <f>[2]หน้าผ้า!DX363</f>
        <v>0</v>
      </c>
      <c r="AS354" s="3">
        <f>[2]หน้าผ้า!DY363</f>
        <v>0</v>
      </c>
      <c r="AT354" s="3">
        <f>[2]หน้าผ้า!DZ363</f>
        <v>0</v>
      </c>
      <c r="AU354" s="3">
        <f>[2]หน้าผ้า!EA363</f>
        <v>0</v>
      </c>
      <c r="AV354" s="1">
        <f>[2]หน้าผ้า!EB363</f>
        <v>0</v>
      </c>
      <c r="AW354" s="2">
        <f>[2]หน้าผ้า!EC363</f>
        <v>0</v>
      </c>
      <c r="AX354" s="2">
        <f>[2]หน้าผ้า!ED363</f>
        <v>0</v>
      </c>
      <c r="AY354" s="2">
        <f>[2]หน้าผ้า!AG363</f>
        <v>0</v>
      </c>
      <c r="AZ354" s="2">
        <f>[2]หน้าผ้า!EG363</f>
        <v>0</v>
      </c>
      <c r="BA354" s="2">
        <f>[2]หน้าผ้า!EH363</f>
        <v>0</v>
      </c>
      <c r="BB354" s="2">
        <f>[2]หน้าผ้า!EI363</f>
        <v>0</v>
      </c>
      <c r="BC354" s="1">
        <f>[2]หน้าผ้า!BZ363</f>
        <v>0</v>
      </c>
      <c r="BD354" s="56">
        <f>[2]หน้าผ้า!CA363</f>
        <v>0</v>
      </c>
    </row>
    <row r="355" spans="1:56" ht="27.75" customHeight="1" x14ac:dyDescent="0.45">
      <c r="A355" s="3">
        <f>[2]หน้าผ้า!C364</f>
        <v>0</v>
      </c>
      <c r="B355" s="14">
        <f>[2]หน้าผ้า!B364</f>
        <v>0</v>
      </c>
      <c r="C355" s="9">
        <f>[2]หน้าผ้า!E364</f>
        <v>0</v>
      </c>
      <c r="D355" s="13">
        <f>[2]หน้าผ้า!F364</f>
        <v>0</v>
      </c>
      <c r="E355" s="9">
        <f>[2]หน้าผ้า!G364</f>
        <v>0</v>
      </c>
      <c r="F355" s="9">
        <f>[2]หน้าผ้า!H364</f>
        <v>0</v>
      </c>
      <c r="G355" s="9">
        <f>[2]หน้าผ้า!I364</f>
        <v>0</v>
      </c>
      <c r="H355" s="9">
        <f>[2]หน้าผ้า!J364</f>
        <v>0</v>
      </c>
      <c r="I355" s="9">
        <f>[2]หน้าผ้า!L364</f>
        <v>0</v>
      </c>
      <c r="J355" s="9">
        <f>[2]หน้าผ้า!M364</f>
        <v>0</v>
      </c>
      <c r="K355" s="9">
        <f>[2]หน้าผ้า!N364</f>
        <v>0</v>
      </c>
      <c r="L355" s="9">
        <f>[2]หน้าผ้า!R364</f>
        <v>0</v>
      </c>
      <c r="M355" s="10">
        <f>[2]หน้าผ้า!T364</f>
        <v>0</v>
      </c>
      <c r="N355" s="9">
        <f>[2]หน้าผ้า!U364</f>
        <v>0</v>
      </c>
      <c r="O355" s="9">
        <f>[2]หน้าผ้า!V364</f>
        <v>0</v>
      </c>
      <c r="P355" s="10">
        <f>[2]หน้าผ้า!AB364</f>
        <v>0</v>
      </c>
      <c r="Q355" s="10">
        <f>[2]หน้าผ้า!AC364</f>
        <v>0</v>
      </c>
      <c r="R355" s="10">
        <f>[2]หน้าผ้า!AD364</f>
        <v>0</v>
      </c>
      <c r="S355" s="9">
        <f>[2]หน้าผ้า!Z364</f>
        <v>0</v>
      </c>
      <c r="T355" s="12">
        <f>[2]หน้าผ้า!X364</f>
        <v>0</v>
      </c>
      <c r="U355" s="11">
        <f>[2]หน้าผ้า!AA364</f>
        <v>0</v>
      </c>
      <c r="V355" s="10">
        <f>[2]หน้าผ้า!AJ364</f>
        <v>0</v>
      </c>
      <c r="W355" s="10">
        <f>[2]หน้าผ้า!AL364</f>
        <v>0</v>
      </c>
      <c r="X355" s="10">
        <f>[2]หน้าผ้า!AM364</f>
        <v>0</v>
      </c>
      <c r="Y355" s="10">
        <f>[2]หน้าผ้า!AN364</f>
        <v>0</v>
      </c>
      <c r="Z355" s="9">
        <f>[2]หน้าผ้า!AO364</f>
        <v>0</v>
      </c>
      <c r="AA355" s="8">
        <f>[2]หน้าผ้า!AQ364</f>
        <v>0</v>
      </c>
      <c r="AB355" s="8">
        <f>[2]หน้าผ้า!AR364</f>
        <v>0</v>
      </c>
      <c r="AC355" s="8">
        <f>[2]หน้าผ้า!AS364</f>
        <v>0</v>
      </c>
      <c r="AD355" s="8">
        <f>[2]หน้าผ้า!AT364</f>
        <v>0</v>
      </c>
      <c r="AE355" s="8">
        <f>[2]หน้าผ้า!AU364</f>
        <v>0</v>
      </c>
      <c r="AF355" s="8">
        <f>[2]หน้าผ้า!AI364</f>
        <v>0</v>
      </c>
      <c r="AG355" s="1">
        <f>[3]หน้าผ้า!DC367</f>
        <v>0</v>
      </c>
      <c r="AH355" s="1">
        <f>[2]หน้าผ้า!DL364</f>
        <v>0</v>
      </c>
      <c r="AI355" s="1">
        <f>[2]หน้าผ้า!DM364</f>
        <v>0</v>
      </c>
      <c r="AJ355" s="3">
        <f>[2]หน้าผ้า!DN364</f>
        <v>0</v>
      </c>
      <c r="AK355" s="3">
        <f>[2]หน้าผ้า!DQ364</f>
        <v>0</v>
      </c>
      <c r="AL355" s="3">
        <f>[2]หน้าผ้า!DR364</f>
        <v>0</v>
      </c>
      <c r="AM355" s="3">
        <f>[2]หน้าผ้า!DS364</f>
        <v>0</v>
      </c>
      <c r="AN355" s="3">
        <f>[2]หน้าผ้า!DT364</f>
        <v>0</v>
      </c>
      <c r="AO355" s="3">
        <f>[2]หน้าผ้า!DU364</f>
        <v>0</v>
      </c>
      <c r="AP355" s="3">
        <f>[2]หน้าผ้า!DP364</f>
        <v>0</v>
      </c>
      <c r="AQ355" s="3">
        <f>[2]หน้าผ้า!DW364</f>
        <v>0</v>
      </c>
      <c r="AR355" s="3">
        <f>[2]หน้าผ้า!DX364</f>
        <v>0</v>
      </c>
      <c r="AS355" s="3">
        <f>[2]หน้าผ้า!DY364</f>
        <v>0</v>
      </c>
      <c r="AT355" s="3">
        <f>[2]หน้าผ้า!DZ364</f>
        <v>0</v>
      </c>
      <c r="AU355" s="3">
        <f>[2]หน้าผ้า!EA364</f>
        <v>0</v>
      </c>
      <c r="AV355" s="1">
        <f>[2]หน้าผ้า!EB364</f>
        <v>0</v>
      </c>
      <c r="AW355" s="2">
        <f>[2]หน้าผ้า!EC364</f>
        <v>0</v>
      </c>
      <c r="AX355" s="2">
        <f>[2]หน้าผ้า!ED364</f>
        <v>0</v>
      </c>
      <c r="AY355" s="2">
        <f>[2]หน้าผ้า!AG364</f>
        <v>0</v>
      </c>
      <c r="AZ355" s="2">
        <f>[2]หน้าผ้า!EG364</f>
        <v>0</v>
      </c>
      <c r="BA355" s="2">
        <f>[2]หน้าผ้า!EH364</f>
        <v>0</v>
      </c>
      <c r="BB355" s="2">
        <f>[2]หน้าผ้า!EI364</f>
        <v>0</v>
      </c>
      <c r="BC355" s="1">
        <f>[2]หน้าผ้า!BZ364</f>
        <v>0</v>
      </c>
      <c r="BD355" s="56">
        <f>[2]หน้าผ้า!CA364</f>
        <v>0</v>
      </c>
    </row>
    <row r="356" spans="1:56" ht="27.75" customHeight="1" x14ac:dyDescent="0.45">
      <c r="A356" s="3">
        <f>[2]หน้าผ้า!C365</f>
        <v>0</v>
      </c>
      <c r="B356" s="14">
        <f>[2]หน้าผ้า!B365</f>
        <v>0</v>
      </c>
      <c r="C356" s="9">
        <f>[2]หน้าผ้า!E365</f>
        <v>0</v>
      </c>
      <c r="D356" s="13">
        <f>[2]หน้าผ้า!F365</f>
        <v>0</v>
      </c>
      <c r="E356" s="9">
        <f>[2]หน้าผ้า!G365</f>
        <v>0</v>
      </c>
      <c r="F356" s="9">
        <f>[2]หน้าผ้า!H365</f>
        <v>0</v>
      </c>
      <c r="G356" s="9">
        <f>[2]หน้าผ้า!I365</f>
        <v>0</v>
      </c>
      <c r="H356" s="9">
        <f>[2]หน้าผ้า!J365</f>
        <v>0</v>
      </c>
      <c r="I356" s="9">
        <f>[2]หน้าผ้า!L365</f>
        <v>0</v>
      </c>
      <c r="J356" s="9">
        <f>[2]หน้าผ้า!M365</f>
        <v>0</v>
      </c>
      <c r="K356" s="9">
        <f>[2]หน้าผ้า!N365</f>
        <v>0</v>
      </c>
      <c r="L356" s="9">
        <f>[2]หน้าผ้า!R365</f>
        <v>0</v>
      </c>
      <c r="M356" s="10">
        <f>[2]หน้าผ้า!T365</f>
        <v>0</v>
      </c>
      <c r="N356" s="9">
        <f>[2]หน้าผ้า!U365</f>
        <v>0</v>
      </c>
      <c r="O356" s="9">
        <f>[2]หน้าผ้า!V365</f>
        <v>0</v>
      </c>
      <c r="P356" s="10">
        <f>[2]หน้าผ้า!AB365</f>
        <v>0</v>
      </c>
      <c r="Q356" s="10">
        <f>[2]หน้าผ้า!AC365</f>
        <v>0</v>
      </c>
      <c r="R356" s="10">
        <f>[2]หน้าผ้า!AD365</f>
        <v>0</v>
      </c>
      <c r="S356" s="9">
        <f>[2]หน้าผ้า!Z365</f>
        <v>0</v>
      </c>
      <c r="T356" s="12">
        <f>[2]หน้าผ้า!X365</f>
        <v>0</v>
      </c>
      <c r="U356" s="11">
        <f>[2]หน้าผ้า!AA365</f>
        <v>0</v>
      </c>
      <c r="V356" s="10">
        <f>[2]หน้าผ้า!AJ365</f>
        <v>0</v>
      </c>
      <c r="W356" s="10">
        <f>[2]หน้าผ้า!AL365</f>
        <v>0</v>
      </c>
      <c r="X356" s="10">
        <f>[2]หน้าผ้า!AM365</f>
        <v>0</v>
      </c>
      <c r="Y356" s="10">
        <f>[2]หน้าผ้า!AN365</f>
        <v>0</v>
      </c>
      <c r="Z356" s="9">
        <f>[2]หน้าผ้า!AO365</f>
        <v>0</v>
      </c>
      <c r="AA356" s="8">
        <f>[2]หน้าผ้า!AQ365</f>
        <v>0</v>
      </c>
      <c r="AB356" s="8">
        <f>[2]หน้าผ้า!AR365</f>
        <v>0</v>
      </c>
      <c r="AC356" s="8">
        <f>[2]หน้าผ้า!AS365</f>
        <v>0</v>
      </c>
      <c r="AD356" s="8">
        <f>[2]หน้าผ้า!AT365</f>
        <v>0</v>
      </c>
      <c r="AE356" s="8">
        <f>[2]หน้าผ้า!AU365</f>
        <v>0</v>
      </c>
      <c r="AF356" s="8">
        <f>[2]หน้าผ้า!AI365</f>
        <v>0</v>
      </c>
      <c r="AG356" s="1">
        <f>[3]หน้าผ้า!DC368</f>
        <v>0</v>
      </c>
      <c r="AH356" s="1">
        <f>[2]หน้าผ้า!DL365</f>
        <v>0</v>
      </c>
      <c r="AI356" s="1">
        <f>[2]หน้าผ้า!DM365</f>
        <v>0</v>
      </c>
      <c r="AJ356" s="3">
        <f>[2]หน้าผ้า!DN365</f>
        <v>0</v>
      </c>
      <c r="AK356" s="3">
        <f>[2]หน้าผ้า!DQ365</f>
        <v>0</v>
      </c>
      <c r="AL356" s="3">
        <f>[2]หน้าผ้า!DR365</f>
        <v>0</v>
      </c>
      <c r="AM356" s="3">
        <f>[2]หน้าผ้า!DS365</f>
        <v>0</v>
      </c>
      <c r="AN356" s="3">
        <f>[2]หน้าผ้า!DT365</f>
        <v>0</v>
      </c>
      <c r="AO356" s="3">
        <f>[2]หน้าผ้า!DU365</f>
        <v>0</v>
      </c>
      <c r="AP356" s="3">
        <f>[2]หน้าผ้า!DP365</f>
        <v>0</v>
      </c>
      <c r="AQ356" s="3">
        <f>[2]หน้าผ้า!DW365</f>
        <v>0</v>
      </c>
      <c r="AR356" s="3">
        <f>[2]หน้าผ้า!DX365</f>
        <v>0</v>
      </c>
      <c r="AS356" s="3">
        <f>[2]หน้าผ้า!DY365</f>
        <v>0</v>
      </c>
      <c r="AT356" s="3">
        <f>[2]หน้าผ้า!DZ365</f>
        <v>0</v>
      </c>
      <c r="AU356" s="3">
        <f>[2]หน้าผ้า!EA365</f>
        <v>0</v>
      </c>
      <c r="AV356" s="1">
        <f>[2]หน้าผ้า!EB365</f>
        <v>0</v>
      </c>
      <c r="AW356" s="2">
        <f>[2]หน้าผ้า!EC365</f>
        <v>0</v>
      </c>
      <c r="AX356" s="2">
        <f>[2]หน้าผ้า!ED365</f>
        <v>0</v>
      </c>
      <c r="AY356" s="2">
        <f>[2]หน้าผ้า!AG365</f>
        <v>0</v>
      </c>
      <c r="AZ356" s="2">
        <f>[2]หน้าผ้า!EG365</f>
        <v>0</v>
      </c>
      <c r="BA356" s="2">
        <f>[2]หน้าผ้า!EH365</f>
        <v>0</v>
      </c>
      <c r="BB356" s="2">
        <f>[2]หน้าผ้า!EI365</f>
        <v>0</v>
      </c>
      <c r="BC356" s="1">
        <f>[2]หน้าผ้า!BZ365</f>
        <v>0</v>
      </c>
      <c r="BD356" s="56">
        <f>[2]หน้าผ้า!CA365</f>
        <v>0</v>
      </c>
    </row>
    <row r="357" spans="1:56" ht="27.75" customHeight="1" x14ac:dyDescent="0.45">
      <c r="A357" s="3">
        <f>[2]หน้าผ้า!C366</f>
        <v>0</v>
      </c>
      <c r="B357" s="14">
        <f>[2]หน้าผ้า!B366</f>
        <v>0</v>
      </c>
      <c r="C357" s="9">
        <f>[2]หน้าผ้า!E366</f>
        <v>0</v>
      </c>
      <c r="D357" s="13">
        <f>[2]หน้าผ้า!F366</f>
        <v>0</v>
      </c>
      <c r="E357" s="9">
        <f>[2]หน้าผ้า!G366</f>
        <v>0</v>
      </c>
      <c r="F357" s="9">
        <f>[2]หน้าผ้า!H366</f>
        <v>0</v>
      </c>
      <c r="G357" s="9">
        <f>[2]หน้าผ้า!I366</f>
        <v>0</v>
      </c>
      <c r="H357" s="9">
        <f>[2]หน้าผ้า!J366</f>
        <v>0</v>
      </c>
      <c r="I357" s="9">
        <f>[2]หน้าผ้า!L366</f>
        <v>0</v>
      </c>
      <c r="J357" s="9">
        <f>[2]หน้าผ้า!M366</f>
        <v>0</v>
      </c>
      <c r="K357" s="9">
        <f>[2]หน้าผ้า!N366</f>
        <v>0</v>
      </c>
      <c r="L357" s="9">
        <f>[2]หน้าผ้า!R366</f>
        <v>0</v>
      </c>
      <c r="M357" s="10">
        <f>[2]หน้าผ้า!T366</f>
        <v>0</v>
      </c>
      <c r="N357" s="9">
        <f>[2]หน้าผ้า!U366</f>
        <v>0</v>
      </c>
      <c r="O357" s="9">
        <f>[2]หน้าผ้า!V366</f>
        <v>0</v>
      </c>
      <c r="P357" s="10">
        <f>[2]หน้าผ้า!AB366</f>
        <v>0</v>
      </c>
      <c r="Q357" s="10">
        <f>[2]หน้าผ้า!AC366</f>
        <v>0</v>
      </c>
      <c r="R357" s="10">
        <f>[2]หน้าผ้า!AD366</f>
        <v>0</v>
      </c>
      <c r="S357" s="9">
        <f>[2]หน้าผ้า!Z366</f>
        <v>0</v>
      </c>
      <c r="T357" s="12">
        <f>[2]หน้าผ้า!X366</f>
        <v>0</v>
      </c>
      <c r="U357" s="11">
        <f>[2]หน้าผ้า!AA366</f>
        <v>0</v>
      </c>
      <c r="V357" s="10">
        <f>[2]หน้าผ้า!AJ366</f>
        <v>0</v>
      </c>
      <c r="W357" s="10">
        <f>[2]หน้าผ้า!AL366</f>
        <v>0</v>
      </c>
      <c r="X357" s="10">
        <f>[2]หน้าผ้า!AM366</f>
        <v>0</v>
      </c>
      <c r="Y357" s="10">
        <f>[2]หน้าผ้า!AN366</f>
        <v>0</v>
      </c>
      <c r="Z357" s="9">
        <f>[2]หน้าผ้า!AO366</f>
        <v>0</v>
      </c>
      <c r="AA357" s="8">
        <f>[2]หน้าผ้า!AQ366</f>
        <v>0</v>
      </c>
      <c r="AB357" s="8">
        <f>[2]หน้าผ้า!AR366</f>
        <v>0</v>
      </c>
      <c r="AC357" s="8">
        <f>[2]หน้าผ้า!AS366</f>
        <v>0</v>
      </c>
      <c r="AD357" s="8">
        <f>[2]หน้าผ้า!AT366</f>
        <v>0</v>
      </c>
      <c r="AE357" s="8">
        <f>[2]หน้าผ้า!AU366</f>
        <v>0</v>
      </c>
      <c r="AF357" s="8">
        <f>[2]หน้าผ้า!AI366</f>
        <v>0</v>
      </c>
      <c r="AG357" s="1">
        <f>[3]หน้าผ้า!DC369</f>
        <v>0</v>
      </c>
      <c r="AH357" s="1">
        <f>[2]หน้าผ้า!DL366</f>
        <v>0</v>
      </c>
      <c r="AI357" s="1">
        <f>[2]หน้าผ้า!DM366</f>
        <v>0</v>
      </c>
      <c r="AJ357" s="3">
        <f>[2]หน้าผ้า!DN366</f>
        <v>0</v>
      </c>
      <c r="AK357" s="3">
        <f>[2]หน้าผ้า!DQ366</f>
        <v>0</v>
      </c>
      <c r="AL357" s="3">
        <f>[2]หน้าผ้า!DR366</f>
        <v>0</v>
      </c>
      <c r="AM357" s="3">
        <f>[2]หน้าผ้า!DS366</f>
        <v>0</v>
      </c>
      <c r="AN357" s="3">
        <f>[2]หน้าผ้า!DT366</f>
        <v>0</v>
      </c>
      <c r="AO357" s="3">
        <f>[2]หน้าผ้า!DU366</f>
        <v>0</v>
      </c>
      <c r="AP357" s="3">
        <f>[2]หน้าผ้า!DP366</f>
        <v>0</v>
      </c>
      <c r="AQ357" s="3">
        <f>[2]หน้าผ้า!DW366</f>
        <v>0</v>
      </c>
      <c r="AR357" s="3">
        <f>[2]หน้าผ้า!DX366</f>
        <v>0</v>
      </c>
      <c r="AS357" s="3">
        <f>[2]หน้าผ้า!DY366</f>
        <v>0</v>
      </c>
      <c r="AT357" s="3">
        <f>[2]หน้าผ้า!DZ366</f>
        <v>0</v>
      </c>
      <c r="AU357" s="3">
        <f>[2]หน้าผ้า!EA366</f>
        <v>0</v>
      </c>
      <c r="AV357" s="1">
        <f>[2]หน้าผ้า!EB366</f>
        <v>0</v>
      </c>
      <c r="AW357" s="2">
        <f>[2]หน้าผ้า!EC366</f>
        <v>0</v>
      </c>
      <c r="AX357" s="2">
        <f>[2]หน้าผ้า!ED366</f>
        <v>0</v>
      </c>
      <c r="AY357" s="2">
        <f>[2]หน้าผ้า!AG366</f>
        <v>0</v>
      </c>
      <c r="AZ357" s="2">
        <f>[2]หน้าผ้า!EG366</f>
        <v>0</v>
      </c>
      <c r="BA357" s="2">
        <f>[2]หน้าผ้า!EH366</f>
        <v>0</v>
      </c>
      <c r="BB357" s="2">
        <f>[2]หน้าผ้า!EI366</f>
        <v>0</v>
      </c>
      <c r="BC357" s="1">
        <f>[2]หน้าผ้า!BZ366</f>
        <v>0</v>
      </c>
      <c r="BD357" s="56">
        <f>[2]หน้าผ้า!CA366</f>
        <v>0</v>
      </c>
    </row>
    <row r="358" spans="1:56" ht="27.75" customHeight="1" x14ac:dyDescent="0.45">
      <c r="A358" s="3">
        <f>[2]หน้าผ้า!C367</f>
        <v>0</v>
      </c>
      <c r="B358" s="14">
        <f>[2]หน้าผ้า!B367</f>
        <v>0</v>
      </c>
      <c r="C358" s="9">
        <f>[2]หน้าผ้า!E367</f>
        <v>0</v>
      </c>
      <c r="D358" s="13">
        <f>[2]หน้าผ้า!F367</f>
        <v>0</v>
      </c>
      <c r="E358" s="9">
        <f>[2]หน้าผ้า!G367</f>
        <v>0</v>
      </c>
      <c r="F358" s="9">
        <f>[2]หน้าผ้า!H367</f>
        <v>0</v>
      </c>
      <c r="G358" s="9">
        <f>[2]หน้าผ้า!I367</f>
        <v>0</v>
      </c>
      <c r="H358" s="9">
        <f>[2]หน้าผ้า!J367</f>
        <v>0</v>
      </c>
      <c r="I358" s="9">
        <f>[2]หน้าผ้า!L367</f>
        <v>0</v>
      </c>
      <c r="J358" s="9">
        <f>[2]หน้าผ้า!M367</f>
        <v>0</v>
      </c>
      <c r="K358" s="9">
        <f>[2]หน้าผ้า!N367</f>
        <v>0</v>
      </c>
      <c r="L358" s="9">
        <f>[2]หน้าผ้า!R367</f>
        <v>0</v>
      </c>
      <c r="M358" s="10">
        <f>[2]หน้าผ้า!T367</f>
        <v>0</v>
      </c>
      <c r="N358" s="9">
        <f>[2]หน้าผ้า!U367</f>
        <v>0</v>
      </c>
      <c r="O358" s="9">
        <f>[2]หน้าผ้า!V367</f>
        <v>0</v>
      </c>
      <c r="P358" s="10">
        <f>[2]หน้าผ้า!AB367</f>
        <v>0</v>
      </c>
      <c r="Q358" s="10">
        <f>[2]หน้าผ้า!AC367</f>
        <v>0</v>
      </c>
      <c r="R358" s="10">
        <f>[2]หน้าผ้า!AD367</f>
        <v>0</v>
      </c>
      <c r="S358" s="9">
        <f>[2]หน้าผ้า!Z367</f>
        <v>0</v>
      </c>
      <c r="T358" s="12">
        <f>[2]หน้าผ้า!X367</f>
        <v>0</v>
      </c>
      <c r="U358" s="11">
        <f>[2]หน้าผ้า!AA367</f>
        <v>0</v>
      </c>
      <c r="V358" s="10">
        <f>[2]หน้าผ้า!AJ367</f>
        <v>0</v>
      </c>
      <c r="W358" s="10">
        <f>[2]หน้าผ้า!AL367</f>
        <v>0</v>
      </c>
      <c r="X358" s="10">
        <f>[2]หน้าผ้า!AM367</f>
        <v>0</v>
      </c>
      <c r="Y358" s="10">
        <f>[2]หน้าผ้า!AN367</f>
        <v>0</v>
      </c>
      <c r="Z358" s="9">
        <f>[2]หน้าผ้า!AO367</f>
        <v>0</v>
      </c>
      <c r="AA358" s="8">
        <f>[2]หน้าผ้า!AQ367</f>
        <v>0</v>
      </c>
      <c r="AB358" s="8">
        <f>[2]หน้าผ้า!AR367</f>
        <v>0</v>
      </c>
      <c r="AC358" s="8">
        <f>[2]หน้าผ้า!AS367</f>
        <v>0</v>
      </c>
      <c r="AD358" s="8">
        <f>[2]หน้าผ้า!AT367</f>
        <v>0</v>
      </c>
      <c r="AE358" s="8">
        <f>[2]หน้าผ้า!AU367</f>
        <v>0</v>
      </c>
      <c r="AF358" s="8">
        <f>[2]หน้าผ้า!AI367</f>
        <v>0</v>
      </c>
      <c r="AG358" s="1">
        <f>[3]หน้าผ้า!DC370</f>
        <v>0</v>
      </c>
      <c r="AH358" s="1">
        <f>[2]หน้าผ้า!DL367</f>
        <v>0</v>
      </c>
      <c r="AI358" s="1">
        <f>[2]หน้าผ้า!DM367</f>
        <v>0</v>
      </c>
      <c r="AJ358" s="3">
        <f>[2]หน้าผ้า!DN367</f>
        <v>0</v>
      </c>
      <c r="AK358" s="3">
        <f>[2]หน้าผ้า!DQ367</f>
        <v>0</v>
      </c>
      <c r="AL358" s="3">
        <f>[2]หน้าผ้า!DR367</f>
        <v>0</v>
      </c>
      <c r="AM358" s="3">
        <f>[2]หน้าผ้า!DS367</f>
        <v>0</v>
      </c>
      <c r="AN358" s="3">
        <f>[2]หน้าผ้า!DT367</f>
        <v>0</v>
      </c>
      <c r="AO358" s="3">
        <f>[2]หน้าผ้า!DU367</f>
        <v>0</v>
      </c>
      <c r="AP358" s="3">
        <f>[2]หน้าผ้า!DP367</f>
        <v>0</v>
      </c>
      <c r="AQ358" s="3">
        <f>[2]หน้าผ้า!DW367</f>
        <v>0</v>
      </c>
      <c r="AR358" s="3">
        <f>[2]หน้าผ้า!DX367</f>
        <v>0</v>
      </c>
      <c r="AS358" s="3">
        <f>[2]หน้าผ้า!DY367</f>
        <v>0</v>
      </c>
      <c r="AT358" s="3">
        <f>[2]หน้าผ้า!DZ367</f>
        <v>0</v>
      </c>
      <c r="AU358" s="3">
        <f>[2]หน้าผ้า!EA367</f>
        <v>0</v>
      </c>
      <c r="AV358" s="1">
        <f>[2]หน้าผ้า!EB367</f>
        <v>0</v>
      </c>
      <c r="AW358" s="2">
        <f>[2]หน้าผ้า!EC367</f>
        <v>0</v>
      </c>
      <c r="AX358" s="2">
        <f>[2]หน้าผ้า!ED367</f>
        <v>0</v>
      </c>
      <c r="AY358" s="2">
        <f>[2]หน้าผ้า!AG367</f>
        <v>0</v>
      </c>
      <c r="AZ358" s="2">
        <f>[2]หน้าผ้า!EG367</f>
        <v>0</v>
      </c>
      <c r="BA358" s="2">
        <f>[2]หน้าผ้า!EH367</f>
        <v>0</v>
      </c>
      <c r="BB358" s="2">
        <f>[2]หน้าผ้า!EI367</f>
        <v>0</v>
      </c>
      <c r="BC358" s="1">
        <f>[2]หน้าผ้า!BZ367</f>
        <v>0</v>
      </c>
      <c r="BD358" s="56">
        <f>[2]หน้าผ้า!CA367</f>
        <v>0</v>
      </c>
    </row>
    <row r="359" spans="1:56" ht="27.75" customHeight="1" x14ac:dyDescent="0.45">
      <c r="A359" s="3">
        <f>[2]หน้าผ้า!C368</f>
        <v>0</v>
      </c>
      <c r="B359" s="14">
        <f>[2]หน้าผ้า!B368</f>
        <v>0</v>
      </c>
      <c r="C359" s="9">
        <f>[2]หน้าผ้า!E368</f>
        <v>0</v>
      </c>
      <c r="D359" s="13">
        <f>[2]หน้าผ้า!F368</f>
        <v>0</v>
      </c>
      <c r="E359" s="9">
        <f>[2]หน้าผ้า!G368</f>
        <v>0</v>
      </c>
      <c r="F359" s="9">
        <f>[2]หน้าผ้า!H368</f>
        <v>0</v>
      </c>
      <c r="G359" s="9">
        <f>[2]หน้าผ้า!I368</f>
        <v>0</v>
      </c>
      <c r="H359" s="9">
        <f>[2]หน้าผ้า!J368</f>
        <v>0</v>
      </c>
      <c r="I359" s="9">
        <f>[2]หน้าผ้า!L368</f>
        <v>0</v>
      </c>
      <c r="J359" s="9">
        <f>[2]หน้าผ้า!M368</f>
        <v>0</v>
      </c>
      <c r="K359" s="9">
        <f>[2]หน้าผ้า!N368</f>
        <v>0</v>
      </c>
      <c r="L359" s="9">
        <f>[2]หน้าผ้า!R368</f>
        <v>0</v>
      </c>
      <c r="M359" s="10">
        <f>[2]หน้าผ้า!T368</f>
        <v>0</v>
      </c>
      <c r="N359" s="9">
        <f>[2]หน้าผ้า!U368</f>
        <v>0</v>
      </c>
      <c r="O359" s="9">
        <f>[2]หน้าผ้า!V368</f>
        <v>0</v>
      </c>
      <c r="P359" s="10">
        <f>[2]หน้าผ้า!AB368</f>
        <v>0</v>
      </c>
      <c r="Q359" s="10">
        <f>[2]หน้าผ้า!AC368</f>
        <v>0</v>
      </c>
      <c r="R359" s="10">
        <f>[2]หน้าผ้า!AD368</f>
        <v>0</v>
      </c>
      <c r="S359" s="9">
        <f>[2]หน้าผ้า!Z368</f>
        <v>0</v>
      </c>
      <c r="T359" s="12">
        <f>[2]หน้าผ้า!X368</f>
        <v>0</v>
      </c>
      <c r="U359" s="11">
        <f>[2]หน้าผ้า!AA368</f>
        <v>0</v>
      </c>
      <c r="V359" s="10">
        <f>[2]หน้าผ้า!AJ368</f>
        <v>0</v>
      </c>
      <c r="W359" s="10">
        <f>[2]หน้าผ้า!AL368</f>
        <v>0</v>
      </c>
      <c r="X359" s="10">
        <f>[2]หน้าผ้า!AM368</f>
        <v>0</v>
      </c>
      <c r="Y359" s="10">
        <f>[2]หน้าผ้า!AN368</f>
        <v>0</v>
      </c>
      <c r="Z359" s="9">
        <f>[2]หน้าผ้า!AO368</f>
        <v>0</v>
      </c>
      <c r="AA359" s="8">
        <f>[2]หน้าผ้า!AQ368</f>
        <v>0</v>
      </c>
      <c r="AB359" s="8">
        <f>[2]หน้าผ้า!AR368</f>
        <v>0</v>
      </c>
      <c r="AC359" s="8">
        <f>[2]หน้าผ้า!AS368</f>
        <v>0</v>
      </c>
      <c r="AD359" s="8">
        <f>[2]หน้าผ้า!AT368</f>
        <v>0</v>
      </c>
      <c r="AE359" s="8">
        <f>[2]หน้าผ้า!AU368</f>
        <v>0</v>
      </c>
      <c r="AF359" s="8">
        <f>[2]หน้าผ้า!AI368</f>
        <v>0</v>
      </c>
      <c r="AG359" s="1">
        <f>[3]หน้าผ้า!DC371</f>
        <v>0</v>
      </c>
      <c r="AH359" s="1">
        <f>[2]หน้าผ้า!DL368</f>
        <v>0</v>
      </c>
      <c r="AI359" s="1">
        <f>[2]หน้าผ้า!DM368</f>
        <v>0</v>
      </c>
      <c r="AJ359" s="3">
        <f>[2]หน้าผ้า!DN368</f>
        <v>0</v>
      </c>
      <c r="AK359" s="3">
        <f>[2]หน้าผ้า!DQ368</f>
        <v>0</v>
      </c>
      <c r="AL359" s="3">
        <f>[2]หน้าผ้า!DR368</f>
        <v>0</v>
      </c>
      <c r="AM359" s="3">
        <f>[2]หน้าผ้า!DS368</f>
        <v>0</v>
      </c>
      <c r="AN359" s="3">
        <f>[2]หน้าผ้า!DT368</f>
        <v>0</v>
      </c>
      <c r="AO359" s="3">
        <f>[2]หน้าผ้า!DU368</f>
        <v>0</v>
      </c>
      <c r="AP359" s="3">
        <f>[2]หน้าผ้า!DP368</f>
        <v>0</v>
      </c>
      <c r="AQ359" s="3">
        <f>[2]หน้าผ้า!DW368</f>
        <v>0</v>
      </c>
      <c r="AR359" s="3">
        <f>[2]หน้าผ้า!DX368</f>
        <v>0</v>
      </c>
      <c r="AS359" s="3">
        <f>[2]หน้าผ้า!DY368</f>
        <v>0</v>
      </c>
      <c r="AT359" s="3">
        <f>[2]หน้าผ้า!DZ368</f>
        <v>0</v>
      </c>
      <c r="AU359" s="3">
        <f>[2]หน้าผ้า!EA368</f>
        <v>0</v>
      </c>
      <c r="AV359" s="1">
        <f>[2]หน้าผ้า!EB368</f>
        <v>0</v>
      </c>
      <c r="AW359" s="2">
        <f>[2]หน้าผ้า!EC368</f>
        <v>0</v>
      </c>
      <c r="AX359" s="2">
        <f>[2]หน้าผ้า!ED368</f>
        <v>0</v>
      </c>
      <c r="AY359" s="2">
        <f>[2]หน้าผ้า!AG368</f>
        <v>0</v>
      </c>
      <c r="AZ359" s="2">
        <f>[2]หน้าผ้า!EG368</f>
        <v>0</v>
      </c>
      <c r="BA359" s="2">
        <f>[2]หน้าผ้า!EH368</f>
        <v>0</v>
      </c>
      <c r="BB359" s="2">
        <f>[2]หน้าผ้า!EI368</f>
        <v>0</v>
      </c>
      <c r="BC359" s="1">
        <f>[2]หน้าผ้า!BZ368</f>
        <v>0</v>
      </c>
      <c r="BD359" s="56">
        <f>[2]หน้าผ้า!CA368</f>
        <v>0</v>
      </c>
    </row>
    <row r="360" spans="1:56" ht="27.75" customHeight="1" x14ac:dyDescent="0.45">
      <c r="A360" s="3">
        <f>[2]หน้าผ้า!C369</f>
        <v>0</v>
      </c>
      <c r="B360" s="14">
        <f>[2]หน้าผ้า!B369</f>
        <v>0</v>
      </c>
      <c r="C360" s="9">
        <f>[2]หน้าผ้า!E369</f>
        <v>0</v>
      </c>
      <c r="D360" s="13">
        <f>[2]หน้าผ้า!F369</f>
        <v>0</v>
      </c>
      <c r="E360" s="9">
        <f>[2]หน้าผ้า!G369</f>
        <v>0</v>
      </c>
      <c r="F360" s="9">
        <f>[2]หน้าผ้า!H369</f>
        <v>0</v>
      </c>
      <c r="G360" s="9">
        <f>[2]หน้าผ้า!I369</f>
        <v>0</v>
      </c>
      <c r="H360" s="9">
        <f>[2]หน้าผ้า!J369</f>
        <v>0</v>
      </c>
      <c r="I360" s="9">
        <f>[2]หน้าผ้า!L369</f>
        <v>0</v>
      </c>
      <c r="J360" s="9">
        <f>[2]หน้าผ้า!M369</f>
        <v>0</v>
      </c>
      <c r="K360" s="9">
        <f>[2]หน้าผ้า!N369</f>
        <v>0</v>
      </c>
      <c r="L360" s="9">
        <f>[2]หน้าผ้า!R369</f>
        <v>0</v>
      </c>
      <c r="M360" s="10">
        <f>[2]หน้าผ้า!T369</f>
        <v>0</v>
      </c>
      <c r="N360" s="9">
        <f>[2]หน้าผ้า!U369</f>
        <v>0</v>
      </c>
      <c r="O360" s="9">
        <f>[2]หน้าผ้า!V369</f>
        <v>0</v>
      </c>
      <c r="P360" s="10">
        <f>[2]หน้าผ้า!AB369</f>
        <v>0</v>
      </c>
      <c r="Q360" s="10">
        <f>[2]หน้าผ้า!AC369</f>
        <v>0</v>
      </c>
      <c r="R360" s="10">
        <f>[2]หน้าผ้า!AD369</f>
        <v>0</v>
      </c>
      <c r="S360" s="9">
        <f>[2]หน้าผ้า!Z369</f>
        <v>0</v>
      </c>
      <c r="T360" s="12">
        <f>[2]หน้าผ้า!X369</f>
        <v>0</v>
      </c>
      <c r="U360" s="11">
        <f>[2]หน้าผ้า!AA369</f>
        <v>0</v>
      </c>
      <c r="V360" s="10">
        <f>[2]หน้าผ้า!AJ369</f>
        <v>0</v>
      </c>
      <c r="W360" s="10">
        <f>[2]หน้าผ้า!AL369</f>
        <v>0</v>
      </c>
      <c r="X360" s="10">
        <f>[2]หน้าผ้า!AM369</f>
        <v>0</v>
      </c>
      <c r="Y360" s="10">
        <f>[2]หน้าผ้า!AN369</f>
        <v>0</v>
      </c>
      <c r="Z360" s="9">
        <f>[2]หน้าผ้า!AO369</f>
        <v>0</v>
      </c>
      <c r="AA360" s="8">
        <f>[2]หน้าผ้า!AQ369</f>
        <v>0</v>
      </c>
      <c r="AB360" s="8">
        <f>[2]หน้าผ้า!AR369</f>
        <v>0</v>
      </c>
      <c r="AC360" s="8">
        <f>[2]หน้าผ้า!AS369</f>
        <v>0</v>
      </c>
      <c r="AD360" s="8">
        <f>[2]หน้าผ้า!AT369</f>
        <v>0</v>
      </c>
      <c r="AE360" s="8">
        <f>[2]หน้าผ้า!AU369</f>
        <v>0</v>
      </c>
      <c r="AF360" s="8">
        <f>[2]หน้าผ้า!AI369</f>
        <v>0</v>
      </c>
      <c r="AG360" s="1">
        <f>[3]หน้าผ้า!DC372</f>
        <v>0</v>
      </c>
      <c r="AH360" s="1">
        <f>[2]หน้าผ้า!DL369</f>
        <v>0</v>
      </c>
      <c r="AI360" s="1">
        <f>[2]หน้าผ้า!DM369</f>
        <v>0</v>
      </c>
      <c r="AJ360" s="3">
        <f>[2]หน้าผ้า!DN369</f>
        <v>0</v>
      </c>
      <c r="AK360" s="3">
        <f>[2]หน้าผ้า!DQ369</f>
        <v>0</v>
      </c>
      <c r="AL360" s="3">
        <f>[2]หน้าผ้า!DR369</f>
        <v>0</v>
      </c>
      <c r="AM360" s="3">
        <f>[2]หน้าผ้า!DS369</f>
        <v>0</v>
      </c>
      <c r="AN360" s="3">
        <f>[2]หน้าผ้า!DT369</f>
        <v>0</v>
      </c>
      <c r="AO360" s="3">
        <f>[2]หน้าผ้า!DU369</f>
        <v>0</v>
      </c>
      <c r="AP360" s="3">
        <f>[2]หน้าผ้า!DP369</f>
        <v>0</v>
      </c>
      <c r="AQ360" s="3">
        <f>[2]หน้าผ้า!DW369</f>
        <v>0</v>
      </c>
      <c r="AR360" s="3">
        <f>[2]หน้าผ้า!DX369</f>
        <v>0</v>
      </c>
      <c r="AS360" s="3">
        <f>[2]หน้าผ้า!DY369</f>
        <v>0</v>
      </c>
      <c r="AT360" s="3">
        <f>[2]หน้าผ้า!DZ369</f>
        <v>0</v>
      </c>
      <c r="AU360" s="3">
        <f>[2]หน้าผ้า!EA369</f>
        <v>0</v>
      </c>
      <c r="AV360" s="1">
        <f>[2]หน้าผ้า!EB369</f>
        <v>0</v>
      </c>
      <c r="AW360" s="2">
        <f>[2]หน้าผ้า!EC369</f>
        <v>0</v>
      </c>
      <c r="AX360" s="2">
        <f>[2]หน้าผ้า!ED369</f>
        <v>0</v>
      </c>
      <c r="AY360" s="2">
        <f>[2]หน้าผ้า!AG369</f>
        <v>0</v>
      </c>
      <c r="AZ360" s="2">
        <f>[2]หน้าผ้า!EG369</f>
        <v>0</v>
      </c>
      <c r="BA360" s="2">
        <f>[2]หน้าผ้า!EH369</f>
        <v>0</v>
      </c>
      <c r="BB360" s="2">
        <f>[2]หน้าผ้า!EI369</f>
        <v>0</v>
      </c>
      <c r="BC360" s="1">
        <f>[2]หน้าผ้า!BZ369</f>
        <v>0</v>
      </c>
      <c r="BD360" s="56">
        <f>[2]หน้าผ้า!CA369</f>
        <v>0</v>
      </c>
    </row>
    <row r="361" spans="1:56" ht="27.75" customHeight="1" x14ac:dyDescent="0.45">
      <c r="A361" s="3">
        <f>[2]หน้าผ้า!C370</f>
        <v>0</v>
      </c>
      <c r="B361" s="14">
        <f>[2]หน้าผ้า!B370</f>
        <v>0</v>
      </c>
      <c r="C361" s="9">
        <f>[2]หน้าผ้า!E370</f>
        <v>0</v>
      </c>
      <c r="D361" s="13">
        <f>[2]หน้าผ้า!F370</f>
        <v>0</v>
      </c>
      <c r="E361" s="9">
        <f>[2]หน้าผ้า!G370</f>
        <v>0</v>
      </c>
      <c r="F361" s="9">
        <f>[2]หน้าผ้า!H370</f>
        <v>0</v>
      </c>
      <c r="G361" s="9">
        <f>[2]หน้าผ้า!I370</f>
        <v>0</v>
      </c>
      <c r="H361" s="9">
        <f>[2]หน้าผ้า!J370</f>
        <v>0</v>
      </c>
      <c r="I361" s="9">
        <f>[2]หน้าผ้า!L370</f>
        <v>0</v>
      </c>
      <c r="J361" s="9">
        <f>[2]หน้าผ้า!M370</f>
        <v>0</v>
      </c>
      <c r="K361" s="9">
        <f>[2]หน้าผ้า!N370</f>
        <v>0</v>
      </c>
      <c r="L361" s="9">
        <f>[2]หน้าผ้า!R370</f>
        <v>0</v>
      </c>
      <c r="M361" s="10">
        <f>[2]หน้าผ้า!T370</f>
        <v>0</v>
      </c>
      <c r="N361" s="9">
        <f>[2]หน้าผ้า!U370</f>
        <v>0</v>
      </c>
      <c r="O361" s="9">
        <f>[2]หน้าผ้า!V370</f>
        <v>0</v>
      </c>
      <c r="P361" s="10">
        <f>[2]หน้าผ้า!AB370</f>
        <v>0</v>
      </c>
      <c r="Q361" s="10">
        <f>[2]หน้าผ้า!AC370</f>
        <v>0</v>
      </c>
      <c r="R361" s="10">
        <f>[2]หน้าผ้า!AD370</f>
        <v>0</v>
      </c>
      <c r="S361" s="9">
        <f>[2]หน้าผ้า!Z370</f>
        <v>0</v>
      </c>
      <c r="T361" s="12">
        <f>[2]หน้าผ้า!X370</f>
        <v>0</v>
      </c>
      <c r="U361" s="11">
        <f>[2]หน้าผ้า!AA370</f>
        <v>0</v>
      </c>
      <c r="V361" s="10">
        <f>[2]หน้าผ้า!AJ370</f>
        <v>0</v>
      </c>
      <c r="W361" s="10">
        <f>[2]หน้าผ้า!AL370</f>
        <v>0</v>
      </c>
      <c r="X361" s="10">
        <f>[2]หน้าผ้า!AM370</f>
        <v>0</v>
      </c>
      <c r="Y361" s="10">
        <f>[2]หน้าผ้า!AN370</f>
        <v>0</v>
      </c>
      <c r="Z361" s="9">
        <f>[2]หน้าผ้า!AO370</f>
        <v>0</v>
      </c>
      <c r="AA361" s="8">
        <f>[2]หน้าผ้า!AQ370</f>
        <v>0</v>
      </c>
      <c r="AB361" s="8">
        <f>[2]หน้าผ้า!AR370</f>
        <v>0</v>
      </c>
      <c r="AC361" s="8">
        <f>[2]หน้าผ้า!AS370</f>
        <v>0</v>
      </c>
      <c r="AD361" s="8">
        <f>[2]หน้าผ้า!AT370</f>
        <v>0</v>
      </c>
      <c r="AE361" s="8">
        <f>[2]หน้าผ้า!AU370</f>
        <v>0</v>
      </c>
      <c r="AF361" s="8">
        <f>[2]หน้าผ้า!AI370</f>
        <v>0</v>
      </c>
      <c r="AG361" s="1">
        <f>[3]หน้าผ้า!DC373</f>
        <v>0</v>
      </c>
      <c r="AH361" s="1">
        <f>[2]หน้าผ้า!DL370</f>
        <v>0</v>
      </c>
      <c r="AI361" s="1">
        <f>[2]หน้าผ้า!DM370</f>
        <v>0</v>
      </c>
      <c r="AJ361" s="3">
        <f>[2]หน้าผ้า!DN370</f>
        <v>0</v>
      </c>
      <c r="AK361" s="3">
        <f>[2]หน้าผ้า!DQ370</f>
        <v>0</v>
      </c>
      <c r="AL361" s="3">
        <f>[2]หน้าผ้า!DR370</f>
        <v>0</v>
      </c>
      <c r="AM361" s="3">
        <f>[2]หน้าผ้า!DS370</f>
        <v>0</v>
      </c>
      <c r="AN361" s="3">
        <f>[2]หน้าผ้า!DT370</f>
        <v>0</v>
      </c>
      <c r="AO361" s="3">
        <f>[2]หน้าผ้า!DU370</f>
        <v>0</v>
      </c>
      <c r="AP361" s="3">
        <f>[2]หน้าผ้า!DP370</f>
        <v>0</v>
      </c>
      <c r="AQ361" s="3">
        <f>[2]หน้าผ้า!DW370</f>
        <v>0</v>
      </c>
      <c r="AR361" s="3">
        <f>[2]หน้าผ้า!DX370</f>
        <v>0</v>
      </c>
      <c r="AS361" s="3">
        <f>[2]หน้าผ้า!DY370</f>
        <v>0</v>
      </c>
      <c r="AT361" s="3">
        <f>[2]หน้าผ้า!DZ370</f>
        <v>0</v>
      </c>
      <c r="AU361" s="3">
        <f>[2]หน้าผ้า!EA370</f>
        <v>0</v>
      </c>
      <c r="AV361" s="1">
        <f>[2]หน้าผ้า!EB370</f>
        <v>0</v>
      </c>
      <c r="AW361" s="2">
        <f>[2]หน้าผ้า!EC370</f>
        <v>0</v>
      </c>
      <c r="AX361" s="2">
        <f>[2]หน้าผ้า!ED370</f>
        <v>0</v>
      </c>
      <c r="AY361" s="2">
        <f>[2]หน้าผ้า!AG370</f>
        <v>0</v>
      </c>
      <c r="AZ361" s="2">
        <f>[2]หน้าผ้า!EG370</f>
        <v>0</v>
      </c>
      <c r="BA361" s="2">
        <f>[2]หน้าผ้า!EH370</f>
        <v>0</v>
      </c>
      <c r="BB361" s="2">
        <f>[2]หน้าผ้า!EI370</f>
        <v>0</v>
      </c>
      <c r="BC361" s="1">
        <f>[2]หน้าผ้า!BZ370</f>
        <v>0</v>
      </c>
      <c r="BD361" s="56">
        <f>[2]หน้าผ้า!CA370</f>
        <v>0</v>
      </c>
    </row>
    <row r="362" spans="1:56" ht="27.75" customHeight="1" x14ac:dyDescent="0.45">
      <c r="A362" s="3">
        <f>[2]หน้าผ้า!C371</f>
        <v>0</v>
      </c>
      <c r="B362" s="14">
        <f>[2]หน้าผ้า!B371</f>
        <v>0</v>
      </c>
      <c r="C362" s="9">
        <f>[2]หน้าผ้า!E371</f>
        <v>0</v>
      </c>
      <c r="D362" s="13">
        <f>[2]หน้าผ้า!F371</f>
        <v>0</v>
      </c>
      <c r="E362" s="9">
        <f>[2]หน้าผ้า!G371</f>
        <v>0</v>
      </c>
      <c r="F362" s="9">
        <f>[2]หน้าผ้า!H371</f>
        <v>0</v>
      </c>
      <c r="G362" s="9">
        <f>[2]หน้าผ้า!I371</f>
        <v>0</v>
      </c>
      <c r="H362" s="9">
        <f>[2]หน้าผ้า!J371</f>
        <v>0</v>
      </c>
      <c r="I362" s="9">
        <f>[2]หน้าผ้า!L371</f>
        <v>0</v>
      </c>
      <c r="J362" s="9">
        <f>[2]หน้าผ้า!M371</f>
        <v>0</v>
      </c>
      <c r="K362" s="9">
        <f>[2]หน้าผ้า!N371</f>
        <v>0</v>
      </c>
      <c r="L362" s="9">
        <f>[2]หน้าผ้า!R371</f>
        <v>0</v>
      </c>
      <c r="M362" s="10">
        <f>[2]หน้าผ้า!T371</f>
        <v>0</v>
      </c>
      <c r="N362" s="9">
        <f>[2]หน้าผ้า!U371</f>
        <v>0</v>
      </c>
      <c r="O362" s="9">
        <f>[2]หน้าผ้า!V371</f>
        <v>0</v>
      </c>
      <c r="P362" s="10">
        <f>[2]หน้าผ้า!AB371</f>
        <v>0</v>
      </c>
      <c r="Q362" s="10">
        <f>[2]หน้าผ้า!AC371</f>
        <v>0</v>
      </c>
      <c r="R362" s="10">
        <f>[2]หน้าผ้า!AD371</f>
        <v>0</v>
      </c>
      <c r="S362" s="9">
        <f>[2]หน้าผ้า!Z371</f>
        <v>0</v>
      </c>
      <c r="T362" s="12">
        <f>[2]หน้าผ้า!X371</f>
        <v>0</v>
      </c>
      <c r="U362" s="11">
        <f>[2]หน้าผ้า!AA371</f>
        <v>0</v>
      </c>
      <c r="V362" s="10">
        <f>[2]หน้าผ้า!AJ371</f>
        <v>0</v>
      </c>
      <c r="W362" s="10">
        <f>[2]หน้าผ้า!AL371</f>
        <v>0</v>
      </c>
      <c r="X362" s="10">
        <f>[2]หน้าผ้า!AM371</f>
        <v>0</v>
      </c>
      <c r="Y362" s="10">
        <f>[2]หน้าผ้า!AN371</f>
        <v>0</v>
      </c>
      <c r="Z362" s="9">
        <f>[2]หน้าผ้า!AO371</f>
        <v>0</v>
      </c>
      <c r="AA362" s="8">
        <f>[2]หน้าผ้า!AQ371</f>
        <v>0</v>
      </c>
      <c r="AB362" s="8">
        <f>[2]หน้าผ้า!AR371</f>
        <v>0</v>
      </c>
      <c r="AC362" s="8">
        <f>[2]หน้าผ้า!AS371</f>
        <v>0</v>
      </c>
      <c r="AD362" s="8">
        <f>[2]หน้าผ้า!AT371</f>
        <v>0</v>
      </c>
      <c r="AE362" s="8">
        <f>[2]หน้าผ้า!AU371</f>
        <v>0</v>
      </c>
      <c r="AF362" s="8">
        <f>[2]หน้าผ้า!AI371</f>
        <v>0</v>
      </c>
      <c r="AG362" s="1">
        <f>[3]หน้าผ้า!DC374</f>
        <v>0</v>
      </c>
      <c r="AH362" s="1">
        <f>[2]หน้าผ้า!DL371</f>
        <v>0</v>
      </c>
      <c r="AI362" s="1">
        <f>[2]หน้าผ้า!DM371</f>
        <v>0</v>
      </c>
      <c r="AJ362" s="3">
        <f>[2]หน้าผ้า!DN371</f>
        <v>0</v>
      </c>
      <c r="AK362" s="3">
        <f>[2]หน้าผ้า!DQ371</f>
        <v>0</v>
      </c>
      <c r="AL362" s="3">
        <f>[2]หน้าผ้า!DR371</f>
        <v>0</v>
      </c>
      <c r="AM362" s="3">
        <f>[2]หน้าผ้า!DS371</f>
        <v>0</v>
      </c>
      <c r="AN362" s="3">
        <f>[2]หน้าผ้า!DT371</f>
        <v>0</v>
      </c>
      <c r="AO362" s="3">
        <f>[2]หน้าผ้า!DU371</f>
        <v>0</v>
      </c>
      <c r="AP362" s="3">
        <f>[2]หน้าผ้า!DP371</f>
        <v>0</v>
      </c>
      <c r="AQ362" s="3">
        <f>[2]หน้าผ้า!DW371</f>
        <v>0</v>
      </c>
      <c r="AR362" s="3">
        <f>[2]หน้าผ้า!DX371</f>
        <v>0</v>
      </c>
      <c r="AS362" s="3">
        <f>[2]หน้าผ้า!DY371</f>
        <v>0</v>
      </c>
      <c r="AT362" s="3">
        <f>[2]หน้าผ้า!DZ371</f>
        <v>0</v>
      </c>
      <c r="AU362" s="3">
        <f>[2]หน้าผ้า!EA371</f>
        <v>0</v>
      </c>
      <c r="AV362" s="1">
        <f>[2]หน้าผ้า!EB371</f>
        <v>0</v>
      </c>
      <c r="AW362" s="2">
        <f>[2]หน้าผ้า!EC371</f>
        <v>0</v>
      </c>
      <c r="AX362" s="2">
        <f>[2]หน้าผ้า!ED371</f>
        <v>0</v>
      </c>
      <c r="AY362" s="2">
        <f>[2]หน้าผ้า!AG371</f>
        <v>0</v>
      </c>
      <c r="AZ362" s="2">
        <f>[2]หน้าผ้า!EG371</f>
        <v>0</v>
      </c>
      <c r="BA362" s="2">
        <f>[2]หน้าผ้า!EH371</f>
        <v>0</v>
      </c>
      <c r="BB362" s="2">
        <f>[2]หน้าผ้า!EI371</f>
        <v>0</v>
      </c>
      <c r="BC362" s="1">
        <f>[2]หน้าผ้า!BZ371</f>
        <v>0</v>
      </c>
      <c r="BD362" s="56">
        <f>[2]หน้าผ้า!CA371</f>
        <v>0</v>
      </c>
    </row>
    <row r="363" spans="1:56" ht="27.75" customHeight="1" x14ac:dyDescent="0.45">
      <c r="A363" s="3">
        <f>[2]หน้าผ้า!C372</f>
        <v>0</v>
      </c>
      <c r="B363" s="14">
        <f>[2]หน้าผ้า!B372</f>
        <v>0</v>
      </c>
      <c r="C363" s="9">
        <f>[2]หน้าผ้า!E372</f>
        <v>0</v>
      </c>
      <c r="D363" s="13">
        <f>[2]หน้าผ้า!F372</f>
        <v>0</v>
      </c>
      <c r="E363" s="9">
        <f>[2]หน้าผ้า!G372</f>
        <v>0</v>
      </c>
      <c r="F363" s="9">
        <f>[2]หน้าผ้า!H372</f>
        <v>0</v>
      </c>
      <c r="G363" s="9">
        <f>[2]หน้าผ้า!I372</f>
        <v>0</v>
      </c>
      <c r="H363" s="9">
        <f>[2]หน้าผ้า!J372</f>
        <v>0</v>
      </c>
      <c r="I363" s="9">
        <f>[2]หน้าผ้า!L372</f>
        <v>0</v>
      </c>
      <c r="J363" s="9">
        <f>[2]หน้าผ้า!M372</f>
        <v>0</v>
      </c>
      <c r="K363" s="9">
        <f>[2]หน้าผ้า!N372</f>
        <v>0</v>
      </c>
      <c r="L363" s="9">
        <f>[2]หน้าผ้า!R372</f>
        <v>0</v>
      </c>
      <c r="M363" s="10">
        <f>[2]หน้าผ้า!T372</f>
        <v>0</v>
      </c>
      <c r="N363" s="9">
        <f>[2]หน้าผ้า!U372</f>
        <v>0</v>
      </c>
      <c r="O363" s="9">
        <f>[2]หน้าผ้า!V372</f>
        <v>0</v>
      </c>
      <c r="P363" s="10">
        <f>[2]หน้าผ้า!AB372</f>
        <v>0</v>
      </c>
      <c r="Q363" s="10">
        <f>[2]หน้าผ้า!AC372</f>
        <v>0</v>
      </c>
      <c r="R363" s="10">
        <f>[2]หน้าผ้า!AD372</f>
        <v>0</v>
      </c>
      <c r="S363" s="9">
        <f>[2]หน้าผ้า!Z372</f>
        <v>0</v>
      </c>
      <c r="T363" s="12">
        <f>[2]หน้าผ้า!X372</f>
        <v>0</v>
      </c>
      <c r="U363" s="11">
        <f>[2]หน้าผ้า!AA372</f>
        <v>0</v>
      </c>
      <c r="V363" s="10">
        <f>[2]หน้าผ้า!AJ372</f>
        <v>0</v>
      </c>
      <c r="W363" s="10">
        <f>[2]หน้าผ้า!AL372</f>
        <v>0</v>
      </c>
      <c r="X363" s="10">
        <f>[2]หน้าผ้า!AM372</f>
        <v>0</v>
      </c>
      <c r="Y363" s="10">
        <f>[2]หน้าผ้า!AN372</f>
        <v>0</v>
      </c>
      <c r="Z363" s="9">
        <f>[2]หน้าผ้า!AO372</f>
        <v>0</v>
      </c>
      <c r="AA363" s="8">
        <f>[2]หน้าผ้า!AQ372</f>
        <v>0</v>
      </c>
      <c r="AB363" s="8">
        <f>[2]หน้าผ้า!AR372</f>
        <v>0</v>
      </c>
      <c r="AC363" s="8">
        <f>[2]หน้าผ้า!AS372</f>
        <v>0</v>
      </c>
      <c r="AD363" s="8">
        <f>[2]หน้าผ้า!AT372</f>
        <v>0</v>
      </c>
      <c r="AE363" s="8">
        <f>[2]หน้าผ้า!AU372</f>
        <v>0</v>
      </c>
      <c r="AF363" s="8">
        <f>[2]หน้าผ้า!AI372</f>
        <v>0</v>
      </c>
      <c r="AG363" s="1">
        <f>[3]หน้าผ้า!DC375</f>
        <v>0</v>
      </c>
      <c r="AH363" s="1">
        <f>[2]หน้าผ้า!DL372</f>
        <v>0</v>
      </c>
      <c r="AI363" s="1">
        <f>[2]หน้าผ้า!DM372</f>
        <v>0</v>
      </c>
      <c r="AJ363" s="3">
        <f>[2]หน้าผ้า!DN372</f>
        <v>0</v>
      </c>
      <c r="AK363" s="3">
        <f>[2]หน้าผ้า!DQ372</f>
        <v>0</v>
      </c>
      <c r="AL363" s="3">
        <f>[2]หน้าผ้า!DR372</f>
        <v>0</v>
      </c>
      <c r="AM363" s="3">
        <f>[2]หน้าผ้า!DS372</f>
        <v>0</v>
      </c>
      <c r="AN363" s="3">
        <f>[2]หน้าผ้า!DT372</f>
        <v>0</v>
      </c>
      <c r="AO363" s="3">
        <f>[2]หน้าผ้า!DU372</f>
        <v>0</v>
      </c>
      <c r="AP363" s="3">
        <f>[2]หน้าผ้า!DP372</f>
        <v>0</v>
      </c>
      <c r="AQ363" s="3">
        <f>[2]หน้าผ้า!DW372</f>
        <v>0</v>
      </c>
      <c r="AR363" s="3">
        <f>[2]หน้าผ้า!DX372</f>
        <v>0</v>
      </c>
      <c r="AS363" s="3">
        <f>[2]หน้าผ้า!DY372</f>
        <v>0</v>
      </c>
      <c r="AT363" s="3">
        <f>[2]หน้าผ้า!DZ372</f>
        <v>0</v>
      </c>
      <c r="AU363" s="3">
        <f>[2]หน้าผ้า!EA372</f>
        <v>0</v>
      </c>
      <c r="AV363" s="1">
        <f>[2]หน้าผ้า!EB372</f>
        <v>0</v>
      </c>
      <c r="AW363" s="2">
        <f>[2]หน้าผ้า!EC372</f>
        <v>0</v>
      </c>
      <c r="AX363" s="2">
        <f>[2]หน้าผ้า!ED372</f>
        <v>0</v>
      </c>
      <c r="AY363" s="2">
        <f>[2]หน้าผ้า!AG372</f>
        <v>0</v>
      </c>
      <c r="AZ363" s="2">
        <f>[2]หน้าผ้า!EG372</f>
        <v>0</v>
      </c>
      <c r="BA363" s="2">
        <f>[2]หน้าผ้า!EH372</f>
        <v>0</v>
      </c>
      <c r="BB363" s="2">
        <f>[2]หน้าผ้า!EI372</f>
        <v>0</v>
      </c>
      <c r="BC363" s="1">
        <f>[2]หน้าผ้า!BZ372</f>
        <v>0</v>
      </c>
      <c r="BD363" s="56">
        <f>[2]หน้าผ้า!CA372</f>
        <v>0</v>
      </c>
    </row>
    <row r="364" spans="1:56" ht="27.75" customHeight="1" x14ac:dyDescent="0.45">
      <c r="A364" s="3">
        <f>[2]หน้าผ้า!C373</f>
        <v>0</v>
      </c>
      <c r="B364" s="14">
        <f>[2]หน้าผ้า!B373</f>
        <v>0</v>
      </c>
      <c r="C364" s="9">
        <f>[2]หน้าผ้า!E373</f>
        <v>0</v>
      </c>
      <c r="D364" s="13">
        <f>[2]หน้าผ้า!F373</f>
        <v>0</v>
      </c>
      <c r="E364" s="9">
        <f>[2]หน้าผ้า!G373</f>
        <v>0</v>
      </c>
      <c r="F364" s="9">
        <f>[2]หน้าผ้า!H373</f>
        <v>0</v>
      </c>
      <c r="G364" s="9">
        <f>[2]หน้าผ้า!I373</f>
        <v>0</v>
      </c>
      <c r="H364" s="9">
        <f>[2]หน้าผ้า!J373</f>
        <v>0</v>
      </c>
      <c r="I364" s="9">
        <f>[2]หน้าผ้า!L373</f>
        <v>0</v>
      </c>
      <c r="J364" s="9">
        <f>[2]หน้าผ้า!M373</f>
        <v>0</v>
      </c>
      <c r="K364" s="9">
        <f>[2]หน้าผ้า!N373</f>
        <v>0</v>
      </c>
      <c r="L364" s="9">
        <f>[2]หน้าผ้า!R373</f>
        <v>0</v>
      </c>
      <c r="M364" s="10">
        <f>[2]หน้าผ้า!T373</f>
        <v>0</v>
      </c>
      <c r="N364" s="9">
        <f>[2]หน้าผ้า!U373</f>
        <v>0</v>
      </c>
      <c r="O364" s="9">
        <f>[2]หน้าผ้า!V373</f>
        <v>0</v>
      </c>
      <c r="P364" s="10">
        <f>[2]หน้าผ้า!AB373</f>
        <v>0</v>
      </c>
      <c r="Q364" s="10">
        <f>[2]หน้าผ้า!AC373</f>
        <v>0</v>
      </c>
      <c r="R364" s="10">
        <f>[2]หน้าผ้า!AD373</f>
        <v>0</v>
      </c>
      <c r="S364" s="9">
        <f>[2]หน้าผ้า!Z373</f>
        <v>0</v>
      </c>
      <c r="T364" s="12">
        <f>[2]หน้าผ้า!X373</f>
        <v>0</v>
      </c>
      <c r="U364" s="11">
        <f>[2]หน้าผ้า!AA373</f>
        <v>0</v>
      </c>
      <c r="V364" s="10">
        <f>[2]หน้าผ้า!AJ373</f>
        <v>0</v>
      </c>
      <c r="W364" s="10">
        <f>[2]หน้าผ้า!AL373</f>
        <v>0</v>
      </c>
      <c r="X364" s="10">
        <f>[2]หน้าผ้า!AM373</f>
        <v>0</v>
      </c>
      <c r="Y364" s="10">
        <f>[2]หน้าผ้า!AN373</f>
        <v>0</v>
      </c>
      <c r="Z364" s="9">
        <f>[2]หน้าผ้า!AO373</f>
        <v>0</v>
      </c>
      <c r="AA364" s="8">
        <f>[2]หน้าผ้า!AQ373</f>
        <v>0</v>
      </c>
      <c r="AB364" s="8">
        <f>[2]หน้าผ้า!AR373</f>
        <v>0</v>
      </c>
      <c r="AC364" s="8">
        <f>[2]หน้าผ้า!AS373</f>
        <v>0</v>
      </c>
      <c r="AD364" s="8">
        <f>[2]หน้าผ้า!AT373</f>
        <v>0</v>
      </c>
      <c r="AE364" s="8">
        <f>[2]หน้าผ้า!AU373</f>
        <v>0</v>
      </c>
      <c r="AF364" s="8">
        <f>[2]หน้าผ้า!AI373</f>
        <v>0</v>
      </c>
      <c r="AG364" s="1">
        <f>[3]หน้าผ้า!DC376</f>
        <v>0</v>
      </c>
      <c r="AH364" s="1">
        <f>[2]หน้าผ้า!DL373</f>
        <v>0</v>
      </c>
      <c r="AI364" s="1">
        <f>[2]หน้าผ้า!DM373</f>
        <v>0</v>
      </c>
      <c r="AJ364" s="3">
        <f>[2]หน้าผ้า!DN373</f>
        <v>0</v>
      </c>
      <c r="AK364" s="3">
        <f>[2]หน้าผ้า!DQ373</f>
        <v>0</v>
      </c>
      <c r="AL364" s="3">
        <f>[2]หน้าผ้า!DR373</f>
        <v>0</v>
      </c>
      <c r="AM364" s="3">
        <f>[2]หน้าผ้า!DS373</f>
        <v>0</v>
      </c>
      <c r="AN364" s="3">
        <f>[2]หน้าผ้า!DT373</f>
        <v>0</v>
      </c>
      <c r="AO364" s="3">
        <f>[2]หน้าผ้า!DU373</f>
        <v>0</v>
      </c>
      <c r="AP364" s="3">
        <f>[2]หน้าผ้า!DP373</f>
        <v>0</v>
      </c>
      <c r="AQ364" s="3">
        <f>[2]หน้าผ้า!DW373</f>
        <v>0</v>
      </c>
      <c r="AR364" s="3">
        <f>[2]หน้าผ้า!DX373</f>
        <v>0</v>
      </c>
      <c r="AS364" s="3">
        <f>[2]หน้าผ้า!DY373</f>
        <v>0</v>
      </c>
      <c r="AT364" s="3">
        <f>[2]หน้าผ้า!DZ373</f>
        <v>0</v>
      </c>
      <c r="AU364" s="3">
        <f>[2]หน้าผ้า!EA373</f>
        <v>0</v>
      </c>
      <c r="AV364" s="1">
        <f>[2]หน้าผ้า!EB373</f>
        <v>0</v>
      </c>
      <c r="AW364" s="2">
        <f>[2]หน้าผ้า!EC373</f>
        <v>0</v>
      </c>
      <c r="AX364" s="2">
        <f>[2]หน้าผ้า!ED373</f>
        <v>0</v>
      </c>
      <c r="AY364" s="2">
        <f>[2]หน้าผ้า!AG373</f>
        <v>0</v>
      </c>
      <c r="AZ364" s="2">
        <f>[2]หน้าผ้า!EG373</f>
        <v>0</v>
      </c>
      <c r="BA364" s="2">
        <f>[2]หน้าผ้า!EH373</f>
        <v>0</v>
      </c>
      <c r="BB364" s="2">
        <f>[2]หน้าผ้า!EI373</f>
        <v>0</v>
      </c>
      <c r="BC364" s="1">
        <f>[2]หน้าผ้า!BZ373</f>
        <v>0</v>
      </c>
      <c r="BD364" s="56">
        <f>[2]หน้าผ้า!CA373</f>
        <v>0</v>
      </c>
    </row>
    <row r="365" spans="1:56" ht="27.75" customHeight="1" x14ac:dyDescent="0.45">
      <c r="A365" s="3">
        <f>[2]หน้าผ้า!C374</f>
        <v>0</v>
      </c>
      <c r="B365" s="14">
        <f>[2]หน้าผ้า!B374</f>
        <v>0</v>
      </c>
      <c r="C365" s="9">
        <f>[2]หน้าผ้า!E374</f>
        <v>0</v>
      </c>
      <c r="D365" s="13">
        <f>[2]หน้าผ้า!F374</f>
        <v>0</v>
      </c>
      <c r="E365" s="9">
        <f>[2]หน้าผ้า!G374</f>
        <v>0</v>
      </c>
      <c r="F365" s="9">
        <f>[2]หน้าผ้า!H374</f>
        <v>0</v>
      </c>
      <c r="G365" s="9">
        <f>[2]หน้าผ้า!I374</f>
        <v>0</v>
      </c>
      <c r="H365" s="9">
        <f>[2]หน้าผ้า!J374</f>
        <v>0</v>
      </c>
      <c r="I365" s="9">
        <f>[2]หน้าผ้า!L374</f>
        <v>0</v>
      </c>
      <c r="J365" s="9">
        <f>[2]หน้าผ้า!M374</f>
        <v>0</v>
      </c>
      <c r="K365" s="9">
        <f>[2]หน้าผ้า!N374</f>
        <v>0</v>
      </c>
      <c r="L365" s="9">
        <f>[2]หน้าผ้า!R374</f>
        <v>0</v>
      </c>
      <c r="M365" s="10">
        <f>[2]หน้าผ้า!T374</f>
        <v>0</v>
      </c>
      <c r="N365" s="9">
        <f>[2]หน้าผ้า!U374</f>
        <v>0</v>
      </c>
      <c r="O365" s="9">
        <f>[2]หน้าผ้า!V374</f>
        <v>0</v>
      </c>
      <c r="P365" s="10">
        <f>[2]หน้าผ้า!AB374</f>
        <v>0</v>
      </c>
      <c r="Q365" s="10">
        <f>[2]หน้าผ้า!AC374</f>
        <v>0</v>
      </c>
      <c r="R365" s="10">
        <f>[2]หน้าผ้า!AD374</f>
        <v>0</v>
      </c>
      <c r="S365" s="9">
        <f>[2]หน้าผ้า!Z374</f>
        <v>0</v>
      </c>
      <c r="T365" s="12">
        <f>[2]หน้าผ้า!X374</f>
        <v>0</v>
      </c>
      <c r="U365" s="11">
        <f>[2]หน้าผ้า!AA374</f>
        <v>0</v>
      </c>
      <c r="V365" s="10">
        <f>[2]หน้าผ้า!AJ374</f>
        <v>0</v>
      </c>
      <c r="W365" s="10">
        <f>[2]หน้าผ้า!AL374</f>
        <v>0</v>
      </c>
      <c r="X365" s="10">
        <f>[2]หน้าผ้า!AM374</f>
        <v>0</v>
      </c>
      <c r="Y365" s="10">
        <f>[2]หน้าผ้า!AN374</f>
        <v>0</v>
      </c>
      <c r="Z365" s="9">
        <f>[2]หน้าผ้า!AO374</f>
        <v>0</v>
      </c>
      <c r="AA365" s="8">
        <f>[2]หน้าผ้า!AQ374</f>
        <v>0</v>
      </c>
      <c r="AB365" s="8">
        <f>[2]หน้าผ้า!AR374</f>
        <v>0</v>
      </c>
      <c r="AC365" s="8">
        <f>[2]หน้าผ้า!AS374</f>
        <v>0</v>
      </c>
      <c r="AD365" s="8">
        <f>[2]หน้าผ้า!AT374</f>
        <v>0</v>
      </c>
      <c r="AE365" s="8">
        <f>[2]หน้าผ้า!AU374</f>
        <v>0</v>
      </c>
      <c r="AF365" s="8">
        <f>[2]หน้าผ้า!AI374</f>
        <v>0</v>
      </c>
      <c r="AG365" s="1">
        <f>[3]หน้าผ้า!DC377</f>
        <v>0</v>
      </c>
      <c r="AH365" s="1">
        <f>[2]หน้าผ้า!DL374</f>
        <v>0</v>
      </c>
      <c r="AI365" s="1">
        <f>[2]หน้าผ้า!DM374</f>
        <v>0</v>
      </c>
      <c r="AJ365" s="3">
        <f>[2]หน้าผ้า!DN374</f>
        <v>0</v>
      </c>
      <c r="AK365" s="3">
        <f>[2]หน้าผ้า!DQ374</f>
        <v>0</v>
      </c>
      <c r="AL365" s="3">
        <f>[2]หน้าผ้า!DR374</f>
        <v>0</v>
      </c>
      <c r="AM365" s="3">
        <f>[2]หน้าผ้า!DS374</f>
        <v>0</v>
      </c>
      <c r="AN365" s="3">
        <f>[2]หน้าผ้า!DT374</f>
        <v>0</v>
      </c>
      <c r="AO365" s="3">
        <f>[2]หน้าผ้า!DU374</f>
        <v>0</v>
      </c>
      <c r="AP365" s="3">
        <f>[2]หน้าผ้า!DP374</f>
        <v>0</v>
      </c>
      <c r="AQ365" s="3">
        <f>[2]หน้าผ้า!DW374</f>
        <v>0</v>
      </c>
      <c r="AR365" s="3">
        <f>[2]หน้าผ้า!DX374</f>
        <v>0</v>
      </c>
      <c r="AS365" s="3">
        <f>[2]หน้าผ้า!DY374</f>
        <v>0</v>
      </c>
      <c r="AT365" s="3">
        <f>[2]หน้าผ้า!DZ374</f>
        <v>0</v>
      </c>
      <c r="AU365" s="3">
        <f>[2]หน้าผ้า!EA374</f>
        <v>0</v>
      </c>
      <c r="AV365" s="1">
        <f>[2]หน้าผ้า!EB374</f>
        <v>0</v>
      </c>
      <c r="AW365" s="2">
        <f>[2]หน้าผ้า!EC374</f>
        <v>0</v>
      </c>
      <c r="AX365" s="2">
        <f>[2]หน้าผ้า!ED374</f>
        <v>0</v>
      </c>
      <c r="AY365" s="2">
        <f>[2]หน้าผ้า!AG374</f>
        <v>0</v>
      </c>
      <c r="AZ365" s="2">
        <f>[2]หน้าผ้า!EG374</f>
        <v>0</v>
      </c>
      <c r="BA365" s="2">
        <f>[2]หน้าผ้า!EH374</f>
        <v>0</v>
      </c>
      <c r="BB365" s="2">
        <f>[2]หน้าผ้า!EI374</f>
        <v>0</v>
      </c>
      <c r="BC365" s="1">
        <f>[2]หน้าผ้า!BZ374</f>
        <v>0</v>
      </c>
      <c r="BD365" s="56">
        <f>[2]หน้าผ้า!CA374</f>
        <v>0</v>
      </c>
    </row>
    <row r="366" spans="1:56" ht="27.75" customHeight="1" x14ac:dyDescent="0.45">
      <c r="A366" s="3">
        <f>[2]หน้าผ้า!C375</f>
        <v>0</v>
      </c>
      <c r="B366" s="14">
        <f>[2]หน้าผ้า!B375</f>
        <v>0</v>
      </c>
      <c r="C366" s="9">
        <f>[2]หน้าผ้า!E375</f>
        <v>0</v>
      </c>
      <c r="D366" s="13">
        <f>[2]หน้าผ้า!F375</f>
        <v>0</v>
      </c>
      <c r="E366" s="9">
        <f>[2]หน้าผ้า!G375</f>
        <v>0</v>
      </c>
      <c r="F366" s="9">
        <f>[2]หน้าผ้า!H375</f>
        <v>0</v>
      </c>
      <c r="G366" s="9">
        <f>[2]หน้าผ้า!I375</f>
        <v>0</v>
      </c>
      <c r="H366" s="9">
        <f>[2]หน้าผ้า!J375</f>
        <v>0</v>
      </c>
      <c r="I366" s="9">
        <f>[2]หน้าผ้า!L375</f>
        <v>0</v>
      </c>
      <c r="J366" s="9">
        <f>[2]หน้าผ้า!M375</f>
        <v>0</v>
      </c>
      <c r="K366" s="9">
        <f>[2]หน้าผ้า!N375</f>
        <v>0</v>
      </c>
      <c r="L366" s="9">
        <f>[2]หน้าผ้า!R375</f>
        <v>0</v>
      </c>
      <c r="M366" s="10">
        <f>[2]หน้าผ้า!T375</f>
        <v>0</v>
      </c>
      <c r="N366" s="9">
        <f>[2]หน้าผ้า!U375</f>
        <v>0</v>
      </c>
      <c r="O366" s="9">
        <f>[2]หน้าผ้า!V375</f>
        <v>0</v>
      </c>
      <c r="P366" s="10">
        <f>[2]หน้าผ้า!AB375</f>
        <v>0</v>
      </c>
      <c r="Q366" s="10">
        <f>[2]หน้าผ้า!AC375</f>
        <v>0</v>
      </c>
      <c r="R366" s="10">
        <f>[2]หน้าผ้า!AD375</f>
        <v>0</v>
      </c>
      <c r="S366" s="9">
        <f>[2]หน้าผ้า!Z375</f>
        <v>0</v>
      </c>
      <c r="T366" s="12">
        <f>[2]หน้าผ้า!X375</f>
        <v>0</v>
      </c>
      <c r="U366" s="11">
        <f>[2]หน้าผ้า!AA375</f>
        <v>0</v>
      </c>
      <c r="V366" s="10">
        <f>[2]หน้าผ้า!AJ375</f>
        <v>0</v>
      </c>
      <c r="W366" s="10">
        <f>[2]หน้าผ้า!AL375</f>
        <v>0</v>
      </c>
      <c r="X366" s="10">
        <f>[2]หน้าผ้า!AM375</f>
        <v>0</v>
      </c>
      <c r="Y366" s="10">
        <f>[2]หน้าผ้า!AN375</f>
        <v>0</v>
      </c>
      <c r="Z366" s="9">
        <f>[2]หน้าผ้า!AO375</f>
        <v>0</v>
      </c>
      <c r="AA366" s="8">
        <f>[2]หน้าผ้า!AQ375</f>
        <v>0</v>
      </c>
      <c r="AB366" s="8">
        <f>[2]หน้าผ้า!AR375</f>
        <v>0</v>
      </c>
      <c r="AC366" s="8">
        <f>[2]หน้าผ้า!AS375</f>
        <v>0</v>
      </c>
      <c r="AD366" s="8">
        <f>[2]หน้าผ้า!AT375</f>
        <v>0</v>
      </c>
      <c r="AE366" s="8">
        <f>[2]หน้าผ้า!AU375</f>
        <v>0</v>
      </c>
      <c r="AF366" s="8">
        <f>[2]หน้าผ้า!AI375</f>
        <v>0</v>
      </c>
      <c r="AG366" s="1">
        <f>[3]หน้าผ้า!DC378</f>
        <v>0</v>
      </c>
      <c r="AH366" s="1">
        <f>[2]หน้าผ้า!DL375</f>
        <v>0</v>
      </c>
      <c r="AI366" s="1">
        <f>[2]หน้าผ้า!DM375</f>
        <v>0</v>
      </c>
      <c r="AJ366" s="3">
        <f>[2]หน้าผ้า!DN375</f>
        <v>0</v>
      </c>
      <c r="AK366" s="3">
        <f>[2]หน้าผ้า!DQ375</f>
        <v>0</v>
      </c>
      <c r="AL366" s="3">
        <f>[2]หน้าผ้า!DR375</f>
        <v>0</v>
      </c>
      <c r="AM366" s="3">
        <f>[2]หน้าผ้า!DS375</f>
        <v>0</v>
      </c>
      <c r="AN366" s="3">
        <f>[2]หน้าผ้า!DT375</f>
        <v>0</v>
      </c>
      <c r="AO366" s="3">
        <f>[2]หน้าผ้า!DU375</f>
        <v>0</v>
      </c>
      <c r="AP366" s="3">
        <f>[2]หน้าผ้า!DP375</f>
        <v>0</v>
      </c>
      <c r="AQ366" s="3">
        <f>[2]หน้าผ้า!DW375</f>
        <v>0</v>
      </c>
      <c r="AR366" s="3">
        <f>[2]หน้าผ้า!DX375</f>
        <v>0</v>
      </c>
      <c r="AS366" s="3">
        <f>[2]หน้าผ้า!DY375</f>
        <v>0</v>
      </c>
      <c r="AT366" s="3">
        <f>[2]หน้าผ้า!DZ375</f>
        <v>0</v>
      </c>
      <c r="AU366" s="3">
        <f>[2]หน้าผ้า!EA375</f>
        <v>0</v>
      </c>
      <c r="AV366" s="1">
        <f>[2]หน้าผ้า!EB375</f>
        <v>0</v>
      </c>
      <c r="AW366" s="2">
        <f>[2]หน้าผ้า!EC375</f>
        <v>0</v>
      </c>
      <c r="AX366" s="2">
        <f>[2]หน้าผ้า!ED375</f>
        <v>0</v>
      </c>
      <c r="AY366" s="2">
        <f>[2]หน้าผ้า!AG375</f>
        <v>0</v>
      </c>
      <c r="AZ366" s="2">
        <f>[2]หน้าผ้า!EG375</f>
        <v>0</v>
      </c>
      <c r="BA366" s="2">
        <f>[2]หน้าผ้า!EH375</f>
        <v>0</v>
      </c>
      <c r="BB366" s="2">
        <f>[2]หน้าผ้า!EI375</f>
        <v>0</v>
      </c>
      <c r="BC366" s="1">
        <f>[2]หน้าผ้า!BZ375</f>
        <v>0</v>
      </c>
      <c r="BD366" s="56">
        <f>[2]หน้าผ้า!CA375</f>
        <v>0</v>
      </c>
    </row>
    <row r="367" spans="1:56" ht="27.75" customHeight="1" x14ac:dyDescent="0.45">
      <c r="A367" s="3">
        <f>[2]หน้าผ้า!C376</f>
        <v>0</v>
      </c>
      <c r="B367" s="14">
        <f>[2]หน้าผ้า!B376</f>
        <v>0</v>
      </c>
      <c r="C367" s="9">
        <f>[2]หน้าผ้า!E376</f>
        <v>0</v>
      </c>
      <c r="D367" s="13">
        <f>[2]หน้าผ้า!F376</f>
        <v>0</v>
      </c>
      <c r="E367" s="9">
        <f>[2]หน้าผ้า!G376</f>
        <v>0</v>
      </c>
      <c r="F367" s="9">
        <f>[2]หน้าผ้า!H376</f>
        <v>0</v>
      </c>
      <c r="G367" s="9">
        <f>[2]หน้าผ้า!I376</f>
        <v>0</v>
      </c>
      <c r="H367" s="9">
        <f>[2]หน้าผ้า!J376</f>
        <v>0</v>
      </c>
      <c r="I367" s="9">
        <f>[2]หน้าผ้า!L376</f>
        <v>0</v>
      </c>
      <c r="J367" s="9">
        <f>[2]หน้าผ้า!M376</f>
        <v>0</v>
      </c>
      <c r="K367" s="9">
        <f>[2]หน้าผ้า!N376</f>
        <v>0</v>
      </c>
      <c r="L367" s="9">
        <f>[2]หน้าผ้า!R376</f>
        <v>0</v>
      </c>
      <c r="M367" s="10">
        <f>[2]หน้าผ้า!T376</f>
        <v>0</v>
      </c>
      <c r="N367" s="9">
        <f>[2]หน้าผ้า!U376</f>
        <v>0</v>
      </c>
      <c r="O367" s="9">
        <f>[2]หน้าผ้า!V376</f>
        <v>0</v>
      </c>
      <c r="P367" s="10">
        <f>[2]หน้าผ้า!AB376</f>
        <v>0</v>
      </c>
      <c r="Q367" s="10">
        <f>[2]หน้าผ้า!AC376</f>
        <v>0</v>
      </c>
      <c r="R367" s="10">
        <f>[2]หน้าผ้า!AD376</f>
        <v>0</v>
      </c>
      <c r="S367" s="9">
        <f>[2]หน้าผ้า!Z376</f>
        <v>0</v>
      </c>
      <c r="T367" s="12">
        <f>[2]หน้าผ้า!X376</f>
        <v>0</v>
      </c>
      <c r="U367" s="11">
        <f>[2]หน้าผ้า!AA376</f>
        <v>0</v>
      </c>
      <c r="V367" s="10">
        <f>[2]หน้าผ้า!AJ376</f>
        <v>0</v>
      </c>
      <c r="W367" s="10">
        <f>[2]หน้าผ้า!AL376</f>
        <v>0</v>
      </c>
      <c r="X367" s="10">
        <f>[2]หน้าผ้า!AM376</f>
        <v>0</v>
      </c>
      <c r="Y367" s="10">
        <f>[2]หน้าผ้า!AN376</f>
        <v>0</v>
      </c>
      <c r="Z367" s="9">
        <f>[2]หน้าผ้า!AO376</f>
        <v>0</v>
      </c>
      <c r="AA367" s="8">
        <f>[2]หน้าผ้า!AQ376</f>
        <v>0</v>
      </c>
      <c r="AB367" s="8">
        <f>[2]หน้าผ้า!AR376</f>
        <v>0</v>
      </c>
      <c r="AC367" s="8">
        <f>[2]หน้าผ้า!AS376</f>
        <v>0</v>
      </c>
      <c r="AD367" s="8">
        <f>[2]หน้าผ้า!AT376</f>
        <v>0</v>
      </c>
      <c r="AE367" s="8">
        <f>[2]หน้าผ้า!AU376</f>
        <v>0</v>
      </c>
      <c r="AF367" s="8">
        <f>[2]หน้าผ้า!AI376</f>
        <v>0</v>
      </c>
      <c r="AG367" s="1">
        <f>[3]หน้าผ้า!DC379</f>
        <v>0</v>
      </c>
      <c r="AH367" s="1">
        <f>[2]หน้าผ้า!DL376</f>
        <v>0</v>
      </c>
      <c r="AI367" s="1">
        <f>[2]หน้าผ้า!DM376</f>
        <v>0</v>
      </c>
      <c r="AJ367" s="3">
        <f>[2]หน้าผ้า!DN376</f>
        <v>0</v>
      </c>
      <c r="AK367" s="3">
        <f>[2]หน้าผ้า!DQ376</f>
        <v>0</v>
      </c>
      <c r="AL367" s="3">
        <f>[2]หน้าผ้า!DR376</f>
        <v>0</v>
      </c>
      <c r="AM367" s="3">
        <f>[2]หน้าผ้า!DS376</f>
        <v>0</v>
      </c>
      <c r="AN367" s="3">
        <f>[2]หน้าผ้า!DT376</f>
        <v>0</v>
      </c>
      <c r="AO367" s="3">
        <f>[2]หน้าผ้า!DU376</f>
        <v>0</v>
      </c>
      <c r="AP367" s="3">
        <f>[2]หน้าผ้า!DP376</f>
        <v>0</v>
      </c>
      <c r="AQ367" s="3">
        <f>[2]หน้าผ้า!DW376</f>
        <v>0</v>
      </c>
      <c r="AR367" s="3">
        <f>[2]หน้าผ้า!DX376</f>
        <v>0</v>
      </c>
      <c r="AS367" s="3">
        <f>[2]หน้าผ้า!DY376</f>
        <v>0</v>
      </c>
      <c r="AT367" s="3">
        <f>[2]หน้าผ้า!DZ376</f>
        <v>0</v>
      </c>
      <c r="AU367" s="3">
        <f>[2]หน้าผ้า!EA376</f>
        <v>0</v>
      </c>
      <c r="AV367" s="1">
        <f>[2]หน้าผ้า!EB376</f>
        <v>0</v>
      </c>
      <c r="AW367" s="2">
        <f>[2]หน้าผ้า!EC376</f>
        <v>0</v>
      </c>
      <c r="AX367" s="2">
        <f>[2]หน้าผ้า!ED376</f>
        <v>0</v>
      </c>
      <c r="AY367" s="2">
        <f>[2]หน้าผ้า!AG376</f>
        <v>0</v>
      </c>
      <c r="AZ367" s="2">
        <f>[2]หน้าผ้า!EG376</f>
        <v>0</v>
      </c>
      <c r="BA367" s="2">
        <f>[2]หน้าผ้า!EH376</f>
        <v>0</v>
      </c>
      <c r="BB367" s="2">
        <f>[2]หน้าผ้า!EI376</f>
        <v>0</v>
      </c>
      <c r="BC367" s="1">
        <f>[2]หน้าผ้า!BZ376</f>
        <v>0</v>
      </c>
      <c r="BD367" s="56">
        <f>[2]หน้าผ้า!CA376</f>
        <v>0</v>
      </c>
    </row>
    <row r="368" spans="1:56" ht="27.75" customHeight="1" x14ac:dyDescent="0.45">
      <c r="A368" s="3">
        <f>[2]หน้าผ้า!C377</f>
        <v>0</v>
      </c>
      <c r="B368" s="14">
        <f>[2]หน้าผ้า!B377</f>
        <v>0</v>
      </c>
      <c r="C368" s="9">
        <f>[2]หน้าผ้า!E377</f>
        <v>0</v>
      </c>
      <c r="D368" s="13">
        <f>[2]หน้าผ้า!F377</f>
        <v>0</v>
      </c>
      <c r="E368" s="9">
        <f>[2]หน้าผ้า!G377</f>
        <v>0</v>
      </c>
      <c r="F368" s="9">
        <f>[2]หน้าผ้า!H377</f>
        <v>0</v>
      </c>
      <c r="G368" s="9">
        <f>[2]หน้าผ้า!I377</f>
        <v>0</v>
      </c>
      <c r="H368" s="9">
        <f>[2]หน้าผ้า!J377</f>
        <v>0</v>
      </c>
      <c r="I368" s="9">
        <f>[2]หน้าผ้า!L377</f>
        <v>0</v>
      </c>
      <c r="J368" s="9">
        <f>[2]หน้าผ้า!M377</f>
        <v>0</v>
      </c>
      <c r="K368" s="9">
        <f>[2]หน้าผ้า!N377</f>
        <v>0</v>
      </c>
      <c r="L368" s="9">
        <f>[2]หน้าผ้า!R377</f>
        <v>0</v>
      </c>
      <c r="M368" s="10">
        <f>[2]หน้าผ้า!T377</f>
        <v>0</v>
      </c>
      <c r="N368" s="9">
        <f>[2]หน้าผ้า!U377</f>
        <v>0</v>
      </c>
      <c r="O368" s="9">
        <f>[2]หน้าผ้า!V377</f>
        <v>0</v>
      </c>
      <c r="P368" s="10">
        <f>[2]หน้าผ้า!AB377</f>
        <v>0</v>
      </c>
      <c r="Q368" s="10">
        <f>[2]หน้าผ้า!AC377</f>
        <v>0</v>
      </c>
      <c r="R368" s="10">
        <f>[2]หน้าผ้า!AD377</f>
        <v>0</v>
      </c>
      <c r="S368" s="9">
        <f>[2]หน้าผ้า!Z377</f>
        <v>0</v>
      </c>
      <c r="T368" s="12">
        <f>[2]หน้าผ้า!X377</f>
        <v>0</v>
      </c>
      <c r="U368" s="11">
        <f>[2]หน้าผ้า!AA377</f>
        <v>0</v>
      </c>
      <c r="V368" s="10">
        <f>[2]หน้าผ้า!AJ377</f>
        <v>0</v>
      </c>
      <c r="W368" s="10">
        <f>[2]หน้าผ้า!AL377</f>
        <v>0</v>
      </c>
      <c r="X368" s="10">
        <f>[2]หน้าผ้า!AM377</f>
        <v>0</v>
      </c>
      <c r="Y368" s="10">
        <f>[2]หน้าผ้า!AN377</f>
        <v>0</v>
      </c>
      <c r="Z368" s="9">
        <f>[2]หน้าผ้า!AO377</f>
        <v>0</v>
      </c>
      <c r="AA368" s="8">
        <f>[2]หน้าผ้า!AQ377</f>
        <v>0</v>
      </c>
      <c r="AB368" s="8">
        <f>[2]หน้าผ้า!AR377</f>
        <v>0</v>
      </c>
      <c r="AC368" s="8">
        <f>[2]หน้าผ้า!AS377</f>
        <v>0</v>
      </c>
      <c r="AD368" s="8">
        <f>[2]หน้าผ้า!AT377</f>
        <v>0</v>
      </c>
      <c r="AE368" s="8">
        <f>[2]หน้าผ้า!AU377</f>
        <v>0</v>
      </c>
      <c r="AF368" s="8">
        <f>[2]หน้าผ้า!AI377</f>
        <v>0</v>
      </c>
      <c r="AG368" s="1">
        <f>[3]หน้าผ้า!DC380</f>
        <v>0</v>
      </c>
      <c r="AH368" s="1">
        <f>[2]หน้าผ้า!DL377</f>
        <v>0</v>
      </c>
      <c r="AI368" s="1">
        <f>[2]หน้าผ้า!DM377</f>
        <v>0</v>
      </c>
      <c r="AJ368" s="3">
        <f>[2]หน้าผ้า!DN377</f>
        <v>0</v>
      </c>
      <c r="AK368" s="3">
        <f>[2]หน้าผ้า!DQ377</f>
        <v>0</v>
      </c>
      <c r="AL368" s="3">
        <f>[2]หน้าผ้า!DR377</f>
        <v>0</v>
      </c>
      <c r="AM368" s="3">
        <f>[2]หน้าผ้า!DS377</f>
        <v>0</v>
      </c>
      <c r="AN368" s="3">
        <f>[2]หน้าผ้า!DT377</f>
        <v>0</v>
      </c>
      <c r="AO368" s="3">
        <f>[2]หน้าผ้า!DU377</f>
        <v>0</v>
      </c>
      <c r="AP368" s="3">
        <f>[2]หน้าผ้า!DP377</f>
        <v>0</v>
      </c>
      <c r="AQ368" s="3">
        <f>[2]หน้าผ้า!DW377</f>
        <v>0</v>
      </c>
      <c r="AR368" s="3">
        <f>[2]หน้าผ้า!DX377</f>
        <v>0</v>
      </c>
      <c r="AS368" s="3">
        <f>[2]หน้าผ้า!DY377</f>
        <v>0</v>
      </c>
      <c r="AT368" s="3">
        <f>[2]หน้าผ้า!DZ377</f>
        <v>0</v>
      </c>
      <c r="AU368" s="3">
        <f>[2]หน้าผ้า!EA377</f>
        <v>0</v>
      </c>
      <c r="AV368" s="1">
        <f>[2]หน้าผ้า!EB377</f>
        <v>0</v>
      </c>
      <c r="AW368" s="2">
        <f>[2]หน้าผ้า!EC377</f>
        <v>0</v>
      </c>
      <c r="AX368" s="2">
        <f>[2]หน้าผ้า!ED377</f>
        <v>0</v>
      </c>
      <c r="AY368" s="2">
        <f>[2]หน้าผ้า!AG377</f>
        <v>0</v>
      </c>
      <c r="AZ368" s="2">
        <f>[2]หน้าผ้า!EG377</f>
        <v>0</v>
      </c>
      <c r="BA368" s="2">
        <f>[2]หน้าผ้า!EH377</f>
        <v>0</v>
      </c>
      <c r="BB368" s="2">
        <f>[2]หน้าผ้า!EI377</f>
        <v>0</v>
      </c>
      <c r="BC368" s="1">
        <f>[2]หน้าผ้า!BZ377</f>
        <v>0</v>
      </c>
      <c r="BD368" s="56">
        <f>[2]หน้าผ้า!CA377</f>
        <v>0</v>
      </c>
    </row>
    <row r="369" spans="1:56" ht="27.75" customHeight="1" x14ac:dyDescent="0.45">
      <c r="A369" s="3">
        <f>[2]หน้าผ้า!C378</f>
        <v>0</v>
      </c>
      <c r="B369" s="14">
        <f>[2]หน้าผ้า!B378</f>
        <v>0</v>
      </c>
      <c r="C369" s="9">
        <f>[2]หน้าผ้า!E378</f>
        <v>0</v>
      </c>
      <c r="D369" s="13">
        <f>[2]หน้าผ้า!F378</f>
        <v>0</v>
      </c>
      <c r="E369" s="9">
        <f>[2]หน้าผ้า!G378</f>
        <v>0</v>
      </c>
      <c r="F369" s="9">
        <f>[2]หน้าผ้า!H378</f>
        <v>0</v>
      </c>
      <c r="G369" s="9">
        <f>[2]หน้าผ้า!I378</f>
        <v>0</v>
      </c>
      <c r="H369" s="9">
        <f>[2]หน้าผ้า!J378</f>
        <v>0</v>
      </c>
      <c r="I369" s="9">
        <f>[2]หน้าผ้า!L378</f>
        <v>0</v>
      </c>
      <c r="J369" s="9">
        <f>[2]หน้าผ้า!M378</f>
        <v>0</v>
      </c>
      <c r="K369" s="9">
        <f>[2]หน้าผ้า!N378</f>
        <v>0</v>
      </c>
      <c r="L369" s="9">
        <f>[2]หน้าผ้า!R378</f>
        <v>0</v>
      </c>
      <c r="M369" s="10">
        <f>[2]หน้าผ้า!T378</f>
        <v>0</v>
      </c>
      <c r="N369" s="9">
        <f>[2]หน้าผ้า!U378</f>
        <v>0</v>
      </c>
      <c r="O369" s="9">
        <f>[2]หน้าผ้า!V378</f>
        <v>0</v>
      </c>
      <c r="P369" s="10">
        <f>[2]หน้าผ้า!AB378</f>
        <v>0</v>
      </c>
      <c r="Q369" s="10">
        <f>[2]หน้าผ้า!AC378</f>
        <v>0</v>
      </c>
      <c r="R369" s="10">
        <f>[2]หน้าผ้า!AD378</f>
        <v>0</v>
      </c>
      <c r="S369" s="9">
        <f>[2]หน้าผ้า!Z378</f>
        <v>0</v>
      </c>
      <c r="T369" s="12">
        <f>[2]หน้าผ้า!X378</f>
        <v>0</v>
      </c>
      <c r="U369" s="11">
        <f>[2]หน้าผ้า!AA378</f>
        <v>0</v>
      </c>
      <c r="V369" s="10">
        <f>[2]หน้าผ้า!AJ378</f>
        <v>0</v>
      </c>
      <c r="W369" s="10">
        <f>[2]หน้าผ้า!AL378</f>
        <v>0</v>
      </c>
      <c r="X369" s="10">
        <f>[2]หน้าผ้า!AM378</f>
        <v>0</v>
      </c>
      <c r="Y369" s="10">
        <f>[2]หน้าผ้า!AN378</f>
        <v>0</v>
      </c>
      <c r="Z369" s="9">
        <f>[2]หน้าผ้า!AO378</f>
        <v>0</v>
      </c>
      <c r="AA369" s="8">
        <f>[2]หน้าผ้า!AQ378</f>
        <v>0</v>
      </c>
      <c r="AB369" s="8">
        <f>[2]หน้าผ้า!AR378</f>
        <v>0</v>
      </c>
      <c r="AC369" s="8">
        <f>[2]หน้าผ้า!AS378</f>
        <v>0</v>
      </c>
      <c r="AD369" s="8">
        <f>[2]หน้าผ้า!AT378</f>
        <v>0</v>
      </c>
      <c r="AE369" s="8">
        <f>[2]หน้าผ้า!AU378</f>
        <v>0</v>
      </c>
      <c r="AF369" s="8">
        <f>[2]หน้าผ้า!AI378</f>
        <v>0</v>
      </c>
      <c r="AG369" s="1">
        <f>[3]หน้าผ้า!DC381</f>
        <v>0</v>
      </c>
      <c r="AH369" s="1">
        <f>[2]หน้าผ้า!DL378</f>
        <v>0</v>
      </c>
      <c r="AI369" s="1">
        <f>[2]หน้าผ้า!DM378</f>
        <v>0</v>
      </c>
      <c r="AJ369" s="3">
        <f>[2]หน้าผ้า!DN378</f>
        <v>0</v>
      </c>
      <c r="AK369" s="3">
        <f>[2]หน้าผ้า!DQ378</f>
        <v>0</v>
      </c>
      <c r="AL369" s="3">
        <f>[2]หน้าผ้า!DR378</f>
        <v>0</v>
      </c>
      <c r="AM369" s="3">
        <f>[2]หน้าผ้า!DS378</f>
        <v>0</v>
      </c>
      <c r="AN369" s="3">
        <f>[2]หน้าผ้า!DT378</f>
        <v>0</v>
      </c>
      <c r="AO369" s="3">
        <f>[2]หน้าผ้า!DU378</f>
        <v>0</v>
      </c>
      <c r="AP369" s="3">
        <f>[2]หน้าผ้า!DP378</f>
        <v>0</v>
      </c>
      <c r="AQ369" s="3">
        <f>[2]หน้าผ้า!DW378</f>
        <v>0</v>
      </c>
      <c r="AR369" s="3">
        <f>[2]หน้าผ้า!DX378</f>
        <v>0</v>
      </c>
      <c r="AS369" s="3">
        <f>[2]หน้าผ้า!DY378</f>
        <v>0</v>
      </c>
      <c r="AT369" s="3">
        <f>[2]หน้าผ้า!DZ378</f>
        <v>0</v>
      </c>
      <c r="AU369" s="3">
        <f>[2]หน้าผ้า!EA378</f>
        <v>0</v>
      </c>
      <c r="AV369" s="1">
        <f>[2]หน้าผ้า!EB378</f>
        <v>0</v>
      </c>
      <c r="AW369" s="2">
        <f>[2]หน้าผ้า!EC378</f>
        <v>0</v>
      </c>
      <c r="AX369" s="2">
        <f>[2]หน้าผ้า!ED378</f>
        <v>0</v>
      </c>
      <c r="AY369" s="2">
        <f>[2]หน้าผ้า!AG378</f>
        <v>0</v>
      </c>
      <c r="AZ369" s="2">
        <f>[2]หน้าผ้า!EG378</f>
        <v>0</v>
      </c>
      <c r="BA369" s="2">
        <f>[2]หน้าผ้า!EH378</f>
        <v>0</v>
      </c>
      <c r="BB369" s="2">
        <f>[2]หน้าผ้า!EI378</f>
        <v>0</v>
      </c>
      <c r="BC369" s="1">
        <f>[2]หน้าผ้า!BZ378</f>
        <v>0</v>
      </c>
      <c r="BD369" s="56">
        <f>[2]หน้าผ้า!CA378</f>
        <v>0</v>
      </c>
    </row>
    <row r="370" spans="1:56" ht="27.75" customHeight="1" x14ac:dyDescent="0.45">
      <c r="A370" s="3">
        <f>[2]หน้าผ้า!C379</f>
        <v>0</v>
      </c>
      <c r="B370" s="14">
        <f>[2]หน้าผ้า!B379</f>
        <v>0</v>
      </c>
      <c r="C370" s="9">
        <f>[2]หน้าผ้า!E379</f>
        <v>0</v>
      </c>
      <c r="D370" s="13">
        <f>[2]หน้าผ้า!F379</f>
        <v>0</v>
      </c>
      <c r="E370" s="9">
        <f>[2]หน้าผ้า!G379</f>
        <v>0</v>
      </c>
      <c r="F370" s="9">
        <f>[2]หน้าผ้า!H379</f>
        <v>0</v>
      </c>
      <c r="G370" s="9">
        <f>[2]หน้าผ้า!I379</f>
        <v>0</v>
      </c>
      <c r="H370" s="9">
        <f>[2]หน้าผ้า!J379</f>
        <v>0</v>
      </c>
      <c r="I370" s="9">
        <f>[2]หน้าผ้า!L379</f>
        <v>0</v>
      </c>
      <c r="J370" s="9">
        <f>[2]หน้าผ้า!M379</f>
        <v>0</v>
      </c>
      <c r="K370" s="9">
        <f>[2]หน้าผ้า!N379</f>
        <v>0</v>
      </c>
      <c r="L370" s="9">
        <f>[2]หน้าผ้า!R379</f>
        <v>0</v>
      </c>
      <c r="M370" s="10">
        <f>[2]หน้าผ้า!T379</f>
        <v>0</v>
      </c>
      <c r="N370" s="9">
        <f>[2]หน้าผ้า!U379</f>
        <v>0</v>
      </c>
      <c r="O370" s="9">
        <f>[2]หน้าผ้า!V379</f>
        <v>0</v>
      </c>
      <c r="P370" s="10">
        <f>[2]หน้าผ้า!AB379</f>
        <v>0</v>
      </c>
      <c r="Q370" s="10">
        <f>[2]หน้าผ้า!AC379</f>
        <v>0</v>
      </c>
      <c r="R370" s="10">
        <f>[2]หน้าผ้า!AD379</f>
        <v>0</v>
      </c>
      <c r="S370" s="9">
        <f>[2]หน้าผ้า!Z379</f>
        <v>0</v>
      </c>
      <c r="T370" s="12">
        <f>[2]หน้าผ้า!X379</f>
        <v>0</v>
      </c>
      <c r="U370" s="11">
        <f>[2]หน้าผ้า!AA379</f>
        <v>0</v>
      </c>
      <c r="V370" s="10">
        <f>[2]หน้าผ้า!AJ379</f>
        <v>0</v>
      </c>
      <c r="W370" s="10">
        <f>[2]หน้าผ้า!AL379</f>
        <v>0</v>
      </c>
      <c r="X370" s="10">
        <f>[2]หน้าผ้า!AM379</f>
        <v>0</v>
      </c>
      <c r="Y370" s="10">
        <f>[2]หน้าผ้า!AN379</f>
        <v>0</v>
      </c>
      <c r="Z370" s="9">
        <f>[2]หน้าผ้า!AO379</f>
        <v>0</v>
      </c>
      <c r="AA370" s="8">
        <f>[2]หน้าผ้า!AQ379</f>
        <v>0</v>
      </c>
      <c r="AB370" s="8">
        <f>[2]หน้าผ้า!AR379</f>
        <v>0</v>
      </c>
      <c r="AC370" s="8">
        <f>[2]หน้าผ้า!AS379</f>
        <v>0</v>
      </c>
      <c r="AD370" s="8">
        <f>[2]หน้าผ้า!AT379</f>
        <v>0</v>
      </c>
      <c r="AE370" s="8">
        <f>[2]หน้าผ้า!AU379</f>
        <v>0</v>
      </c>
      <c r="AF370" s="8">
        <f>[2]หน้าผ้า!AI379</f>
        <v>0</v>
      </c>
      <c r="AG370" s="1">
        <f>[3]หน้าผ้า!DC382</f>
        <v>0</v>
      </c>
      <c r="AH370" s="1">
        <f>[2]หน้าผ้า!DL379</f>
        <v>0</v>
      </c>
      <c r="AI370" s="1">
        <f>[2]หน้าผ้า!DM379</f>
        <v>0</v>
      </c>
      <c r="AJ370" s="3">
        <f>[2]หน้าผ้า!DN379</f>
        <v>0</v>
      </c>
      <c r="AK370" s="3">
        <f>[2]หน้าผ้า!DQ379</f>
        <v>0</v>
      </c>
      <c r="AL370" s="3">
        <f>[2]หน้าผ้า!DR379</f>
        <v>0</v>
      </c>
      <c r="AM370" s="3">
        <f>[2]หน้าผ้า!DS379</f>
        <v>0</v>
      </c>
      <c r="AN370" s="3">
        <f>[2]หน้าผ้า!DT379</f>
        <v>0</v>
      </c>
      <c r="AO370" s="3">
        <f>[2]หน้าผ้า!DU379</f>
        <v>0</v>
      </c>
      <c r="AP370" s="3">
        <f>[2]หน้าผ้า!DP379</f>
        <v>0</v>
      </c>
      <c r="AQ370" s="3">
        <f>[2]หน้าผ้า!DW379</f>
        <v>0</v>
      </c>
      <c r="AR370" s="3">
        <f>[2]หน้าผ้า!DX379</f>
        <v>0</v>
      </c>
      <c r="AS370" s="3">
        <f>[2]หน้าผ้า!DY379</f>
        <v>0</v>
      </c>
      <c r="AT370" s="3">
        <f>[2]หน้าผ้า!DZ379</f>
        <v>0</v>
      </c>
      <c r="AU370" s="3">
        <f>[2]หน้าผ้า!EA379</f>
        <v>0</v>
      </c>
      <c r="AV370" s="1">
        <f>[2]หน้าผ้า!EB379</f>
        <v>0</v>
      </c>
      <c r="AW370" s="2">
        <f>[2]หน้าผ้า!EC379</f>
        <v>0</v>
      </c>
      <c r="AX370" s="2">
        <f>[2]หน้าผ้า!ED379</f>
        <v>0</v>
      </c>
      <c r="AY370" s="2">
        <f>[2]หน้าผ้า!AG379</f>
        <v>0</v>
      </c>
      <c r="AZ370" s="2">
        <f>[2]หน้าผ้า!EG379</f>
        <v>0</v>
      </c>
      <c r="BA370" s="2">
        <f>[2]หน้าผ้า!EH379</f>
        <v>0</v>
      </c>
      <c r="BB370" s="2">
        <f>[2]หน้าผ้า!EI379</f>
        <v>0</v>
      </c>
      <c r="BC370" s="1">
        <f>[2]หน้าผ้า!BZ379</f>
        <v>0</v>
      </c>
      <c r="BD370" s="56">
        <f>[2]หน้าผ้า!CA379</f>
        <v>0</v>
      </c>
    </row>
    <row r="371" spans="1:56" ht="27.75" customHeight="1" x14ac:dyDescent="0.45">
      <c r="A371" s="3">
        <f>[2]หน้าผ้า!C380</f>
        <v>0</v>
      </c>
      <c r="B371" s="14">
        <f>[2]หน้าผ้า!B380</f>
        <v>0</v>
      </c>
      <c r="C371" s="9">
        <f>[2]หน้าผ้า!E380</f>
        <v>0</v>
      </c>
      <c r="D371" s="13">
        <f>[2]หน้าผ้า!F380</f>
        <v>0</v>
      </c>
      <c r="E371" s="9">
        <f>[2]หน้าผ้า!G380</f>
        <v>0</v>
      </c>
      <c r="F371" s="9">
        <f>[2]หน้าผ้า!H380</f>
        <v>0</v>
      </c>
      <c r="G371" s="9">
        <f>[2]หน้าผ้า!I380</f>
        <v>0</v>
      </c>
      <c r="H371" s="9">
        <f>[2]หน้าผ้า!J380</f>
        <v>0</v>
      </c>
      <c r="I371" s="9">
        <f>[2]หน้าผ้า!L380</f>
        <v>0</v>
      </c>
      <c r="J371" s="9">
        <f>[2]หน้าผ้า!M380</f>
        <v>0</v>
      </c>
      <c r="K371" s="9">
        <f>[2]หน้าผ้า!N380</f>
        <v>0</v>
      </c>
      <c r="L371" s="9">
        <f>[2]หน้าผ้า!R380</f>
        <v>0</v>
      </c>
      <c r="M371" s="10">
        <f>[2]หน้าผ้า!T380</f>
        <v>0</v>
      </c>
      <c r="N371" s="9">
        <f>[2]หน้าผ้า!U380</f>
        <v>0</v>
      </c>
      <c r="O371" s="9">
        <f>[2]หน้าผ้า!V380</f>
        <v>0</v>
      </c>
      <c r="P371" s="10">
        <f>[2]หน้าผ้า!AB380</f>
        <v>0</v>
      </c>
      <c r="Q371" s="10">
        <f>[2]หน้าผ้า!AC380</f>
        <v>0</v>
      </c>
      <c r="R371" s="10">
        <f>[2]หน้าผ้า!AD380</f>
        <v>0</v>
      </c>
      <c r="S371" s="9">
        <f>[2]หน้าผ้า!Z380</f>
        <v>0</v>
      </c>
      <c r="T371" s="12">
        <f>[2]หน้าผ้า!X380</f>
        <v>0</v>
      </c>
      <c r="U371" s="11">
        <f>[2]หน้าผ้า!AA380</f>
        <v>0</v>
      </c>
      <c r="V371" s="10">
        <f>[2]หน้าผ้า!AJ380</f>
        <v>0</v>
      </c>
      <c r="W371" s="10">
        <f>[2]หน้าผ้า!AL380</f>
        <v>0</v>
      </c>
      <c r="X371" s="10">
        <f>[2]หน้าผ้า!AM380</f>
        <v>0</v>
      </c>
      <c r="Y371" s="10">
        <f>[2]หน้าผ้า!AN380</f>
        <v>0</v>
      </c>
      <c r="Z371" s="9">
        <f>[2]หน้าผ้า!AO380</f>
        <v>0</v>
      </c>
      <c r="AA371" s="8">
        <f>[2]หน้าผ้า!AQ380</f>
        <v>0</v>
      </c>
      <c r="AB371" s="8">
        <f>[2]หน้าผ้า!AR380</f>
        <v>0</v>
      </c>
      <c r="AC371" s="8">
        <f>[2]หน้าผ้า!AS380</f>
        <v>0</v>
      </c>
      <c r="AD371" s="8">
        <f>[2]หน้าผ้า!AT380</f>
        <v>0</v>
      </c>
      <c r="AE371" s="8">
        <f>[2]หน้าผ้า!AU380</f>
        <v>0</v>
      </c>
      <c r="AF371" s="8">
        <f>[2]หน้าผ้า!AI380</f>
        <v>0</v>
      </c>
      <c r="AG371" s="1">
        <f>[3]หน้าผ้า!DC383</f>
        <v>0</v>
      </c>
      <c r="AH371" s="1">
        <f>[2]หน้าผ้า!DL380</f>
        <v>0</v>
      </c>
      <c r="AI371" s="1">
        <f>[2]หน้าผ้า!DM380</f>
        <v>0</v>
      </c>
      <c r="AJ371" s="3">
        <f>[2]หน้าผ้า!DN380</f>
        <v>0</v>
      </c>
      <c r="AK371" s="3">
        <f>[2]หน้าผ้า!DQ380</f>
        <v>0</v>
      </c>
      <c r="AL371" s="3">
        <f>[2]หน้าผ้า!DR380</f>
        <v>0</v>
      </c>
      <c r="AM371" s="3">
        <f>[2]หน้าผ้า!DS380</f>
        <v>0</v>
      </c>
      <c r="AN371" s="3">
        <f>[2]หน้าผ้า!DT380</f>
        <v>0</v>
      </c>
      <c r="AO371" s="3">
        <f>[2]หน้าผ้า!DU380</f>
        <v>0</v>
      </c>
      <c r="AP371" s="3">
        <f>[2]หน้าผ้า!DP380</f>
        <v>0</v>
      </c>
      <c r="AQ371" s="3">
        <f>[2]หน้าผ้า!DW380</f>
        <v>0</v>
      </c>
      <c r="AR371" s="3">
        <f>[2]หน้าผ้า!DX380</f>
        <v>0</v>
      </c>
      <c r="AS371" s="3">
        <f>[2]หน้าผ้า!DY380</f>
        <v>0</v>
      </c>
      <c r="AT371" s="3">
        <f>[2]หน้าผ้า!DZ380</f>
        <v>0</v>
      </c>
      <c r="AU371" s="3">
        <f>[2]หน้าผ้า!EA380</f>
        <v>0</v>
      </c>
      <c r="AV371" s="1">
        <f>[2]หน้าผ้า!EB380</f>
        <v>0</v>
      </c>
      <c r="AW371" s="2">
        <f>[2]หน้าผ้า!EC380</f>
        <v>0</v>
      </c>
      <c r="AX371" s="2">
        <f>[2]หน้าผ้า!ED380</f>
        <v>0</v>
      </c>
      <c r="AY371" s="2">
        <f>[2]หน้าผ้า!AG380</f>
        <v>0</v>
      </c>
      <c r="AZ371" s="2">
        <f>[2]หน้าผ้า!EG380</f>
        <v>0</v>
      </c>
      <c r="BA371" s="2">
        <f>[2]หน้าผ้า!EH380</f>
        <v>0</v>
      </c>
      <c r="BB371" s="2">
        <f>[2]หน้าผ้า!EI380</f>
        <v>0</v>
      </c>
      <c r="BC371" s="1">
        <f>[2]หน้าผ้า!BZ380</f>
        <v>0</v>
      </c>
      <c r="BD371" s="56">
        <f>[2]หน้าผ้า!CA380</f>
        <v>0</v>
      </c>
    </row>
    <row r="372" spans="1:56" ht="27.75" customHeight="1" x14ac:dyDescent="0.45">
      <c r="A372" s="3">
        <f>[2]หน้าผ้า!C381</f>
        <v>0</v>
      </c>
      <c r="B372" s="14">
        <f>[2]หน้าผ้า!B381</f>
        <v>0</v>
      </c>
      <c r="C372" s="9">
        <f>[2]หน้าผ้า!E381</f>
        <v>0</v>
      </c>
      <c r="D372" s="13">
        <f>[2]หน้าผ้า!F381</f>
        <v>0</v>
      </c>
      <c r="E372" s="9">
        <f>[2]หน้าผ้า!G381</f>
        <v>0</v>
      </c>
      <c r="F372" s="9">
        <f>[2]หน้าผ้า!H381</f>
        <v>0</v>
      </c>
      <c r="G372" s="9">
        <f>[2]หน้าผ้า!I381</f>
        <v>0</v>
      </c>
      <c r="H372" s="9">
        <f>[2]หน้าผ้า!J381</f>
        <v>0</v>
      </c>
      <c r="I372" s="9">
        <f>[2]หน้าผ้า!L381</f>
        <v>0</v>
      </c>
      <c r="J372" s="9">
        <f>[2]หน้าผ้า!M381</f>
        <v>0</v>
      </c>
      <c r="K372" s="9">
        <f>[2]หน้าผ้า!N381</f>
        <v>0</v>
      </c>
      <c r="L372" s="9">
        <f>[2]หน้าผ้า!R381</f>
        <v>0</v>
      </c>
      <c r="M372" s="10">
        <f>[2]หน้าผ้า!T381</f>
        <v>0</v>
      </c>
      <c r="N372" s="9">
        <f>[2]หน้าผ้า!U381</f>
        <v>0</v>
      </c>
      <c r="O372" s="9">
        <f>[2]หน้าผ้า!V381</f>
        <v>0</v>
      </c>
      <c r="P372" s="10">
        <f>[2]หน้าผ้า!AB381</f>
        <v>0</v>
      </c>
      <c r="Q372" s="10">
        <f>[2]หน้าผ้า!AC381</f>
        <v>0</v>
      </c>
      <c r="R372" s="10">
        <f>[2]หน้าผ้า!AD381</f>
        <v>0</v>
      </c>
      <c r="S372" s="9">
        <f>[2]หน้าผ้า!Z381</f>
        <v>0</v>
      </c>
      <c r="T372" s="12">
        <f>[2]หน้าผ้า!X381</f>
        <v>0</v>
      </c>
      <c r="U372" s="11">
        <f>[2]หน้าผ้า!AA381</f>
        <v>0</v>
      </c>
      <c r="V372" s="10">
        <f>[2]หน้าผ้า!AJ381</f>
        <v>0</v>
      </c>
      <c r="W372" s="10">
        <f>[2]หน้าผ้า!AL381</f>
        <v>0</v>
      </c>
      <c r="X372" s="10">
        <f>[2]หน้าผ้า!AM381</f>
        <v>0</v>
      </c>
      <c r="Y372" s="10">
        <f>[2]หน้าผ้า!AN381</f>
        <v>0</v>
      </c>
      <c r="Z372" s="9">
        <f>[2]หน้าผ้า!AO381</f>
        <v>0</v>
      </c>
      <c r="AA372" s="8">
        <f>[2]หน้าผ้า!AQ381</f>
        <v>0</v>
      </c>
      <c r="AB372" s="8">
        <f>[2]หน้าผ้า!AR381</f>
        <v>0</v>
      </c>
      <c r="AC372" s="8">
        <f>[2]หน้าผ้า!AS381</f>
        <v>0</v>
      </c>
      <c r="AD372" s="8">
        <f>[2]หน้าผ้า!AT381</f>
        <v>0</v>
      </c>
      <c r="AE372" s="8">
        <f>[2]หน้าผ้า!AU381</f>
        <v>0</v>
      </c>
      <c r="AF372" s="8">
        <f>[2]หน้าผ้า!AI381</f>
        <v>0</v>
      </c>
      <c r="AG372" s="1">
        <f>[3]หน้าผ้า!DC384</f>
        <v>0</v>
      </c>
      <c r="AH372" s="1">
        <f>[2]หน้าผ้า!DL381</f>
        <v>0</v>
      </c>
      <c r="AI372" s="1">
        <f>[2]หน้าผ้า!DM381</f>
        <v>0</v>
      </c>
      <c r="AJ372" s="3">
        <f>[2]หน้าผ้า!DN381</f>
        <v>0</v>
      </c>
      <c r="AK372" s="3">
        <f>[2]หน้าผ้า!DQ381</f>
        <v>0</v>
      </c>
      <c r="AL372" s="3">
        <f>[2]หน้าผ้า!DR381</f>
        <v>0</v>
      </c>
      <c r="AM372" s="3">
        <f>[2]หน้าผ้า!DS381</f>
        <v>0</v>
      </c>
      <c r="AN372" s="3">
        <f>[2]หน้าผ้า!DT381</f>
        <v>0</v>
      </c>
      <c r="AO372" s="3">
        <f>[2]หน้าผ้า!DU381</f>
        <v>0</v>
      </c>
      <c r="AP372" s="3">
        <f>[2]หน้าผ้า!DP381</f>
        <v>0</v>
      </c>
      <c r="AQ372" s="3">
        <f>[2]หน้าผ้า!DW381</f>
        <v>0</v>
      </c>
      <c r="AR372" s="3">
        <f>[2]หน้าผ้า!DX381</f>
        <v>0</v>
      </c>
      <c r="AS372" s="3">
        <f>[2]หน้าผ้า!DY381</f>
        <v>0</v>
      </c>
      <c r="AT372" s="3">
        <f>[2]หน้าผ้า!DZ381</f>
        <v>0</v>
      </c>
      <c r="AU372" s="3">
        <f>[2]หน้าผ้า!EA381</f>
        <v>0</v>
      </c>
      <c r="AV372" s="1">
        <f>[2]หน้าผ้า!EB381</f>
        <v>0</v>
      </c>
      <c r="AW372" s="2">
        <f>[2]หน้าผ้า!EC381</f>
        <v>0</v>
      </c>
      <c r="AX372" s="2">
        <f>[2]หน้าผ้า!ED381</f>
        <v>0</v>
      </c>
      <c r="AY372" s="2">
        <f>[2]หน้าผ้า!AG381</f>
        <v>0</v>
      </c>
      <c r="AZ372" s="2">
        <f>[2]หน้าผ้า!EG381</f>
        <v>0</v>
      </c>
      <c r="BA372" s="2">
        <f>[2]หน้าผ้า!EH381</f>
        <v>0</v>
      </c>
      <c r="BB372" s="2">
        <f>[2]หน้าผ้า!EI381</f>
        <v>0</v>
      </c>
      <c r="BC372" s="1">
        <f>[2]หน้าผ้า!BZ381</f>
        <v>0</v>
      </c>
      <c r="BD372" s="56">
        <f>[2]หน้าผ้า!CA381</f>
        <v>0</v>
      </c>
    </row>
    <row r="373" spans="1:56" ht="27.75" customHeight="1" x14ac:dyDescent="0.45">
      <c r="A373" s="3">
        <f>[2]หน้าผ้า!C382</f>
        <v>0</v>
      </c>
      <c r="B373" s="14">
        <f>[2]หน้าผ้า!B382</f>
        <v>0</v>
      </c>
      <c r="C373" s="9">
        <f>[2]หน้าผ้า!E382</f>
        <v>0</v>
      </c>
      <c r="D373" s="13">
        <f>[2]หน้าผ้า!F382</f>
        <v>0</v>
      </c>
      <c r="E373" s="9">
        <f>[2]หน้าผ้า!G382</f>
        <v>0</v>
      </c>
      <c r="F373" s="9">
        <f>[2]หน้าผ้า!H382</f>
        <v>0</v>
      </c>
      <c r="G373" s="9">
        <f>[2]หน้าผ้า!I382</f>
        <v>0</v>
      </c>
      <c r="H373" s="9">
        <f>[2]หน้าผ้า!J382</f>
        <v>0</v>
      </c>
      <c r="I373" s="9">
        <f>[2]หน้าผ้า!L382</f>
        <v>0</v>
      </c>
      <c r="J373" s="9">
        <f>[2]หน้าผ้า!M382</f>
        <v>0</v>
      </c>
      <c r="K373" s="9">
        <f>[2]หน้าผ้า!N382</f>
        <v>0</v>
      </c>
      <c r="L373" s="9">
        <f>[2]หน้าผ้า!R382</f>
        <v>0</v>
      </c>
      <c r="M373" s="10">
        <f>[2]หน้าผ้า!T382</f>
        <v>0</v>
      </c>
      <c r="N373" s="9">
        <f>[2]หน้าผ้า!U382</f>
        <v>0</v>
      </c>
      <c r="O373" s="9">
        <f>[2]หน้าผ้า!V382</f>
        <v>0</v>
      </c>
      <c r="P373" s="10">
        <f>[2]หน้าผ้า!AB382</f>
        <v>0</v>
      </c>
      <c r="Q373" s="10">
        <f>[2]หน้าผ้า!AC382</f>
        <v>0</v>
      </c>
      <c r="R373" s="10">
        <f>[2]หน้าผ้า!AD382</f>
        <v>0</v>
      </c>
      <c r="S373" s="9">
        <f>[2]หน้าผ้า!Z382</f>
        <v>0</v>
      </c>
      <c r="T373" s="12">
        <f>[2]หน้าผ้า!X382</f>
        <v>0</v>
      </c>
      <c r="U373" s="11">
        <f>[2]หน้าผ้า!AA382</f>
        <v>0</v>
      </c>
      <c r="V373" s="10">
        <f>[2]หน้าผ้า!AJ382</f>
        <v>0</v>
      </c>
      <c r="W373" s="10">
        <f>[2]หน้าผ้า!AL382</f>
        <v>0</v>
      </c>
      <c r="X373" s="10">
        <f>[2]หน้าผ้า!AM382</f>
        <v>0</v>
      </c>
      <c r="Y373" s="10">
        <f>[2]หน้าผ้า!AN382</f>
        <v>0</v>
      </c>
      <c r="Z373" s="9">
        <f>[2]หน้าผ้า!AO382</f>
        <v>0</v>
      </c>
      <c r="AA373" s="8">
        <f>[2]หน้าผ้า!AQ382</f>
        <v>0</v>
      </c>
      <c r="AB373" s="8">
        <f>[2]หน้าผ้า!AR382</f>
        <v>0</v>
      </c>
      <c r="AC373" s="8">
        <f>[2]หน้าผ้า!AS382</f>
        <v>0</v>
      </c>
      <c r="AD373" s="8">
        <f>[2]หน้าผ้า!AT382</f>
        <v>0</v>
      </c>
      <c r="AE373" s="8">
        <f>[2]หน้าผ้า!AU382</f>
        <v>0</v>
      </c>
      <c r="AF373" s="8">
        <f>[2]หน้าผ้า!AI382</f>
        <v>0</v>
      </c>
      <c r="AG373" s="1">
        <f>[3]หน้าผ้า!DC385</f>
        <v>0</v>
      </c>
      <c r="AH373" s="1">
        <f>[2]หน้าผ้า!DL382</f>
        <v>0</v>
      </c>
      <c r="AI373" s="1">
        <f>[2]หน้าผ้า!DM382</f>
        <v>0</v>
      </c>
      <c r="AJ373" s="3">
        <f>[2]หน้าผ้า!DN382</f>
        <v>0</v>
      </c>
      <c r="AK373" s="3">
        <f>[2]หน้าผ้า!DQ382</f>
        <v>0</v>
      </c>
      <c r="AL373" s="3">
        <f>[2]หน้าผ้า!DR382</f>
        <v>0</v>
      </c>
      <c r="AM373" s="3">
        <f>[2]หน้าผ้า!DS382</f>
        <v>0</v>
      </c>
      <c r="AN373" s="3">
        <f>[2]หน้าผ้า!DT382</f>
        <v>0</v>
      </c>
      <c r="AO373" s="3">
        <f>[2]หน้าผ้า!DU382</f>
        <v>0</v>
      </c>
      <c r="AP373" s="3">
        <f>[2]หน้าผ้า!DP382</f>
        <v>0</v>
      </c>
      <c r="AQ373" s="3">
        <f>[2]หน้าผ้า!DW382</f>
        <v>0</v>
      </c>
      <c r="AR373" s="3">
        <f>[2]หน้าผ้า!DX382</f>
        <v>0</v>
      </c>
      <c r="AS373" s="3">
        <f>[2]หน้าผ้า!DY382</f>
        <v>0</v>
      </c>
      <c r="AT373" s="3">
        <f>[2]หน้าผ้า!DZ382</f>
        <v>0</v>
      </c>
      <c r="AU373" s="3">
        <f>[2]หน้าผ้า!EA382</f>
        <v>0</v>
      </c>
      <c r="AV373" s="1">
        <f>[2]หน้าผ้า!EB382</f>
        <v>0</v>
      </c>
      <c r="AW373" s="2">
        <f>[2]หน้าผ้า!EC382</f>
        <v>0</v>
      </c>
      <c r="AX373" s="2">
        <f>[2]หน้าผ้า!ED382</f>
        <v>0</v>
      </c>
      <c r="AY373" s="2">
        <f>[2]หน้าผ้า!AG382</f>
        <v>0</v>
      </c>
      <c r="AZ373" s="2">
        <f>[2]หน้าผ้า!EG382</f>
        <v>0</v>
      </c>
      <c r="BA373" s="2">
        <f>[2]หน้าผ้า!EH382</f>
        <v>0</v>
      </c>
      <c r="BB373" s="2">
        <f>[2]หน้าผ้า!EI382</f>
        <v>0</v>
      </c>
      <c r="BC373" s="1">
        <f>[2]หน้าผ้า!BZ382</f>
        <v>0</v>
      </c>
      <c r="BD373" s="56">
        <f>[2]หน้าผ้า!CA382</f>
        <v>0</v>
      </c>
    </row>
    <row r="374" spans="1:56" ht="27.75" customHeight="1" x14ac:dyDescent="0.45">
      <c r="A374" s="3">
        <f>[2]หน้าผ้า!C383</f>
        <v>0</v>
      </c>
      <c r="B374" s="14">
        <f>[2]หน้าผ้า!B383</f>
        <v>0</v>
      </c>
      <c r="C374" s="9">
        <f>[2]หน้าผ้า!E383</f>
        <v>0</v>
      </c>
      <c r="D374" s="13">
        <f>[2]หน้าผ้า!F383</f>
        <v>0</v>
      </c>
      <c r="E374" s="9">
        <f>[2]หน้าผ้า!G383</f>
        <v>0</v>
      </c>
      <c r="F374" s="9">
        <f>[2]หน้าผ้า!H383</f>
        <v>0</v>
      </c>
      <c r="G374" s="9">
        <f>[2]หน้าผ้า!I383</f>
        <v>0</v>
      </c>
      <c r="H374" s="9">
        <f>[2]หน้าผ้า!J383</f>
        <v>0</v>
      </c>
      <c r="I374" s="9">
        <f>[2]หน้าผ้า!L383</f>
        <v>0</v>
      </c>
      <c r="J374" s="9">
        <f>[2]หน้าผ้า!M383</f>
        <v>0</v>
      </c>
      <c r="K374" s="9">
        <f>[2]หน้าผ้า!N383</f>
        <v>0</v>
      </c>
      <c r="L374" s="9">
        <f>[2]หน้าผ้า!R383</f>
        <v>0</v>
      </c>
      <c r="M374" s="10">
        <f>[2]หน้าผ้า!T383</f>
        <v>0</v>
      </c>
      <c r="N374" s="9">
        <f>[2]หน้าผ้า!U383</f>
        <v>0</v>
      </c>
      <c r="O374" s="9">
        <f>[2]หน้าผ้า!V383</f>
        <v>0</v>
      </c>
      <c r="P374" s="10">
        <f>[2]หน้าผ้า!AB383</f>
        <v>0</v>
      </c>
      <c r="Q374" s="10">
        <f>[2]หน้าผ้า!AC383</f>
        <v>0</v>
      </c>
      <c r="R374" s="10">
        <f>[2]หน้าผ้า!AD383</f>
        <v>0</v>
      </c>
      <c r="S374" s="9">
        <f>[2]หน้าผ้า!Z383</f>
        <v>0</v>
      </c>
      <c r="T374" s="12">
        <f>[2]หน้าผ้า!X383</f>
        <v>0</v>
      </c>
      <c r="U374" s="11">
        <f>[2]หน้าผ้า!AA383</f>
        <v>0</v>
      </c>
      <c r="V374" s="10">
        <f>[2]หน้าผ้า!AJ383</f>
        <v>0</v>
      </c>
      <c r="W374" s="10">
        <f>[2]หน้าผ้า!AL383</f>
        <v>0</v>
      </c>
      <c r="X374" s="10">
        <f>[2]หน้าผ้า!AM383</f>
        <v>0</v>
      </c>
      <c r="Y374" s="10">
        <f>[2]หน้าผ้า!AN383</f>
        <v>0</v>
      </c>
      <c r="Z374" s="9">
        <f>[2]หน้าผ้า!AO383</f>
        <v>0</v>
      </c>
      <c r="AA374" s="8">
        <f>[2]หน้าผ้า!AQ383</f>
        <v>0</v>
      </c>
      <c r="AB374" s="8">
        <f>[2]หน้าผ้า!AR383</f>
        <v>0</v>
      </c>
      <c r="AC374" s="8">
        <f>[2]หน้าผ้า!AS383</f>
        <v>0</v>
      </c>
      <c r="AD374" s="8">
        <f>[2]หน้าผ้า!AT383</f>
        <v>0</v>
      </c>
      <c r="AE374" s="8">
        <f>[2]หน้าผ้า!AU383</f>
        <v>0</v>
      </c>
      <c r="AF374" s="8">
        <f>[2]หน้าผ้า!AI383</f>
        <v>0</v>
      </c>
      <c r="AG374" s="1">
        <f>[3]หน้าผ้า!DC386</f>
        <v>0</v>
      </c>
      <c r="AH374" s="1">
        <f>[2]หน้าผ้า!DL383</f>
        <v>0</v>
      </c>
      <c r="AI374" s="1">
        <f>[2]หน้าผ้า!DM383</f>
        <v>0</v>
      </c>
      <c r="AJ374" s="3">
        <f>[2]หน้าผ้า!DN383</f>
        <v>0</v>
      </c>
      <c r="AK374" s="3">
        <f>[2]หน้าผ้า!DQ383</f>
        <v>0</v>
      </c>
      <c r="AL374" s="3">
        <f>[2]หน้าผ้า!DR383</f>
        <v>0</v>
      </c>
      <c r="AM374" s="3">
        <f>[2]หน้าผ้า!DS383</f>
        <v>0</v>
      </c>
      <c r="AN374" s="3">
        <f>[2]หน้าผ้า!DT383</f>
        <v>0</v>
      </c>
      <c r="AO374" s="3">
        <f>[2]หน้าผ้า!DU383</f>
        <v>0</v>
      </c>
      <c r="AP374" s="3">
        <f>[2]หน้าผ้า!DP383</f>
        <v>0</v>
      </c>
      <c r="AQ374" s="3">
        <f>[2]หน้าผ้า!DW383</f>
        <v>0</v>
      </c>
      <c r="AR374" s="3">
        <f>[2]หน้าผ้า!DX383</f>
        <v>0</v>
      </c>
      <c r="AS374" s="3">
        <f>[2]หน้าผ้า!DY383</f>
        <v>0</v>
      </c>
      <c r="AT374" s="3">
        <f>[2]หน้าผ้า!DZ383</f>
        <v>0</v>
      </c>
      <c r="AU374" s="3">
        <f>[2]หน้าผ้า!EA383</f>
        <v>0</v>
      </c>
      <c r="AV374" s="1">
        <f>[2]หน้าผ้า!EB383</f>
        <v>0</v>
      </c>
      <c r="AW374" s="2">
        <f>[2]หน้าผ้า!EC383</f>
        <v>0</v>
      </c>
      <c r="AX374" s="2">
        <f>[2]หน้าผ้า!ED383</f>
        <v>0</v>
      </c>
      <c r="AY374" s="2">
        <f>[2]หน้าผ้า!AG383</f>
        <v>0</v>
      </c>
      <c r="AZ374" s="2">
        <f>[2]หน้าผ้า!EG383</f>
        <v>0</v>
      </c>
      <c r="BA374" s="2">
        <f>[2]หน้าผ้า!EH383</f>
        <v>0</v>
      </c>
      <c r="BB374" s="2">
        <f>[2]หน้าผ้า!EI383</f>
        <v>0</v>
      </c>
      <c r="BC374" s="1">
        <f>[2]หน้าผ้า!BZ383</f>
        <v>0</v>
      </c>
      <c r="BD374" s="56">
        <f>[2]หน้าผ้า!CA383</f>
        <v>0</v>
      </c>
    </row>
    <row r="375" spans="1:56" ht="27.75" customHeight="1" x14ac:dyDescent="0.45">
      <c r="A375" s="3">
        <f>[2]หน้าผ้า!C384</f>
        <v>0</v>
      </c>
      <c r="B375" s="14">
        <f>[2]หน้าผ้า!B384</f>
        <v>0</v>
      </c>
      <c r="C375" s="9">
        <f>[2]หน้าผ้า!E384</f>
        <v>0</v>
      </c>
      <c r="D375" s="13">
        <f>[2]หน้าผ้า!F384</f>
        <v>0</v>
      </c>
      <c r="E375" s="9">
        <f>[2]หน้าผ้า!G384</f>
        <v>0</v>
      </c>
      <c r="F375" s="9">
        <f>[2]หน้าผ้า!H384</f>
        <v>0</v>
      </c>
      <c r="G375" s="9">
        <f>[2]หน้าผ้า!I384</f>
        <v>0</v>
      </c>
      <c r="H375" s="9">
        <f>[2]หน้าผ้า!J384</f>
        <v>0</v>
      </c>
      <c r="I375" s="9">
        <f>[2]หน้าผ้า!L384</f>
        <v>0</v>
      </c>
      <c r="J375" s="9">
        <f>[2]หน้าผ้า!M384</f>
        <v>0</v>
      </c>
      <c r="K375" s="9">
        <f>[2]หน้าผ้า!N384</f>
        <v>0</v>
      </c>
      <c r="L375" s="9">
        <f>[2]หน้าผ้า!R384</f>
        <v>0</v>
      </c>
      <c r="M375" s="10">
        <f>[2]หน้าผ้า!T384</f>
        <v>0</v>
      </c>
      <c r="N375" s="9">
        <f>[2]หน้าผ้า!U384</f>
        <v>0</v>
      </c>
      <c r="O375" s="9">
        <f>[2]หน้าผ้า!V384</f>
        <v>0</v>
      </c>
      <c r="P375" s="10">
        <f>[2]หน้าผ้า!AB384</f>
        <v>0</v>
      </c>
      <c r="Q375" s="10">
        <f>[2]หน้าผ้า!AC384</f>
        <v>0</v>
      </c>
      <c r="R375" s="10">
        <f>[2]หน้าผ้า!AD384</f>
        <v>0</v>
      </c>
      <c r="S375" s="9">
        <f>[2]หน้าผ้า!Z384</f>
        <v>0</v>
      </c>
      <c r="T375" s="12">
        <f>[2]หน้าผ้า!X384</f>
        <v>0</v>
      </c>
      <c r="U375" s="11">
        <f>[2]หน้าผ้า!AA384</f>
        <v>0</v>
      </c>
      <c r="V375" s="10">
        <f>[2]หน้าผ้า!AJ384</f>
        <v>0</v>
      </c>
      <c r="W375" s="10">
        <f>[2]หน้าผ้า!AL384</f>
        <v>0</v>
      </c>
      <c r="X375" s="10">
        <f>[2]หน้าผ้า!AM384</f>
        <v>0</v>
      </c>
      <c r="Y375" s="10">
        <f>[2]หน้าผ้า!AN384</f>
        <v>0</v>
      </c>
      <c r="Z375" s="9">
        <f>[2]หน้าผ้า!AO384</f>
        <v>0</v>
      </c>
      <c r="AA375" s="8">
        <f>[2]หน้าผ้า!AQ384</f>
        <v>0</v>
      </c>
      <c r="AB375" s="8">
        <f>[2]หน้าผ้า!AR384</f>
        <v>0</v>
      </c>
      <c r="AC375" s="8">
        <f>[2]หน้าผ้า!AS384</f>
        <v>0</v>
      </c>
      <c r="AD375" s="8">
        <f>[2]หน้าผ้า!AT384</f>
        <v>0</v>
      </c>
      <c r="AE375" s="8">
        <f>[2]หน้าผ้า!AU384</f>
        <v>0</v>
      </c>
      <c r="AF375" s="8">
        <f>[2]หน้าผ้า!AI384</f>
        <v>0</v>
      </c>
      <c r="AG375" s="1">
        <f>[3]หน้าผ้า!DC387</f>
        <v>0</v>
      </c>
      <c r="AH375" s="1">
        <f>[2]หน้าผ้า!DL384</f>
        <v>0</v>
      </c>
      <c r="AI375" s="1">
        <f>[2]หน้าผ้า!DM384</f>
        <v>0</v>
      </c>
      <c r="AJ375" s="3">
        <f>[2]หน้าผ้า!DN384</f>
        <v>0</v>
      </c>
      <c r="AK375" s="3">
        <f>[2]หน้าผ้า!DQ384</f>
        <v>0</v>
      </c>
      <c r="AL375" s="3">
        <f>[2]หน้าผ้า!DR384</f>
        <v>0</v>
      </c>
      <c r="AM375" s="3">
        <f>[2]หน้าผ้า!DS384</f>
        <v>0</v>
      </c>
      <c r="AN375" s="3">
        <f>[2]หน้าผ้า!DT384</f>
        <v>0</v>
      </c>
      <c r="AO375" s="3">
        <f>[2]หน้าผ้า!DU384</f>
        <v>0</v>
      </c>
      <c r="AP375" s="3">
        <f>[2]หน้าผ้า!DP384</f>
        <v>0</v>
      </c>
      <c r="AQ375" s="3">
        <f>[2]หน้าผ้า!DW384</f>
        <v>0</v>
      </c>
      <c r="AR375" s="3">
        <f>[2]หน้าผ้า!DX384</f>
        <v>0</v>
      </c>
      <c r="AS375" s="3">
        <f>[2]หน้าผ้า!DY384</f>
        <v>0</v>
      </c>
      <c r="AT375" s="3">
        <f>[2]หน้าผ้า!DZ384</f>
        <v>0</v>
      </c>
      <c r="AU375" s="3">
        <f>[2]หน้าผ้า!EA384</f>
        <v>0</v>
      </c>
      <c r="AV375" s="1">
        <f>[2]หน้าผ้า!EB384</f>
        <v>0</v>
      </c>
      <c r="AW375" s="2">
        <f>[2]หน้าผ้า!EC384</f>
        <v>0</v>
      </c>
      <c r="AX375" s="2">
        <f>[2]หน้าผ้า!ED384</f>
        <v>0</v>
      </c>
      <c r="AY375" s="2">
        <f>[2]หน้าผ้า!AG384</f>
        <v>0</v>
      </c>
      <c r="AZ375" s="2">
        <f>[2]หน้าผ้า!EG384</f>
        <v>0</v>
      </c>
      <c r="BA375" s="2">
        <f>[2]หน้าผ้า!EH384</f>
        <v>0</v>
      </c>
      <c r="BB375" s="2">
        <f>[2]หน้าผ้า!EI384</f>
        <v>0</v>
      </c>
      <c r="BC375" s="1">
        <f>[2]หน้าผ้า!BZ384</f>
        <v>0</v>
      </c>
      <c r="BD375" s="56">
        <f>[2]หน้าผ้า!CA384</f>
        <v>0</v>
      </c>
    </row>
    <row r="376" spans="1:56" ht="27.75" customHeight="1" x14ac:dyDescent="0.45">
      <c r="A376" s="3">
        <f>[2]หน้าผ้า!C385</f>
        <v>0</v>
      </c>
      <c r="B376" s="14">
        <f>[2]หน้าผ้า!B385</f>
        <v>0</v>
      </c>
      <c r="C376" s="9">
        <f>[2]หน้าผ้า!E385</f>
        <v>0</v>
      </c>
      <c r="D376" s="13">
        <f>[2]หน้าผ้า!F385</f>
        <v>0</v>
      </c>
      <c r="E376" s="9">
        <f>[2]หน้าผ้า!G385</f>
        <v>0</v>
      </c>
      <c r="F376" s="9">
        <f>[2]หน้าผ้า!H385</f>
        <v>0</v>
      </c>
      <c r="G376" s="9">
        <f>[2]หน้าผ้า!I385</f>
        <v>0</v>
      </c>
      <c r="H376" s="9">
        <f>[2]หน้าผ้า!J385</f>
        <v>0</v>
      </c>
      <c r="I376" s="9">
        <f>[2]หน้าผ้า!L385</f>
        <v>0</v>
      </c>
      <c r="J376" s="9">
        <f>[2]หน้าผ้า!M385</f>
        <v>0</v>
      </c>
      <c r="K376" s="9">
        <f>[2]หน้าผ้า!N385</f>
        <v>0</v>
      </c>
      <c r="L376" s="9">
        <f>[2]หน้าผ้า!R385</f>
        <v>0</v>
      </c>
      <c r="M376" s="10">
        <f>[2]หน้าผ้า!T385</f>
        <v>0</v>
      </c>
      <c r="N376" s="9">
        <f>[2]หน้าผ้า!U385</f>
        <v>0</v>
      </c>
      <c r="O376" s="9">
        <f>[2]หน้าผ้า!V385</f>
        <v>0</v>
      </c>
      <c r="P376" s="10">
        <f>[2]หน้าผ้า!AB385</f>
        <v>0</v>
      </c>
      <c r="Q376" s="10">
        <f>[2]หน้าผ้า!AC385</f>
        <v>0</v>
      </c>
      <c r="R376" s="10">
        <f>[2]หน้าผ้า!AD385</f>
        <v>0</v>
      </c>
      <c r="S376" s="9">
        <f>[2]หน้าผ้า!Z385</f>
        <v>0</v>
      </c>
      <c r="T376" s="12">
        <f>[2]หน้าผ้า!X385</f>
        <v>0</v>
      </c>
      <c r="U376" s="11">
        <f>[2]หน้าผ้า!AA385</f>
        <v>0</v>
      </c>
      <c r="V376" s="10">
        <f>[2]หน้าผ้า!AJ385</f>
        <v>0</v>
      </c>
      <c r="W376" s="10">
        <f>[2]หน้าผ้า!AL385</f>
        <v>0</v>
      </c>
      <c r="X376" s="10">
        <f>[2]หน้าผ้า!AM385</f>
        <v>0</v>
      </c>
      <c r="Y376" s="10">
        <f>[2]หน้าผ้า!AN385</f>
        <v>0</v>
      </c>
      <c r="Z376" s="9">
        <f>[2]หน้าผ้า!AO385</f>
        <v>0</v>
      </c>
      <c r="AA376" s="8">
        <f>[2]หน้าผ้า!AQ385</f>
        <v>0</v>
      </c>
      <c r="AB376" s="8">
        <f>[2]หน้าผ้า!AR385</f>
        <v>0</v>
      </c>
      <c r="AC376" s="8">
        <f>[2]หน้าผ้า!AS385</f>
        <v>0</v>
      </c>
      <c r="AD376" s="8">
        <f>[2]หน้าผ้า!AT385</f>
        <v>0</v>
      </c>
      <c r="AE376" s="8">
        <f>[2]หน้าผ้า!AU385</f>
        <v>0</v>
      </c>
      <c r="AF376" s="8">
        <f>[2]หน้าผ้า!AI385</f>
        <v>0</v>
      </c>
      <c r="AG376" s="1">
        <f>[3]หน้าผ้า!DC388</f>
        <v>0</v>
      </c>
      <c r="AH376" s="1">
        <f>[2]หน้าผ้า!DL385</f>
        <v>0</v>
      </c>
      <c r="AI376" s="1">
        <f>[2]หน้าผ้า!DM385</f>
        <v>0</v>
      </c>
      <c r="AJ376" s="3">
        <f>[2]หน้าผ้า!DN385</f>
        <v>0</v>
      </c>
      <c r="AK376" s="3">
        <f>[2]หน้าผ้า!DQ385</f>
        <v>0</v>
      </c>
      <c r="AL376" s="3">
        <f>[2]หน้าผ้า!DR385</f>
        <v>0</v>
      </c>
      <c r="AM376" s="3">
        <f>[2]หน้าผ้า!DS385</f>
        <v>0</v>
      </c>
      <c r="AN376" s="3">
        <f>[2]หน้าผ้า!DT385</f>
        <v>0</v>
      </c>
      <c r="AO376" s="3">
        <f>[2]หน้าผ้า!DU385</f>
        <v>0</v>
      </c>
      <c r="AP376" s="3">
        <f>[2]หน้าผ้า!DP385</f>
        <v>0</v>
      </c>
      <c r="AQ376" s="3">
        <f>[2]หน้าผ้า!DW385</f>
        <v>0</v>
      </c>
      <c r="AR376" s="3">
        <f>[2]หน้าผ้า!DX385</f>
        <v>0</v>
      </c>
      <c r="AS376" s="3">
        <f>[2]หน้าผ้า!DY385</f>
        <v>0</v>
      </c>
      <c r="AT376" s="3">
        <f>[2]หน้าผ้า!DZ385</f>
        <v>0</v>
      </c>
      <c r="AU376" s="3">
        <f>[2]หน้าผ้า!EA385</f>
        <v>0</v>
      </c>
      <c r="AV376" s="1">
        <f>[2]หน้าผ้า!EB385</f>
        <v>0</v>
      </c>
      <c r="AW376" s="2">
        <f>[2]หน้าผ้า!EC385</f>
        <v>0</v>
      </c>
      <c r="AX376" s="2">
        <f>[2]หน้าผ้า!ED385</f>
        <v>0</v>
      </c>
      <c r="AY376" s="2">
        <f>[2]หน้าผ้า!AG385</f>
        <v>0</v>
      </c>
      <c r="AZ376" s="2">
        <f>[2]หน้าผ้า!EG385</f>
        <v>0</v>
      </c>
      <c r="BA376" s="2">
        <f>[2]หน้าผ้า!EH385</f>
        <v>0</v>
      </c>
      <c r="BB376" s="2">
        <f>[2]หน้าผ้า!EI385</f>
        <v>0</v>
      </c>
      <c r="BC376" s="1">
        <f>[2]หน้าผ้า!BZ385</f>
        <v>0</v>
      </c>
      <c r="BD376" s="56">
        <f>[2]หน้าผ้า!CA385</f>
        <v>0</v>
      </c>
    </row>
    <row r="377" spans="1:56" ht="27.75" customHeight="1" x14ac:dyDescent="0.45">
      <c r="A377" s="3">
        <f>[2]หน้าผ้า!C386</f>
        <v>0</v>
      </c>
      <c r="B377" s="14">
        <f>[2]หน้าผ้า!B386</f>
        <v>0</v>
      </c>
      <c r="C377" s="9">
        <f>[2]หน้าผ้า!E386</f>
        <v>0</v>
      </c>
      <c r="D377" s="13">
        <f>[2]หน้าผ้า!F386</f>
        <v>0</v>
      </c>
      <c r="E377" s="9">
        <f>[2]หน้าผ้า!G386</f>
        <v>0</v>
      </c>
      <c r="F377" s="9">
        <f>[2]หน้าผ้า!H386</f>
        <v>0</v>
      </c>
      <c r="G377" s="9">
        <f>[2]หน้าผ้า!I386</f>
        <v>0</v>
      </c>
      <c r="H377" s="9">
        <f>[2]หน้าผ้า!J386</f>
        <v>0</v>
      </c>
      <c r="I377" s="9">
        <f>[2]หน้าผ้า!L386</f>
        <v>0</v>
      </c>
      <c r="J377" s="9">
        <f>[2]หน้าผ้า!M386</f>
        <v>0</v>
      </c>
      <c r="K377" s="9">
        <f>[2]หน้าผ้า!N386</f>
        <v>0</v>
      </c>
      <c r="L377" s="9">
        <f>[2]หน้าผ้า!R386</f>
        <v>0</v>
      </c>
      <c r="M377" s="10">
        <f>[2]หน้าผ้า!T386</f>
        <v>0</v>
      </c>
      <c r="N377" s="9">
        <f>[2]หน้าผ้า!U386</f>
        <v>0</v>
      </c>
      <c r="O377" s="9">
        <f>[2]หน้าผ้า!V386</f>
        <v>0</v>
      </c>
      <c r="P377" s="10">
        <f>[2]หน้าผ้า!AB386</f>
        <v>0</v>
      </c>
      <c r="Q377" s="10">
        <f>[2]หน้าผ้า!AC386</f>
        <v>0</v>
      </c>
      <c r="R377" s="10">
        <f>[2]หน้าผ้า!AD386</f>
        <v>0</v>
      </c>
      <c r="S377" s="9">
        <f>[2]หน้าผ้า!Z386</f>
        <v>0</v>
      </c>
      <c r="T377" s="12">
        <f>[2]หน้าผ้า!X386</f>
        <v>0</v>
      </c>
      <c r="U377" s="11">
        <f>[2]หน้าผ้า!AA386</f>
        <v>0</v>
      </c>
      <c r="V377" s="10">
        <f>[2]หน้าผ้า!AJ386</f>
        <v>0</v>
      </c>
      <c r="W377" s="10">
        <f>[2]หน้าผ้า!AL386</f>
        <v>0</v>
      </c>
      <c r="X377" s="10">
        <f>[2]หน้าผ้า!AM386</f>
        <v>0</v>
      </c>
      <c r="Y377" s="10">
        <f>[2]หน้าผ้า!AN386</f>
        <v>0</v>
      </c>
      <c r="Z377" s="9">
        <f>[2]หน้าผ้า!AO386</f>
        <v>0</v>
      </c>
      <c r="AA377" s="8">
        <f>[2]หน้าผ้า!AQ386</f>
        <v>0</v>
      </c>
      <c r="AB377" s="8">
        <f>[2]หน้าผ้า!AR386</f>
        <v>0</v>
      </c>
      <c r="AC377" s="8">
        <f>[2]หน้าผ้า!AS386</f>
        <v>0</v>
      </c>
      <c r="AD377" s="8">
        <f>[2]หน้าผ้า!AT386</f>
        <v>0</v>
      </c>
      <c r="AE377" s="8">
        <f>[2]หน้าผ้า!AU386</f>
        <v>0</v>
      </c>
      <c r="AF377" s="8">
        <f>[2]หน้าผ้า!AI386</f>
        <v>0</v>
      </c>
      <c r="AG377" s="1">
        <f>[3]หน้าผ้า!DC389</f>
        <v>0</v>
      </c>
      <c r="AH377" s="1">
        <f>[2]หน้าผ้า!DL386</f>
        <v>0</v>
      </c>
      <c r="AI377" s="1">
        <f>[2]หน้าผ้า!DM386</f>
        <v>0</v>
      </c>
      <c r="AJ377" s="3">
        <f>[2]หน้าผ้า!DN386</f>
        <v>0</v>
      </c>
      <c r="AK377" s="3">
        <f>[2]หน้าผ้า!DQ386</f>
        <v>0</v>
      </c>
      <c r="AL377" s="3">
        <f>[2]หน้าผ้า!DR386</f>
        <v>0</v>
      </c>
      <c r="AM377" s="3">
        <f>[2]หน้าผ้า!DS386</f>
        <v>0</v>
      </c>
      <c r="AN377" s="3">
        <f>[2]หน้าผ้า!DT386</f>
        <v>0</v>
      </c>
      <c r="AO377" s="3">
        <f>[2]หน้าผ้า!DU386</f>
        <v>0</v>
      </c>
      <c r="AP377" s="3">
        <f>[2]หน้าผ้า!DP386</f>
        <v>0</v>
      </c>
      <c r="AQ377" s="3">
        <f>[2]หน้าผ้า!DW386</f>
        <v>0</v>
      </c>
      <c r="AR377" s="3">
        <f>[2]หน้าผ้า!DX386</f>
        <v>0</v>
      </c>
      <c r="AS377" s="3">
        <f>[2]หน้าผ้า!DY386</f>
        <v>0</v>
      </c>
      <c r="AT377" s="3">
        <f>[2]หน้าผ้า!DZ386</f>
        <v>0</v>
      </c>
      <c r="AU377" s="3">
        <f>[2]หน้าผ้า!EA386</f>
        <v>0</v>
      </c>
      <c r="AV377" s="1">
        <f>[2]หน้าผ้า!EB386</f>
        <v>0</v>
      </c>
      <c r="AW377" s="2">
        <f>[2]หน้าผ้า!EC386</f>
        <v>0</v>
      </c>
      <c r="AX377" s="2">
        <f>[2]หน้าผ้า!ED386</f>
        <v>0</v>
      </c>
      <c r="AY377" s="2">
        <f>[2]หน้าผ้า!AG386</f>
        <v>0</v>
      </c>
      <c r="AZ377" s="2">
        <f>[2]หน้าผ้า!EG386</f>
        <v>0</v>
      </c>
      <c r="BA377" s="2">
        <f>[2]หน้าผ้า!EH386</f>
        <v>0</v>
      </c>
      <c r="BB377" s="2">
        <f>[2]หน้าผ้า!EI386</f>
        <v>0</v>
      </c>
      <c r="BC377" s="1">
        <f>[2]หน้าผ้า!BZ386</f>
        <v>0</v>
      </c>
      <c r="BD377" s="56">
        <f>[2]หน้าผ้า!CA386</f>
        <v>0</v>
      </c>
    </row>
    <row r="378" spans="1:56" ht="27.75" customHeight="1" x14ac:dyDescent="0.45">
      <c r="A378" s="3">
        <f>[2]หน้าผ้า!C387</f>
        <v>0</v>
      </c>
      <c r="B378" s="14">
        <f>[2]หน้าผ้า!B387</f>
        <v>0</v>
      </c>
      <c r="C378" s="9">
        <f>[2]หน้าผ้า!E387</f>
        <v>0</v>
      </c>
      <c r="D378" s="13">
        <f>[2]หน้าผ้า!F387</f>
        <v>0</v>
      </c>
      <c r="E378" s="9">
        <f>[2]หน้าผ้า!G387</f>
        <v>0</v>
      </c>
      <c r="F378" s="9">
        <f>[2]หน้าผ้า!H387</f>
        <v>0</v>
      </c>
      <c r="G378" s="9">
        <f>[2]หน้าผ้า!I387</f>
        <v>0</v>
      </c>
      <c r="H378" s="9">
        <f>[2]หน้าผ้า!J387</f>
        <v>0</v>
      </c>
      <c r="I378" s="9">
        <f>[2]หน้าผ้า!L387</f>
        <v>0</v>
      </c>
      <c r="J378" s="9">
        <f>[2]หน้าผ้า!M387</f>
        <v>0</v>
      </c>
      <c r="K378" s="9">
        <f>[2]หน้าผ้า!N387</f>
        <v>0</v>
      </c>
      <c r="L378" s="9">
        <f>[2]หน้าผ้า!R387</f>
        <v>0</v>
      </c>
      <c r="M378" s="10">
        <f>[2]หน้าผ้า!T387</f>
        <v>0</v>
      </c>
      <c r="N378" s="9">
        <f>[2]หน้าผ้า!U387</f>
        <v>0</v>
      </c>
      <c r="O378" s="9">
        <f>[2]หน้าผ้า!V387</f>
        <v>0</v>
      </c>
      <c r="P378" s="10">
        <f>[2]หน้าผ้า!AB387</f>
        <v>0</v>
      </c>
      <c r="Q378" s="10">
        <f>[2]หน้าผ้า!AC387</f>
        <v>0</v>
      </c>
      <c r="R378" s="10">
        <f>[2]หน้าผ้า!AD387</f>
        <v>0</v>
      </c>
      <c r="S378" s="9">
        <f>[2]หน้าผ้า!Z387</f>
        <v>0</v>
      </c>
      <c r="T378" s="12">
        <f>[2]หน้าผ้า!X387</f>
        <v>0</v>
      </c>
      <c r="U378" s="11">
        <f>[2]หน้าผ้า!AA387</f>
        <v>0</v>
      </c>
      <c r="V378" s="10">
        <f>[2]หน้าผ้า!AJ387</f>
        <v>0</v>
      </c>
      <c r="W378" s="10">
        <f>[2]หน้าผ้า!AL387</f>
        <v>0</v>
      </c>
      <c r="X378" s="10">
        <f>[2]หน้าผ้า!AM387</f>
        <v>0</v>
      </c>
      <c r="Y378" s="10">
        <f>[2]หน้าผ้า!AN387</f>
        <v>0</v>
      </c>
      <c r="Z378" s="9">
        <f>[2]หน้าผ้า!AO387</f>
        <v>0</v>
      </c>
      <c r="AA378" s="8">
        <f>[2]หน้าผ้า!AQ387</f>
        <v>0</v>
      </c>
      <c r="AB378" s="8">
        <f>[2]หน้าผ้า!AR387</f>
        <v>0</v>
      </c>
      <c r="AC378" s="8">
        <f>[2]หน้าผ้า!AS387</f>
        <v>0</v>
      </c>
      <c r="AD378" s="8">
        <f>[2]หน้าผ้า!AT387</f>
        <v>0</v>
      </c>
      <c r="AE378" s="8">
        <f>[2]หน้าผ้า!AU387</f>
        <v>0</v>
      </c>
      <c r="AF378" s="8">
        <f>[2]หน้าผ้า!AI387</f>
        <v>0</v>
      </c>
      <c r="AG378" s="1">
        <f>[3]หน้าผ้า!DC390</f>
        <v>0</v>
      </c>
      <c r="AH378" s="1">
        <f>[2]หน้าผ้า!DL387</f>
        <v>0</v>
      </c>
      <c r="AI378" s="1">
        <f>[2]หน้าผ้า!DM387</f>
        <v>0</v>
      </c>
      <c r="AJ378" s="3">
        <f>[2]หน้าผ้า!DN387</f>
        <v>0</v>
      </c>
      <c r="AK378" s="3">
        <f>[2]หน้าผ้า!DQ387</f>
        <v>0</v>
      </c>
      <c r="AL378" s="3">
        <f>[2]หน้าผ้า!DR387</f>
        <v>0</v>
      </c>
      <c r="AM378" s="3">
        <f>[2]หน้าผ้า!DS387</f>
        <v>0</v>
      </c>
      <c r="AN378" s="3">
        <f>[2]หน้าผ้า!DT387</f>
        <v>0</v>
      </c>
      <c r="AO378" s="3">
        <f>[2]หน้าผ้า!DU387</f>
        <v>0</v>
      </c>
      <c r="AP378" s="3">
        <f>[2]หน้าผ้า!DP387</f>
        <v>0</v>
      </c>
      <c r="AQ378" s="3">
        <f>[2]หน้าผ้า!DW387</f>
        <v>0</v>
      </c>
      <c r="AR378" s="3">
        <f>[2]หน้าผ้า!DX387</f>
        <v>0</v>
      </c>
      <c r="AS378" s="3">
        <f>[2]หน้าผ้า!DY387</f>
        <v>0</v>
      </c>
      <c r="AT378" s="3">
        <f>[2]หน้าผ้า!DZ387</f>
        <v>0</v>
      </c>
      <c r="AU378" s="3">
        <f>[2]หน้าผ้า!EA387</f>
        <v>0</v>
      </c>
      <c r="AV378" s="1">
        <f>[2]หน้าผ้า!EB387</f>
        <v>0</v>
      </c>
      <c r="AW378" s="2">
        <f>[2]หน้าผ้า!EC387</f>
        <v>0</v>
      </c>
      <c r="AX378" s="2">
        <f>[2]หน้าผ้า!ED387</f>
        <v>0</v>
      </c>
      <c r="AY378" s="2">
        <f>[2]หน้าผ้า!AG387</f>
        <v>0</v>
      </c>
      <c r="AZ378" s="2">
        <f>[2]หน้าผ้า!EG387</f>
        <v>0</v>
      </c>
      <c r="BA378" s="2">
        <f>[2]หน้าผ้า!EH387</f>
        <v>0</v>
      </c>
      <c r="BB378" s="2">
        <f>[2]หน้าผ้า!EI387</f>
        <v>0</v>
      </c>
      <c r="BC378" s="1">
        <f>[2]หน้าผ้า!BZ387</f>
        <v>0</v>
      </c>
      <c r="BD378" s="56">
        <f>[2]หน้าผ้า!CA387</f>
        <v>0</v>
      </c>
    </row>
    <row r="379" spans="1:56" ht="27.75" customHeight="1" x14ac:dyDescent="0.45">
      <c r="A379" s="3">
        <f>[2]หน้าผ้า!C388</f>
        <v>0</v>
      </c>
      <c r="B379" s="14">
        <f>[2]หน้าผ้า!B388</f>
        <v>0</v>
      </c>
      <c r="C379" s="9">
        <f>[2]หน้าผ้า!E388</f>
        <v>0</v>
      </c>
      <c r="D379" s="13">
        <f>[2]หน้าผ้า!F388</f>
        <v>0</v>
      </c>
      <c r="E379" s="9">
        <f>[2]หน้าผ้า!G388</f>
        <v>0</v>
      </c>
      <c r="F379" s="9">
        <f>[2]หน้าผ้า!H388</f>
        <v>0</v>
      </c>
      <c r="G379" s="9">
        <f>[2]หน้าผ้า!I388</f>
        <v>0</v>
      </c>
      <c r="H379" s="9">
        <f>[2]หน้าผ้า!J388</f>
        <v>0</v>
      </c>
      <c r="I379" s="9">
        <f>[2]หน้าผ้า!L388</f>
        <v>0</v>
      </c>
      <c r="J379" s="9">
        <f>[2]หน้าผ้า!M388</f>
        <v>0</v>
      </c>
      <c r="K379" s="9">
        <f>[2]หน้าผ้า!N388</f>
        <v>0</v>
      </c>
      <c r="L379" s="9">
        <f>[2]หน้าผ้า!R388</f>
        <v>0</v>
      </c>
      <c r="M379" s="10">
        <f>[2]หน้าผ้า!T388</f>
        <v>0</v>
      </c>
      <c r="N379" s="9">
        <f>[2]หน้าผ้า!U388</f>
        <v>0</v>
      </c>
      <c r="O379" s="9">
        <f>[2]หน้าผ้า!V388</f>
        <v>0</v>
      </c>
      <c r="P379" s="10">
        <f>[2]หน้าผ้า!AB388</f>
        <v>0</v>
      </c>
      <c r="Q379" s="10">
        <f>[2]หน้าผ้า!AC388</f>
        <v>0</v>
      </c>
      <c r="R379" s="10">
        <f>[2]หน้าผ้า!AD388</f>
        <v>0</v>
      </c>
      <c r="S379" s="9">
        <f>[2]หน้าผ้า!Z388</f>
        <v>0</v>
      </c>
      <c r="T379" s="12">
        <f>[2]หน้าผ้า!X388</f>
        <v>0</v>
      </c>
      <c r="U379" s="11">
        <f>[2]หน้าผ้า!AA388</f>
        <v>0</v>
      </c>
      <c r="V379" s="10">
        <f>[2]หน้าผ้า!AJ388</f>
        <v>0</v>
      </c>
      <c r="W379" s="10">
        <f>[2]หน้าผ้า!AL388</f>
        <v>0</v>
      </c>
      <c r="X379" s="10">
        <f>[2]หน้าผ้า!AM388</f>
        <v>0</v>
      </c>
      <c r="Y379" s="10">
        <f>[2]หน้าผ้า!AN388</f>
        <v>0</v>
      </c>
      <c r="Z379" s="9">
        <f>[2]หน้าผ้า!AO388</f>
        <v>0</v>
      </c>
      <c r="AA379" s="8">
        <f>[2]หน้าผ้า!AQ388</f>
        <v>0</v>
      </c>
      <c r="AB379" s="8">
        <f>[2]หน้าผ้า!AR388</f>
        <v>0</v>
      </c>
      <c r="AC379" s="8">
        <f>[2]หน้าผ้า!AS388</f>
        <v>0</v>
      </c>
      <c r="AD379" s="8">
        <f>[2]หน้าผ้า!AT388</f>
        <v>0</v>
      </c>
      <c r="AE379" s="8">
        <f>[2]หน้าผ้า!AU388</f>
        <v>0</v>
      </c>
      <c r="AF379" s="8">
        <f>[2]หน้าผ้า!AI388</f>
        <v>0</v>
      </c>
      <c r="AG379" s="1">
        <f>[3]หน้าผ้า!DC391</f>
        <v>0</v>
      </c>
      <c r="AH379" s="1">
        <f>[2]หน้าผ้า!DL388</f>
        <v>0</v>
      </c>
      <c r="AI379" s="1">
        <f>[2]หน้าผ้า!DM388</f>
        <v>0</v>
      </c>
      <c r="AJ379" s="3">
        <f>[2]หน้าผ้า!DN388</f>
        <v>0</v>
      </c>
      <c r="AK379" s="3">
        <f>[2]หน้าผ้า!DQ388</f>
        <v>0</v>
      </c>
      <c r="AL379" s="3">
        <f>[2]หน้าผ้า!DR388</f>
        <v>0</v>
      </c>
      <c r="AM379" s="3">
        <f>[2]หน้าผ้า!DS388</f>
        <v>0</v>
      </c>
      <c r="AN379" s="3">
        <f>[2]หน้าผ้า!DT388</f>
        <v>0</v>
      </c>
      <c r="AO379" s="3">
        <f>[2]หน้าผ้า!DU388</f>
        <v>0</v>
      </c>
      <c r="AP379" s="3">
        <f>[2]หน้าผ้า!DP388</f>
        <v>0</v>
      </c>
      <c r="AQ379" s="3">
        <f>[2]หน้าผ้า!DW388</f>
        <v>0</v>
      </c>
      <c r="AR379" s="3">
        <f>[2]หน้าผ้า!DX388</f>
        <v>0</v>
      </c>
      <c r="AS379" s="3">
        <f>[2]หน้าผ้า!DY388</f>
        <v>0</v>
      </c>
      <c r="AT379" s="3">
        <f>[2]หน้าผ้า!DZ388</f>
        <v>0</v>
      </c>
      <c r="AU379" s="3">
        <f>[2]หน้าผ้า!EA388</f>
        <v>0</v>
      </c>
      <c r="AV379" s="1">
        <f>[2]หน้าผ้า!EB388</f>
        <v>0</v>
      </c>
      <c r="AW379" s="2">
        <f>[2]หน้าผ้า!EC388</f>
        <v>0</v>
      </c>
      <c r="AX379" s="2">
        <f>[2]หน้าผ้า!ED388</f>
        <v>0</v>
      </c>
      <c r="AY379" s="2">
        <f>[2]หน้าผ้า!AG388</f>
        <v>0</v>
      </c>
      <c r="AZ379" s="2">
        <f>[2]หน้าผ้า!EG388</f>
        <v>0</v>
      </c>
      <c r="BA379" s="2">
        <f>[2]หน้าผ้า!EH388</f>
        <v>0</v>
      </c>
      <c r="BB379" s="2">
        <f>[2]หน้าผ้า!EI388</f>
        <v>0</v>
      </c>
      <c r="BC379" s="1">
        <f>[2]หน้าผ้า!BZ388</f>
        <v>0</v>
      </c>
      <c r="BD379" s="56">
        <f>[2]หน้าผ้า!CA388</f>
        <v>0</v>
      </c>
    </row>
    <row r="380" spans="1:56" ht="27.75" customHeight="1" x14ac:dyDescent="0.45">
      <c r="A380" s="3">
        <f>[2]หน้าผ้า!C389</f>
        <v>0</v>
      </c>
      <c r="B380" s="14">
        <f>[2]หน้าผ้า!B389</f>
        <v>0</v>
      </c>
      <c r="C380" s="9">
        <f>[2]หน้าผ้า!E389</f>
        <v>0</v>
      </c>
      <c r="D380" s="13">
        <f>[2]หน้าผ้า!F389</f>
        <v>0</v>
      </c>
      <c r="E380" s="9">
        <f>[2]หน้าผ้า!G389</f>
        <v>0</v>
      </c>
      <c r="F380" s="9">
        <f>[2]หน้าผ้า!H389</f>
        <v>0</v>
      </c>
      <c r="G380" s="9">
        <f>[2]หน้าผ้า!I389</f>
        <v>0</v>
      </c>
      <c r="H380" s="9">
        <f>[2]หน้าผ้า!J389</f>
        <v>0</v>
      </c>
      <c r="I380" s="9">
        <f>[2]หน้าผ้า!L389</f>
        <v>0</v>
      </c>
      <c r="J380" s="9">
        <f>[2]หน้าผ้า!M389</f>
        <v>0</v>
      </c>
      <c r="K380" s="9">
        <f>[2]หน้าผ้า!N389</f>
        <v>0</v>
      </c>
      <c r="L380" s="9">
        <f>[2]หน้าผ้า!R389</f>
        <v>0</v>
      </c>
      <c r="M380" s="10">
        <f>[2]หน้าผ้า!T389</f>
        <v>0</v>
      </c>
      <c r="N380" s="9">
        <f>[2]หน้าผ้า!U389</f>
        <v>0</v>
      </c>
      <c r="O380" s="9">
        <f>[2]หน้าผ้า!V389</f>
        <v>0</v>
      </c>
      <c r="P380" s="10">
        <f>[2]หน้าผ้า!AB389</f>
        <v>0</v>
      </c>
      <c r="Q380" s="10">
        <f>[2]หน้าผ้า!AC389</f>
        <v>0</v>
      </c>
      <c r="R380" s="10">
        <f>[2]หน้าผ้า!AD389</f>
        <v>0</v>
      </c>
      <c r="S380" s="9">
        <f>[2]หน้าผ้า!Z389</f>
        <v>0</v>
      </c>
      <c r="T380" s="12">
        <f>[2]หน้าผ้า!X389</f>
        <v>0</v>
      </c>
      <c r="U380" s="11">
        <f>[2]หน้าผ้า!AA389</f>
        <v>0</v>
      </c>
      <c r="V380" s="10">
        <f>[2]หน้าผ้า!AJ389</f>
        <v>0</v>
      </c>
      <c r="W380" s="10">
        <f>[2]หน้าผ้า!AL389</f>
        <v>0</v>
      </c>
      <c r="X380" s="10">
        <f>[2]หน้าผ้า!AM389</f>
        <v>0</v>
      </c>
      <c r="Y380" s="10">
        <f>[2]หน้าผ้า!AN389</f>
        <v>0</v>
      </c>
      <c r="Z380" s="9">
        <f>[2]หน้าผ้า!AO389</f>
        <v>0</v>
      </c>
      <c r="AA380" s="8">
        <f>[2]หน้าผ้า!AQ389</f>
        <v>0</v>
      </c>
      <c r="AB380" s="8">
        <f>[2]หน้าผ้า!AR389</f>
        <v>0</v>
      </c>
      <c r="AC380" s="8">
        <f>[2]หน้าผ้า!AS389</f>
        <v>0</v>
      </c>
      <c r="AD380" s="8">
        <f>[2]หน้าผ้า!AT389</f>
        <v>0</v>
      </c>
      <c r="AE380" s="8">
        <f>[2]หน้าผ้า!AU389</f>
        <v>0</v>
      </c>
      <c r="AF380" s="8">
        <f>[2]หน้าผ้า!AI389</f>
        <v>0</v>
      </c>
      <c r="AG380" s="1">
        <f>[3]หน้าผ้า!DC392</f>
        <v>0</v>
      </c>
      <c r="AH380" s="1">
        <f>[2]หน้าผ้า!DL389</f>
        <v>0</v>
      </c>
      <c r="AI380" s="1">
        <f>[2]หน้าผ้า!DM389</f>
        <v>0</v>
      </c>
      <c r="AJ380" s="3">
        <f>[2]หน้าผ้า!DN389</f>
        <v>0</v>
      </c>
      <c r="AK380" s="3">
        <f>[2]หน้าผ้า!DQ389</f>
        <v>0</v>
      </c>
      <c r="AL380" s="3">
        <f>[2]หน้าผ้า!DR389</f>
        <v>0</v>
      </c>
      <c r="AM380" s="3">
        <f>[2]หน้าผ้า!DS389</f>
        <v>0</v>
      </c>
      <c r="AN380" s="3">
        <f>[2]หน้าผ้า!DT389</f>
        <v>0</v>
      </c>
      <c r="AO380" s="3">
        <f>[2]หน้าผ้า!DU389</f>
        <v>0</v>
      </c>
      <c r="AP380" s="3">
        <f>[2]หน้าผ้า!DP389</f>
        <v>0</v>
      </c>
      <c r="AQ380" s="3">
        <f>[2]หน้าผ้า!DW389</f>
        <v>0</v>
      </c>
      <c r="AR380" s="3">
        <f>[2]หน้าผ้า!DX389</f>
        <v>0</v>
      </c>
      <c r="AS380" s="3">
        <f>[2]หน้าผ้า!DY389</f>
        <v>0</v>
      </c>
      <c r="AT380" s="3">
        <f>[2]หน้าผ้า!DZ389</f>
        <v>0</v>
      </c>
      <c r="AU380" s="3">
        <f>[2]หน้าผ้า!EA389</f>
        <v>0</v>
      </c>
      <c r="AV380" s="1">
        <f>[2]หน้าผ้า!EB389</f>
        <v>0</v>
      </c>
      <c r="AW380" s="2">
        <f>[2]หน้าผ้า!EC389</f>
        <v>0</v>
      </c>
      <c r="AX380" s="2">
        <f>[2]หน้าผ้า!ED389</f>
        <v>0</v>
      </c>
      <c r="AY380" s="2">
        <f>[2]หน้าผ้า!AG389</f>
        <v>0</v>
      </c>
      <c r="AZ380" s="2">
        <f>[2]หน้าผ้า!EG389</f>
        <v>0</v>
      </c>
      <c r="BA380" s="2">
        <f>[2]หน้าผ้า!EH389</f>
        <v>0</v>
      </c>
      <c r="BB380" s="2">
        <f>[2]หน้าผ้า!EI389</f>
        <v>0</v>
      </c>
      <c r="BC380" s="1">
        <f>[2]หน้าผ้า!BZ389</f>
        <v>0</v>
      </c>
      <c r="BD380" s="56">
        <f>[2]หน้าผ้า!CA389</f>
        <v>0</v>
      </c>
    </row>
    <row r="381" spans="1:56" ht="27.75" customHeight="1" x14ac:dyDescent="0.45">
      <c r="A381" s="3">
        <f>[2]หน้าผ้า!C390</f>
        <v>0</v>
      </c>
      <c r="B381" s="14">
        <f>[2]หน้าผ้า!B390</f>
        <v>0</v>
      </c>
      <c r="C381" s="9">
        <f>[2]หน้าผ้า!E390</f>
        <v>0</v>
      </c>
      <c r="D381" s="13">
        <f>[2]หน้าผ้า!F390</f>
        <v>0</v>
      </c>
      <c r="E381" s="9">
        <f>[2]หน้าผ้า!G390</f>
        <v>0</v>
      </c>
      <c r="F381" s="9">
        <f>[2]หน้าผ้า!H390</f>
        <v>0</v>
      </c>
      <c r="G381" s="9">
        <f>[2]หน้าผ้า!I390</f>
        <v>0</v>
      </c>
      <c r="H381" s="9">
        <f>[2]หน้าผ้า!J390</f>
        <v>0</v>
      </c>
      <c r="I381" s="9">
        <f>[2]หน้าผ้า!L390</f>
        <v>0</v>
      </c>
      <c r="J381" s="9">
        <f>[2]หน้าผ้า!M390</f>
        <v>0</v>
      </c>
      <c r="K381" s="9">
        <f>[2]หน้าผ้า!N390</f>
        <v>0</v>
      </c>
      <c r="L381" s="9">
        <f>[2]หน้าผ้า!R390</f>
        <v>0</v>
      </c>
      <c r="M381" s="10">
        <f>[2]หน้าผ้า!T390</f>
        <v>0</v>
      </c>
      <c r="N381" s="9">
        <f>[2]หน้าผ้า!U390</f>
        <v>0</v>
      </c>
      <c r="O381" s="9">
        <f>[2]หน้าผ้า!V390</f>
        <v>0</v>
      </c>
      <c r="P381" s="10">
        <f>[2]หน้าผ้า!AB390</f>
        <v>0</v>
      </c>
      <c r="Q381" s="10">
        <f>[2]หน้าผ้า!AC390</f>
        <v>0</v>
      </c>
      <c r="R381" s="10">
        <f>[2]หน้าผ้า!AD390</f>
        <v>0</v>
      </c>
      <c r="S381" s="9">
        <f>[2]หน้าผ้า!Z390</f>
        <v>0</v>
      </c>
      <c r="T381" s="12">
        <f>[2]หน้าผ้า!X390</f>
        <v>0</v>
      </c>
      <c r="U381" s="11">
        <f>[2]หน้าผ้า!AA390</f>
        <v>0</v>
      </c>
      <c r="V381" s="10">
        <f>[2]หน้าผ้า!AJ390</f>
        <v>0</v>
      </c>
      <c r="W381" s="10">
        <f>[2]หน้าผ้า!AL390</f>
        <v>0</v>
      </c>
      <c r="X381" s="10">
        <f>[2]หน้าผ้า!AM390</f>
        <v>0</v>
      </c>
      <c r="Y381" s="10">
        <f>[2]หน้าผ้า!AN390</f>
        <v>0</v>
      </c>
      <c r="Z381" s="9">
        <f>[2]หน้าผ้า!AO390</f>
        <v>0</v>
      </c>
      <c r="AA381" s="8">
        <f>[2]หน้าผ้า!AQ390</f>
        <v>0</v>
      </c>
      <c r="AB381" s="8">
        <f>[2]หน้าผ้า!AR390</f>
        <v>0</v>
      </c>
      <c r="AC381" s="8">
        <f>[2]หน้าผ้า!AS390</f>
        <v>0</v>
      </c>
      <c r="AD381" s="8">
        <f>[2]หน้าผ้า!AT390</f>
        <v>0</v>
      </c>
      <c r="AE381" s="8">
        <f>[2]หน้าผ้า!AU390</f>
        <v>0</v>
      </c>
      <c r="AF381" s="8">
        <f>[2]หน้าผ้า!AI390</f>
        <v>0</v>
      </c>
      <c r="AG381" s="1">
        <f>[3]หน้าผ้า!DC393</f>
        <v>0</v>
      </c>
      <c r="AH381" s="1">
        <f>[2]หน้าผ้า!DL390</f>
        <v>0</v>
      </c>
      <c r="AI381" s="1">
        <f>[2]หน้าผ้า!DM390</f>
        <v>0</v>
      </c>
      <c r="AJ381" s="3">
        <f>[2]หน้าผ้า!DN390</f>
        <v>0</v>
      </c>
      <c r="AK381" s="3">
        <f>[2]หน้าผ้า!DQ390</f>
        <v>0</v>
      </c>
      <c r="AL381" s="3">
        <f>[2]หน้าผ้า!DR390</f>
        <v>0</v>
      </c>
      <c r="AM381" s="3">
        <f>[2]หน้าผ้า!DS390</f>
        <v>0</v>
      </c>
      <c r="AN381" s="3">
        <f>[2]หน้าผ้า!DT390</f>
        <v>0</v>
      </c>
      <c r="AO381" s="3">
        <f>[2]หน้าผ้า!DU390</f>
        <v>0</v>
      </c>
      <c r="AP381" s="3">
        <f>[2]หน้าผ้า!DP390</f>
        <v>0</v>
      </c>
      <c r="AQ381" s="3">
        <f>[2]หน้าผ้า!DW390</f>
        <v>0</v>
      </c>
      <c r="AR381" s="3">
        <f>[2]หน้าผ้า!DX390</f>
        <v>0</v>
      </c>
      <c r="AS381" s="3">
        <f>[2]หน้าผ้า!DY390</f>
        <v>0</v>
      </c>
      <c r="AT381" s="3">
        <f>[2]หน้าผ้า!DZ390</f>
        <v>0</v>
      </c>
      <c r="AU381" s="3">
        <f>[2]หน้าผ้า!EA390</f>
        <v>0</v>
      </c>
      <c r="AV381" s="1">
        <f>[2]หน้าผ้า!EB390</f>
        <v>0</v>
      </c>
      <c r="AW381" s="2">
        <f>[2]หน้าผ้า!EC390</f>
        <v>0</v>
      </c>
      <c r="AX381" s="2">
        <f>[2]หน้าผ้า!ED390</f>
        <v>0</v>
      </c>
      <c r="AY381" s="2">
        <f>[2]หน้าผ้า!AG390</f>
        <v>0</v>
      </c>
      <c r="AZ381" s="2">
        <f>[2]หน้าผ้า!EG390</f>
        <v>0</v>
      </c>
      <c r="BA381" s="2">
        <f>[2]หน้าผ้า!EH390</f>
        <v>0</v>
      </c>
      <c r="BB381" s="2">
        <f>[2]หน้าผ้า!EI390</f>
        <v>0</v>
      </c>
      <c r="BC381" s="1">
        <f>[2]หน้าผ้า!BZ390</f>
        <v>0</v>
      </c>
      <c r="BD381" s="56">
        <f>[2]หน้าผ้า!CA390</f>
        <v>0</v>
      </c>
    </row>
    <row r="382" spans="1:56" ht="27.75" customHeight="1" x14ac:dyDescent="0.45">
      <c r="A382" s="3">
        <f>[2]หน้าผ้า!C391</f>
        <v>0</v>
      </c>
      <c r="B382" s="14">
        <f>[2]หน้าผ้า!B391</f>
        <v>0</v>
      </c>
      <c r="C382" s="9">
        <f>[2]หน้าผ้า!E391</f>
        <v>0</v>
      </c>
      <c r="D382" s="13">
        <f>[2]หน้าผ้า!F391</f>
        <v>0</v>
      </c>
      <c r="E382" s="9">
        <f>[2]หน้าผ้า!G391</f>
        <v>0</v>
      </c>
      <c r="F382" s="9">
        <f>[2]หน้าผ้า!H391</f>
        <v>0</v>
      </c>
      <c r="G382" s="9">
        <f>[2]หน้าผ้า!I391</f>
        <v>0</v>
      </c>
      <c r="H382" s="9">
        <f>[2]หน้าผ้า!J391</f>
        <v>0</v>
      </c>
      <c r="I382" s="9">
        <f>[2]หน้าผ้า!L391</f>
        <v>0</v>
      </c>
      <c r="J382" s="9">
        <f>[2]หน้าผ้า!M391</f>
        <v>0</v>
      </c>
      <c r="K382" s="9">
        <f>[2]หน้าผ้า!N391</f>
        <v>0</v>
      </c>
      <c r="L382" s="9">
        <f>[2]หน้าผ้า!R391</f>
        <v>0</v>
      </c>
      <c r="M382" s="10">
        <f>[2]หน้าผ้า!T391</f>
        <v>0</v>
      </c>
      <c r="N382" s="9">
        <f>[2]หน้าผ้า!U391</f>
        <v>0</v>
      </c>
      <c r="O382" s="9">
        <f>[2]หน้าผ้า!V391</f>
        <v>0</v>
      </c>
      <c r="P382" s="10">
        <f>[2]หน้าผ้า!AB391</f>
        <v>0</v>
      </c>
      <c r="Q382" s="10">
        <f>[2]หน้าผ้า!AC391</f>
        <v>0</v>
      </c>
      <c r="R382" s="10">
        <f>[2]หน้าผ้า!AD391</f>
        <v>0</v>
      </c>
      <c r="S382" s="9">
        <f>[2]หน้าผ้า!Z391</f>
        <v>0</v>
      </c>
      <c r="T382" s="12">
        <f>[2]หน้าผ้า!X391</f>
        <v>0</v>
      </c>
      <c r="U382" s="11">
        <f>[2]หน้าผ้า!AA391</f>
        <v>0</v>
      </c>
      <c r="V382" s="10">
        <f>[2]หน้าผ้า!AJ391</f>
        <v>0</v>
      </c>
      <c r="W382" s="10">
        <f>[2]หน้าผ้า!AL391</f>
        <v>0</v>
      </c>
      <c r="X382" s="10">
        <f>[2]หน้าผ้า!AM391</f>
        <v>0</v>
      </c>
      <c r="Y382" s="10">
        <f>[2]หน้าผ้า!AN391</f>
        <v>0</v>
      </c>
      <c r="Z382" s="9">
        <f>[2]หน้าผ้า!AO391</f>
        <v>0</v>
      </c>
      <c r="AA382" s="8">
        <f>[2]หน้าผ้า!AQ391</f>
        <v>0</v>
      </c>
      <c r="AB382" s="8">
        <f>[2]หน้าผ้า!AR391</f>
        <v>0</v>
      </c>
      <c r="AC382" s="8">
        <f>[2]หน้าผ้า!AS391</f>
        <v>0</v>
      </c>
      <c r="AD382" s="8">
        <f>[2]หน้าผ้า!AT391</f>
        <v>0</v>
      </c>
      <c r="AE382" s="8">
        <f>[2]หน้าผ้า!AU391</f>
        <v>0</v>
      </c>
      <c r="AF382" s="8">
        <f>[2]หน้าผ้า!AI391</f>
        <v>0</v>
      </c>
      <c r="AG382" s="1">
        <f>[3]หน้าผ้า!DC394</f>
        <v>0</v>
      </c>
      <c r="AH382" s="1">
        <f>[2]หน้าผ้า!DL391</f>
        <v>0</v>
      </c>
      <c r="AI382" s="1">
        <f>[2]หน้าผ้า!DM391</f>
        <v>0</v>
      </c>
      <c r="AJ382" s="3">
        <f>[2]หน้าผ้า!DN391</f>
        <v>0</v>
      </c>
      <c r="AK382" s="3">
        <f>[2]หน้าผ้า!DQ391</f>
        <v>0</v>
      </c>
      <c r="AL382" s="3">
        <f>[2]หน้าผ้า!DR391</f>
        <v>0</v>
      </c>
      <c r="AM382" s="3">
        <f>[2]หน้าผ้า!DS391</f>
        <v>0</v>
      </c>
      <c r="AN382" s="3">
        <f>[2]หน้าผ้า!DT391</f>
        <v>0</v>
      </c>
      <c r="AO382" s="3">
        <f>[2]หน้าผ้า!DU391</f>
        <v>0</v>
      </c>
      <c r="AP382" s="3">
        <f>[2]หน้าผ้า!DP391</f>
        <v>0</v>
      </c>
      <c r="AQ382" s="3">
        <f>[2]หน้าผ้า!DW391</f>
        <v>0</v>
      </c>
      <c r="AR382" s="3">
        <f>[2]หน้าผ้า!DX391</f>
        <v>0</v>
      </c>
      <c r="AS382" s="3">
        <f>[2]หน้าผ้า!DY391</f>
        <v>0</v>
      </c>
      <c r="AT382" s="3">
        <f>[2]หน้าผ้า!DZ391</f>
        <v>0</v>
      </c>
      <c r="AU382" s="3">
        <f>[2]หน้าผ้า!EA391</f>
        <v>0</v>
      </c>
      <c r="AV382" s="1">
        <f>[2]หน้าผ้า!EB391</f>
        <v>0</v>
      </c>
      <c r="AW382" s="2">
        <f>[2]หน้าผ้า!EC391</f>
        <v>0</v>
      </c>
      <c r="AX382" s="2">
        <f>[2]หน้าผ้า!ED391</f>
        <v>0</v>
      </c>
      <c r="AY382" s="2">
        <f>[2]หน้าผ้า!AG391</f>
        <v>0</v>
      </c>
      <c r="AZ382" s="2">
        <f>[2]หน้าผ้า!EG391</f>
        <v>0</v>
      </c>
      <c r="BA382" s="2">
        <f>[2]หน้าผ้า!EH391</f>
        <v>0</v>
      </c>
      <c r="BB382" s="2">
        <f>[2]หน้าผ้า!EI391</f>
        <v>0</v>
      </c>
      <c r="BC382" s="1">
        <f>[2]หน้าผ้า!BZ391</f>
        <v>0</v>
      </c>
      <c r="BD382" s="56">
        <f>[2]หน้าผ้า!CA391</f>
        <v>0</v>
      </c>
    </row>
    <row r="383" spans="1:56" ht="27.75" customHeight="1" x14ac:dyDescent="0.45">
      <c r="A383" s="3">
        <f>[2]หน้าผ้า!C392</f>
        <v>0</v>
      </c>
      <c r="B383" s="14">
        <f>[2]หน้าผ้า!B392</f>
        <v>0</v>
      </c>
      <c r="C383" s="9">
        <f>[2]หน้าผ้า!E392</f>
        <v>0</v>
      </c>
      <c r="D383" s="13">
        <f>[2]หน้าผ้า!F392</f>
        <v>0</v>
      </c>
      <c r="E383" s="9">
        <f>[2]หน้าผ้า!G392</f>
        <v>0</v>
      </c>
      <c r="F383" s="9">
        <f>[2]หน้าผ้า!H392</f>
        <v>0</v>
      </c>
      <c r="G383" s="9">
        <f>[2]หน้าผ้า!I392</f>
        <v>0</v>
      </c>
      <c r="H383" s="9">
        <f>[2]หน้าผ้า!J392</f>
        <v>0</v>
      </c>
      <c r="I383" s="9">
        <f>[2]หน้าผ้า!L392</f>
        <v>0</v>
      </c>
      <c r="J383" s="9">
        <f>[2]หน้าผ้า!M392</f>
        <v>0</v>
      </c>
      <c r="K383" s="9">
        <f>[2]หน้าผ้า!N392</f>
        <v>0</v>
      </c>
      <c r="L383" s="9">
        <f>[2]หน้าผ้า!R392</f>
        <v>0</v>
      </c>
      <c r="M383" s="10">
        <f>[2]หน้าผ้า!T392</f>
        <v>0</v>
      </c>
      <c r="N383" s="9">
        <f>[2]หน้าผ้า!U392</f>
        <v>0</v>
      </c>
      <c r="O383" s="9">
        <f>[2]หน้าผ้า!V392</f>
        <v>0</v>
      </c>
      <c r="P383" s="10">
        <f>[2]หน้าผ้า!AB392</f>
        <v>0</v>
      </c>
      <c r="Q383" s="10">
        <f>[2]หน้าผ้า!AC392</f>
        <v>0</v>
      </c>
      <c r="R383" s="10">
        <f>[2]หน้าผ้า!AD392</f>
        <v>0</v>
      </c>
      <c r="S383" s="9">
        <f>[2]หน้าผ้า!Z392</f>
        <v>0</v>
      </c>
      <c r="T383" s="12">
        <f>[2]หน้าผ้า!X392</f>
        <v>0</v>
      </c>
      <c r="U383" s="11">
        <f>[2]หน้าผ้า!AA392</f>
        <v>0</v>
      </c>
      <c r="V383" s="10">
        <f>[2]หน้าผ้า!AJ392</f>
        <v>0</v>
      </c>
      <c r="W383" s="10">
        <f>[2]หน้าผ้า!AL392</f>
        <v>0</v>
      </c>
      <c r="X383" s="10">
        <f>[2]หน้าผ้า!AM392</f>
        <v>0</v>
      </c>
      <c r="Y383" s="10">
        <f>[2]หน้าผ้า!AN392</f>
        <v>0</v>
      </c>
      <c r="Z383" s="9">
        <f>[2]หน้าผ้า!AO392</f>
        <v>0</v>
      </c>
      <c r="AA383" s="8">
        <f>[2]หน้าผ้า!AQ392</f>
        <v>0</v>
      </c>
      <c r="AB383" s="8">
        <f>[2]หน้าผ้า!AR392</f>
        <v>0</v>
      </c>
      <c r="AC383" s="8">
        <f>[2]หน้าผ้า!AS392</f>
        <v>0</v>
      </c>
      <c r="AD383" s="8">
        <f>[2]หน้าผ้า!AT392</f>
        <v>0</v>
      </c>
      <c r="AE383" s="8">
        <f>[2]หน้าผ้า!AU392</f>
        <v>0</v>
      </c>
      <c r="AF383" s="8">
        <f>[2]หน้าผ้า!AI392</f>
        <v>0</v>
      </c>
      <c r="AG383" s="1">
        <f>[3]หน้าผ้า!DC395</f>
        <v>0</v>
      </c>
      <c r="AH383" s="1">
        <f>[2]หน้าผ้า!DL392</f>
        <v>0</v>
      </c>
      <c r="AI383" s="1">
        <f>[2]หน้าผ้า!DM392</f>
        <v>0</v>
      </c>
      <c r="AJ383" s="3">
        <f>[2]หน้าผ้า!DN392</f>
        <v>0</v>
      </c>
      <c r="AK383" s="3">
        <f>[2]หน้าผ้า!DQ392</f>
        <v>0</v>
      </c>
      <c r="AL383" s="3">
        <f>[2]หน้าผ้า!DR392</f>
        <v>0</v>
      </c>
      <c r="AM383" s="3">
        <f>[2]หน้าผ้า!DS392</f>
        <v>0</v>
      </c>
      <c r="AN383" s="3">
        <f>[2]หน้าผ้า!DT392</f>
        <v>0</v>
      </c>
      <c r="AO383" s="3">
        <f>[2]หน้าผ้า!DU392</f>
        <v>0</v>
      </c>
      <c r="AP383" s="3">
        <f>[2]หน้าผ้า!DP392</f>
        <v>0</v>
      </c>
      <c r="AQ383" s="3">
        <f>[2]หน้าผ้า!DW392</f>
        <v>0</v>
      </c>
      <c r="AR383" s="3">
        <f>[2]หน้าผ้า!DX392</f>
        <v>0</v>
      </c>
      <c r="AS383" s="3">
        <f>[2]หน้าผ้า!DY392</f>
        <v>0</v>
      </c>
      <c r="AT383" s="3">
        <f>[2]หน้าผ้า!DZ392</f>
        <v>0</v>
      </c>
      <c r="AU383" s="3">
        <f>[2]หน้าผ้า!EA392</f>
        <v>0</v>
      </c>
      <c r="AV383" s="1">
        <f>[2]หน้าผ้า!EB392</f>
        <v>0</v>
      </c>
      <c r="AW383" s="2">
        <f>[2]หน้าผ้า!EC392</f>
        <v>0</v>
      </c>
      <c r="AX383" s="2">
        <f>[2]หน้าผ้า!ED392</f>
        <v>0</v>
      </c>
      <c r="AY383" s="2">
        <f>[2]หน้าผ้า!AG392</f>
        <v>0</v>
      </c>
      <c r="AZ383" s="2">
        <f>[2]หน้าผ้า!EG392</f>
        <v>0</v>
      </c>
      <c r="BA383" s="2">
        <f>[2]หน้าผ้า!EH392</f>
        <v>0</v>
      </c>
      <c r="BB383" s="2">
        <f>[2]หน้าผ้า!EI392</f>
        <v>0</v>
      </c>
      <c r="BC383" s="1">
        <f>[2]หน้าผ้า!BZ392</f>
        <v>0</v>
      </c>
      <c r="BD383" s="56">
        <f>[2]หน้าผ้า!CA392</f>
        <v>0</v>
      </c>
    </row>
    <row r="384" spans="1:56" ht="27.75" customHeight="1" x14ac:dyDescent="0.45">
      <c r="A384" s="3">
        <f>[2]หน้าผ้า!C393</f>
        <v>0</v>
      </c>
      <c r="B384" s="14">
        <f>[2]หน้าผ้า!B393</f>
        <v>0</v>
      </c>
      <c r="C384" s="9">
        <f>[2]หน้าผ้า!E393</f>
        <v>0</v>
      </c>
      <c r="D384" s="13">
        <f>[2]หน้าผ้า!F393</f>
        <v>0</v>
      </c>
      <c r="E384" s="9">
        <f>[2]หน้าผ้า!G393</f>
        <v>0</v>
      </c>
      <c r="F384" s="9">
        <f>[2]หน้าผ้า!H393</f>
        <v>0</v>
      </c>
      <c r="G384" s="9">
        <f>[2]หน้าผ้า!I393</f>
        <v>0</v>
      </c>
      <c r="H384" s="9">
        <f>[2]หน้าผ้า!J393</f>
        <v>0</v>
      </c>
      <c r="I384" s="9">
        <f>[2]หน้าผ้า!L393</f>
        <v>0</v>
      </c>
      <c r="J384" s="9">
        <f>[2]หน้าผ้า!M393</f>
        <v>0</v>
      </c>
      <c r="K384" s="9">
        <f>[2]หน้าผ้า!N393</f>
        <v>0</v>
      </c>
      <c r="L384" s="9">
        <f>[2]หน้าผ้า!R393</f>
        <v>0</v>
      </c>
      <c r="M384" s="10">
        <f>[2]หน้าผ้า!T393</f>
        <v>0</v>
      </c>
      <c r="N384" s="9">
        <f>[2]หน้าผ้า!U393</f>
        <v>0</v>
      </c>
      <c r="O384" s="9">
        <f>[2]หน้าผ้า!V393</f>
        <v>0</v>
      </c>
      <c r="P384" s="10">
        <f>[2]หน้าผ้า!AB393</f>
        <v>0</v>
      </c>
      <c r="Q384" s="10">
        <f>[2]หน้าผ้า!AC393</f>
        <v>0</v>
      </c>
      <c r="R384" s="10">
        <f>[2]หน้าผ้า!AD393</f>
        <v>0</v>
      </c>
      <c r="S384" s="9">
        <f>[2]หน้าผ้า!Z393</f>
        <v>0</v>
      </c>
      <c r="T384" s="12">
        <f>[2]หน้าผ้า!X393</f>
        <v>0</v>
      </c>
      <c r="U384" s="11">
        <f>[2]หน้าผ้า!AA393</f>
        <v>0</v>
      </c>
      <c r="V384" s="10">
        <f>[2]หน้าผ้า!AJ393</f>
        <v>0</v>
      </c>
      <c r="W384" s="10">
        <f>[2]หน้าผ้า!AL393</f>
        <v>0</v>
      </c>
      <c r="X384" s="10">
        <f>[2]หน้าผ้า!AM393</f>
        <v>0</v>
      </c>
      <c r="Y384" s="10">
        <f>[2]หน้าผ้า!AN393</f>
        <v>0</v>
      </c>
      <c r="Z384" s="9">
        <f>[2]หน้าผ้า!AO393</f>
        <v>0</v>
      </c>
      <c r="AA384" s="8">
        <f>[2]หน้าผ้า!AQ393</f>
        <v>0</v>
      </c>
      <c r="AB384" s="8">
        <f>[2]หน้าผ้า!AR393</f>
        <v>0</v>
      </c>
      <c r="AC384" s="8">
        <f>[2]หน้าผ้า!AS393</f>
        <v>0</v>
      </c>
      <c r="AD384" s="8">
        <f>[2]หน้าผ้า!AT393</f>
        <v>0</v>
      </c>
      <c r="AE384" s="8">
        <f>[2]หน้าผ้า!AU393</f>
        <v>0</v>
      </c>
      <c r="AF384" s="8">
        <f>[2]หน้าผ้า!AI393</f>
        <v>0</v>
      </c>
      <c r="AG384" s="1">
        <f>[3]หน้าผ้า!DC396</f>
        <v>0</v>
      </c>
      <c r="AH384" s="1">
        <f>[2]หน้าผ้า!DL393</f>
        <v>0</v>
      </c>
      <c r="AI384" s="1">
        <f>[2]หน้าผ้า!DM393</f>
        <v>0</v>
      </c>
      <c r="AJ384" s="3">
        <f>[2]หน้าผ้า!DN393</f>
        <v>0</v>
      </c>
      <c r="AK384" s="3">
        <f>[2]หน้าผ้า!DQ393</f>
        <v>0</v>
      </c>
      <c r="AL384" s="3">
        <f>[2]หน้าผ้า!DR393</f>
        <v>0</v>
      </c>
      <c r="AM384" s="3">
        <f>[2]หน้าผ้า!DS393</f>
        <v>0</v>
      </c>
      <c r="AN384" s="3">
        <f>[2]หน้าผ้า!DT393</f>
        <v>0</v>
      </c>
      <c r="AO384" s="3">
        <f>[2]หน้าผ้า!DU393</f>
        <v>0</v>
      </c>
      <c r="AP384" s="3">
        <f>[2]หน้าผ้า!DP393</f>
        <v>0</v>
      </c>
      <c r="AQ384" s="3">
        <f>[2]หน้าผ้า!DW393</f>
        <v>0</v>
      </c>
      <c r="AR384" s="3">
        <f>[2]หน้าผ้า!DX393</f>
        <v>0</v>
      </c>
      <c r="AS384" s="3">
        <f>[2]หน้าผ้า!DY393</f>
        <v>0</v>
      </c>
      <c r="AT384" s="3">
        <f>[2]หน้าผ้า!DZ393</f>
        <v>0</v>
      </c>
      <c r="AU384" s="3">
        <f>[2]หน้าผ้า!EA393</f>
        <v>0</v>
      </c>
      <c r="AV384" s="1">
        <f>[2]หน้าผ้า!EB393</f>
        <v>0</v>
      </c>
      <c r="AW384" s="2">
        <f>[2]หน้าผ้า!EC393</f>
        <v>0</v>
      </c>
      <c r="AX384" s="2">
        <f>[2]หน้าผ้า!ED393</f>
        <v>0</v>
      </c>
      <c r="AY384" s="2">
        <f>[2]หน้าผ้า!AG393</f>
        <v>0</v>
      </c>
      <c r="AZ384" s="2">
        <f>[2]หน้าผ้า!EG393</f>
        <v>0</v>
      </c>
      <c r="BA384" s="2">
        <f>[2]หน้าผ้า!EH393</f>
        <v>0</v>
      </c>
      <c r="BB384" s="2">
        <f>[2]หน้าผ้า!EI393</f>
        <v>0</v>
      </c>
      <c r="BC384" s="1">
        <f>[2]หน้าผ้า!BZ393</f>
        <v>0</v>
      </c>
      <c r="BD384" s="56">
        <f>[2]หน้าผ้า!CA393</f>
        <v>0</v>
      </c>
    </row>
    <row r="385" spans="1:56" ht="27.75" customHeight="1" x14ac:dyDescent="0.45">
      <c r="A385" s="3">
        <f>[2]หน้าผ้า!C394</f>
        <v>0</v>
      </c>
      <c r="B385" s="14">
        <f>[2]หน้าผ้า!B394</f>
        <v>0</v>
      </c>
      <c r="C385" s="9">
        <f>[2]หน้าผ้า!E394</f>
        <v>0</v>
      </c>
      <c r="D385" s="13">
        <f>[2]หน้าผ้า!F394</f>
        <v>0</v>
      </c>
      <c r="E385" s="9">
        <f>[2]หน้าผ้า!G394</f>
        <v>0</v>
      </c>
      <c r="F385" s="9">
        <f>[2]หน้าผ้า!H394</f>
        <v>0</v>
      </c>
      <c r="G385" s="9">
        <f>[2]หน้าผ้า!I394</f>
        <v>0</v>
      </c>
      <c r="H385" s="9">
        <f>[2]หน้าผ้า!J394</f>
        <v>0</v>
      </c>
      <c r="I385" s="9">
        <f>[2]หน้าผ้า!L394</f>
        <v>0</v>
      </c>
      <c r="J385" s="9">
        <f>[2]หน้าผ้า!M394</f>
        <v>0</v>
      </c>
      <c r="K385" s="9">
        <f>[2]หน้าผ้า!N394</f>
        <v>0</v>
      </c>
      <c r="L385" s="9">
        <f>[2]หน้าผ้า!R394</f>
        <v>0</v>
      </c>
      <c r="M385" s="10">
        <f>[2]หน้าผ้า!T394</f>
        <v>0</v>
      </c>
      <c r="N385" s="9">
        <f>[2]หน้าผ้า!U394</f>
        <v>0</v>
      </c>
      <c r="O385" s="9">
        <f>[2]หน้าผ้า!V394</f>
        <v>0</v>
      </c>
      <c r="P385" s="10">
        <f>[2]หน้าผ้า!AB394</f>
        <v>0</v>
      </c>
      <c r="Q385" s="10">
        <f>[2]หน้าผ้า!AC394</f>
        <v>0</v>
      </c>
      <c r="R385" s="10">
        <f>[2]หน้าผ้า!AD394</f>
        <v>0</v>
      </c>
      <c r="S385" s="9">
        <f>[2]หน้าผ้า!Z394</f>
        <v>0</v>
      </c>
      <c r="T385" s="12">
        <f>[2]หน้าผ้า!X394</f>
        <v>0</v>
      </c>
      <c r="U385" s="11">
        <f>[2]หน้าผ้า!AA394</f>
        <v>0</v>
      </c>
      <c r="V385" s="10">
        <f>[2]หน้าผ้า!AJ394</f>
        <v>0</v>
      </c>
      <c r="W385" s="10">
        <f>[2]หน้าผ้า!AL394</f>
        <v>0</v>
      </c>
      <c r="X385" s="10">
        <f>[2]หน้าผ้า!AM394</f>
        <v>0</v>
      </c>
      <c r="Y385" s="10">
        <f>[2]หน้าผ้า!AN394</f>
        <v>0</v>
      </c>
      <c r="Z385" s="9">
        <f>[2]หน้าผ้า!AO394</f>
        <v>0</v>
      </c>
      <c r="AA385" s="8">
        <f>[2]หน้าผ้า!AQ394</f>
        <v>0</v>
      </c>
      <c r="AB385" s="8">
        <f>[2]หน้าผ้า!AR394</f>
        <v>0</v>
      </c>
      <c r="AC385" s="8">
        <f>[2]หน้าผ้า!AS394</f>
        <v>0</v>
      </c>
      <c r="AD385" s="8">
        <f>[2]หน้าผ้า!AT394</f>
        <v>0</v>
      </c>
      <c r="AE385" s="8">
        <f>[2]หน้าผ้า!AU394</f>
        <v>0</v>
      </c>
      <c r="AF385" s="8">
        <f>[2]หน้าผ้า!AI394</f>
        <v>0</v>
      </c>
      <c r="AG385" s="1">
        <f>[3]หน้าผ้า!DC397</f>
        <v>0</v>
      </c>
      <c r="AH385" s="1">
        <f>[2]หน้าผ้า!DL394</f>
        <v>0</v>
      </c>
      <c r="AI385" s="1">
        <f>[2]หน้าผ้า!DM394</f>
        <v>0</v>
      </c>
      <c r="AJ385" s="3">
        <f>[2]หน้าผ้า!DN394</f>
        <v>0</v>
      </c>
      <c r="AK385" s="3">
        <f>[2]หน้าผ้า!DQ394</f>
        <v>0</v>
      </c>
      <c r="AL385" s="3">
        <f>[2]หน้าผ้า!DR394</f>
        <v>0</v>
      </c>
      <c r="AM385" s="3">
        <f>[2]หน้าผ้า!DS394</f>
        <v>0</v>
      </c>
      <c r="AN385" s="3">
        <f>[2]หน้าผ้า!DT394</f>
        <v>0</v>
      </c>
      <c r="AO385" s="3">
        <f>[2]หน้าผ้า!DU394</f>
        <v>0</v>
      </c>
      <c r="AP385" s="3">
        <f>[2]หน้าผ้า!DP394</f>
        <v>0</v>
      </c>
      <c r="AQ385" s="3">
        <f>[2]หน้าผ้า!DW394</f>
        <v>0</v>
      </c>
      <c r="AR385" s="3">
        <f>[2]หน้าผ้า!DX394</f>
        <v>0</v>
      </c>
      <c r="AS385" s="3">
        <f>[2]หน้าผ้า!DY394</f>
        <v>0</v>
      </c>
      <c r="AT385" s="3">
        <f>[2]หน้าผ้า!DZ394</f>
        <v>0</v>
      </c>
      <c r="AU385" s="3">
        <f>[2]หน้าผ้า!EA394</f>
        <v>0</v>
      </c>
      <c r="AV385" s="1">
        <f>[2]หน้าผ้า!EB394</f>
        <v>0</v>
      </c>
      <c r="AW385" s="2">
        <f>[2]หน้าผ้า!EC394</f>
        <v>0</v>
      </c>
      <c r="AX385" s="2">
        <f>[2]หน้าผ้า!ED394</f>
        <v>0</v>
      </c>
      <c r="AY385" s="2">
        <f>[2]หน้าผ้า!AG394</f>
        <v>0</v>
      </c>
      <c r="AZ385" s="2">
        <f>[2]หน้าผ้า!EG394</f>
        <v>0</v>
      </c>
      <c r="BA385" s="2">
        <f>[2]หน้าผ้า!EH394</f>
        <v>0</v>
      </c>
      <c r="BB385" s="2">
        <f>[2]หน้าผ้า!EI394</f>
        <v>0</v>
      </c>
      <c r="BC385" s="1">
        <f>[2]หน้าผ้า!BZ394</f>
        <v>0</v>
      </c>
      <c r="BD385" s="56">
        <f>[2]หน้าผ้า!CA394</f>
        <v>0</v>
      </c>
    </row>
    <row r="386" spans="1:56" ht="27.75" customHeight="1" x14ac:dyDescent="0.45">
      <c r="A386" s="3">
        <f>[2]หน้าผ้า!C395</f>
        <v>0</v>
      </c>
      <c r="B386" s="14">
        <f>[2]หน้าผ้า!B395</f>
        <v>0</v>
      </c>
      <c r="C386" s="9">
        <f>[2]หน้าผ้า!E395</f>
        <v>0</v>
      </c>
      <c r="D386" s="13">
        <f>[2]หน้าผ้า!F395</f>
        <v>0</v>
      </c>
      <c r="E386" s="9">
        <f>[2]หน้าผ้า!G395</f>
        <v>0</v>
      </c>
      <c r="F386" s="9">
        <f>[2]หน้าผ้า!H395</f>
        <v>0</v>
      </c>
      <c r="G386" s="9">
        <f>[2]หน้าผ้า!I395</f>
        <v>0</v>
      </c>
      <c r="H386" s="9">
        <f>[2]หน้าผ้า!J395</f>
        <v>0</v>
      </c>
      <c r="I386" s="9">
        <f>[2]หน้าผ้า!L395</f>
        <v>0</v>
      </c>
      <c r="J386" s="9">
        <f>[2]หน้าผ้า!M395</f>
        <v>0</v>
      </c>
      <c r="K386" s="9">
        <f>[2]หน้าผ้า!N395</f>
        <v>0</v>
      </c>
      <c r="L386" s="9">
        <f>[2]หน้าผ้า!R395</f>
        <v>0</v>
      </c>
      <c r="M386" s="10">
        <f>[2]หน้าผ้า!T395</f>
        <v>0</v>
      </c>
      <c r="N386" s="9">
        <f>[2]หน้าผ้า!U395</f>
        <v>0</v>
      </c>
      <c r="O386" s="9">
        <f>[2]หน้าผ้า!V395</f>
        <v>0</v>
      </c>
      <c r="P386" s="10">
        <f>[2]หน้าผ้า!AB395</f>
        <v>0</v>
      </c>
      <c r="Q386" s="10">
        <f>[2]หน้าผ้า!AC395</f>
        <v>0</v>
      </c>
      <c r="R386" s="10">
        <f>[2]หน้าผ้า!AD395</f>
        <v>0</v>
      </c>
      <c r="S386" s="9">
        <f>[2]หน้าผ้า!Z395</f>
        <v>0</v>
      </c>
      <c r="T386" s="12">
        <f>[2]หน้าผ้า!X395</f>
        <v>0</v>
      </c>
      <c r="U386" s="11">
        <f>[2]หน้าผ้า!AA395</f>
        <v>0</v>
      </c>
      <c r="V386" s="10">
        <f>[2]หน้าผ้า!AJ395</f>
        <v>0</v>
      </c>
      <c r="W386" s="10">
        <f>[2]หน้าผ้า!AL395</f>
        <v>0</v>
      </c>
      <c r="X386" s="10">
        <f>[2]หน้าผ้า!AM395</f>
        <v>0</v>
      </c>
      <c r="Y386" s="10">
        <f>[2]หน้าผ้า!AN395</f>
        <v>0</v>
      </c>
      <c r="Z386" s="9">
        <f>[2]หน้าผ้า!AO395</f>
        <v>0</v>
      </c>
      <c r="AA386" s="8">
        <f>[2]หน้าผ้า!AQ395</f>
        <v>0</v>
      </c>
      <c r="AB386" s="8">
        <f>[2]หน้าผ้า!AR395</f>
        <v>0</v>
      </c>
      <c r="AC386" s="8">
        <f>[2]หน้าผ้า!AS395</f>
        <v>0</v>
      </c>
      <c r="AD386" s="8">
        <f>[2]หน้าผ้า!AT395</f>
        <v>0</v>
      </c>
      <c r="AE386" s="8">
        <f>[2]หน้าผ้า!AU395</f>
        <v>0</v>
      </c>
      <c r="AF386" s="8">
        <f>[2]หน้าผ้า!AI395</f>
        <v>0</v>
      </c>
      <c r="AG386" s="1">
        <f>[3]หน้าผ้า!DC398</f>
        <v>0</v>
      </c>
      <c r="AH386" s="1">
        <f>[2]หน้าผ้า!DL395</f>
        <v>0</v>
      </c>
      <c r="AI386" s="1">
        <f>[2]หน้าผ้า!DM395</f>
        <v>0</v>
      </c>
      <c r="AJ386" s="3">
        <f>[2]หน้าผ้า!DN395</f>
        <v>0</v>
      </c>
      <c r="AK386" s="3">
        <f>[2]หน้าผ้า!DQ395</f>
        <v>0</v>
      </c>
      <c r="AL386" s="3">
        <f>[2]หน้าผ้า!DR395</f>
        <v>0</v>
      </c>
      <c r="AM386" s="3">
        <f>[2]หน้าผ้า!DS395</f>
        <v>0</v>
      </c>
      <c r="AN386" s="3">
        <f>[2]หน้าผ้า!DT395</f>
        <v>0</v>
      </c>
      <c r="AO386" s="3">
        <f>[2]หน้าผ้า!DU395</f>
        <v>0</v>
      </c>
      <c r="AP386" s="3">
        <f>[2]หน้าผ้า!DP395</f>
        <v>0</v>
      </c>
      <c r="AQ386" s="3">
        <f>[2]หน้าผ้า!DW395</f>
        <v>0</v>
      </c>
      <c r="AR386" s="3">
        <f>[2]หน้าผ้า!DX395</f>
        <v>0</v>
      </c>
      <c r="AS386" s="3">
        <f>[2]หน้าผ้า!DY395</f>
        <v>0</v>
      </c>
      <c r="AT386" s="3">
        <f>[2]หน้าผ้า!DZ395</f>
        <v>0</v>
      </c>
      <c r="AU386" s="3">
        <f>[2]หน้าผ้า!EA395</f>
        <v>0</v>
      </c>
      <c r="AV386" s="1">
        <f>[2]หน้าผ้า!EB395</f>
        <v>0</v>
      </c>
      <c r="AW386" s="2">
        <f>[2]หน้าผ้า!EC395</f>
        <v>0</v>
      </c>
      <c r="AX386" s="2">
        <f>[2]หน้าผ้า!ED395</f>
        <v>0</v>
      </c>
      <c r="AY386" s="2">
        <f>[2]หน้าผ้า!AG395</f>
        <v>0</v>
      </c>
      <c r="AZ386" s="2">
        <f>[2]หน้าผ้า!EG395</f>
        <v>0</v>
      </c>
      <c r="BA386" s="2">
        <f>[2]หน้าผ้า!EH395</f>
        <v>0</v>
      </c>
      <c r="BB386" s="2">
        <f>[2]หน้าผ้า!EI395</f>
        <v>0</v>
      </c>
      <c r="BC386" s="1">
        <f>[2]หน้าผ้า!BZ395</f>
        <v>0</v>
      </c>
      <c r="BD386" s="56">
        <f>[2]หน้าผ้า!CA395</f>
        <v>0</v>
      </c>
    </row>
    <row r="387" spans="1:56" ht="27.75" customHeight="1" x14ac:dyDescent="0.45">
      <c r="A387" s="3">
        <f>[2]หน้าผ้า!C396</f>
        <v>0</v>
      </c>
      <c r="B387" s="14">
        <f>[2]หน้าผ้า!B396</f>
        <v>0</v>
      </c>
      <c r="C387" s="9">
        <f>[2]หน้าผ้า!E396</f>
        <v>0</v>
      </c>
      <c r="D387" s="13">
        <f>[2]หน้าผ้า!F396</f>
        <v>0</v>
      </c>
      <c r="E387" s="9">
        <f>[2]หน้าผ้า!G396</f>
        <v>0</v>
      </c>
      <c r="F387" s="9">
        <f>[2]หน้าผ้า!H396</f>
        <v>0</v>
      </c>
      <c r="G387" s="9">
        <f>[2]หน้าผ้า!I396</f>
        <v>0</v>
      </c>
      <c r="H387" s="9">
        <f>[2]หน้าผ้า!J396</f>
        <v>0</v>
      </c>
      <c r="I387" s="9">
        <f>[2]หน้าผ้า!L396</f>
        <v>0</v>
      </c>
      <c r="J387" s="9">
        <f>[2]หน้าผ้า!M396</f>
        <v>0</v>
      </c>
      <c r="K387" s="9">
        <f>[2]หน้าผ้า!N396</f>
        <v>0</v>
      </c>
      <c r="L387" s="9">
        <f>[2]หน้าผ้า!R396</f>
        <v>0</v>
      </c>
      <c r="M387" s="10">
        <f>[2]หน้าผ้า!T396</f>
        <v>0</v>
      </c>
      <c r="N387" s="9">
        <f>[2]หน้าผ้า!U396</f>
        <v>0</v>
      </c>
      <c r="O387" s="9">
        <f>[2]หน้าผ้า!V396</f>
        <v>0</v>
      </c>
      <c r="P387" s="10">
        <f>[2]หน้าผ้า!AB396</f>
        <v>0</v>
      </c>
      <c r="Q387" s="10">
        <f>[2]หน้าผ้า!AC396</f>
        <v>0</v>
      </c>
      <c r="R387" s="10">
        <f>[2]หน้าผ้า!AD396</f>
        <v>0</v>
      </c>
      <c r="S387" s="9">
        <f>[2]หน้าผ้า!Z396</f>
        <v>0</v>
      </c>
      <c r="T387" s="12">
        <f>[2]หน้าผ้า!X396</f>
        <v>0</v>
      </c>
      <c r="U387" s="11">
        <f>[2]หน้าผ้า!AA396</f>
        <v>0</v>
      </c>
      <c r="V387" s="10">
        <f>[2]หน้าผ้า!AJ396</f>
        <v>0</v>
      </c>
      <c r="W387" s="10">
        <f>[2]หน้าผ้า!AL396</f>
        <v>0</v>
      </c>
      <c r="X387" s="10">
        <f>[2]หน้าผ้า!AM396</f>
        <v>0</v>
      </c>
      <c r="Y387" s="10">
        <f>[2]หน้าผ้า!AN396</f>
        <v>0</v>
      </c>
      <c r="Z387" s="9">
        <f>[2]หน้าผ้า!AO396</f>
        <v>0</v>
      </c>
      <c r="AA387" s="8">
        <f>[2]หน้าผ้า!AQ396</f>
        <v>0</v>
      </c>
      <c r="AB387" s="8">
        <f>[2]หน้าผ้า!AR396</f>
        <v>0</v>
      </c>
      <c r="AC387" s="8">
        <f>[2]หน้าผ้า!AS396</f>
        <v>0</v>
      </c>
      <c r="AD387" s="8">
        <f>[2]หน้าผ้า!AT396</f>
        <v>0</v>
      </c>
      <c r="AE387" s="8">
        <f>[2]หน้าผ้า!AU396</f>
        <v>0</v>
      </c>
      <c r="AF387" s="8">
        <f>[2]หน้าผ้า!AI396</f>
        <v>0</v>
      </c>
      <c r="AG387" s="1">
        <f>[3]หน้าผ้า!DC399</f>
        <v>0</v>
      </c>
      <c r="AH387" s="1">
        <f>[2]หน้าผ้า!DL396</f>
        <v>0</v>
      </c>
      <c r="AI387" s="1">
        <f>[2]หน้าผ้า!DM396</f>
        <v>0</v>
      </c>
      <c r="AJ387" s="3">
        <f>[2]หน้าผ้า!DN396</f>
        <v>0</v>
      </c>
      <c r="AK387" s="3">
        <f>[2]หน้าผ้า!DQ396</f>
        <v>0</v>
      </c>
      <c r="AL387" s="3">
        <f>[2]หน้าผ้า!DR396</f>
        <v>0</v>
      </c>
      <c r="AM387" s="3">
        <f>[2]หน้าผ้า!DS396</f>
        <v>0</v>
      </c>
      <c r="AN387" s="3">
        <f>[2]หน้าผ้า!DT396</f>
        <v>0</v>
      </c>
      <c r="AO387" s="3">
        <f>[2]หน้าผ้า!DU396</f>
        <v>0</v>
      </c>
      <c r="AP387" s="3">
        <f>[2]หน้าผ้า!DP396</f>
        <v>0</v>
      </c>
      <c r="AQ387" s="3">
        <f>[2]หน้าผ้า!DW396</f>
        <v>0</v>
      </c>
      <c r="AR387" s="3">
        <f>[2]หน้าผ้า!DX396</f>
        <v>0</v>
      </c>
      <c r="AS387" s="3">
        <f>[2]หน้าผ้า!DY396</f>
        <v>0</v>
      </c>
      <c r="AT387" s="3">
        <f>[2]หน้าผ้า!DZ396</f>
        <v>0</v>
      </c>
      <c r="AU387" s="3">
        <f>[2]หน้าผ้า!EA396</f>
        <v>0</v>
      </c>
      <c r="AV387" s="1">
        <f>[2]หน้าผ้า!EB396</f>
        <v>0</v>
      </c>
      <c r="AW387" s="2">
        <f>[2]หน้าผ้า!EC396</f>
        <v>0</v>
      </c>
      <c r="AX387" s="2">
        <f>[2]หน้าผ้า!ED396</f>
        <v>0</v>
      </c>
      <c r="AY387" s="2">
        <f>[2]หน้าผ้า!AG396</f>
        <v>0</v>
      </c>
      <c r="AZ387" s="2">
        <f>[2]หน้าผ้า!EG396</f>
        <v>0</v>
      </c>
      <c r="BA387" s="2">
        <f>[2]หน้าผ้า!EH396</f>
        <v>0</v>
      </c>
      <c r="BB387" s="2">
        <f>[2]หน้าผ้า!EI396</f>
        <v>0</v>
      </c>
      <c r="BC387" s="1">
        <f>[2]หน้าผ้า!BZ396</f>
        <v>0</v>
      </c>
      <c r="BD387" s="56">
        <f>[2]หน้าผ้า!CA396</f>
        <v>0</v>
      </c>
    </row>
    <row r="388" spans="1:56" ht="27.75" customHeight="1" x14ac:dyDescent="0.45">
      <c r="A388" s="3">
        <f>[2]หน้าผ้า!C397</f>
        <v>0</v>
      </c>
      <c r="B388" s="14">
        <f>[2]หน้าผ้า!B397</f>
        <v>0</v>
      </c>
      <c r="C388" s="9">
        <f>[2]หน้าผ้า!E397</f>
        <v>0</v>
      </c>
      <c r="D388" s="13">
        <f>[2]หน้าผ้า!F397</f>
        <v>0</v>
      </c>
      <c r="E388" s="9">
        <f>[2]หน้าผ้า!G397</f>
        <v>0</v>
      </c>
      <c r="F388" s="9">
        <f>[2]หน้าผ้า!H397</f>
        <v>0</v>
      </c>
      <c r="G388" s="9">
        <f>[2]หน้าผ้า!I397</f>
        <v>0</v>
      </c>
      <c r="H388" s="9">
        <f>[2]หน้าผ้า!J397</f>
        <v>0</v>
      </c>
      <c r="I388" s="9">
        <f>[2]หน้าผ้า!L397</f>
        <v>0</v>
      </c>
      <c r="J388" s="9">
        <f>[2]หน้าผ้า!M397</f>
        <v>0</v>
      </c>
      <c r="K388" s="9">
        <f>[2]หน้าผ้า!N397</f>
        <v>0</v>
      </c>
      <c r="L388" s="9">
        <f>[2]หน้าผ้า!R397</f>
        <v>0</v>
      </c>
      <c r="M388" s="10">
        <f>[2]หน้าผ้า!T397</f>
        <v>0</v>
      </c>
      <c r="N388" s="9">
        <f>[2]หน้าผ้า!U397</f>
        <v>0</v>
      </c>
      <c r="O388" s="9">
        <f>[2]หน้าผ้า!V397</f>
        <v>0</v>
      </c>
      <c r="P388" s="10">
        <f>[2]หน้าผ้า!AB397</f>
        <v>0</v>
      </c>
      <c r="Q388" s="10">
        <f>[2]หน้าผ้า!AC397</f>
        <v>0</v>
      </c>
      <c r="R388" s="10">
        <f>[2]หน้าผ้า!AD397</f>
        <v>0</v>
      </c>
      <c r="S388" s="9">
        <f>[2]หน้าผ้า!Z397</f>
        <v>0</v>
      </c>
      <c r="T388" s="12">
        <f>[2]หน้าผ้า!X397</f>
        <v>0</v>
      </c>
      <c r="U388" s="11">
        <f>[2]หน้าผ้า!AA397</f>
        <v>0</v>
      </c>
      <c r="V388" s="10">
        <f>[2]หน้าผ้า!AJ397</f>
        <v>0</v>
      </c>
      <c r="W388" s="10">
        <f>[2]หน้าผ้า!AL397</f>
        <v>0</v>
      </c>
      <c r="X388" s="10">
        <f>[2]หน้าผ้า!AM397</f>
        <v>0</v>
      </c>
      <c r="Y388" s="10">
        <f>[2]หน้าผ้า!AN397</f>
        <v>0</v>
      </c>
      <c r="Z388" s="9">
        <f>[2]หน้าผ้า!AO397</f>
        <v>0</v>
      </c>
      <c r="AA388" s="8">
        <f>[2]หน้าผ้า!AQ397</f>
        <v>0</v>
      </c>
      <c r="AB388" s="8">
        <f>[2]หน้าผ้า!AR397</f>
        <v>0</v>
      </c>
      <c r="AC388" s="8">
        <f>[2]หน้าผ้า!AS397</f>
        <v>0</v>
      </c>
      <c r="AD388" s="8">
        <f>[2]หน้าผ้า!AT397</f>
        <v>0</v>
      </c>
      <c r="AE388" s="8">
        <f>[2]หน้าผ้า!AU397</f>
        <v>0</v>
      </c>
      <c r="AF388" s="8">
        <f>[2]หน้าผ้า!AI397</f>
        <v>0</v>
      </c>
      <c r="AG388" s="1">
        <f>[3]หน้าผ้า!DC400</f>
        <v>0</v>
      </c>
      <c r="AH388" s="1">
        <f>[2]หน้าผ้า!DL397</f>
        <v>0</v>
      </c>
      <c r="AI388" s="1">
        <f>[2]หน้าผ้า!DM397</f>
        <v>0</v>
      </c>
      <c r="AJ388" s="3">
        <f>[2]หน้าผ้า!DN397</f>
        <v>0</v>
      </c>
      <c r="AK388" s="3">
        <f>[2]หน้าผ้า!DQ397</f>
        <v>0</v>
      </c>
      <c r="AL388" s="3">
        <f>[2]หน้าผ้า!DR397</f>
        <v>0</v>
      </c>
      <c r="AM388" s="3">
        <f>[2]หน้าผ้า!DS397</f>
        <v>0</v>
      </c>
      <c r="AN388" s="3">
        <f>[2]หน้าผ้า!DT397</f>
        <v>0</v>
      </c>
      <c r="AO388" s="3">
        <f>[2]หน้าผ้า!DU397</f>
        <v>0</v>
      </c>
      <c r="AP388" s="3">
        <f>[2]หน้าผ้า!DP397</f>
        <v>0</v>
      </c>
      <c r="AQ388" s="3">
        <f>[2]หน้าผ้า!DW397</f>
        <v>0</v>
      </c>
      <c r="AR388" s="3">
        <f>[2]หน้าผ้า!DX397</f>
        <v>0</v>
      </c>
      <c r="AS388" s="3">
        <f>[2]หน้าผ้า!DY397</f>
        <v>0</v>
      </c>
      <c r="AT388" s="3">
        <f>[2]หน้าผ้า!DZ397</f>
        <v>0</v>
      </c>
      <c r="AU388" s="3">
        <f>[2]หน้าผ้า!EA397</f>
        <v>0</v>
      </c>
      <c r="AV388" s="1">
        <f>[2]หน้าผ้า!EB397</f>
        <v>0</v>
      </c>
      <c r="AW388" s="2">
        <f>[2]หน้าผ้า!EC397</f>
        <v>0</v>
      </c>
      <c r="AX388" s="2">
        <f>[2]หน้าผ้า!ED397</f>
        <v>0</v>
      </c>
      <c r="AY388" s="2">
        <f>[2]หน้าผ้า!AG397</f>
        <v>0</v>
      </c>
      <c r="AZ388" s="2">
        <f>[2]หน้าผ้า!EG397</f>
        <v>0</v>
      </c>
      <c r="BA388" s="2">
        <f>[2]หน้าผ้า!EH397</f>
        <v>0</v>
      </c>
      <c r="BB388" s="2">
        <f>[2]หน้าผ้า!EI397</f>
        <v>0</v>
      </c>
      <c r="BC388" s="1">
        <f>[2]หน้าผ้า!BZ397</f>
        <v>0</v>
      </c>
      <c r="BD388" s="56">
        <f>[2]หน้าผ้า!CA397</f>
        <v>0</v>
      </c>
    </row>
    <row r="389" spans="1:56" ht="27.75" customHeight="1" x14ac:dyDescent="0.45">
      <c r="A389" s="3">
        <f>[2]หน้าผ้า!C398</f>
        <v>0</v>
      </c>
      <c r="B389" s="14">
        <f>[2]หน้าผ้า!B398</f>
        <v>0</v>
      </c>
      <c r="C389" s="9">
        <f>[2]หน้าผ้า!E398</f>
        <v>0</v>
      </c>
      <c r="D389" s="13">
        <f>[2]หน้าผ้า!F398</f>
        <v>0</v>
      </c>
      <c r="E389" s="9">
        <f>[2]หน้าผ้า!G398</f>
        <v>0</v>
      </c>
      <c r="F389" s="9">
        <f>[2]หน้าผ้า!H398</f>
        <v>0</v>
      </c>
      <c r="G389" s="9">
        <f>[2]หน้าผ้า!I398</f>
        <v>0</v>
      </c>
      <c r="H389" s="9">
        <f>[2]หน้าผ้า!J398</f>
        <v>0</v>
      </c>
      <c r="I389" s="9">
        <f>[2]หน้าผ้า!L398</f>
        <v>0</v>
      </c>
      <c r="J389" s="9">
        <f>[2]หน้าผ้า!M398</f>
        <v>0</v>
      </c>
      <c r="K389" s="9">
        <f>[2]หน้าผ้า!N398</f>
        <v>0</v>
      </c>
      <c r="L389" s="9">
        <f>[2]หน้าผ้า!R398</f>
        <v>0</v>
      </c>
      <c r="M389" s="10">
        <f>[2]หน้าผ้า!T398</f>
        <v>0</v>
      </c>
      <c r="N389" s="9">
        <f>[2]หน้าผ้า!U398</f>
        <v>0</v>
      </c>
      <c r="O389" s="9">
        <f>[2]หน้าผ้า!V398</f>
        <v>0</v>
      </c>
      <c r="P389" s="10">
        <f>[2]หน้าผ้า!AB398</f>
        <v>0</v>
      </c>
      <c r="Q389" s="10">
        <f>[2]หน้าผ้า!AC398</f>
        <v>0</v>
      </c>
      <c r="R389" s="10">
        <f>[2]หน้าผ้า!AD398</f>
        <v>0</v>
      </c>
      <c r="S389" s="9">
        <f>[2]หน้าผ้า!Z398</f>
        <v>0</v>
      </c>
      <c r="T389" s="12">
        <f>[2]หน้าผ้า!X398</f>
        <v>0</v>
      </c>
      <c r="U389" s="11">
        <f>[2]หน้าผ้า!AA398</f>
        <v>0</v>
      </c>
      <c r="V389" s="10">
        <f>[2]หน้าผ้า!AJ398</f>
        <v>0</v>
      </c>
      <c r="W389" s="10">
        <f>[2]หน้าผ้า!AL398</f>
        <v>0</v>
      </c>
      <c r="X389" s="10">
        <f>[2]หน้าผ้า!AM398</f>
        <v>0</v>
      </c>
      <c r="Y389" s="10">
        <f>[2]หน้าผ้า!AN398</f>
        <v>0</v>
      </c>
      <c r="Z389" s="9">
        <f>[2]หน้าผ้า!AO398</f>
        <v>0</v>
      </c>
      <c r="AA389" s="8">
        <f>[2]หน้าผ้า!AQ398</f>
        <v>0</v>
      </c>
      <c r="AB389" s="8">
        <f>[2]หน้าผ้า!AR398</f>
        <v>0</v>
      </c>
      <c r="AC389" s="8">
        <f>[2]หน้าผ้า!AS398</f>
        <v>0</v>
      </c>
      <c r="AD389" s="8">
        <f>[2]หน้าผ้า!AT398</f>
        <v>0</v>
      </c>
      <c r="AE389" s="8">
        <f>[2]หน้าผ้า!AU398</f>
        <v>0</v>
      </c>
      <c r="AF389" s="8">
        <f>[2]หน้าผ้า!AI398</f>
        <v>0</v>
      </c>
      <c r="AG389" s="1">
        <f>[3]หน้าผ้า!DC401</f>
        <v>0</v>
      </c>
      <c r="AH389" s="1">
        <f>[2]หน้าผ้า!DL398</f>
        <v>0</v>
      </c>
      <c r="AI389" s="1">
        <f>[2]หน้าผ้า!DM398</f>
        <v>0</v>
      </c>
      <c r="AJ389" s="3">
        <f>[2]หน้าผ้า!DN398</f>
        <v>0</v>
      </c>
      <c r="AK389" s="3">
        <f>[2]หน้าผ้า!DQ398</f>
        <v>0</v>
      </c>
      <c r="AL389" s="3">
        <f>[2]หน้าผ้า!DR398</f>
        <v>0</v>
      </c>
      <c r="AM389" s="3">
        <f>[2]หน้าผ้า!DS398</f>
        <v>0</v>
      </c>
      <c r="AN389" s="3">
        <f>[2]หน้าผ้า!DT398</f>
        <v>0</v>
      </c>
      <c r="AO389" s="3">
        <f>[2]หน้าผ้า!DU398</f>
        <v>0</v>
      </c>
      <c r="AP389" s="3">
        <f>[2]หน้าผ้า!DP398</f>
        <v>0</v>
      </c>
      <c r="AQ389" s="3">
        <f>[2]หน้าผ้า!DW398</f>
        <v>0</v>
      </c>
      <c r="AR389" s="3">
        <f>[2]หน้าผ้า!DX398</f>
        <v>0</v>
      </c>
      <c r="AS389" s="3">
        <f>[2]หน้าผ้า!DY398</f>
        <v>0</v>
      </c>
      <c r="AT389" s="3">
        <f>[2]หน้าผ้า!DZ398</f>
        <v>0</v>
      </c>
      <c r="AU389" s="3">
        <f>[2]หน้าผ้า!EA398</f>
        <v>0</v>
      </c>
      <c r="AV389" s="1">
        <f>[2]หน้าผ้า!EB398</f>
        <v>0</v>
      </c>
      <c r="AW389" s="2">
        <f>[2]หน้าผ้า!EC398</f>
        <v>0</v>
      </c>
      <c r="AX389" s="2">
        <f>[2]หน้าผ้า!ED398</f>
        <v>0</v>
      </c>
      <c r="AY389" s="2">
        <f>[2]หน้าผ้า!AG398</f>
        <v>0</v>
      </c>
      <c r="AZ389" s="2">
        <f>[2]หน้าผ้า!EG398</f>
        <v>0</v>
      </c>
      <c r="BA389" s="2">
        <f>[2]หน้าผ้า!EH398</f>
        <v>0</v>
      </c>
      <c r="BB389" s="2">
        <f>[2]หน้าผ้า!EI398</f>
        <v>0</v>
      </c>
      <c r="BC389" s="1">
        <f>[2]หน้าผ้า!BZ398</f>
        <v>0</v>
      </c>
      <c r="BD389" s="56">
        <f>[2]หน้าผ้า!CA398</f>
        <v>0</v>
      </c>
    </row>
    <row r="390" spans="1:56" ht="27.75" customHeight="1" x14ac:dyDescent="0.45">
      <c r="A390" s="3">
        <f>[2]หน้าผ้า!C399</f>
        <v>0</v>
      </c>
      <c r="B390" s="14">
        <f>[2]หน้าผ้า!B399</f>
        <v>0</v>
      </c>
      <c r="C390" s="9">
        <f>[2]หน้าผ้า!E399</f>
        <v>0</v>
      </c>
      <c r="D390" s="13">
        <f>[2]หน้าผ้า!F399</f>
        <v>0</v>
      </c>
      <c r="E390" s="9">
        <f>[2]หน้าผ้า!G399</f>
        <v>0</v>
      </c>
      <c r="F390" s="9">
        <f>[2]หน้าผ้า!H399</f>
        <v>0</v>
      </c>
      <c r="G390" s="9">
        <f>[2]หน้าผ้า!I399</f>
        <v>0</v>
      </c>
      <c r="H390" s="9">
        <f>[2]หน้าผ้า!J399</f>
        <v>0</v>
      </c>
      <c r="I390" s="9">
        <f>[2]หน้าผ้า!L399</f>
        <v>0</v>
      </c>
      <c r="J390" s="9">
        <f>[2]หน้าผ้า!M399</f>
        <v>0</v>
      </c>
      <c r="K390" s="9">
        <f>[2]หน้าผ้า!N399</f>
        <v>0</v>
      </c>
      <c r="L390" s="9">
        <f>[2]หน้าผ้า!R399</f>
        <v>0</v>
      </c>
      <c r="M390" s="10">
        <f>[2]หน้าผ้า!T399</f>
        <v>0</v>
      </c>
      <c r="N390" s="9">
        <f>[2]หน้าผ้า!U399</f>
        <v>0</v>
      </c>
      <c r="O390" s="9">
        <f>[2]หน้าผ้า!V399</f>
        <v>0</v>
      </c>
      <c r="P390" s="10">
        <f>[2]หน้าผ้า!AB399</f>
        <v>0</v>
      </c>
      <c r="Q390" s="10">
        <f>[2]หน้าผ้า!AC399</f>
        <v>0</v>
      </c>
      <c r="R390" s="10">
        <f>[2]หน้าผ้า!AD399</f>
        <v>0</v>
      </c>
      <c r="S390" s="9">
        <f>[2]หน้าผ้า!Z399</f>
        <v>0</v>
      </c>
      <c r="T390" s="12">
        <f>[2]หน้าผ้า!X399</f>
        <v>0</v>
      </c>
      <c r="U390" s="11">
        <f>[2]หน้าผ้า!AA399</f>
        <v>0</v>
      </c>
      <c r="V390" s="10">
        <f>[2]หน้าผ้า!AJ399</f>
        <v>0</v>
      </c>
      <c r="W390" s="10">
        <f>[2]หน้าผ้า!AL399</f>
        <v>0</v>
      </c>
      <c r="X390" s="10">
        <f>[2]หน้าผ้า!AM399</f>
        <v>0</v>
      </c>
      <c r="Y390" s="10">
        <f>[2]หน้าผ้า!AN399</f>
        <v>0</v>
      </c>
      <c r="Z390" s="9">
        <f>[2]หน้าผ้า!AO399</f>
        <v>0</v>
      </c>
      <c r="AA390" s="8">
        <f>[2]หน้าผ้า!AQ399</f>
        <v>0</v>
      </c>
      <c r="AB390" s="8">
        <f>[2]หน้าผ้า!AR399</f>
        <v>0</v>
      </c>
      <c r="AC390" s="8">
        <f>[2]หน้าผ้า!AS399</f>
        <v>0</v>
      </c>
      <c r="AD390" s="8">
        <f>[2]หน้าผ้า!AT399</f>
        <v>0</v>
      </c>
      <c r="AE390" s="8">
        <f>[2]หน้าผ้า!AU399</f>
        <v>0</v>
      </c>
      <c r="AF390" s="8">
        <f>[2]หน้าผ้า!AI399</f>
        <v>0</v>
      </c>
      <c r="AG390" s="1">
        <f>[3]หน้าผ้า!DC402</f>
        <v>0</v>
      </c>
      <c r="AH390" s="1">
        <f>[2]หน้าผ้า!DL399</f>
        <v>0</v>
      </c>
      <c r="AI390" s="1">
        <f>[2]หน้าผ้า!DM399</f>
        <v>0</v>
      </c>
      <c r="AJ390" s="3">
        <f>[2]หน้าผ้า!DN399</f>
        <v>0</v>
      </c>
      <c r="AK390" s="3">
        <f>[2]หน้าผ้า!DQ399</f>
        <v>0</v>
      </c>
      <c r="AL390" s="3">
        <f>[2]หน้าผ้า!DR399</f>
        <v>0</v>
      </c>
      <c r="AM390" s="3">
        <f>[2]หน้าผ้า!DS399</f>
        <v>0</v>
      </c>
      <c r="AN390" s="3">
        <f>[2]หน้าผ้า!DT399</f>
        <v>0</v>
      </c>
      <c r="AO390" s="3">
        <f>[2]หน้าผ้า!DU399</f>
        <v>0</v>
      </c>
      <c r="AP390" s="3">
        <f>[2]หน้าผ้า!DP399</f>
        <v>0</v>
      </c>
      <c r="AQ390" s="3">
        <f>[2]หน้าผ้า!DW399</f>
        <v>0</v>
      </c>
      <c r="AR390" s="3">
        <f>[2]หน้าผ้า!DX399</f>
        <v>0</v>
      </c>
      <c r="AS390" s="3">
        <f>[2]หน้าผ้า!DY399</f>
        <v>0</v>
      </c>
      <c r="AT390" s="3">
        <f>[2]หน้าผ้า!DZ399</f>
        <v>0</v>
      </c>
      <c r="AU390" s="3">
        <f>[2]หน้าผ้า!EA399</f>
        <v>0</v>
      </c>
      <c r="AV390" s="1">
        <f>[2]หน้าผ้า!EB399</f>
        <v>0</v>
      </c>
      <c r="AW390" s="2">
        <f>[2]หน้าผ้า!EC399</f>
        <v>0</v>
      </c>
      <c r="AX390" s="2">
        <f>[2]หน้าผ้า!ED399</f>
        <v>0</v>
      </c>
      <c r="AY390" s="2">
        <f>[2]หน้าผ้า!AG399</f>
        <v>0</v>
      </c>
      <c r="AZ390" s="2">
        <f>[2]หน้าผ้า!EG399</f>
        <v>0</v>
      </c>
      <c r="BA390" s="2">
        <f>[2]หน้าผ้า!EH399</f>
        <v>0</v>
      </c>
      <c r="BB390" s="2">
        <f>[2]หน้าผ้า!EI399</f>
        <v>0</v>
      </c>
      <c r="BC390" s="1">
        <f>[2]หน้าผ้า!BZ399</f>
        <v>0</v>
      </c>
      <c r="BD390" s="56">
        <f>[2]หน้าผ้า!CA399</f>
        <v>0</v>
      </c>
    </row>
    <row r="391" spans="1:56" ht="27.75" customHeight="1" x14ac:dyDescent="0.45">
      <c r="A391" s="3">
        <f>[2]หน้าผ้า!C400</f>
        <v>0</v>
      </c>
      <c r="B391" s="14">
        <f>[2]หน้าผ้า!B400</f>
        <v>0</v>
      </c>
      <c r="C391" s="9">
        <f>[2]หน้าผ้า!E400</f>
        <v>0</v>
      </c>
      <c r="D391" s="13">
        <f>[2]หน้าผ้า!F400</f>
        <v>0</v>
      </c>
      <c r="E391" s="9">
        <f>[2]หน้าผ้า!G400</f>
        <v>0</v>
      </c>
      <c r="F391" s="9">
        <f>[2]หน้าผ้า!H400</f>
        <v>0</v>
      </c>
      <c r="G391" s="9">
        <f>[2]หน้าผ้า!I400</f>
        <v>0</v>
      </c>
      <c r="H391" s="9">
        <f>[2]หน้าผ้า!J400</f>
        <v>0</v>
      </c>
      <c r="I391" s="9">
        <f>[2]หน้าผ้า!L400</f>
        <v>0</v>
      </c>
      <c r="J391" s="9">
        <f>[2]หน้าผ้า!M400</f>
        <v>0</v>
      </c>
      <c r="K391" s="9">
        <f>[2]หน้าผ้า!N400</f>
        <v>0</v>
      </c>
      <c r="L391" s="9">
        <f>[2]หน้าผ้า!R400</f>
        <v>0</v>
      </c>
      <c r="M391" s="10">
        <f>[2]หน้าผ้า!T400</f>
        <v>0</v>
      </c>
      <c r="N391" s="9">
        <f>[2]หน้าผ้า!U400</f>
        <v>0</v>
      </c>
      <c r="O391" s="9">
        <f>[2]หน้าผ้า!V400</f>
        <v>0</v>
      </c>
      <c r="P391" s="10">
        <f>[2]หน้าผ้า!AB400</f>
        <v>0</v>
      </c>
      <c r="Q391" s="10">
        <f>[2]หน้าผ้า!AC400</f>
        <v>0</v>
      </c>
      <c r="R391" s="10">
        <f>[2]หน้าผ้า!AD400</f>
        <v>0</v>
      </c>
      <c r="S391" s="9">
        <f>[2]หน้าผ้า!Z400</f>
        <v>0</v>
      </c>
      <c r="T391" s="12">
        <f>[2]หน้าผ้า!X400</f>
        <v>0</v>
      </c>
      <c r="U391" s="11">
        <f>[2]หน้าผ้า!AA400</f>
        <v>0</v>
      </c>
      <c r="V391" s="10">
        <f>[2]หน้าผ้า!AJ400</f>
        <v>0</v>
      </c>
      <c r="W391" s="10">
        <f>[2]หน้าผ้า!AL400</f>
        <v>0</v>
      </c>
      <c r="X391" s="10">
        <f>[2]หน้าผ้า!AM400</f>
        <v>0</v>
      </c>
      <c r="Y391" s="10">
        <f>[2]หน้าผ้า!AN400</f>
        <v>0</v>
      </c>
      <c r="Z391" s="9">
        <f>[2]หน้าผ้า!AO400</f>
        <v>0</v>
      </c>
      <c r="AA391" s="8">
        <f>[2]หน้าผ้า!AQ400</f>
        <v>0</v>
      </c>
      <c r="AB391" s="8">
        <f>[2]หน้าผ้า!AR400</f>
        <v>0</v>
      </c>
      <c r="AC391" s="8">
        <f>[2]หน้าผ้า!AS400</f>
        <v>0</v>
      </c>
      <c r="AD391" s="8">
        <f>[2]หน้าผ้า!AT400</f>
        <v>0</v>
      </c>
      <c r="AE391" s="8">
        <f>[2]หน้าผ้า!AU400</f>
        <v>0</v>
      </c>
      <c r="AF391" s="8">
        <f>[2]หน้าผ้า!AI400</f>
        <v>0</v>
      </c>
      <c r="AG391" s="1">
        <f>[3]หน้าผ้า!DC403</f>
        <v>0</v>
      </c>
      <c r="AH391" s="1">
        <f>[2]หน้าผ้า!DL400</f>
        <v>0</v>
      </c>
      <c r="AI391" s="1">
        <f>[2]หน้าผ้า!DM400</f>
        <v>0</v>
      </c>
      <c r="AJ391" s="3">
        <f>[2]หน้าผ้า!DN400</f>
        <v>0</v>
      </c>
      <c r="AK391" s="3">
        <f>[2]หน้าผ้า!DQ400</f>
        <v>0</v>
      </c>
      <c r="AL391" s="3">
        <f>[2]หน้าผ้า!DR400</f>
        <v>0</v>
      </c>
      <c r="AM391" s="3">
        <f>[2]หน้าผ้า!DS400</f>
        <v>0</v>
      </c>
      <c r="AN391" s="3">
        <f>[2]หน้าผ้า!DT400</f>
        <v>0</v>
      </c>
      <c r="AO391" s="3">
        <f>[2]หน้าผ้า!DU400</f>
        <v>0</v>
      </c>
      <c r="AP391" s="3">
        <f>[2]หน้าผ้า!DP400</f>
        <v>0</v>
      </c>
      <c r="AQ391" s="3">
        <f>[2]หน้าผ้า!DW400</f>
        <v>0</v>
      </c>
      <c r="AR391" s="3">
        <f>[2]หน้าผ้า!DX400</f>
        <v>0</v>
      </c>
      <c r="AS391" s="3">
        <f>[2]หน้าผ้า!DY400</f>
        <v>0</v>
      </c>
      <c r="AT391" s="3">
        <f>[2]หน้าผ้า!DZ400</f>
        <v>0</v>
      </c>
      <c r="AU391" s="3">
        <f>[2]หน้าผ้า!EA400</f>
        <v>0</v>
      </c>
      <c r="AV391" s="1">
        <f>[2]หน้าผ้า!EB400</f>
        <v>0</v>
      </c>
      <c r="AW391" s="2">
        <f>[2]หน้าผ้า!EC400</f>
        <v>0</v>
      </c>
      <c r="AX391" s="2">
        <f>[2]หน้าผ้า!ED400</f>
        <v>0</v>
      </c>
      <c r="AY391" s="2">
        <f>[2]หน้าผ้า!AG400</f>
        <v>0</v>
      </c>
      <c r="AZ391" s="2">
        <f>[2]หน้าผ้า!EG400</f>
        <v>0</v>
      </c>
      <c r="BA391" s="2">
        <f>[2]หน้าผ้า!EH400</f>
        <v>0</v>
      </c>
      <c r="BB391" s="2">
        <f>[2]หน้าผ้า!EI400</f>
        <v>0</v>
      </c>
      <c r="BC391" s="1">
        <f>[2]หน้าผ้า!BZ400</f>
        <v>0</v>
      </c>
      <c r="BD391" s="56">
        <f>[2]หน้าผ้า!CA400</f>
        <v>0</v>
      </c>
    </row>
    <row r="392" spans="1:56" ht="27.75" customHeight="1" x14ac:dyDescent="0.45">
      <c r="A392" s="3">
        <f>[2]หน้าผ้า!C401</f>
        <v>0</v>
      </c>
      <c r="B392" s="14">
        <f>[2]หน้าผ้า!B401</f>
        <v>0</v>
      </c>
      <c r="C392" s="9">
        <f>[2]หน้าผ้า!E401</f>
        <v>0</v>
      </c>
      <c r="D392" s="13">
        <f>[2]หน้าผ้า!F401</f>
        <v>0</v>
      </c>
      <c r="E392" s="9">
        <f>[2]หน้าผ้า!G401</f>
        <v>0</v>
      </c>
      <c r="F392" s="9">
        <f>[2]หน้าผ้า!H401</f>
        <v>0</v>
      </c>
      <c r="G392" s="9">
        <f>[2]หน้าผ้า!I401</f>
        <v>0</v>
      </c>
      <c r="H392" s="9">
        <f>[2]หน้าผ้า!J401</f>
        <v>0</v>
      </c>
      <c r="I392" s="9">
        <f>[2]หน้าผ้า!L401</f>
        <v>0</v>
      </c>
      <c r="J392" s="9">
        <f>[2]หน้าผ้า!M401</f>
        <v>0</v>
      </c>
      <c r="K392" s="9">
        <f>[2]หน้าผ้า!N401</f>
        <v>0</v>
      </c>
      <c r="L392" s="9">
        <f>[2]หน้าผ้า!R401</f>
        <v>0</v>
      </c>
      <c r="M392" s="10">
        <f>[2]หน้าผ้า!T401</f>
        <v>0</v>
      </c>
      <c r="N392" s="9">
        <f>[2]หน้าผ้า!U401</f>
        <v>0</v>
      </c>
      <c r="O392" s="9">
        <f>[2]หน้าผ้า!V401</f>
        <v>0</v>
      </c>
      <c r="P392" s="10">
        <f>[2]หน้าผ้า!AB401</f>
        <v>0</v>
      </c>
      <c r="Q392" s="10">
        <f>[2]หน้าผ้า!AC401</f>
        <v>0</v>
      </c>
      <c r="R392" s="10">
        <f>[2]หน้าผ้า!AD401</f>
        <v>0</v>
      </c>
      <c r="S392" s="9">
        <f>[2]หน้าผ้า!Z401</f>
        <v>0</v>
      </c>
      <c r="T392" s="12">
        <f>[2]หน้าผ้า!X401</f>
        <v>0</v>
      </c>
      <c r="U392" s="11">
        <f>[2]หน้าผ้า!AA401</f>
        <v>0</v>
      </c>
      <c r="V392" s="10">
        <f>[2]หน้าผ้า!AJ401</f>
        <v>0</v>
      </c>
      <c r="W392" s="10">
        <f>[2]หน้าผ้า!AL401</f>
        <v>0</v>
      </c>
      <c r="X392" s="10">
        <f>[2]หน้าผ้า!AM401</f>
        <v>0</v>
      </c>
      <c r="Y392" s="10">
        <f>[2]หน้าผ้า!AN401</f>
        <v>0</v>
      </c>
      <c r="Z392" s="9">
        <f>[2]หน้าผ้า!AO401</f>
        <v>0</v>
      </c>
      <c r="AA392" s="8">
        <f>[2]หน้าผ้า!AQ401</f>
        <v>0</v>
      </c>
      <c r="AB392" s="8">
        <f>[2]หน้าผ้า!AR401</f>
        <v>0</v>
      </c>
      <c r="AC392" s="8">
        <f>[2]หน้าผ้า!AS401</f>
        <v>0</v>
      </c>
      <c r="AD392" s="8">
        <f>[2]หน้าผ้า!AT401</f>
        <v>0</v>
      </c>
      <c r="AE392" s="8">
        <f>[2]หน้าผ้า!AU401</f>
        <v>0</v>
      </c>
      <c r="AF392" s="8">
        <f>[2]หน้าผ้า!AI401</f>
        <v>0</v>
      </c>
      <c r="AG392" s="1">
        <f>[3]หน้าผ้า!DC404</f>
        <v>0</v>
      </c>
      <c r="AH392" s="1">
        <f>[2]หน้าผ้า!DL401</f>
        <v>0</v>
      </c>
      <c r="AI392" s="1">
        <f>[2]หน้าผ้า!DM401</f>
        <v>0</v>
      </c>
      <c r="AJ392" s="3">
        <f>[2]หน้าผ้า!DN401</f>
        <v>0</v>
      </c>
      <c r="AK392" s="3">
        <f>[2]หน้าผ้า!DQ401</f>
        <v>0</v>
      </c>
      <c r="AL392" s="3">
        <f>[2]หน้าผ้า!DR401</f>
        <v>0</v>
      </c>
      <c r="AM392" s="3">
        <f>[2]หน้าผ้า!DS401</f>
        <v>0</v>
      </c>
      <c r="AN392" s="3">
        <f>[2]หน้าผ้า!DT401</f>
        <v>0</v>
      </c>
      <c r="AO392" s="3">
        <f>[2]หน้าผ้า!DU401</f>
        <v>0</v>
      </c>
      <c r="AP392" s="3">
        <f>[2]หน้าผ้า!DP401</f>
        <v>0</v>
      </c>
      <c r="AQ392" s="3">
        <f>[2]หน้าผ้า!DW401</f>
        <v>0</v>
      </c>
      <c r="AR392" s="3">
        <f>[2]หน้าผ้า!DX401</f>
        <v>0</v>
      </c>
      <c r="AS392" s="3">
        <f>[2]หน้าผ้า!DY401</f>
        <v>0</v>
      </c>
      <c r="AT392" s="3">
        <f>[2]หน้าผ้า!DZ401</f>
        <v>0</v>
      </c>
      <c r="AU392" s="3">
        <f>[2]หน้าผ้า!EA401</f>
        <v>0</v>
      </c>
      <c r="AV392" s="1">
        <f>[2]หน้าผ้า!EB401</f>
        <v>0</v>
      </c>
      <c r="AW392" s="2">
        <f>[2]หน้าผ้า!EC401</f>
        <v>0</v>
      </c>
      <c r="AX392" s="2">
        <f>[2]หน้าผ้า!ED401</f>
        <v>0</v>
      </c>
      <c r="AY392" s="2">
        <f>[2]หน้าผ้า!AG401</f>
        <v>0</v>
      </c>
      <c r="AZ392" s="2">
        <f>[2]หน้าผ้า!EG401</f>
        <v>0</v>
      </c>
      <c r="BA392" s="2">
        <f>[2]หน้าผ้า!EH401</f>
        <v>0</v>
      </c>
      <c r="BB392" s="2">
        <f>[2]หน้าผ้า!EI401</f>
        <v>0</v>
      </c>
      <c r="BC392" s="1">
        <f>[2]หน้าผ้า!BZ401</f>
        <v>0</v>
      </c>
      <c r="BD392" s="56">
        <f>[2]หน้าผ้า!CA401</f>
        <v>0</v>
      </c>
    </row>
    <row r="393" spans="1:56" ht="27.75" customHeight="1" x14ac:dyDescent="0.45">
      <c r="A393" s="3">
        <f>[2]หน้าผ้า!C402</f>
        <v>0</v>
      </c>
      <c r="B393" s="14">
        <f>[2]หน้าผ้า!B402</f>
        <v>0</v>
      </c>
      <c r="C393" s="9">
        <f>[2]หน้าผ้า!E402</f>
        <v>0</v>
      </c>
      <c r="D393" s="13">
        <f>[2]หน้าผ้า!F402</f>
        <v>0</v>
      </c>
      <c r="E393" s="9">
        <f>[2]หน้าผ้า!G402</f>
        <v>0</v>
      </c>
      <c r="F393" s="9">
        <f>[2]หน้าผ้า!H402</f>
        <v>0</v>
      </c>
      <c r="G393" s="9">
        <f>[2]หน้าผ้า!I402</f>
        <v>0</v>
      </c>
      <c r="H393" s="9">
        <f>[2]หน้าผ้า!J402</f>
        <v>0</v>
      </c>
      <c r="I393" s="9">
        <f>[2]หน้าผ้า!L402</f>
        <v>0</v>
      </c>
      <c r="J393" s="9">
        <f>[2]หน้าผ้า!M402</f>
        <v>0</v>
      </c>
      <c r="K393" s="9">
        <f>[2]หน้าผ้า!N402</f>
        <v>0</v>
      </c>
      <c r="L393" s="9">
        <f>[2]หน้าผ้า!R402</f>
        <v>0</v>
      </c>
      <c r="M393" s="10">
        <f>[2]หน้าผ้า!T402</f>
        <v>0</v>
      </c>
      <c r="N393" s="9">
        <f>[2]หน้าผ้า!U402</f>
        <v>0</v>
      </c>
      <c r="O393" s="9">
        <f>[2]หน้าผ้า!V402</f>
        <v>0</v>
      </c>
      <c r="P393" s="10">
        <f>[2]หน้าผ้า!AB402</f>
        <v>0</v>
      </c>
      <c r="Q393" s="10">
        <f>[2]หน้าผ้า!AC402</f>
        <v>0</v>
      </c>
      <c r="R393" s="10">
        <f>[2]หน้าผ้า!AD402</f>
        <v>0</v>
      </c>
      <c r="S393" s="9">
        <f>[2]หน้าผ้า!Z402</f>
        <v>0</v>
      </c>
      <c r="T393" s="12">
        <f>[2]หน้าผ้า!X402</f>
        <v>0</v>
      </c>
      <c r="U393" s="11">
        <f>[2]หน้าผ้า!AA402</f>
        <v>0</v>
      </c>
      <c r="V393" s="10">
        <f>[2]หน้าผ้า!AJ402</f>
        <v>0</v>
      </c>
      <c r="W393" s="10">
        <f>[2]หน้าผ้า!AL402</f>
        <v>0</v>
      </c>
      <c r="X393" s="10">
        <f>[2]หน้าผ้า!AM402</f>
        <v>0</v>
      </c>
      <c r="Y393" s="10">
        <f>[2]หน้าผ้า!AN402</f>
        <v>0</v>
      </c>
      <c r="Z393" s="9">
        <f>[2]หน้าผ้า!AO402</f>
        <v>0</v>
      </c>
      <c r="AA393" s="8">
        <f>[2]หน้าผ้า!AQ402</f>
        <v>0</v>
      </c>
      <c r="AB393" s="8">
        <f>[2]หน้าผ้า!AR402</f>
        <v>0</v>
      </c>
      <c r="AC393" s="8">
        <f>[2]หน้าผ้า!AS402</f>
        <v>0</v>
      </c>
      <c r="AD393" s="8">
        <f>[2]หน้าผ้า!AT402</f>
        <v>0</v>
      </c>
      <c r="AE393" s="8">
        <f>[2]หน้าผ้า!AU402</f>
        <v>0</v>
      </c>
      <c r="AF393" s="8">
        <f>[2]หน้าผ้า!AI402</f>
        <v>0</v>
      </c>
      <c r="AG393" s="1">
        <f>[3]หน้าผ้า!DC405</f>
        <v>0</v>
      </c>
      <c r="AH393" s="1">
        <f>[2]หน้าผ้า!DL402</f>
        <v>0</v>
      </c>
      <c r="AI393" s="1">
        <f>[2]หน้าผ้า!DM402</f>
        <v>0</v>
      </c>
      <c r="AJ393" s="3">
        <f>[2]หน้าผ้า!DN402</f>
        <v>0</v>
      </c>
      <c r="AK393" s="3">
        <f>[2]หน้าผ้า!DQ402</f>
        <v>0</v>
      </c>
      <c r="AL393" s="3">
        <f>[2]หน้าผ้า!DR402</f>
        <v>0</v>
      </c>
      <c r="AM393" s="3">
        <f>[2]หน้าผ้า!DS402</f>
        <v>0</v>
      </c>
      <c r="AN393" s="3">
        <f>[2]หน้าผ้า!DT402</f>
        <v>0</v>
      </c>
      <c r="AO393" s="3">
        <f>[2]หน้าผ้า!DU402</f>
        <v>0</v>
      </c>
      <c r="AP393" s="3">
        <f>[2]หน้าผ้า!DP402</f>
        <v>0</v>
      </c>
      <c r="AQ393" s="3">
        <f>[2]หน้าผ้า!DW402</f>
        <v>0</v>
      </c>
      <c r="AR393" s="3">
        <f>[2]หน้าผ้า!DX402</f>
        <v>0</v>
      </c>
      <c r="AS393" s="3">
        <f>[2]หน้าผ้า!DY402</f>
        <v>0</v>
      </c>
      <c r="AT393" s="3">
        <f>[2]หน้าผ้า!DZ402</f>
        <v>0</v>
      </c>
      <c r="AU393" s="3">
        <f>[2]หน้าผ้า!EA402</f>
        <v>0</v>
      </c>
      <c r="AV393" s="1">
        <f>[2]หน้าผ้า!EB402</f>
        <v>0</v>
      </c>
      <c r="AW393" s="2">
        <f>[2]หน้าผ้า!EC402</f>
        <v>0</v>
      </c>
      <c r="AX393" s="2">
        <f>[2]หน้าผ้า!ED402</f>
        <v>0</v>
      </c>
      <c r="AY393" s="2">
        <f>[2]หน้าผ้า!AG402</f>
        <v>0</v>
      </c>
      <c r="AZ393" s="2">
        <f>[2]หน้าผ้า!EG402</f>
        <v>0</v>
      </c>
      <c r="BA393" s="2">
        <f>[2]หน้าผ้า!EH402</f>
        <v>0</v>
      </c>
      <c r="BB393" s="2">
        <f>[2]หน้าผ้า!EI402</f>
        <v>0</v>
      </c>
      <c r="BC393" s="1">
        <f>[2]หน้าผ้า!BZ402</f>
        <v>0</v>
      </c>
      <c r="BD393" s="56">
        <f>[2]หน้าผ้า!CA402</f>
        <v>0</v>
      </c>
    </row>
    <row r="394" spans="1:56" ht="27.75" customHeight="1" x14ac:dyDescent="0.45">
      <c r="A394" s="3">
        <f>[2]หน้าผ้า!C403</f>
        <v>0</v>
      </c>
      <c r="B394" s="14">
        <f>[2]หน้าผ้า!B403</f>
        <v>0</v>
      </c>
      <c r="C394" s="9">
        <f>[2]หน้าผ้า!E403</f>
        <v>0</v>
      </c>
      <c r="D394" s="13">
        <f>[2]หน้าผ้า!F403</f>
        <v>0</v>
      </c>
      <c r="E394" s="9">
        <f>[2]หน้าผ้า!G403</f>
        <v>0</v>
      </c>
      <c r="F394" s="9">
        <f>[2]หน้าผ้า!H403</f>
        <v>0</v>
      </c>
      <c r="G394" s="9">
        <f>[2]หน้าผ้า!I403</f>
        <v>0</v>
      </c>
      <c r="H394" s="9">
        <f>[2]หน้าผ้า!J403</f>
        <v>0</v>
      </c>
      <c r="I394" s="9">
        <f>[2]หน้าผ้า!L403</f>
        <v>0</v>
      </c>
      <c r="J394" s="9">
        <f>[2]หน้าผ้า!M403</f>
        <v>0</v>
      </c>
      <c r="K394" s="9">
        <f>[2]หน้าผ้า!N403</f>
        <v>0</v>
      </c>
      <c r="L394" s="9">
        <f>[2]หน้าผ้า!R403</f>
        <v>0</v>
      </c>
      <c r="M394" s="10">
        <f>[2]หน้าผ้า!T403</f>
        <v>0</v>
      </c>
      <c r="N394" s="9">
        <f>[2]หน้าผ้า!U403</f>
        <v>0</v>
      </c>
      <c r="O394" s="9">
        <f>[2]หน้าผ้า!V403</f>
        <v>0</v>
      </c>
      <c r="P394" s="10">
        <f>[2]หน้าผ้า!AB403</f>
        <v>0</v>
      </c>
      <c r="Q394" s="10">
        <f>[2]หน้าผ้า!AC403</f>
        <v>0</v>
      </c>
      <c r="R394" s="10">
        <f>[2]หน้าผ้า!AD403</f>
        <v>0</v>
      </c>
      <c r="S394" s="9">
        <f>[2]หน้าผ้า!Z403</f>
        <v>0</v>
      </c>
      <c r="T394" s="12">
        <f>[2]หน้าผ้า!X403</f>
        <v>0</v>
      </c>
      <c r="U394" s="11">
        <f>[2]หน้าผ้า!AA403</f>
        <v>0</v>
      </c>
      <c r="V394" s="10">
        <f>[2]หน้าผ้า!AJ403</f>
        <v>0</v>
      </c>
      <c r="W394" s="10">
        <f>[2]หน้าผ้า!AL403</f>
        <v>0</v>
      </c>
      <c r="X394" s="10">
        <f>[2]หน้าผ้า!AM403</f>
        <v>0</v>
      </c>
      <c r="Y394" s="10">
        <f>[2]หน้าผ้า!AN403</f>
        <v>0</v>
      </c>
      <c r="Z394" s="9">
        <f>[2]หน้าผ้า!AO403</f>
        <v>0</v>
      </c>
      <c r="AA394" s="8">
        <f>[2]หน้าผ้า!AQ403</f>
        <v>0</v>
      </c>
      <c r="AB394" s="8">
        <f>[2]หน้าผ้า!AR403</f>
        <v>0</v>
      </c>
      <c r="AC394" s="8">
        <f>[2]หน้าผ้า!AS403</f>
        <v>0</v>
      </c>
      <c r="AD394" s="8">
        <f>[2]หน้าผ้า!AT403</f>
        <v>0</v>
      </c>
      <c r="AE394" s="8">
        <f>[2]หน้าผ้า!AU403</f>
        <v>0</v>
      </c>
      <c r="AF394" s="8">
        <f>[2]หน้าผ้า!AI403</f>
        <v>0</v>
      </c>
      <c r="AG394" s="1">
        <f>[3]หน้าผ้า!DC406</f>
        <v>0</v>
      </c>
      <c r="AH394" s="1">
        <f>[2]หน้าผ้า!DL403</f>
        <v>0</v>
      </c>
      <c r="AI394" s="1">
        <f>[2]หน้าผ้า!DM403</f>
        <v>0</v>
      </c>
      <c r="AJ394" s="3">
        <f>[2]หน้าผ้า!DN403</f>
        <v>0</v>
      </c>
      <c r="AK394" s="3">
        <f>[2]หน้าผ้า!DQ403</f>
        <v>0</v>
      </c>
      <c r="AL394" s="3">
        <f>[2]หน้าผ้า!DR403</f>
        <v>0</v>
      </c>
      <c r="AM394" s="3">
        <f>[2]หน้าผ้า!DS403</f>
        <v>0</v>
      </c>
      <c r="AN394" s="3">
        <f>[2]หน้าผ้า!DT403</f>
        <v>0</v>
      </c>
      <c r="AO394" s="3">
        <f>[2]หน้าผ้า!DU403</f>
        <v>0</v>
      </c>
      <c r="AP394" s="3">
        <f>[2]หน้าผ้า!DP403</f>
        <v>0</v>
      </c>
      <c r="AQ394" s="3">
        <f>[2]หน้าผ้า!DW403</f>
        <v>0</v>
      </c>
      <c r="AR394" s="3">
        <f>[2]หน้าผ้า!DX403</f>
        <v>0</v>
      </c>
      <c r="AS394" s="3">
        <f>[2]หน้าผ้า!DY403</f>
        <v>0</v>
      </c>
      <c r="AT394" s="3">
        <f>[2]หน้าผ้า!DZ403</f>
        <v>0</v>
      </c>
      <c r="AU394" s="3">
        <f>[2]หน้าผ้า!EA403</f>
        <v>0</v>
      </c>
      <c r="AV394" s="1">
        <f>[2]หน้าผ้า!EB403</f>
        <v>0</v>
      </c>
      <c r="AW394" s="2">
        <f>[2]หน้าผ้า!EC403</f>
        <v>0</v>
      </c>
      <c r="AX394" s="2">
        <f>[2]หน้าผ้า!ED403</f>
        <v>0</v>
      </c>
      <c r="AY394" s="2">
        <f>[2]หน้าผ้า!AG403</f>
        <v>0</v>
      </c>
      <c r="AZ394" s="2">
        <f>[2]หน้าผ้า!EG403</f>
        <v>0</v>
      </c>
      <c r="BA394" s="2">
        <f>[2]หน้าผ้า!EH403</f>
        <v>0</v>
      </c>
      <c r="BB394" s="2">
        <f>[2]หน้าผ้า!EI403</f>
        <v>0</v>
      </c>
      <c r="BC394" s="1">
        <f>[2]หน้าผ้า!BZ403</f>
        <v>0</v>
      </c>
      <c r="BD394" s="56">
        <f>[2]หน้าผ้า!CA403</f>
        <v>0</v>
      </c>
    </row>
    <row r="395" spans="1:56" ht="27.75" customHeight="1" x14ac:dyDescent="0.45">
      <c r="A395" s="3">
        <f>[2]หน้าผ้า!C404</f>
        <v>0</v>
      </c>
      <c r="B395" s="14">
        <f>[2]หน้าผ้า!B404</f>
        <v>0</v>
      </c>
      <c r="C395" s="9">
        <f>[2]หน้าผ้า!E404</f>
        <v>0</v>
      </c>
      <c r="D395" s="13">
        <f>[2]หน้าผ้า!F404</f>
        <v>0</v>
      </c>
      <c r="E395" s="9">
        <f>[2]หน้าผ้า!G404</f>
        <v>0</v>
      </c>
      <c r="F395" s="9">
        <f>[2]หน้าผ้า!H404</f>
        <v>0</v>
      </c>
      <c r="G395" s="9">
        <f>[2]หน้าผ้า!I404</f>
        <v>0</v>
      </c>
      <c r="H395" s="9">
        <f>[2]หน้าผ้า!J404</f>
        <v>0</v>
      </c>
      <c r="I395" s="9">
        <f>[2]หน้าผ้า!L404</f>
        <v>0</v>
      </c>
      <c r="J395" s="9">
        <f>[2]หน้าผ้า!M404</f>
        <v>0</v>
      </c>
      <c r="K395" s="9">
        <f>[2]หน้าผ้า!N404</f>
        <v>0</v>
      </c>
      <c r="L395" s="9">
        <f>[2]หน้าผ้า!R404</f>
        <v>0</v>
      </c>
      <c r="M395" s="10">
        <f>[2]หน้าผ้า!T404</f>
        <v>0</v>
      </c>
      <c r="N395" s="9">
        <f>[2]หน้าผ้า!U404</f>
        <v>0</v>
      </c>
      <c r="O395" s="9">
        <f>[2]หน้าผ้า!V404</f>
        <v>0</v>
      </c>
      <c r="P395" s="10">
        <f>[2]หน้าผ้า!AB404</f>
        <v>0</v>
      </c>
      <c r="Q395" s="10">
        <f>[2]หน้าผ้า!AC404</f>
        <v>0</v>
      </c>
      <c r="R395" s="10">
        <f>[2]หน้าผ้า!AD404</f>
        <v>0</v>
      </c>
      <c r="S395" s="9">
        <f>[2]หน้าผ้า!Z404</f>
        <v>0</v>
      </c>
      <c r="T395" s="12">
        <f>[2]หน้าผ้า!X404</f>
        <v>0</v>
      </c>
      <c r="U395" s="11">
        <f>[2]หน้าผ้า!AA404</f>
        <v>0</v>
      </c>
      <c r="V395" s="10">
        <f>[2]หน้าผ้า!AJ404</f>
        <v>0</v>
      </c>
      <c r="W395" s="10">
        <f>[2]หน้าผ้า!AL404</f>
        <v>0</v>
      </c>
      <c r="X395" s="10">
        <f>[2]หน้าผ้า!AM404</f>
        <v>0</v>
      </c>
      <c r="Y395" s="10">
        <f>[2]หน้าผ้า!AN404</f>
        <v>0</v>
      </c>
      <c r="Z395" s="9">
        <f>[2]หน้าผ้า!AO404</f>
        <v>0</v>
      </c>
      <c r="AA395" s="8">
        <f>[2]หน้าผ้า!AQ404</f>
        <v>0</v>
      </c>
      <c r="AB395" s="8">
        <f>[2]หน้าผ้า!AR404</f>
        <v>0</v>
      </c>
      <c r="AC395" s="8">
        <f>[2]หน้าผ้า!AS404</f>
        <v>0</v>
      </c>
      <c r="AD395" s="8">
        <f>[2]หน้าผ้า!AT404</f>
        <v>0</v>
      </c>
      <c r="AE395" s="8">
        <f>[2]หน้าผ้า!AU404</f>
        <v>0</v>
      </c>
      <c r="AF395" s="8">
        <f>[2]หน้าผ้า!AI404</f>
        <v>0</v>
      </c>
      <c r="AG395" s="1">
        <f>[3]หน้าผ้า!DC407</f>
        <v>0</v>
      </c>
      <c r="AH395" s="1">
        <f>[2]หน้าผ้า!DL404</f>
        <v>0</v>
      </c>
      <c r="AI395" s="1">
        <f>[2]หน้าผ้า!DM404</f>
        <v>0</v>
      </c>
      <c r="AJ395" s="3">
        <f>[2]หน้าผ้า!DN404</f>
        <v>0</v>
      </c>
      <c r="AK395" s="3">
        <f>[2]หน้าผ้า!DQ404</f>
        <v>0</v>
      </c>
      <c r="AL395" s="3">
        <f>[2]หน้าผ้า!DR404</f>
        <v>0</v>
      </c>
      <c r="AM395" s="3">
        <f>[2]หน้าผ้า!DS404</f>
        <v>0</v>
      </c>
      <c r="AN395" s="3">
        <f>[2]หน้าผ้า!DT404</f>
        <v>0</v>
      </c>
      <c r="AO395" s="3">
        <f>[2]หน้าผ้า!DU404</f>
        <v>0</v>
      </c>
      <c r="AP395" s="3">
        <f>[2]หน้าผ้า!DP404</f>
        <v>0</v>
      </c>
      <c r="AQ395" s="3">
        <f>[2]หน้าผ้า!DW404</f>
        <v>0</v>
      </c>
      <c r="AR395" s="3">
        <f>[2]หน้าผ้า!DX404</f>
        <v>0</v>
      </c>
      <c r="AS395" s="3">
        <f>[2]หน้าผ้า!DY404</f>
        <v>0</v>
      </c>
      <c r="AT395" s="3">
        <f>[2]หน้าผ้า!DZ404</f>
        <v>0</v>
      </c>
      <c r="AU395" s="3">
        <f>[2]หน้าผ้า!EA404</f>
        <v>0</v>
      </c>
      <c r="AV395" s="1">
        <f>[2]หน้าผ้า!EB404</f>
        <v>0</v>
      </c>
      <c r="AW395" s="2">
        <f>[2]หน้าผ้า!EC404</f>
        <v>0</v>
      </c>
      <c r="AX395" s="2">
        <f>[2]หน้าผ้า!ED404</f>
        <v>0</v>
      </c>
      <c r="AY395" s="2">
        <f>[2]หน้าผ้า!AG404</f>
        <v>0</v>
      </c>
      <c r="AZ395" s="2">
        <f>[2]หน้าผ้า!EG404</f>
        <v>0</v>
      </c>
      <c r="BA395" s="2">
        <f>[2]หน้าผ้า!EH404</f>
        <v>0</v>
      </c>
      <c r="BB395" s="2">
        <f>[2]หน้าผ้า!EI404</f>
        <v>0</v>
      </c>
      <c r="BC395" s="1">
        <f>[2]หน้าผ้า!BZ404</f>
        <v>0</v>
      </c>
      <c r="BD395" s="56">
        <f>[2]หน้าผ้า!CA404</f>
        <v>0</v>
      </c>
    </row>
    <row r="396" spans="1:56" ht="27.75" customHeight="1" x14ac:dyDescent="0.45">
      <c r="A396" s="3">
        <f>[2]หน้าผ้า!C405</f>
        <v>0</v>
      </c>
      <c r="B396" s="14">
        <f>[2]หน้าผ้า!B405</f>
        <v>0</v>
      </c>
      <c r="C396" s="9">
        <f>[2]หน้าผ้า!E405</f>
        <v>0</v>
      </c>
      <c r="D396" s="13">
        <f>[2]หน้าผ้า!F405</f>
        <v>0</v>
      </c>
      <c r="E396" s="9">
        <f>[2]หน้าผ้า!G405</f>
        <v>0</v>
      </c>
      <c r="F396" s="9">
        <f>[2]หน้าผ้า!H405</f>
        <v>0</v>
      </c>
      <c r="G396" s="9">
        <f>[2]หน้าผ้า!I405</f>
        <v>0</v>
      </c>
      <c r="H396" s="9">
        <f>[2]หน้าผ้า!J405</f>
        <v>0</v>
      </c>
      <c r="I396" s="9">
        <f>[2]หน้าผ้า!L405</f>
        <v>0</v>
      </c>
      <c r="J396" s="9">
        <f>[2]หน้าผ้า!M405</f>
        <v>0</v>
      </c>
      <c r="K396" s="9">
        <f>[2]หน้าผ้า!N405</f>
        <v>0</v>
      </c>
      <c r="L396" s="9">
        <f>[2]หน้าผ้า!R405</f>
        <v>0</v>
      </c>
      <c r="M396" s="10">
        <f>[2]หน้าผ้า!T405</f>
        <v>0</v>
      </c>
      <c r="N396" s="9">
        <f>[2]หน้าผ้า!U405</f>
        <v>0</v>
      </c>
      <c r="O396" s="9">
        <f>[2]หน้าผ้า!V405</f>
        <v>0</v>
      </c>
      <c r="P396" s="10">
        <f>[2]หน้าผ้า!AB405</f>
        <v>0</v>
      </c>
      <c r="Q396" s="10">
        <f>[2]หน้าผ้า!AC405</f>
        <v>0</v>
      </c>
      <c r="R396" s="10">
        <f>[2]หน้าผ้า!AD405</f>
        <v>0</v>
      </c>
      <c r="S396" s="9">
        <f>[2]หน้าผ้า!Z405</f>
        <v>0</v>
      </c>
      <c r="T396" s="12">
        <f>[2]หน้าผ้า!X405</f>
        <v>0</v>
      </c>
      <c r="U396" s="11">
        <f>[2]หน้าผ้า!AA405</f>
        <v>0</v>
      </c>
      <c r="V396" s="10">
        <f>[2]หน้าผ้า!AJ405</f>
        <v>0</v>
      </c>
      <c r="W396" s="10">
        <f>[2]หน้าผ้า!AL405</f>
        <v>0</v>
      </c>
      <c r="X396" s="10">
        <f>[2]หน้าผ้า!AM405</f>
        <v>0</v>
      </c>
      <c r="Y396" s="10">
        <f>[2]หน้าผ้า!AN405</f>
        <v>0</v>
      </c>
      <c r="Z396" s="9">
        <f>[2]หน้าผ้า!AO405</f>
        <v>0</v>
      </c>
      <c r="AA396" s="8">
        <f>[2]หน้าผ้า!AQ405</f>
        <v>0</v>
      </c>
      <c r="AB396" s="8">
        <f>[2]หน้าผ้า!AR405</f>
        <v>0</v>
      </c>
      <c r="AC396" s="8">
        <f>[2]หน้าผ้า!AS405</f>
        <v>0</v>
      </c>
      <c r="AD396" s="8">
        <f>[2]หน้าผ้า!AT405</f>
        <v>0</v>
      </c>
      <c r="AE396" s="8">
        <f>[2]หน้าผ้า!AU405</f>
        <v>0</v>
      </c>
      <c r="AF396" s="8">
        <f>[2]หน้าผ้า!AI405</f>
        <v>0</v>
      </c>
      <c r="AG396" s="1">
        <f>[3]หน้าผ้า!DC408</f>
        <v>0</v>
      </c>
      <c r="AH396" s="1">
        <f>[2]หน้าผ้า!DL405</f>
        <v>0</v>
      </c>
      <c r="AI396" s="1">
        <f>[2]หน้าผ้า!DM405</f>
        <v>0</v>
      </c>
      <c r="AJ396" s="3">
        <f>[2]หน้าผ้า!DN405</f>
        <v>0</v>
      </c>
      <c r="AK396" s="3">
        <f>[2]หน้าผ้า!DQ405</f>
        <v>0</v>
      </c>
      <c r="AL396" s="3">
        <f>[2]หน้าผ้า!DR405</f>
        <v>0</v>
      </c>
      <c r="AM396" s="3">
        <f>[2]หน้าผ้า!DS405</f>
        <v>0</v>
      </c>
      <c r="AN396" s="3">
        <f>[2]หน้าผ้า!DT405</f>
        <v>0</v>
      </c>
      <c r="AO396" s="3">
        <f>[2]หน้าผ้า!DU405</f>
        <v>0</v>
      </c>
      <c r="AP396" s="3">
        <f>[2]หน้าผ้า!DP405</f>
        <v>0</v>
      </c>
      <c r="AQ396" s="3">
        <f>[2]หน้าผ้า!DW405</f>
        <v>0</v>
      </c>
      <c r="AR396" s="3">
        <f>[2]หน้าผ้า!DX405</f>
        <v>0</v>
      </c>
      <c r="AS396" s="3">
        <f>[2]หน้าผ้า!DY405</f>
        <v>0</v>
      </c>
      <c r="AT396" s="3">
        <f>[2]หน้าผ้า!DZ405</f>
        <v>0</v>
      </c>
      <c r="AU396" s="3">
        <f>[2]หน้าผ้า!EA405</f>
        <v>0</v>
      </c>
      <c r="AV396" s="1">
        <f>[2]หน้าผ้า!EB405</f>
        <v>0</v>
      </c>
      <c r="AW396" s="2">
        <f>[2]หน้าผ้า!EC405</f>
        <v>0</v>
      </c>
      <c r="AX396" s="2">
        <f>[2]หน้าผ้า!ED405</f>
        <v>0</v>
      </c>
      <c r="AY396" s="2">
        <f>[2]หน้าผ้า!AG405</f>
        <v>0</v>
      </c>
      <c r="AZ396" s="2">
        <f>[2]หน้าผ้า!EG405</f>
        <v>0</v>
      </c>
      <c r="BA396" s="2">
        <f>[2]หน้าผ้า!EH405</f>
        <v>0</v>
      </c>
      <c r="BB396" s="2">
        <f>[2]หน้าผ้า!EI405</f>
        <v>0</v>
      </c>
      <c r="BC396" s="1">
        <f>[2]หน้าผ้า!BZ405</f>
        <v>0</v>
      </c>
      <c r="BD396" s="56">
        <f>[2]หน้าผ้า!CA405</f>
        <v>0</v>
      </c>
    </row>
    <row r="397" spans="1:56" ht="27.75" customHeight="1" x14ac:dyDescent="0.45">
      <c r="A397" s="3">
        <f>[2]หน้าผ้า!C406</f>
        <v>0</v>
      </c>
      <c r="B397" s="14">
        <f>[2]หน้าผ้า!B406</f>
        <v>0</v>
      </c>
      <c r="C397" s="9">
        <f>[2]หน้าผ้า!E406</f>
        <v>0</v>
      </c>
      <c r="D397" s="13">
        <f>[2]หน้าผ้า!F406</f>
        <v>0</v>
      </c>
      <c r="E397" s="9">
        <f>[2]หน้าผ้า!G406</f>
        <v>0</v>
      </c>
      <c r="F397" s="9">
        <f>[2]หน้าผ้า!H406</f>
        <v>0</v>
      </c>
      <c r="G397" s="9">
        <f>[2]หน้าผ้า!I406</f>
        <v>0</v>
      </c>
      <c r="H397" s="9">
        <f>[2]หน้าผ้า!J406</f>
        <v>0</v>
      </c>
      <c r="I397" s="9">
        <f>[2]หน้าผ้า!L406</f>
        <v>0</v>
      </c>
      <c r="J397" s="9">
        <f>[2]หน้าผ้า!M406</f>
        <v>0</v>
      </c>
      <c r="K397" s="9">
        <f>[2]หน้าผ้า!N406</f>
        <v>0</v>
      </c>
      <c r="L397" s="9">
        <f>[2]หน้าผ้า!R406</f>
        <v>0</v>
      </c>
      <c r="M397" s="10">
        <f>[2]หน้าผ้า!T406</f>
        <v>0</v>
      </c>
      <c r="N397" s="9">
        <f>[2]หน้าผ้า!U406</f>
        <v>0</v>
      </c>
      <c r="O397" s="9">
        <f>[2]หน้าผ้า!V406</f>
        <v>0</v>
      </c>
      <c r="P397" s="10">
        <f>[2]หน้าผ้า!AB406</f>
        <v>0</v>
      </c>
      <c r="Q397" s="10">
        <f>[2]หน้าผ้า!AC406</f>
        <v>0</v>
      </c>
      <c r="R397" s="10">
        <f>[2]หน้าผ้า!AD406</f>
        <v>0</v>
      </c>
      <c r="S397" s="9">
        <f>[2]หน้าผ้า!Z406</f>
        <v>0</v>
      </c>
      <c r="T397" s="12">
        <f>[2]หน้าผ้า!X406</f>
        <v>0</v>
      </c>
      <c r="U397" s="11">
        <f>[2]หน้าผ้า!AA406</f>
        <v>0</v>
      </c>
      <c r="V397" s="10">
        <f>[2]หน้าผ้า!AJ406</f>
        <v>0</v>
      </c>
      <c r="W397" s="10">
        <f>[2]หน้าผ้า!AL406</f>
        <v>0</v>
      </c>
      <c r="X397" s="10">
        <f>[2]หน้าผ้า!AM406</f>
        <v>0</v>
      </c>
      <c r="Y397" s="10">
        <f>[2]หน้าผ้า!AN406</f>
        <v>0</v>
      </c>
      <c r="Z397" s="9">
        <f>[2]หน้าผ้า!AO406</f>
        <v>0</v>
      </c>
      <c r="AA397" s="8">
        <f>[2]หน้าผ้า!AQ406</f>
        <v>0</v>
      </c>
      <c r="AB397" s="8">
        <f>[2]หน้าผ้า!AR406</f>
        <v>0</v>
      </c>
      <c r="AC397" s="8">
        <f>[2]หน้าผ้า!AS406</f>
        <v>0</v>
      </c>
      <c r="AD397" s="8">
        <f>[2]หน้าผ้า!AT406</f>
        <v>0</v>
      </c>
      <c r="AE397" s="8">
        <f>[2]หน้าผ้า!AU406</f>
        <v>0</v>
      </c>
      <c r="AF397" s="8">
        <f>[2]หน้าผ้า!AI406</f>
        <v>0</v>
      </c>
      <c r="AG397" s="1">
        <f>[3]หน้าผ้า!DC409</f>
        <v>0</v>
      </c>
      <c r="AH397" s="1">
        <f>[2]หน้าผ้า!DL406</f>
        <v>0</v>
      </c>
      <c r="AI397" s="1">
        <f>[2]หน้าผ้า!DM406</f>
        <v>0</v>
      </c>
      <c r="AJ397" s="3">
        <f>[2]หน้าผ้า!DN406</f>
        <v>0</v>
      </c>
      <c r="AK397" s="3">
        <f>[2]หน้าผ้า!DQ406</f>
        <v>0</v>
      </c>
      <c r="AL397" s="3">
        <f>[2]หน้าผ้า!DR406</f>
        <v>0</v>
      </c>
      <c r="AM397" s="3">
        <f>[2]หน้าผ้า!DS406</f>
        <v>0</v>
      </c>
      <c r="AN397" s="3">
        <f>[2]หน้าผ้า!DT406</f>
        <v>0</v>
      </c>
      <c r="AO397" s="3">
        <f>[2]หน้าผ้า!DU406</f>
        <v>0</v>
      </c>
      <c r="AP397" s="3">
        <f>[2]หน้าผ้า!DP406</f>
        <v>0</v>
      </c>
      <c r="AQ397" s="3">
        <f>[2]หน้าผ้า!DW406</f>
        <v>0</v>
      </c>
      <c r="AR397" s="3">
        <f>[2]หน้าผ้า!DX406</f>
        <v>0</v>
      </c>
      <c r="AS397" s="3">
        <f>[2]หน้าผ้า!DY406</f>
        <v>0</v>
      </c>
      <c r="AT397" s="3">
        <f>[2]หน้าผ้า!DZ406</f>
        <v>0</v>
      </c>
      <c r="AU397" s="3">
        <f>[2]หน้าผ้า!EA406</f>
        <v>0</v>
      </c>
      <c r="AV397" s="1">
        <f>[2]หน้าผ้า!EB406</f>
        <v>0</v>
      </c>
      <c r="AW397" s="2">
        <f>[2]หน้าผ้า!EC406</f>
        <v>0</v>
      </c>
      <c r="AX397" s="2">
        <f>[2]หน้าผ้า!ED406</f>
        <v>0</v>
      </c>
      <c r="AY397" s="2">
        <f>[2]หน้าผ้า!AG406</f>
        <v>0</v>
      </c>
      <c r="AZ397" s="2">
        <f>[2]หน้าผ้า!EG406</f>
        <v>0</v>
      </c>
      <c r="BA397" s="2">
        <f>[2]หน้าผ้า!EH406</f>
        <v>0</v>
      </c>
      <c r="BB397" s="2">
        <f>[2]หน้าผ้า!EI406</f>
        <v>0</v>
      </c>
      <c r="BC397" s="1">
        <f>[2]หน้าผ้า!BZ406</f>
        <v>0</v>
      </c>
      <c r="BD397" s="56">
        <f>[2]หน้าผ้า!CA406</f>
        <v>0</v>
      </c>
    </row>
    <row r="398" spans="1:56" ht="27.75" customHeight="1" x14ac:dyDescent="0.45">
      <c r="A398" s="3">
        <f>[2]หน้าผ้า!C407</f>
        <v>0</v>
      </c>
      <c r="B398" s="14">
        <f>[2]หน้าผ้า!B407</f>
        <v>0</v>
      </c>
      <c r="C398" s="9">
        <f>[2]หน้าผ้า!E407</f>
        <v>0</v>
      </c>
      <c r="D398" s="13">
        <f>[2]หน้าผ้า!F407</f>
        <v>0</v>
      </c>
      <c r="E398" s="9">
        <f>[2]หน้าผ้า!G407</f>
        <v>0</v>
      </c>
      <c r="F398" s="9">
        <f>[2]หน้าผ้า!H407</f>
        <v>0</v>
      </c>
      <c r="G398" s="9">
        <f>[2]หน้าผ้า!I407</f>
        <v>0</v>
      </c>
      <c r="H398" s="9">
        <f>[2]หน้าผ้า!J407</f>
        <v>0</v>
      </c>
      <c r="I398" s="9">
        <f>[2]หน้าผ้า!L407</f>
        <v>0</v>
      </c>
      <c r="J398" s="9">
        <f>[2]หน้าผ้า!M407</f>
        <v>0</v>
      </c>
      <c r="K398" s="9">
        <f>[2]หน้าผ้า!N407</f>
        <v>0</v>
      </c>
      <c r="L398" s="9">
        <f>[2]หน้าผ้า!R407</f>
        <v>0</v>
      </c>
      <c r="M398" s="10">
        <f>[2]หน้าผ้า!T407</f>
        <v>0</v>
      </c>
      <c r="N398" s="9">
        <f>[2]หน้าผ้า!U407</f>
        <v>0</v>
      </c>
      <c r="O398" s="9">
        <f>[2]หน้าผ้า!V407</f>
        <v>0</v>
      </c>
      <c r="P398" s="10">
        <f>[2]หน้าผ้า!AB407</f>
        <v>0</v>
      </c>
      <c r="Q398" s="10">
        <f>[2]หน้าผ้า!AC407</f>
        <v>0</v>
      </c>
      <c r="R398" s="10">
        <f>[2]หน้าผ้า!AD407</f>
        <v>0</v>
      </c>
      <c r="S398" s="9">
        <f>[2]หน้าผ้า!Z407</f>
        <v>0</v>
      </c>
      <c r="T398" s="12">
        <f>[2]หน้าผ้า!X407</f>
        <v>0</v>
      </c>
      <c r="U398" s="11">
        <f>[2]หน้าผ้า!AA407</f>
        <v>0</v>
      </c>
      <c r="V398" s="10">
        <f>[2]หน้าผ้า!AJ407</f>
        <v>0</v>
      </c>
      <c r="W398" s="10">
        <f>[2]หน้าผ้า!AL407</f>
        <v>0</v>
      </c>
      <c r="X398" s="10">
        <f>[2]หน้าผ้า!AM407</f>
        <v>0</v>
      </c>
      <c r="Y398" s="10">
        <f>[2]หน้าผ้า!AN407</f>
        <v>0</v>
      </c>
      <c r="Z398" s="9">
        <f>[2]หน้าผ้า!AO407</f>
        <v>0</v>
      </c>
      <c r="AA398" s="8">
        <f>[2]หน้าผ้า!AQ407</f>
        <v>0</v>
      </c>
      <c r="AB398" s="8">
        <f>[2]หน้าผ้า!AR407</f>
        <v>0</v>
      </c>
      <c r="AC398" s="8">
        <f>[2]หน้าผ้า!AS407</f>
        <v>0</v>
      </c>
      <c r="AD398" s="8">
        <f>[2]หน้าผ้า!AT407</f>
        <v>0</v>
      </c>
      <c r="AE398" s="8">
        <f>[2]หน้าผ้า!AU407</f>
        <v>0</v>
      </c>
      <c r="AF398" s="8">
        <f>[2]หน้าผ้า!AI407</f>
        <v>0</v>
      </c>
      <c r="AG398" s="1">
        <f>[3]หน้าผ้า!DC410</f>
        <v>0</v>
      </c>
      <c r="AH398" s="1">
        <f>[2]หน้าผ้า!DL407</f>
        <v>0</v>
      </c>
      <c r="AI398" s="1">
        <f>[2]หน้าผ้า!DM407</f>
        <v>0</v>
      </c>
      <c r="AJ398" s="3">
        <f>[2]หน้าผ้า!DN407</f>
        <v>0</v>
      </c>
      <c r="AK398" s="3">
        <f>[2]หน้าผ้า!DQ407</f>
        <v>0</v>
      </c>
      <c r="AL398" s="3">
        <f>[2]หน้าผ้า!DR407</f>
        <v>0</v>
      </c>
      <c r="AM398" s="3">
        <f>[2]หน้าผ้า!DS407</f>
        <v>0</v>
      </c>
      <c r="AN398" s="3">
        <f>[2]หน้าผ้า!DT407</f>
        <v>0</v>
      </c>
      <c r="AO398" s="3">
        <f>[2]หน้าผ้า!DU407</f>
        <v>0</v>
      </c>
      <c r="AP398" s="3">
        <f>[2]หน้าผ้า!DP407</f>
        <v>0</v>
      </c>
      <c r="AQ398" s="3">
        <f>[2]หน้าผ้า!DW407</f>
        <v>0</v>
      </c>
      <c r="AR398" s="3">
        <f>[2]หน้าผ้า!DX407</f>
        <v>0</v>
      </c>
      <c r="AS398" s="3">
        <f>[2]หน้าผ้า!DY407</f>
        <v>0</v>
      </c>
      <c r="AT398" s="3">
        <f>[2]หน้าผ้า!DZ407</f>
        <v>0</v>
      </c>
      <c r="AU398" s="3">
        <f>[2]หน้าผ้า!EA407</f>
        <v>0</v>
      </c>
      <c r="AV398" s="1">
        <f>[2]หน้าผ้า!EB407</f>
        <v>0</v>
      </c>
      <c r="AW398" s="2">
        <f>[2]หน้าผ้า!EC407</f>
        <v>0</v>
      </c>
      <c r="AX398" s="2">
        <f>[2]หน้าผ้า!ED407</f>
        <v>0</v>
      </c>
      <c r="AY398" s="2">
        <f>[2]หน้าผ้า!AG407</f>
        <v>0</v>
      </c>
      <c r="AZ398" s="2">
        <f>[2]หน้าผ้า!EG407</f>
        <v>0</v>
      </c>
      <c r="BA398" s="2">
        <f>[2]หน้าผ้า!EH407</f>
        <v>0</v>
      </c>
      <c r="BB398" s="2">
        <f>[2]หน้าผ้า!EI407</f>
        <v>0</v>
      </c>
      <c r="BC398" s="1">
        <f>[2]หน้าผ้า!BZ407</f>
        <v>0</v>
      </c>
      <c r="BD398" s="56">
        <f>[2]หน้าผ้า!CA407</f>
        <v>0</v>
      </c>
    </row>
    <row r="399" spans="1:56" ht="27.75" customHeight="1" x14ac:dyDescent="0.45">
      <c r="A399" s="3">
        <f>[2]หน้าผ้า!C408</f>
        <v>0</v>
      </c>
      <c r="B399" s="14">
        <f>[2]หน้าผ้า!B408</f>
        <v>0</v>
      </c>
      <c r="C399" s="9">
        <f>[2]หน้าผ้า!E408</f>
        <v>0</v>
      </c>
      <c r="D399" s="13">
        <f>[2]หน้าผ้า!F408</f>
        <v>0</v>
      </c>
      <c r="E399" s="9">
        <f>[2]หน้าผ้า!G408</f>
        <v>0</v>
      </c>
      <c r="F399" s="9">
        <f>[2]หน้าผ้า!H408</f>
        <v>0</v>
      </c>
      <c r="G399" s="9">
        <f>[2]หน้าผ้า!I408</f>
        <v>0</v>
      </c>
      <c r="H399" s="9">
        <f>[2]หน้าผ้า!J408</f>
        <v>0</v>
      </c>
      <c r="I399" s="9">
        <f>[2]หน้าผ้า!L408</f>
        <v>0</v>
      </c>
      <c r="J399" s="9">
        <f>[2]หน้าผ้า!M408</f>
        <v>0</v>
      </c>
      <c r="K399" s="9">
        <f>[2]หน้าผ้า!N408</f>
        <v>0</v>
      </c>
      <c r="L399" s="9">
        <f>[2]หน้าผ้า!R408</f>
        <v>0</v>
      </c>
      <c r="M399" s="10">
        <f>[2]หน้าผ้า!T408</f>
        <v>0</v>
      </c>
      <c r="N399" s="9">
        <f>[2]หน้าผ้า!U408</f>
        <v>0</v>
      </c>
      <c r="O399" s="9">
        <f>[2]หน้าผ้า!V408</f>
        <v>0</v>
      </c>
      <c r="P399" s="10">
        <f>[2]หน้าผ้า!AB408</f>
        <v>0</v>
      </c>
      <c r="Q399" s="10">
        <f>[2]หน้าผ้า!AC408</f>
        <v>0</v>
      </c>
      <c r="R399" s="10">
        <f>[2]หน้าผ้า!AD408</f>
        <v>0</v>
      </c>
      <c r="S399" s="9">
        <f>[2]หน้าผ้า!Z408</f>
        <v>0</v>
      </c>
      <c r="T399" s="12">
        <f>[2]หน้าผ้า!X408</f>
        <v>0</v>
      </c>
      <c r="U399" s="11">
        <f>[2]หน้าผ้า!AA408</f>
        <v>0</v>
      </c>
      <c r="V399" s="10">
        <f>[2]หน้าผ้า!AJ408</f>
        <v>0</v>
      </c>
      <c r="W399" s="10">
        <f>[2]หน้าผ้า!AL408</f>
        <v>0</v>
      </c>
      <c r="X399" s="10">
        <f>[2]หน้าผ้า!AM408</f>
        <v>0</v>
      </c>
      <c r="Y399" s="10">
        <f>[2]หน้าผ้า!AN408</f>
        <v>0</v>
      </c>
      <c r="Z399" s="9">
        <f>[2]หน้าผ้า!AO408</f>
        <v>0</v>
      </c>
      <c r="AA399" s="8">
        <f>[2]หน้าผ้า!AQ408</f>
        <v>0</v>
      </c>
      <c r="AB399" s="8">
        <f>[2]หน้าผ้า!AR408</f>
        <v>0</v>
      </c>
      <c r="AC399" s="8">
        <f>[2]หน้าผ้า!AS408</f>
        <v>0</v>
      </c>
      <c r="AD399" s="8">
        <f>[2]หน้าผ้า!AT408</f>
        <v>0</v>
      </c>
      <c r="AE399" s="8">
        <f>[2]หน้าผ้า!AU408</f>
        <v>0</v>
      </c>
      <c r="AF399" s="8">
        <f>[2]หน้าผ้า!AI408</f>
        <v>0</v>
      </c>
      <c r="AG399" s="1">
        <f>[3]หน้าผ้า!DC411</f>
        <v>0</v>
      </c>
      <c r="AH399" s="1">
        <f>[2]หน้าผ้า!DL408</f>
        <v>0</v>
      </c>
      <c r="AI399" s="1">
        <f>[2]หน้าผ้า!DM408</f>
        <v>0</v>
      </c>
      <c r="AJ399" s="3">
        <f>[2]หน้าผ้า!DN408</f>
        <v>0</v>
      </c>
      <c r="AK399" s="3">
        <f>[2]หน้าผ้า!DQ408</f>
        <v>0</v>
      </c>
      <c r="AL399" s="3">
        <f>[2]หน้าผ้า!DR408</f>
        <v>0</v>
      </c>
      <c r="AM399" s="3">
        <f>[2]หน้าผ้า!DS408</f>
        <v>0</v>
      </c>
      <c r="AN399" s="3">
        <f>[2]หน้าผ้า!DT408</f>
        <v>0</v>
      </c>
      <c r="AO399" s="3">
        <f>[2]หน้าผ้า!DU408</f>
        <v>0</v>
      </c>
      <c r="AP399" s="3">
        <f>[2]หน้าผ้า!DP408</f>
        <v>0</v>
      </c>
      <c r="AQ399" s="3">
        <f>[2]หน้าผ้า!DW408</f>
        <v>0</v>
      </c>
      <c r="AR399" s="3">
        <f>[2]หน้าผ้า!DX408</f>
        <v>0</v>
      </c>
      <c r="AS399" s="3">
        <f>[2]หน้าผ้า!DY408</f>
        <v>0</v>
      </c>
      <c r="AT399" s="3">
        <f>[2]หน้าผ้า!DZ408</f>
        <v>0</v>
      </c>
      <c r="AU399" s="3">
        <f>[2]หน้าผ้า!EA408</f>
        <v>0</v>
      </c>
      <c r="AV399" s="1">
        <f>[2]หน้าผ้า!EB408</f>
        <v>0</v>
      </c>
      <c r="AW399" s="2">
        <f>[2]หน้าผ้า!EC408</f>
        <v>0</v>
      </c>
      <c r="AX399" s="2">
        <f>[2]หน้าผ้า!ED408</f>
        <v>0</v>
      </c>
      <c r="AY399" s="2">
        <f>[2]หน้าผ้า!AG408</f>
        <v>0</v>
      </c>
      <c r="AZ399" s="2">
        <f>[2]หน้าผ้า!EG408</f>
        <v>0</v>
      </c>
      <c r="BA399" s="2">
        <f>[2]หน้าผ้า!EH408</f>
        <v>0</v>
      </c>
      <c r="BB399" s="2">
        <f>[2]หน้าผ้า!EI408</f>
        <v>0</v>
      </c>
      <c r="BC399" s="1">
        <f>[2]หน้าผ้า!BZ408</f>
        <v>0</v>
      </c>
      <c r="BD399" s="56">
        <f>[2]หน้าผ้า!CA408</f>
        <v>0</v>
      </c>
    </row>
    <row r="400" spans="1:56" ht="27.75" customHeight="1" x14ac:dyDescent="0.45">
      <c r="A400" s="3">
        <f>[2]หน้าผ้า!C409</f>
        <v>0</v>
      </c>
      <c r="B400" s="14">
        <f>[2]หน้าผ้า!B409</f>
        <v>0</v>
      </c>
      <c r="C400" s="9">
        <f>[2]หน้าผ้า!E409</f>
        <v>0</v>
      </c>
      <c r="D400" s="13">
        <f>[2]หน้าผ้า!F409</f>
        <v>0</v>
      </c>
      <c r="E400" s="9">
        <f>[2]หน้าผ้า!G409</f>
        <v>0</v>
      </c>
      <c r="F400" s="9">
        <f>[2]หน้าผ้า!H409</f>
        <v>0</v>
      </c>
      <c r="G400" s="9">
        <f>[2]หน้าผ้า!I409</f>
        <v>0</v>
      </c>
      <c r="H400" s="9">
        <f>[2]หน้าผ้า!J409</f>
        <v>0</v>
      </c>
      <c r="I400" s="9">
        <f>[2]หน้าผ้า!L409</f>
        <v>0</v>
      </c>
      <c r="J400" s="9">
        <f>[2]หน้าผ้า!M409</f>
        <v>0</v>
      </c>
      <c r="K400" s="9">
        <f>[2]หน้าผ้า!N409</f>
        <v>0</v>
      </c>
      <c r="L400" s="9">
        <f>[2]หน้าผ้า!R409</f>
        <v>0</v>
      </c>
      <c r="M400" s="10">
        <f>[2]หน้าผ้า!T409</f>
        <v>0</v>
      </c>
      <c r="N400" s="9">
        <f>[2]หน้าผ้า!U409</f>
        <v>0</v>
      </c>
      <c r="O400" s="9">
        <f>[2]หน้าผ้า!V409</f>
        <v>0</v>
      </c>
      <c r="P400" s="10">
        <f>[2]หน้าผ้า!AB409</f>
        <v>0</v>
      </c>
      <c r="Q400" s="10">
        <f>[2]หน้าผ้า!AC409</f>
        <v>0</v>
      </c>
      <c r="R400" s="10">
        <f>[2]หน้าผ้า!AD409</f>
        <v>0</v>
      </c>
      <c r="S400" s="9">
        <f>[2]หน้าผ้า!Z409</f>
        <v>0</v>
      </c>
      <c r="T400" s="12">
        <f>[2]หน้าผ้า!X409</f>
        <v>0</v>
      </c>
      <c r="U400" s="11">
        <f>[2]หน้าผ้า!AA409</f>
        <v>0</v>
      </c>
      <c r="V400" s="10">
        <f>[2]หน้าผ้า!AJ409</f>
        <v>0</v>
      </c>
      <c r="W400" s="10">
        <f>[2]หน้าผ้า!AL409</f>
        <v>0</v>
      </c>
      <c r="X400" s="10">
        <f>[2]หน้าผ้า!AM409</f>
        <v>0</v>
      </c>
      <c r="Y400" s="10">
        <f>[2]หน้าผ้า!AN409</f>
        <v>0</v>
      </c>
      <c r="Z400" s="9">
        <f>[2]หน้าผ้า!AO409</f>
        <v>0</v>
      </c>
      <c r="AA400" s="8">
        <f>[2]หน้าผ้า!AQ409</f>
        <v>0</v>
      </c>
      <c r="AB400" s="8">
        <f>[2]หน้าผ้า!AR409</f>
        <v>0</v>
      </c>
      <c r="AC400" s="8">
        <f>[2]หน้าผ้า!AS409</f>
        <v>0</v>
      </c>
      <c r="AD400" s="8">
        <f>[2]หน้าผ้า!AT409</f>
        <v>0</v>
      </c>
      <c r="AE400" s="8">
        <f>[2]หน้าผ้า!AU409</f>
        <v>0</v>
      </c>
      <c r="AF400" s="8">
        <f>[2]หน้าผ้า!AI409</f>
        <v>0</v>
      </c>
      <c r="AG400" s="1">
        <f>[3]หน้าผ้า!DC412</f>
        <v>0</v>
      </c>
      <c r="AH400" s="1">
        <f>[2]หน้าผ้า!DL409</f>
        <v>0</v>
      </c>
      <c r="AI400" s="1">
        <f>[2]หน้าผ้า!DM409</f>
        <v>0</v>
      </c>
      <c r="AJ400" s="3">
        <f>[2]หน้าผ้า!DN409</f>
        <v>0</v>
      </c>
      <c r="AK400" s="3">
        <f>[2]หน้าผ้า!DQ409</f>
        <v>0</v>
      </c>
      <c r="AL400" s="3">
        <f>[2]หน้าผ้า!DR409</f>
        <v>0</v>
      </c>
      <c r="AM400" s="3">
        <f>[2]หน้าผ้า!DS409</f>
        <v>0</v>
      </c>
      <c r="AN400" s="3">
        <f>[2]หน้าผ้า!DT409</f>
        <v>0</v>
      </c>
      <c r="AO400" s="3">
        <f>[2]หน้าผ้า!DU409</f>
        <v>0</v>
      </c>
      <c r="AP400" s="3">
        <f>[2]หน้าผ้า!DP409</f>
        <v>0</v>
      </c>
      <c r="AQ400" s="3">
        <f>[2]หน้าผ้า!DW409</f>
        <v>0</v>
      </c>
      <c r="AR400" s="3">
        <f>[2]หน้าผ้า!DX409</f>
        <v>0</v>
      </c>
      <c r="AS400" s="3">
        <f>[2]หน้าผ้า!DY409</f>
        <v>0</v>
      </c>
      <c r="AT400" s="3">
        <f>[2]หน้าผ้า!DZ409</f>
        <v>0</v>
      </c>
      <c r="AU400" s="3">
        <f>[2]หน้าผ้า!EA409</f>
        <v>0</v>
      </c>
      <c r="AV400" s="1">
        <f>[2]หน้าผ้า!EB409</f>
        <v>0</v>
      </c>
      <c r="AW400" s="2">
        <f>[2]หน้าผ้า!EC409</f>
        <v>0</v>
      </c>
      <c r="AX400" s="2">
        <f>[2]หน้าผ้า!ED409</f>
        <v>0</v>
      </c>
      <c r="AY400" s="2">
        <f>[2]หน้าผ้า!AG409</f>
        <v>0</v>
      </c>
      <c r="AZ400" s="2">
        <f>[2]หน้าผ้า!EG409</f>
        <v>0</v>
      </c>
      <c r="BA400" s="2">
        <f>[2]หน้าผ้า!EH409</f>
        <v>0</v>
      </c>
      <c r="BB400" s="2">
        <f>[2]หน้าผ้า!EI409</f>
        <v>0</v>
      </c>
      <c r="BC400" s="1">
        <f>[2]หน้าผ้า!BZ409</f>
        <v>0</v>
      </c>
      <c r="BD400" s="56">
        <f>[2]หน้าผ้า!CA409</f>
        <v>0</v>
      </c>
    </row>
    <row r="401" spans="1:56" ht="27.75" customHeight="1" x14ac:dyDescent="0.45">
      <c r="A401" s="3">
        <f>[2]หน้าผ้า!C410</f>
        <v>0</v>
      </c>
      <c r="B401" s="14">
        <f>[2]หน้าผ้า!B410</f>
        <v>0</v>
      </c>
      <c r="C401" s="9">
        <f>[2]หน้าผ้า!E410</f>
        <v>0</v>
      </c>
      <c r="D401" s="13">
        <f>[2]หน้าผ้า!F410</f>
        <v>0</v>
      </c>
      <c r="E401" s="9">
        <f>[2]หน้าผ้า!G410</f>
        <v>0</v>
      </c>
      <c r="F401" s="9">
        <f>[2]หน้าผ้า!H410</f>
        <v>0</v>
      </c>
      <c r="G401" s="9">
        <f>[2]หน้าผ้า!I410</f>
        <v>0</v>
      </c>
      <c r="H401" s="9">
        <f>[2]หน้าผ้า!J410</f>
        <v>0</v>
      </c>
      <c r="I401" s="9">
        <f>[2]หน้าผ้า!L410</f>
        <v>0</v>
      </c>
      <c r="J401" s="9">
        <f>[2]หน้าผ้า!M410</f>
        <v>0</v>
      </c>
      <c r="K401" s="9">
        <f>[2]หน้าผ้า!N410</f>
        <v>0</v>
      </c>
      <c r="L401" s="9">
        <f>[2]หน้าผ้า!R410</f>
        <v>0</v>
      </c>
      <c r="M401" s="10">
        <f>[2]หน้าผ้า!T410</f>
        <v>0</v>
      </c>
      <c r="N401" s="9">
        <f>[2]หน้าผ้า!U410</f>
        <v>0</v>
      </c>
      <c r="O401" s="9">
        <f>[2]หน้าผ้า!V410</f>
        <v>0</v>
      </c>
      <c r="P401" s="10">
        <f>[2]หน้าผ้า!AB410</f>
        <v>0</v>
      </c>
      <c r="Q401" s="10">
        <f>[2]หน้าผ้า!AC410</f>
        <v>0</v>
      </c>
      <c r="R401" s="10">
        <f>[2]หน้าผ้า!AD410</f>
        <v>0</v>
      </c>
      <c r="S401" s="9">
        <f>[2]หน้าผ้า!Z410</f>
        <v>0</v>
      </c>
      <c r="T401" s="12">
        <f>[2]หน้าผ้า!X410</f>
        <v>0</v>
      </c>
      <c r="U401" s="11">
        <f>[2]หน้าผ้า!AA410</f>
        <v>0</v>
      </c>
      <c r="V401" s="10">
        <f>[2]หน้าผ้า!AJ410</f>
        <v>0</v>
      </c>
      <c r="W401" s="10">
        <f>[2]หน้าผ้า!AL410</f>
        <v>0</v>
      </c>
      <c r="X401" s="10">
        <f>[2]หน้าผ้า!AM410</f>
        <v>0</v>
      </c>
      <c r="Y401" s="10">
        <f>[2]หน้าผ้า!AN410</f>
        <v>0</v>
      </c>
      <c r="Z401" s="9">
        <f>[2]หน้าผ้า!AO410</f>
        <v>0</v>
      </c>
      <c r="AA401" s="8">
        <f>[2]หน้าผ้า!AQ410</f>
        <v>0</v>
      </c>
      <c r="AB401" s="8">
        <f>[2]หน้าผ้า!AR410</f>
        <v>0</v>
      </c>
      <c r="AC401" s="8">
        <f>[2]หน้าผ้า!AS410</f>
        <v>0</v>
      </c>
      <c r="AD401" s="8">
        <f>[2]หน้าผ้า!AT410</f>
        <v>0</v>
      </c>
      <c r="AE401" s="8">
        <f>[2]หน้าผ้า!AU410</f>
        <v>0</v>
      </c>
      <c r="AF401" s="8">
        <f>[2]หน้าผ้า!AI410</f>
        <v>0</v>
      </c>
      <c r="AG401" s="1">
        <f>[3]หน้าผ้า!DC413</f>
        <v>0</v>
      </c>
      <c r="AH401" s="1">
        <f>[2]หน้าผ้า!DL410</f>
        <v>0</v>
      </c>
      <c r="AI401" s="1">
        <f>[2]หน้าผ้า!DM410</f>
        <v>0</v>
      </c>
      <c r="AJ401" s="3">
        <f>[2]หน้าผ้า!DN410</f>
        <v>0</v>
      </c>
      <c r="AK401" s="3">
        <f>[2]หน้าผ้า!DQ410</f>
        <v>0</v>
      </c>
      <c r="AL401" s="3">
        <f>[2]หน้าผ้า!DR410</f>
        <v>0</v>
      </c>
      <c r="AM401" s="3">
        <f>[2]หน้าผ้า!DS410</f>
        <v>0</v>
      </c>
      <c r="AN401" s="3">
        <f>[2]หน้าผ้า!DT410</f>
        <v>0</v>
      </c>
      <c r="AO401" s="3">
        <f>[2]หน้าผ้า!DU410</f>
        <v>0</v>
      </c>
      <c r="AP401" s="3">
        <f>[2]หน้าผ้า!DP410</f>
        <v>0</v>
      </c>
      <c r="AQ401" s="3">
        <f>[2]หน้าผ้า!DW410</f>
        <v>0</v>
      </c>
      <c r="AR401" s="3">
        <f>[2]หน้าผ้า!DX410</f>
        <v>0</v>
      </c>
      <c r="AS401" s="3">
        <f>[2]หน้าผ้า!DY410</f>
        <v>0</v>
      </c>
      <c r="AT401" s="3">
        <f>[2]หน้าผ้า!DZ410</f>
        <v>0</v>
      </c>
      <c r="AU401" s="3">
        <f>[2]หน้าผ้า!EA410</f>
        <v>0</v>
      </c>
      <c r="AV401" s="1">
        <f>[2]หน้าผ้า!EB410</f>
        <v>0</v>
      </c>
      <c r="AW401" s="2">
        <f>[2]หน้าผ้า!EC410</f>
        <v>0</v>
      </c>
      <c r="AX401" s="2">
        <f>[2]หน้าผ้า!ED410</f>
        <v>0</v>
      </c>
      <c r="AY401" s="2">
        <f>[2]หน้าผ้า!AG410</f>
        <v>0</v>
      </c>
      <c r="AZ401" s="2">
        <f>[2]หน้าผ้า!EG410</f>
        <v>0</v>
      </c>
      <c r="BA401" s="2">
        <f>[2]หน้าผ้า!EH410</f>
        <v>0</v>
      </c>
      <c r="BB401" s="2">
        <f>[2]หน้าผ้า!EI410</f>
        <v>0</v>
      </c>
      <c r="BC401" s="1">
        <f>[2]หน้าผ้า!BZ410</f>
        <v>0</v>
      </c>
      <c r="BD401" s="56">
        <f>[2]หน้าผ้า!CA410</f>
        <v>0</v>
      </c>
    </row>
    <row r="402" spans="1:56" ht="27.75" customHeight="1" x14ac:dyDescent="0.45">
      <c r="A402" s="3">
        <f>[2]หน้าผ้า!C411</f>
        <v>0</v>
      </c>
      <c r="B402" s="14">
        <f>[2]หน้าผ้า!B411</f>
        <v>0</v>
      </c>
      <c r="C402" s="9">
        <f>[2]หน้าผ้า!E411</f>
        <v>0</v>
      </c>
      <c r="D402" s="13">
        <f>[2]หน้าผ้า!F411</f>
        <v>0</v>
      </c>
      <c r="E402" s="9">
        <f>[2]หน้าผ้า!G411</f>
        <v>0</v>
      </c>
      <c r="F402" s="9">
        <f>[2]หน้าผ้า!H411</f>
        <v>0</v>
      </c>
      <c r="G402" s="9">
        <f>[2]หน้าผ้า!I411</f>
        <v>0</v>
      </c>
      <c r="H402" s="9">
        <f>[2]หน้าผ้า!J411</f>
        <v>0</v>
      </c>
      <c r="I402" s="9">
        <f>[2]หน้าผ้า!L411</f>
        <v>0</v>
      </c>
      <c r="J402" s="9">
        <f>[2]หน้าผ้า!M411</f>
        <v>0</v>
      </c>
      <c r="K402" s="9">
        <f>[2]หน้าผ้า!N411</f>
        <v>0</v>
      </c>
      <c r="L402" s="9">
        <f>[2]หน้าผ้า!R411</f>
        <v>0</v>
      </c>
      <c r="M402" s="10">
        <f>[2]หน้าผ้า!T411</f>
        <v>0</v>
      </c>
      <c r="N402" s="9">
        <f>[2]หน้าผ้า!U411</f>
        <v>0</v>
      </c>
      <c r="O402" s="9">
        <f>[2]หน้าผ้า!V411</f>
        <v>0</v>
      </c>
      <c r="P402" s="10">
        <f>[2]หน้าผ้า!AB411</f>
        <v>0</v>
      </c>
      <c r="Q402" s="10">
        <f>[2]หน้าผ้า!AC411</f>
        <v>0</v>
      </c>
      <c r="R402" s="10">
        <f>[2]หน้าผ้า!AD411</f>
        <v>0</v>
      </c>
      <c r="S402" s="9">
        <f>[2]หน้าผ้า!Z411</f>
        <v>0</v>
      </c>
      <c r="T402" s="12">
        <f>[2]หน้าผ้า!X411</f>
        <v>0</v>
      </c>
      <c r="U402" s="11">
        <f>[2]หน้าผ้า!AA411</f>
        <v>0</v>
      </c>
      <c r="V402" s="10">
        <f>[2]หน้าผ้า!AJ411</f>
        <v>0</v>
      </c>
      <c r="W402" s="10">
        <f>[2]หน้าผ้า!AL411</f>
        <v>0</v>
      </c>
      <c r="X402" s="10">
        <f>[2]หน้าผ้า!AM411</f>
        <v>0</v>
      </c>
      <c r="Y402" s="10">
        <f>[2]หน้าผ้า!AN411</f>
        <v>0</v>
      </c>
      <c r="Z402" s="9">
        <f>[2]หน้าผ้า!AO411</f>
        <v>0</v>
      </c>
      <c r="AA402" s="8">
        <f>[2]หน้าผ้า!AQ411</f>
        <v>0</v>
      </c>
      <c r="AB402" s="8">
        <f>[2]หน้าผ้า!AR411</f>
        <v>0</v>
      </c>
      <c r="AC402" s="8">
        <f>[2]หน้าผ้า!AS411</f>
        <v>0</v>
      </c>
      <c r="AD402" s="8">
        <f>[2]หน้าผ้า!AT411</f>
        <v>0</v>
      </c>
      <c r="AE402" s="8">
        <f>[2]หน้าผ้า!AU411</f>
        <v>0</v>
      </c>
      <c r="AF402" s="8">
        <f>[2]หน้าผ้า!AI411</f>
        <v>0</v>
      </c>
      <c r="AG402" s="1">
        <f>[3]หน้าผ้า!DC414</f>
        <v>0</v>
      </c>
      <c r="AH402" s="1">
        <f>[2]หน้าผ้า!DL411</f>
        <v>0</v>
      </c>
      <c r="AI402" s="1">
        <f>[2]หน้าผ้า!DM411</f>
        <v>0</v>
      </c>
      <c r="AJ402" s="3">
        <f>[2]หน้าผ้า!DN411</f>
        <v>0</v>
      </c>
      <c r="AK402" s="3">
        <f>[2]หน้าผ้า!DQ411</f>
        <v>0</v>
      </c>
      <c r="AL402" s="3">
        <f>[2]หน้าผ้า!DR411</f>
        <v>0</v>
      </c>
      <c r="AM402" s="3">
        <f>[2]หน้าผ้า!DS411</f>
        <v>0</v>
      </c>
      <c r="AN402" s="3">
        <f>[2]หน้าผ้า!DT411</f>
        <v>0</v>
      </c>
      <c r="AO402" s="3">
        <f>[2]หน้าผ้า!DU411</f>
        <v>0</v>
      </c>
      <c r="AP402" s="3">
        <f>[2]หน้าผ้า!DP411</f>
        <v>0</v>
      </c>
      <c r="AQ402" s="3">
        <f>[2]หน้าผ้า!DW411</f>
        <v>0</v>
      </c>
      <c r="AR402" s="3">
        <f>[2]หน้าผ้า!DX411</f>
        <v>0</v>
      </c>
      <c r="AS402" s="3">
        <f>[2]หน้าผ้า!DY411</f>
        <v>0</v>
      </c>
      <c r="AT402" s="3">
        <f>[2]หน้าผ้า!DZ411</f>
        <v>0</v>
      </c>
      <c r="AU402" s="3">
        <f>[2]หน้าผ้า!EA411</f>
        <v>0</v>
      </c>
      <c r="AV402" s="1">
        <f>[2]หน้าผ้า!EB411</f>
        <v>0</v>
      </c>
      <c r="AW402" s="2">
        <f>[2]หน้าผ้า!EC411</f>
        <v>0</v>
      </c>
      <c r="AX402" s="2">
        <f>[2]หน้าผ้า!ED411</f>
        <v>0</v>
      </c>
      <c r="AY402" s="2">
        <f>[2]หน้าผ้า!AG411</f>
        <v>0</v>
      </c>
      <c r="AZ402" s="2">
        <f>[2]หน้าผ้า!EG411</f>
        <v>0</v>
      </c>
      <c r="BA402" s="2">
        <f>[2]หน้าผ้า!EH411</f>
        <v>0</v>
      </c>
      <c r="BB402" s="2">
        <f>[2]หน้าผ้า!EI411</f>
        <v>0</v>
      </c>
      <c r="BC402" s="1">
        <f>[2]หน้าผ้า!BZ411</f>
        <v>0</v>
      </c>
      <c r="BD402" s="56">
        <f>[2]หน้าผ้า!CA411</f>
        <v>0</v>
      </c>
    </row>
    <row r="403" spans="1:56" ht="27.75" customHeight="1" x14ac:dyDescent="0.45">
      <c r="A403" s="3">
        <f>[2]หน้าผ้า!C412</f>
        <v>0</v>
      </c>
      <c r="B403" s="14">
        <f>[2]หน้าผ้า!B412</f>
        <v>0</v>
      </c>
      <c r="C403" s="9">
        <f>[2]หน้าผ้า!E412</f>
        <v>0</v>
      </c>
      <c r="D403" s="13">
        <f>[2]หน้าผ้า!F412</f>
        <v>0</v>
      </c>
      <c r="E403" s="9">
        <f>[2]หน้าผ้า!G412</f>
        <v>0</v>
      </c>
      <c r="F403" s="9">
        <f>[2]หน้าผ้า!H412</f>
        <v>0</v>
      </c>
      <c r="G403" s="9">
        <f>[2]หน้าผ้า!I412</f>
        <v>0</v>
      </c>
      <c r="H403" s="9">
        <f>[2]หน้าผ้า!J412</f>
        <v>0</v>
      </c>
      <c r="I403" s="9">
        <f>[2]หน้าผ้า!L412</f>
        <v>0</v>
      </c>
      <c r="J403" s="9">
        <f>[2]หน้าผ้า!M412</f>
        <v>0</v>
      </c>
      <c r="K403" s="9">
        <f>[2]หน้าผ้า!N412</f>
        <v>0</v>
      </c>
      <c r="L403" s="9">
        <f>[2]หน้าผ้า!R412</f>
        <v>0</v>
      </c>
      <c r="M403" s="10">
        <f>[2]หน้าผ้า!T412</f>
        <v>0</v>
      </c>
      <c r="N403" s="9">
        <f>[2]หน้าผ้า!U412</f>
        <v>0</v>
      </c>
      <c r="O403" s="9">
        <f>[2]หน้าผ้า!V412</f>
        <v>0</v>
      </c>
      <c r="P403" s="10">
        <f>[2]หน้าผ้า!AB412</f>
        <v>0</v>
      </c>
      <c r="Q403" s="10">
        <f>[2]หน้าผ้า!AC412</f>
        <v>0</v>
      </c>
      <c r="R403" s="10">
        <f>[2]หน้าผ้า!AD412</f>
        <v>0</v>
      </c>
      <c r="S403" s="9">
        <f>[2]หน้าผ้า!Z412</f>
        <v>0</v>
      </c>
      <c r="T403" s="12">
        <f>[2]หน้าผ้า!X412</f>
        <v>0</v>
      </c>
      <c r="U403" s="11">
        <f>[2]หน้าผ้า!AA412</f>
        <v>0</v>
      </c>
      <c r="V403" s="10">
        <f>[2]หน้าผ้า!AJ412</f>
        <v>0</v>
      </c>
      <c r="W403" s="10">
        <f>[2]หน้าผ้า!AL412</f>
        <v>0</v>
      </c>
      <c r="X403" s="10">
        <f>[2]หน้าผ้า!AM412</f>
        <v>0</v>
      </c>
      <c r="Y403" s="10">
        <f>[2]หน้าผ้า!AN412</f>
        <v>0</v>
      </c>
      <c r="Z403" s="9">
        <f>[2]หน้าผ้า!AO412</f>
        <v>0</v>
      </c>
      <c r="AA403" s="8">
        <f>[2]หน้าผ้า!AQ412</f>
        <v>0</v>
      </c>
      <c r="AB403" s="8">
        <f>[2]หน้าผ้า!AR412</f>
        <v>0</v>
      </c>
      <c r="AC403" s="8">
        <f>[2]หน้าผ้า!AS412</f>
        <v>0</v>
      </c>
      <c r="AD403" s="8">
        <f>[2]หน้าผ้า!AT412</f>
        <v>0</v>
      </c>
      <c r="AE403" s="8">
        <f>[2]หน้าผ้า!AU412</f>
        <v>0</v>
      </c>
      <c r="AF403" s="8">
        <f>[2]หน้าผ้า!AI412</f>
        <v>0</v>
      </c>
      <c r="AG403" s="1">
        <f>[3]หน้าผ้า!DC415</f>
        <v>0</v>
      </c>
      <c r="AH403" s="1">
        <f>[2]หน้าผ้า!DL412</f>
        <v>0</v>
      </c>
      <c r="AI403" s="1">
        <f>[2]หน้าผ้า!DM412</f>
        <v>0</v>
      </c>
      <c r="AJ403" s="3">
        <f>[2]หน้าผ้า!DN412</f>
        <v>0</v>
      </c>
      <c r="AK403" s="3">
        <f>[2]หน้าผ้า!DQ412</f>
        <v>0</v>
      </c>
      <c r="AL403" s="3">
        <f>[2]หน้าผ้า!DR412</f>
        <v>0</v>
      </c>
      <c r="AM403" s="3">
        <f>[2]หน้าผ้า!DS412</f>
        <v>0</v>
      </c>
      <c r="AN403" s="3">
        <f>[2]หน้าผ้า!DT412</f>
        <v>0</v>
      </c>
      <c r="AO403" s="3">
        <f>[2]หน้าผ้า!DU412</f>
        <v>0</v>
      </c>
      <c r="AP403" s="3">
        <f>[2]หน้าผ้า!DP412</f>
        <v>0</v>
      </c>
      <c r="AQ403" s="3">
        <f>[2]หน้าผ้า!DW412</f>
        <v>0</v>
      </c>
      <c r="AR403" s="3">
        <f>[2]หน้าผ้า!DX412</f>
        <v>0</v>
      </c>
      <c r="AS403" s="3">
        <f>[2]หน้าผ้า!DY412</f>
        <v>0</v>
      </c>
      <c r="AT403" s="3">
        <f>[2]หน้าผ้า!DZ412</f>
        <v>0</v>
      </c>
      <c r="AU403" s="3">
        <f>[2]หน้าผ้า!EA412</f>
        <v>0</v>
      </c>
      <c r="AV403" s="1">
        <f>[2]หน้าผ้า!EB412</f>
        <v>0</v>
      </c>
      <c r="AW403" s="2">
        <f>[2]หน้าผ้า!EC412</f>
        <v>0</v>
      </c>
      <c r="AX403" s="2">
        <f>[2]หน้าผ้า!ED412</f>
        <v>0</v>
      </c>
      <c r="AY403" s="2">
        <f>[2]หน้าผ้า!AG412</f>
        <v>0</v>
      </c>
      <c r="AZ403" s="2">
        <f>[2]หน้าผ้า!EG412</f>
        <v>0</v>
      </c>
      <c r="BA403" s="2">
        <f>[2]หน้าผ้า!EH412</f>
        <v>0</v>
      </c>
      <c r="BB403" s="2">
        <f>[2]หน้าผ้า!EI412</f>
        <v>0</v>
      </c>
      <c r="BC403" s="1">
        <f>[2]หน้าผ้า!BZ412</f>
        <v>0</v>
      </c>
      <c r="BD403" s="56">
        <f>[2]หน้าผ้า!CA412</f>
        <v>0</v>
      </c>
    </row>
    <row r="404" spans="1:56" ht="27.75" customHeight="1" x14ac:dyDescent="0.45">
      <c r="A404" s="3">
        <f>[2]หน้าผ้า!C413</f>
        <v>0</v>
      </c>
      <c r="B404" s="14">
        <f>[2]หน้าผ้า!B413</f>
        <v>0</v>
      </c>
      <c r="C404" s="9">
        <f>[2]หน้าผ้า!E413</f>
        <v>0</v>
      </c>
      <c r="D404" s="13">
        <f>[2]หน้าผ้า!F413</f>
        <v>0</v>
      </c>
      <c r="E404" s="9">
        <f>[2]หน้าผ้า!G413</f>
        <v>0</v>
      </c>
      <c r="F404" s="9">
        <f>[2]หน้าผ้า!H413</f>
        <v>0</v>
      </c>
      <c r="G404" s="9">
        <f>[2]หน้าผ้า!I413</f>
        <v>0</v>
      </c>
      <c r="H404" s="9">
        <f>[2]หน้าผ้า!J413</f>
        <v>0</v>
      </c>
      <c r="I404" s="9">
        <f>[2]หน้าผ้า!L413</f>
        <v>0</v>
      </c>
      <c r="J404" s="9">
        <f>[2]หน้าผ้า!M413</f>
        <v>0</v>
      </c>
      <c r="K404" s="9">
        <f>[2]หน้าผ้า!N413</f>
        <v>0</v>
      </c>
      <c r="L404" s="9">
        <f>[2]หน้าผ้า!R413</f>
        <v>0</v>
      </c>
      <c r="M404" s="10">
        <f>[2]หน้าผ้า!T413</f>
        <v>0</v>
      </c>
      <c r="N404" s="9">
        <f>[2]หน้าผ้า!U413</f>
        <v>0</v>
      </c>
      <c r="O404" s="9">
        <f>[2]หน้าผ้า!V413</f>
        <v>0</v>
      </c>
      <c r="P404" s="10">
        <f>[2]หน้าผ้า!AB413</f>
        <v>0</v>
      </c>
      <c r="Q404" s="10">
        <f>[2]หน้าผ้า!AC413</f>
        <v>0</v>
      </c>
      <c r="R404" s="10">
        <f>[2]หน้าผ้า!AD413</f>
        <v>0</v>
      </c>
      <c r="S404" s="9">
        <f>[2]หน้าผ้า!Z413</f>
        <v>0</v>
      </c>
      <c r="T404" s="12">
        <f>[2]หน้าผ้า!X413</f>
        <v>0</v>
      </c>
      <c r="U404" s="11">
        <f>[2]หน้าผ้า!AA413</f>
        <v>0</v>
      </c>
      <c r="V404" s="10">
        <f>[2]หน้าผ้า!AJ413</f>
        <v>0</v>
      </c>
      <c r="W404" s="10">
        <f>[2]หน้าผ้า!AL413</f>
        <v>0</v>
      </c>
      <c r="X404" s="10">
        <f>[2]หน้าผ้า!AM413</f>
        <v>0</v>
      </c>
      <c r="Y404" s="10">
        <f>[2]หน้าผ้า!AN413</f>
        <v>0</v>
      </c>
      <c r="Z404" s="9">
        <f>[2]หน้าผ้า!AO413</f>
        <v>0</v>
      </c>
      <c r="AA404" s="8">
        <f>[2]หน้าผ้า!AQ413</f>
        <v>0</v>
      </c>
      <c r="AB404" s="8">
        <f>[2]หน้าผ้า!AR413</f>
        <v>0</v>
      </c>
      <c r="AC404" s="8">
        <f>[2]หน้าผ้า!AS413</f>
        <v>0</v>
      </c>
      <c r="AD404" s="8">
        <f>[2]หน้าผ้า!AT413</f>
        <v>0</v>
      </c>
      <c r="AE404" s="8">
        <f>[2]หน้าผ้า!AU413</f>
        <v>0</v>
      </c>
      <c r="AF404" s="8">
        <f>[2]หน้าผ้า!AI413</f>
        <v>0</v>
      </c>
      <c r="AG404" s="1">
        <f>[3]หน้าผ้า!DC416</f>
        <v>0</v>
      </c>
      <c r="AH404" s="1">
        <f>[2]หน้าผ้า!DL413</f>
        <v>0</v>
      </c>
      <c r="AI404" s="1">
        <f>[2]หน้าผ้า!DM413</f>
        <v>0</v>
      </c>
      <c r="AJ404" s="3">
        <f>[2]หน้าผ้า!DN413</f>
        <v>0</v>
      </c>
      <c r="AK404" s="3">
        <f>[2]หน้าผ้า!DQ413</f>
        <v>0</v>
      </c>
      <c r="AL404" s="3">
        <f>[2]หน้าผ้า!DR413</f>
        <v>0</v>
      </c>
      <c r="AM404" s="3">
        <f>[2]หน้าผ้า!DS413</f>
        <v>0</v>
      </c>
      <c r="AN404" s="3">
        <f>[2]หน้าผ้า!DT413</f>
        <v>0</v>
      </c>
      <c r="AO404" s="3">
        <f>[2]หน้าผ้า!DU413</f>
        <v>0</v>
      </c>
      <c r="AP404" s="3">
        <f>[2]หน้าผ้า!DP413</f>
        <v>0</v>
      </c>
      <c r="AQ404" s="3">
        <f>[2]หน้าผ้า!DW413</f>
        <v>0</v>
      </c>
      <c r="AR404" s="3">
        <f>[2]หน้าผ้า!DX413</f>
        <v>0</v>
      </c>
      <c r="AS404" s="3">
        <f>[2]หน้าผ้า!DY413</f>
        <v>0</v>
      </c>
      <c r="AT404" s="3">
        <f>[2]หน้าผ้า!DZ413</f>
        <v>0</v>
      </c>
      <c r="AU404" s="3">
        <f>[2]หน้าผ้า!EA413</f>
        <v>0</v>
      </c>
      <c r="AV404" s="1">
        <f>[2]หน้าผ้า!EB413</f>
        <v>0</v>
      </c>
      <c r="AW404" s="2">
        <f>[2]หน้าผ้า!EC413</f>
        <v>0</v>
      </c>
      <c r="AX404" s="2">
        <f>[2]หน้าผ้า!ED413</f>
        <v>0</v>
      </c>
      <c r="AY404" s="2">
        <f>[2]หน้าผ้า!AG413</f>
        <v>0</v>
      </c>
      <c r="AZ404" s="2">
        <f>[2]หน้าผ้า!EG413</f>
        <v>0</v>
      </c>
      <c r="BA404" s="2">
        <f>[2]หน้าผ้า!EH413</f>
        <v>0</v>
      </c>
      <c r="BB404" s="2">
        <f>[2]หน้าผ้า!EI413</f>
        <v>0</v>
      </c>
      <c r="BC404" s="1">
        <f>[2]หน้าผ้า!BZ413</f>
        <v>0</v>
      </c>
      <c r="BD404" s="56">
        <f>[2]หน้าผ้า!CA413</f>
        <v>0</v>
      </c>
    </row>
    <row r="405" spans="1:56" ht="27.75" customHeight="1" x14ac:dyDescent="0.45">
      <c r="A405" s="3">
        <f>[2]หน้าผ้า!C414</f>
        <v>0</v>
      </c>
      <c r="B405" s="14">
        <f>[2]หน้าผ้า!B414</f>
        <v>0</v>
      </c>
      <c r="C405" s="9">
        <f>[2]หน้าผ้า!E414</f>
        <v>0</v>
      </c>
      <c r="D405" s="13">
        <f>[2]หน้าผ้า!F414</f>
        <v>0</v>
      </c>
      <c r="E405" s="9">
        <f>[2]หน้าผ้า!G414</f>
        <v>0</v>
      </c>
      <c r="F405" s="9">
        <f>[2]หน้าผ้า!H414</f>
        <v>0</v>
      </c>
      <c r="G405" s="9">
        <f>[2]หน้าผ้า!I414</f>
        <v>0</v>
      </c>
      <c r="H405" s="9">
        <f>[2]หน้าผ้า!J414</f>
        <v>0</v>
      </c>
      <c r="I405" s="9">
        <f>[2]หน้าผ้า!L414</f>
        <v>0</v>
      </c>
      <c r="J405" s="9">
        <f>[2]หน้าผ้า!M414</f>
        <v>0</v>
      </c>
      <c r="K405" s="9">
        <f>[2]หน้าผ้า!N414</f>
        <v>0</v>
      </c>
      <c r="L405" s="9">
        <f>[2]หน้าผ้า!R414</f>
        <v>0</v>
      </c>
      <c r="M405" s="10">
        <f>[2]หน้าผ้า!T414</f>
        <v>0</v>
      </c>
      <c r="N405" s="9">
        <f>[2]หน้าผ้า!U414</f>
        <v>0</v>
      </c>
      <c r="O405" s="9">
        <f>[2]หน้าผ้า!V414</f>
        <v>0</v>
      </c>
      <c r="P405" s="10">
        <f>[2]หน้าผ้า!AB414</f>
        <v>0</v>
      </c>
      <c r="Q405" s="10">
        <f>[2]หน้าผ้า!AC414</f>
        <v>0</v>
      </c>
      <c r="R405" s="10">
        <f>[2]หน้าผ้า!AD414</f>
        <v>0</v>
      </c>
      <c r="S405" s="9">
        <f>[2]หน้าผ้า!Z414</f>
        <v>0</v>
      </c>
      <c r="T405" s="12">
        <f>[2]หน้าผ้า!X414</f>
        <v>0</v>
      </c>
      <c r="U405" s="11">
        <f>[2]หน้าผ้า!AA414</f>
        <v>0</v>
      </c>
      <c r="V405" s="10">
        <f>[2]หน้าผ้า!AJ414</f>
        <v>0</v>
      </c>
      <c r="W405" s="10">
        <f>[2]หน้าผ้า!AL414</f>
        <v>0</v>
      </c>
      <c r="X405" s="10">
        <f>[2]หน้าผ้า!AM414</f>
        <v>0</v>
      </c>
      <c r="Y405" s="10">
        <f>[2]หน้าผ้า!AN414</f>
        <v>0</v>
      </c>
      <c r="Z405" s="9">
        <f>[2]หน้าผ้า!AO414</f>
        <v>0</v>
      </c>
      <c r="AA405" s="8">
        <f>[2]หน้าผ้า!AQ414</f>
        <v>0</v>
      </c>
      <c r="AB405" s="8">
        <f>[2]หน้าผ้า!AR414</f>
        <v>0</v>
      </c>
      <c r="AC405" s="8">
        <f>[2]หน้าผ้า!AS414</f>
        <v>0</v>
      </c>
      <c r="AD405" s="8">
        <f>[2]หน้าผ้า!AT414</f>
        <v>0</v>
      </c>
      <c r="AE405" s="8">
        <f>[2]หน้าผ้า!AU414</f>
        <v>0</v>
      </c>
      <c r="AF405" s="8">
        <f>[2]หน้าผ้า!AI414</f>
        <v>0</v>
      </c>
      <c r="AG405" s="1">
        <f>[3]หน้าผ้า!DC417</f>
        <v>0</v>
      </c>
      <c r="AH405" s="1">
        <f>[2]หน้าผ้า!DL414</f>
        <v>0</v>
      </c>
      <c r="AI405" s="1">
        <f>[2]หน้าผ้า!DM414</f>
        <v>0</v>
      </c>
      <c r="AJ405" s="3">
        <f>[2]หน้าผ้า!DN414</f>
        <v>0</v>
      </c>
      <c r="AK405" s="3">
        <f>[2]หน้าผ้า!DQ414</f>
        <v>0</v>
      </c>
      <c r="AL405" s="3">
        <f>[2]หน้าผ้า!DR414</f>
        <v>0</v>
      </c>
      <c r="AM405" s="3">
        <f>[2]หน้าผ้า!DS414</f>
        <v>0</v>
      </c>
      <c r="AN405" s="3">
        <f>[2]หน้าผ้า!DT414</f>
        <v>0</v>
      </c>
      <c r="AO405" s="3">
        <f>[2]หน้าผ้า!DU414</f>
        <v>0</v>
      </c>
      <c r="AP405" s="3">
        <f>[2]หน้าผ้า!DP414</f>
        <v>0</v>
      </c>
      <c r="AQ405" s="3">
        <f>[2]หน้าผ้า!DW414</f>
        <v>0</v>
      </c>
      <c r="AR405" s="3">
        <f>[2]หน้าผ้า!DX414</f>
        <v>0</v>
      </c>
      <c r="AS405" s="3">
        <f>[2]หน้าผ้า!DY414</f>
        <v>0</v>
      </c>
      <c r="AT405" s="3">
        <f>[2]หน้าผ้า!DZ414</f>
        <v>0</v>
      </c>
      <c r="AU405" s="3">
        <f>[2]หน้าผ้า!EA414</f>
        <v>0</v>
      </c>
      <c r="AV405" s="1">
        <f>[2]หน้าผ้า!EB414</f>
        <v>0</v>
      </c>
      <c r="AW405" s="2">
        <f>[2]หน้าผ้า!EC414</f>
        <v>0</v>
      </c>
      <c r="AX405" s="2">
        <f>[2]หน้าผ้า!ED414</f>
        <v>0</v>
      </c>
      <c r="AY405" s="2">
        <f>[2]หน้าผ้า!AG414</f>
        <v>0</v>
      </c>
      <c r="AZ405" s="2">
        <f>[2]หน้าผ้า!EG414</f>
        <v>0</v>
      </c>
      <c r="BA405" s="2">
        <f>[2]หน้าผ้า!EH414</f>
        <v>0</v>
      </c>
      <c r="BB405" s="2">
        <f>[2]หน้าผ้า!EI414</f>
        <v>0</v>
      </c>
      <c r="BC405" s="1">
        <f>[2]หน้าผ้า!BZ414</f>
        <v>0</v>
      </c>
      <c r="BD405" s="56">
        <f>[2]หน้าผ้า!CA414</f>
        <v>0</v>
      </c>
    </row>
    <row r="406" spans="1:56" ht="27.75" customHeight="1" x14ac:dyDescent="0.45">
      <c r="A406" s="3">
        <f>[2]หน้าผ้า!C415</f>
        <v>0</v>
      </c>
      <c r="B406" s="14">
        <f>[2]หน้าผ้า!B415</f>
        <v>0</v>
      </c>
      <c r="C406" s="9">
        <f>[2]หน้าผ้า!E415</f>
        <v>0</v>
      </c>
      <c r="D406" s="13">
        <f>[2]หน้าผ้า!F415</f>
        <v>0</v>
      </c>
      <c r="E406" s="9">
        <f>[2]หน้าผ้า!G415</f>
        <v>0</v>
      </c>
      <c r="F406" s="9">
        <f>[2]หน้าผ้า!H415</f>
        <v>0</v>
      </c>
      <c r="G406" s="9">
        <f>[2]หน้าผ้า!I415</f>
        <v>0</v>
      </c>
      <c r="H406" s="9">
        <f>[2]หน้าผ้า!J415</f>
        <v>0</v>
      </c>
      <c r="I406" s="9">
        <f>[2]หน้าผ้า!L415</f>
        <v>0</v>
      </c>
      <c r="J406" s="9">
        <f>[2]หน้าผ้า!M415</f>
        <v>0</v>
      </c>
      <c r="K406" s="9">
        <f>[2]หน้าผ้า!N415</f>
        <v>0</v>
      </c>
      <c r="L406" s="9">
        <f>[2]หน้าผ้า!R415</f>
        <v>0</v>
      </c>
      <c r="M406" s="10">
        <f>[2]หน้าผ้า!T415</f>
        <v>0</v>
      </c>
      <c r="N406" s="9">
        <f>[2]หน้าผ้า!U415</f>
        <v>0</v>
      </c>
      <c r="O406" s="9">
        <f>[2]หน้าผ้า!V415</f>
        <v>0</v>
      </c>
      <c r="P406" s="10">
        <f>[2]หน้าผ้า!AB415</f>
        <v>0</v>
      </c>
      <c r="Q406" s="10">
        <f>[2]หน้าผ้า!AC415</f>
        <v>0</v>
      </c>
      <c r="R406" s="10">
        <f>[2]หน้าผ้า!AD415</f>
        <v>0</v>
      </c>
      <c r="S406" s="9">
        <f>[2]หน้าผ้า!Z415</f>
        <v>0</v>
      </c>
      <c r="T406" s="12">
        <f>[2]หน้าผ้า!X415</f>
        <v>0</v>
      </c>
      <c r="U406" s="11">
        <f>[2]หน้าผ้า!AA415</f>
        <v>0</v>
      </c>
      <c r="V406" s="10">
        <f>[2]หน้าผ้า!AJ415</f>
        <v>0</v>
      </c>
      <c r="W406" s="10">
        <f>[2]หน้าผ้า!AL415</f>
        <v>0</v>
      </c>
      <c r="X406" s="10">
        <f>[2]หน้าผ้า!AM415</f>
        <v>0</v>
      </c>
      <c r="Y406" s="10">
        <f>[2]หน้าผ้า!AN415</f>
        <v>0</v>
      </c>
      <c r="Z406" s="9">
        <f>[2]หน้าผ้า!AO415</f>
        <v>0</v>
      </c>
      <c r="AA406" s="8">
        <f>[2]หน้าผ้า!AQ415</f>
        <v>0</v>
      </c>
      <c r="AB406" s="8">
        <f>[2]หน้าผ้า!AR415</f>
        <v>0</v>
      </c>
      <c r="AC406" s="8">
        <f>[2]หน้าผ้า!AS415</f>
        <v>0</v>
      </c>
      <c r="AD406" s="8">
        <f>[2]หน้าผ้า!AT415</f>
        <v>0</v>
      </c>
      <c r="AE406" s="8">
        <f>[2]หน้าผ้า!AU415</f>
        <v>0</v>
      </c>
      <c r="AF406" s="8">
        <f>[2]หน้าผ้า!AI415</f>
        <v>0</v>
      </c>
      <c r="AG406" s="1">
        <f>[3]หน้าผ้า!DC418</f>
        <v>0</v>
      </c>
      <c r="AH406" s="1">
        <f>[2]หน้าผ้า!DL415</f>
        <v>0</v>
      </c>
      <c r="AI406" s="1">
        <f>[2]หน้าผ้า!DM415</f>
        <v>0</v>
      </c>
      <c r="AJ406" s="3">
        <f>[2]หน้าผ้า!DN415</f>
        <v>0</v>
      </c>
      <c r="AK406" s="3">
        <f>[2]หน้าผ้า!DQ415</f>
        <v>0</v>
      </c>
      <c r="AL406" s="3">
        <f>[2]หน้าผ้า!DR415</f>
        <v>0</v>
      </c>
      <c r="AM406" s="3">
        <f>[2]หน้าผ้า!DS415</f>
        <v>0</v>
      </c>
      <c r="AN406" s="3">
        <f>[2]หน้าผ้า!DT415</f>
        <v>0</v>
      </c>
      <c r="AO406" s="3">
        <f>[2]หน้าผ้า!DU415</f>
        <v>0</v>
      </c>
      <c r="AP406" s="3">
        <f>[2]หน้าผ้า!DP415</f>
        <v>0</v>
      </c>
      <c r="AQ406" s="3">
        <f>[2]หน้าผ้า!DW415</f>
        <v>0</v>
      </c>
      <c r="AR406" s="3">
        <f>[2]หน้าผ้า!DX415</f>
        <v>0</v>
      </c>
      <c r="AS406" s="3">
        <f>[2]หน้าผ้า!DY415</f>
        <v>0</v>
      </c>
      <c r="AT406" s="3">
        <f>[2]หน้าผ้า!DZ415</f>
        <v>0</v>
      </c>
      <c r="AU406" s="3">
        <f>[2]หน้าผ้า!EA415</f>
        <v>0</v>
      </c>
      <c r="AV406" s="1">
        <f>[2]หน้าผ้า!EB415</f>
        <v>0</v>
      </c>
      <c r="AW406" s="2">
        <f>[2]หน้าผ้า!EC415</f>
        <v>0</v>
      </c>
      <c r="AX406" s="2">
        <f>[2]หน้าผ้า!ED415</f>
        <v>0</v>
      </c>
      <c r="AY406" s="2">
        <f>[2]หน้าผ้า!AG415</f>
        <v>0</v>
      </c>
      <c r="AZ406" s="2">
        <f>[2]หน้าผ้า!EG415</f>
        <v>0</v>
      </c>
      <c r="BA406" s="2">
        <f>[2]หน้าผ้า!EH415</f>
        <v>0</v>
      </c>
      <c r="BB406" s="2">
        <f>[2]หน้าผ้า!EI415</f>
        <v>0</v>
      </c>
      <c r="BC406" s="1">
        <f>[2]หน้าผ้า!BZ415</f>
        <v>0</v>
      </c>
      <c r="BD406" s="56">
        <f>[2]หน้าผ้า!CA415</f>
        <v>0</v>
      </c>
    </row>
    <row r="407" spans="1:56" ht="27.75" customHeight="1" x14ac:dyDescent="0.45">
      <c r="A407" s="3">
        <f>[2]หน้าผ้า!C416</f>
        <v>0</v>
      </c>
      <c r="B407" s="14">
        <f>[2]หน้าผ้า!B416</f>
        <v>0</v>
      </c>
      <c r="C407" s="9">
        <f>[2]หน้าผ้า!E416</f>
        <v>0</v>
      </c>
      <c r="D407" s="13">
        <f>[2]หน้าผ้า!F416</f>
        <v>0</v>
      </c>
      <c r="E407" s="9">
        <f>[2]หน้าผ้า!G416</f>
        <v>0</v>
      </c>
      <c r="F407" s="9">
        <f>[2]หน้าผ้า!H416</f>
        <v>0</v>
      </c>
      <c r="G407" s="9">
        <f>[2]หน้าผ้า!I416</f>
        <v>0</v>
      </c>
      <c r="H407" s="9">
        <f>[2]หน้าผ้า!J416</f>
        <v>0</v>
      </c>
      <c r="I407" s="9">
        <f>[2]หน้าผ้า!L416</f>
        <v>0</v>
      </c>
      <c r="J407" s="9">
        <f>[2]หน้าผ้า!M416</f>
        <v>0</v>
      </c>
      <c r="K407" s="9">
        <f>[2]หน้าผ้า!N416</f>
        <v>0</v>
      </c>
      <c r="L407" s="9">
        <f>[2]หน้าผ้า!R416</f>
        <v>0</v>
      </c>
      <c r="M407" s="10">
        <f>[2]หน้าผ้า!T416</f>
        <v>0</v>
      </c>
      <c r="N407" s="9">
        <f>[2]หน้าผ้า!U416</f>
        <v>0</v>
      </c>
      <c r="O407" s="9">
        <f>[2]หน้าผ้า!V416</f>
        <v>0</v>
      </c>
      <c r="P407" s="10">
        <f>[2]หน้าผ้า!AB416</f>
        <v>0</v>
      </c>
      <c r="Q407" s="10">
        <f>[2]หน้าผ้า!AC416</f>
        <v>0</v>
      </c>
      <c r="R407" s="10">
        <f>[2]หน้าผ้า!AD416</f>
        <v>0</v>
      </c>
      <c r="S407" s="9">
        <f>[2]หน้าผ้า!Z416</f>
        <v>0</v>
      </c>
      <c r="T407" s="12">
        <f>[2]หน้าผ้า!X416</f>
        <v>0</v>
      </c>
      <c r="U407" s="11">
        <f>[2]หน้าผ้า!AA416</f>
        <v>0</v>
      </c>
      <c r="V407" s="10">
        <f>[2]หน้าผ้า!AJ416</f>
        <v>0</v>
      </c>
      <c r="W407" s="10">
        <f>[2]หน้าผ้า!AL416</f>
        <v>0</v>
      </c>
      <c r="X407" s="10">
        <f>[2]หน้าผ้า!AM416</f>
        <v>0</v>
      </c>
      <c r="Y407" s="10">
        <f>[2]หน้าผ้า!AN416</f>
        <v>0</v>
      </c>
      <c r="Z407" s="9">
        <f>[2]หน้าผ้า!AO416</f>
        <v>0</v>
      </c>
      <c r="AA407" s="8">
        <f>[2]หน้าผ้า!AQ416</f>
        <v>0</v>
      </c>
      <c r="AB407" s="8">
        <f>[2]หน้าผ้า!AR416</f>
        <v>0</v>
      </c>
      <c r="AC407" s="8">
        <f>[2]หน้าผ้า!AS416</f>
        <v>0</v>
      </c>
      <c r="AD407" s="8">
        <f>[2]หน้าผ้า!AT416</f>
        <v>0</v>
      </c>
      <c r="AE407" s="8">
        <f>[2]หน้าผ้า!AU416</f>
        <v>0</v>
      </c>
      <c r="AF407" s="8">
        <f>[2]หน้าผ้า!AI416</f>
        <v>0</v>
      </c>
      <c r="AG407" s="1">
        <f>[3]หน้าผ้า!DC419</f>
        <v>0</v>
      </c>
      <c r="AH407" s="1">
        <f>[2]หน้าผ้า!DL416</f>
        <v>0</v>
      </c>
      <c r="AI407" s="1">
        <f>[2]หน้าผ้า!DM416</f>
        <v>0</v>
      </c>
      <c r="AJ407" s="3">
        <f>[2]หน้าผ้า!DN416</f>
        <v>0</v>
      </c>
      <c r="AK407" s="3">
        <f>[2]หน้าผ้า!DQ416</f>
        <v>0</v>
      </c>
      <c r="AL407" s="3">
        <f>[2]หน้าผ้า!DR416</f>
        <v>0</v>
      </c>
      <c r="AM407" s="3">
        <f>[2]หน้าผ้า!DS416</f>
        <v>0</v>
      </c>
      <c r="AN407" s="3">
        <f>[2]หน้าผ้า!DT416</f>
        <v>0</v>
      </c>
      <c r="AO407" s="3">
        <f>[2]หน้าผ้า!DU416</f>
        <v>0</v>
      </c>
      <c r="AP407" s="3">
        <f>[2]หน้าผ้า!DP416</f>
        <v>0</v>
      </c>
      <c r="AQ407" s="3">
        <f>[2]หน้าผ้า!DW416</f>
        <v>0</v>
      </c>
      <c r="AR407" s="3">
        <f>[2]หน้าผ้า!DX416</f>
        <v>0</v>
      </c>
      <c r="AS407" s="3">
        <f>[2]หน้าผ้า!DY416</f>
        <v>0</v>
      </c>
      <c r="AT407" s="3">
        <f>[2]หน้าผ้า!DZ416</f>
        <v>0</v>
      </c>
      <c r="AU407" s="3">
        <f>[2]หน้าผ้า!EA416</f>
        <v>0</v>
      </c>
      <c r="AV407" s="1">
        <f>[2]หน้าผ้า!EB416</f>
        <v>0</v>
      </c>
      <c r="AW407" s="2">
        <f>[2]หน้าผ้า!EC416</f>
        <v>0</v>
      </c>
      <c r="AX407" s="2">
        <f>[2]หน้าผ้า!ED416</f>
        <v>0</v>
      </c>
      <c r="AY407" s="2">
        <f>[2]หน้าผ้า!AG416</f>
        <v>0</v>
      </c>
      <c r="AZ407" s="2">
        <f>[2]หน้าผ้า!EG416</f>
        <v>0</v>
      </c>
      <c r="BA407" s="2">
        <f>[2]หน้าผ้า!EH416</f>
        <v>0</v>
      </c>
      <c r="BB407" s="2">
        <f>[2]หน้าผ้า!EI416</f>
        <v>0</v>
      </c>
      <c r="BC407" s="1">
        <f>[2]หน้าผ้า!BZ416</f>
        <v>0</v>
      </c>
      <c r="BD407" s="56">
        <f>[2]หน้าผ้า!CA416</f>
        <v>0</v>
      </c>
    </row>
    <row r="408" spans="1:56" ht="27.75" customHeight="1" x14ac:dyDescent="0.45">
      <c r="A408" s="3">
        <f>[2]หน้าผ้า!C417</f>
        <v>0</v>
      </c>
      <c r="B408" s="14">
        <f>[2]หน้าผ้า!B417</f>
        <v>0</v>
      </c>
      <c r="C408" s="9">
        <f>[2]หน้าผ้า!E417</f>
        <v>0</v>
      </c>
      <c r="D408" s="13">
        <f>[2]หน้าผ้า!F417</f>
        <v>0</v>
      </c>
      <c r="E408" s="9">
        <f>[2]หน้าผ้า!G417</f>
        <v>0</v>
      </c>
      <c r="F408" s="9">
        <f>[2]หน้าผ้า!H417</f>
        <v>0</v>
      </c>
      <c r="G408" s="9">
        <f>[2]หน้าผ้า!I417</f>
        <v>0</v>
      </c>
      <c r="H408" s="9">
        <f>[2]หน้าผ้า!J417</f>
        <v>0</v>
      </c>
      <c r="I408" s="9">
        <f>[2]หน้าผ้า!L417</f>
        <v>0</v>
      </c>
      <c r="J408" s="9">
        <f>[2]หน้าผ้า!M417</f>
        <v>0</v>
      </c>
      <c r="K408" s="9">
        <f>[2]หน้าผ้า!N417</f>
        <v>0</v>
      </c>
      <c r="L408" s="9">
        <f>[2]หน้าผ้า!R417</f>
        <v>0</v>
      </c>
      <c r="M408" s="10">
        <f>[2]หน้าผ้า!T417</f>
        <v>0</v>
      </c>
      <c r="N408" s="9">
        <f>[2]หน้าผ้า!U417</f>
        <v>0</v>
      </c>
      <c r="O408" s="9">
        <f>[2]หน้าผ้า!V417</f>
        <v>0</v>
      </c>
      <c r="P408" s="10">
        <f>[2]หน้าผ้า!AB417</f>
        <v>0</v>
      </c>
      <c r="Q408" s="10">
        <f>[2]หน้าผ้า!AC417</f>
        <v>0</v>
      </c>
      <c r="R408" s="10">
        <f>[2]หน้าผ้า!AD417</f>
        <v>0</v>
      </c>
      <c r="S408" s="9">
        <f>[2]หน้าผ้า!Z417</f>
        <v>0</v>
      </c>
      <c r="T408" s="12">
        <f>[2]หน้าผ้า!X417</f>
        <v>0</v>
      </c>
      <c r="U408" s="11">
        <f>[2]หน้าผ้า!AA417</f>
        <v>0</v>
      </c>
      <c r="V408" s="10">
        <f>[2]หน้าผ้า!AJ417</f>
        <v>0</v>
      </c>
      <c r="W408" s="10">
        <f>[2]หน้าผ้า!AL417</f>
        <v>0</v>
      </c>
      <c r="X408" s="10">
        <f>[2]หน้าผ้า!AM417</f>
        <v>0</v>
      </c>
      <c r="Y408" s="10">
        <f>[2]หน้าผ้า!AN417</f>
        <v>0</v>
      </c>
      <c r="Z408" s="9">
        <f>[2]หน้าผ้า!AO417</f>
        <v>0</v>
      </c>
      <c r="AA408" s="8">
        <f>[2]หน้าผ้า!AQ417</f>
        <v>0</v>
      </c>
      <c r="AB408" s="8">
        <f>[2]หน้าผ้า!AR417</f>
        <v>0</v>
      </c>
      <c r="AC408" s="8">
        <f>[2]หน้าผ้า!AS417</f>
        <v>0</v>
      </c>
      <c r="AD408" s="8">
        <f>[2]หน้าผ้า!AT417</f>
        <v>0</v>
      </c>
      <c r="AE408" s="8">
        <f>[2]หน้าผ้า!AU417</f>
        <v>0</v>
      </c>
      <c r="AF408" s="8">
        <f>[2]หน้าผ้า!AI417</f>
        <v>0</v>
      </c>
      <c r="AG408" s="1">
        <f>[3]หน้าผ้า!DC420</f>
        <v>0</v>
      </c>
      <c r="AH408" s="1">
        <f>[2]หน้าผ้า!DL417</f>
        <v>0</v>
      </c>
      <c r="AI408" s="1">
        <f>[2]หน้าผ้า!DM417</f>
        <v>0</v>
      </c>
      <c r="AJ408" s="3">
        <f>[2]หน้าผ้า!DN417</f>
        <v>0</v>
      </c>
      <c r="AK408" s="3">
        <f>[2]หน้าผ้า!DQ417</f>
        <v>0</v>
      </c>
      <c r="AL408" s="3">
        <f>[2]หน้าผ้า!DR417</f>
        <v>0</v>
      </c>
      <c r="AM408" s="3">
        <f>[2]หน้าผ้า!DS417</f>
        <v>0</v>
      </c>
      <c r="AN408" s="3">
        <f>[2]หน้าผ้า!DT417</f>
        <v>0</v>
      </c>
      <c r="AO408" s="3">
        <f>[2]หน้าผ้า!DU417</f>
        <v>0</v>
      </c>
      <c r="AP408" s="3">
        <f>[2]หน้าผ้า!DP417</f>
        <v>0</v>
      </c>
      <c r="AQ408" s="3">
        <f>[2]หน้าผ้า!DW417</f>
        <v>0</v>
      </c>
      <c r="AR408" s="3">
        <f>[2]หน้าผ้า!DX417</f>
        <v>0</v>
      </c>
      <c r="AS408" s="3">
        <f>[2]หน้าผ้า!DY417</f>
        <v>0</v>
      </c>
      <c r="AT408" s="3">
        <f>[2]หน้าผ้า!DZ417</f>
        <v>0</v>
      </c>
      <c r="AU408" s="3">
        <f>[2]หน้าผ้า!EA417</f>
        <v>0</v>
      </c>
      <c r="AV408" s="1">
        <f>[2]หน้าผ้า!EB417</f>
        <v>0</v>
      </c>
      <c r="AW408" s="2">
        <f>[2]หน้าผ้า!EC417</f>
        <v>0</v>
      </c>
      <c r="AX408" s="2">
        <f>[2]หน้าผ้า!ED417</f>
        <v>0</v>
      </c>
      <c r="AY408" s="2">
        <f>[2]หน้าผ้า!AG417</f>
        <v>0</v>
      </c>
      <c r="AZ408" s="2">
        <f>[2]หน้าผ้า!EG417</f>
        <v>0</v>
      </c>
      <c r="BA408" s="2">
        <f>[2]หน้าผ้า!EH417</f>
        <v>0</v>
      </c>
      <c r="BB408" s="2">
        <f>[2]หน้าผ้า!EI417</f>
        <v>0</v>
      </c>
      <c r="BC408" s="1">
        <f>[2]หน้าผ้า!BZ417</f>
        <v>0</v>
      </c>
      <c r="BD408" s="56">
        <f>[2]หน้าผ้า!CA417</f>
        <v>0</v>
      </c>
    </row>
    <row r="409" spans="1:56" ht="27.75" customHeight="1" x14ac:dyDescent="0.45">
      <c r="A409" s="3">
        <f>[2]หน้าผ้า!C418</f>
        <v>0</v>
      </c>
      <c r="B409" s="14">
        <f>[2]หน้าผ้า!B418</f>
        <v>0</v>
      </c>
      <c r="C409" s="9">
        <f>[2]หน้าผ้า!E418</f>
        <v>0</v>
      </c>
      <c r="D409" s="13">
        <f>[2]หน้าผ้า!F418</f>
        <v>0</v>
      </c>
      <c r="E409" s="9">
        <f>[2]หน้าผ้า!G418</f>
        <v>0</v>
      </c>
      <c r="F409" s="9">
        <f>[2]หน้าผ้า!H418</f>
        <v>0</v>
      </c>
      <c r="G409" s="9">
        <f>[2]หน้าผ้า!I418</f>
        <v>0</v>
      </c>
      <c r="H409" s="9">
        <f>[2]หน้าผ้า!J418</f>
        <v>0</v>
      </c>
      <c r="I409" s="9">
        <f>[2]หน้าผ้า!L418</f>
        <v>0</v>
      </c>
      <c r="J409" s="9">
        <f>[2]หน้าผ้า!M418</f>
        <v>0</v>
      </c>
      <c r="K409" s="9">
        <f>[2]หน้าผ้า!N418</f>
        <v>0</v>
      </c>
      <c r="L409" s="9">
        <f>[2]หน้าผ้า!R418</f>
        <v>0</v>
      </c>
      <c r="M409" s="10">
        <f>[2]หน้าผ้า!T418</f>
        <v>0</v>
      </c>
      <c r="N409" s="9">
        <f>[2]หน้าผ้า!U418</f>
        <v>0</v>
      </c>
      <c r="O409" s="9">
        <f>[2]หน้าผ้า!V418</f>
        <v>0</v>
      </c>
      <c r="P409" s="10">
        <f>[2]หน้าผ้า!AB418</f>
        <v>0</v>
      </c>
      <c r="Q409" s="10">
        <f>[2]หน้าผ้า!AC418</f>
        <v>0</v>
      </c>
      <c r="R409" s="10">
        <f>[2]หน้าผ้า!AD418</f>
        <v>0</v>
      </c>
      <c r="S409" s="9">
        <f>[2]หน้าผ้า!Z418</f>
        <v>0</v>
      </c>
      <c r="T409" s="12">
        <f>[2]หน้าผ้า!X418</f>
        <v>0</v>
      </c>
      <c r="U409" s="11">
        <f>[2]หน้าผ้า!AA418</f>
        <v>0</v>
      </c>
      <c r="V409" s="10">
        <f>[2]หน้าผ้า!AJ418</f>
        <v>0</v>
      </c>
      <c r="W409" s="10">
        <f>[2]หน้าผ้า!AL418</f>
        <v>0</v>
      </c>
      <c r="X409" s="10">
        <f>[2]หน้าผ้า!AM418</f>
        <v>0</v>
      </c>
      <c r="Y409" s="10">
        <f>[2]หน้าผ้า!AN418</f>
        <v>0</v>
      </c>
      <c r="Z409" s="9">
        <f>[2]หน้าผ้า!AO418</f>
        <v>0</v>
      </c>
      <c r="AA409" s="8">
        <f>[2]หน้าผ้า!AQ418</f>
        <v>0</v>
      </c>
      <c r="AB409" s="8">
        <f>[2]หน้าผ้า!AR418</f>
        <v>0</v>
      </c>
      <c r="AC409" s="8">
        <f>[2]หน้าผ้า!AS418</f>
        <v>0</v>
      </c>
      <c r="AD409" s="8">
        <f>[2]หน้าผ้า!AT418</f>
        <v>0</v>
      </c>
      <c r="AE409" s="8">
        <f>[2]หน้าผ้า!AU418</f>
        <v>0</v>
      </c>
      <c r="AF409" s="8">
        <f>[2]หน้าผ้า!AI418</f>
        <v>0</v>
      </c>
      <c r="AG409" s="1">
        <f>[3]หน้าผ้า!DC421</f>
        <v>0</v>
      </c>
      <c r="AH409" s="1">
        <f>[2]หน้าผ้า!DL418</f>
        <v>0</v>
      </c>
      <c r="AI409" s="1">
        <f>[2]หน้าผ้า!DM418</f>
        <v>0</v>
      </c>
      <c r="AJ409" s="3">
        <f>[2]หน้าผ้า!DN418</f>
        <v>0</v>
      </c>
      <c r="AK409" s="3">
        <f>[2]หน้าผ้า!DQ418</f>
        <v>0</v>
      </c>
      <c r="AL409" s="3">
        <f>[2]หน้าผ้า!DR418</f>
        <v>0</v>
      </c>
      <c r="AM409" s="3">
        <f>[2]หน้าผ้า!DS418</f>
        <v>0</v>
      </c>
      <c r="AN409" s="3">
        <f>[2]หน้าผ้า!DT418</f>
        <v>0</v>
      </c>
      <c r="AO409" s="3">
        <f>[2]หน้าผ้า!DU418</f>
        <v>0</v>
      </c>
      <c r="AP409" s="3">
        <f>[2]หน้าผ้า!DP418</f>
        <v>0</v>
      </c>
      <c r="AQ409" s="3">
        <f>[2]หน้าผ้า!DW418</f>
        <v>0</v>
      </c>
      <c r="AR409" s="3">
        <f>[2]หน้าผ้า!DX418</f>
        <v>0</v>
      </c>
      <c r="AS409" s="3">
        <f>[2]หน้าผ้า!DY418</f>
        <v>0</v>
      </c>
      <c r="AT409" s="3">
        <f>[2]หน้าผ้า!DZ418</f>
        <v>0</v>
      </c>
      <c r="AU409" s="3">
        <f>[2]หน้าผ้า!EA418</f>
        <v>0</v>
      </c>
      <c r="AV409" s="1">
        <f>[2]หน้าผ้า!EB418</f>
        <v>0</v>
      </c>
      <c r="AW409" s="2">
        <f>[2]หน้าผ้า!EC418</f>
        <v>0</v>
      </c>
      <c r="AX409" s="2">
        <f>[2]หน้าผ้า!ED418</f>
        <v>0</v>
      </c>
      <c r="AY409" s="2">
        <f>[2]หน้าผ้า!AG418</f>
        <v>0</v>
      </c>
      <c r="AZ409" s="2">
        <f>[2]หน้าผ้า!EG418</f>
        <v>0</v>
      </c>
      <c r="BA409" s="2">
        <f>[2]หน้าผ้า!EH418</f>
        <v>0</v>
      </c>
      <c r="BB409" s="2">
        <f>[2]หน้าผ้า!EI418</f>
        <v>0</v>
      </c>
      <c r="BC409" s="1">
        <f>[2]หน้าผ้า!BZ418</f>
        <v>0</v>
      </c>
      <c r="BD409" s="56">
        <f>[2]หน้าผ้า!CA418</f>
        <v>0</v>
      </c>
    </row>
    <row r="410" spans="1:56" ht="27.75" customHeight="1" x14ac:dyDescent="0.45">
      <c r="A410" s="3">
        <f>[2]หน้าผ้า!C419</f>
        <v>0</v>
      </c>
      <c r="B410" s="14">
        <f>[2]หน้าผ้า!B419</f>
        <v>0</v>
      </c>
      <c r="C410" s="9">
        <f>[2]หน้าผ้า!E419</f>
        <v>0</v>
      </c>
      <c r="D410" s="13">
        <f>[2]หน้าผ้า!F419</f>
        <v>0</v>
      </c>
      <c r="E410" s="9">
        <f>[2]หน้าผ้า!G419</f>
        <v>0</v>
      </c>
      <c r="F410" s="9">
        <f>[2]หน้าผ้า!H419</f>
        <v>0</v>
      </c>
      <c r="G410" s="9">
        <f>[2]หน้าผ้า!I419</f>
        <v>0</v>
      </c>
      <c r="H410" s="9">
        <f>[2]หน้าผ้า!J419</f>
        <v>0</v>
      </c>
      <c r="I410" s="9">
        <f>[2]หน้าผ้า!L419</f>
        <v>0</v>
      </c>
      <c r="J410" s="9">
        <f>[2]หน้าผ้า!M419</f>
        <v>0</v>
      </c>
      <c r="K410" s="9">
        <f>[2]หน้าผ้า!N419</f>
        <v>0</v>
      </c>
      <c r="L410" s="9">
        <f>[2]หน้าผ้า!R419</f>
        <v>0</v>
      </c>
      <c r="M410" s="10">
        <f>[2]หน้าผ้า!T419</f>
        <v>0</v>
      </c>
      <c r="N410" s="9">
        <f>[2]หน้าผ้า!U419</f>
        <v>0</v>
      </c>
      <c r="O410" s="9">
        <f>[2]หน้าผ้า!V419</f>
        <v>0</v>
      </c>
      <c r="P410" s="10">
        <f>[2]หน้าผ้า!AB419</f>
        <v>0</v>
      </c>
      <c r="Q410" s="10">
        <f>[2]หน้าผ้า!AC419</f>
        <v>0</v>
      </c>
      <c r="R410" s="10">
        <f>[2]หน้าผ้า!AD419</f>
        <v>0</v>
      </c>
      <c r="S410" s="9">
        <f>[2]หน้าผ้า!Z419</f>
        <v>0</v>
      </c>
      <c r="T410" s="12">
        <f>[2]หน้าผ้า!X419</f>
        <v>0</v>
      </c>
      <c r="U410" s="11">
        <f>[2]หน้าผ้า!AA419</f>
        <v>0</v>
      </c>
      <c r="V410" s="10">
        <f>[2]หน้าผ้า!AJ419</f>
        <v>0</v>
      </c>
      <c r="W410" s="10">
        <f>[2]หน้าผ้า!AL419</f>
        <v>0</v>
      </c>
      <c r="X410" s="10">
        <f>[2]หน้าผ้า!AM419</f>
        <v>0</v>
      </c>
      <c r="Y410" s="10">
        <f>[2]หน้าผ้า!AN419</f>
        <v>0</v>
      </c>
      <c r="Z410" s="9">
        <f>[2]หน้าผ้า!AO419</f>
        <v>0</v>
      </c>
      <c r="AA410" s="8">
        <f>[2]หน้าผ้า!AQ419</f>
        <v>0</v>
      </c>
      <c r="AB410" s="8">
        <f>[2]หน้าผ้า!AR419</f>
        <v>0</v>
      </c>
      <c r="AC410" s="8">
        <f>[2]หน้าผ้า!AS419</f>
        <v>0</v>
      </c>
      <c r="AD410" s="8">
        <f>[2]หน้าผ้า!AT419</f>
        <v>0</v>
      </c>
      <c r="AE410" s="8">
        <f>[2]หน้าผ้า!AU419</f>
        <v>0</v>
      </c>
      <c r="AF410" s="8">
        <f>[2]หน้าผ้า!AI419</f>
        <v>0</v>
      </c>
      <c r="AG410" s="1">
        <f>[3]หน้าผ้า!DC422</f>
        <v>0</v>
      </c>
      <c r="AH410" s="1">
        <f>[2]หน้าผ้า!DL419</f>
        <v>0</v>
      </c>
      <c r="AI410" s="1">
        <f>[2]หน้าผ้า!DM419</f>
        <v>0</v>
      </c>
      <c r="AJ410" s="3">
        <f>[2]หน้าผ้า!DN419</f>
        <v>0</v>
      </c>
      <c r="AK410" s="3">
        <f>[2]หน้าผ้า!DQ419</f>
        <v>0</v>
      </c>
      <c r="AL410" s="3">
        <f>[2]หน้าผ้า!DR419</f>
        <v>0</v>
      </c>
      <c r="AM410" s="3">
        <f>[2]หน้าผ้า!DS419</f>
        <v>0</v>
      </c>
      <c r="AN410" s="3">
        <f>[2]หน้าผ้า!DT419</f>
        <v>0</v>
      </c>
      <c r="AO410" s="3">
        <f>[2]หน้าผ้า!DU419</f>
        <v>0</v>
      </c>
      <c r="AP410" s="3">
        <f>[2]หน้าผ้า!DP419</f>
        <v>0</v>
      </c>
      <c r="AQ410" s="3">
        <f>[2]หน้าผ้า!DW419</f>
        <v>0</v>
      </c>
      <c r="AR410" s="3">
        <f>[2]หน้าผ้า!DX419</f>
        <v>0</v>
      </c>
      <c r="AS410" s="3">
        <f>[2]หน้าผ้า!DY419</f>
        <v>0</v>
      </c>
      <c r="AT410" s="3">
        <f>[2]หน้าผ้า!DZ419</f>
        <v>0</v>
      </c>
      <c r="AU410" s="3">
        <f>[2]หน้าผ้า!EA419</f>
        <v>0</v>
      </c>
      <c r="AV410" s="1">
        <f>[2]หน้าผ้า!EB419</f>
        <v>0</v>
      </c>
      <c r="AW410" s="2">
        <f>[2]หน้าผ้า!EC419</f>
        <v>0</v>
      </c>
      <c r="AX410" s="2">
        <f>[2]หน้าผ้า!ED419</f>
        <v>0</v>
      </c>
      <c r="AY410" s="2">
        <f>[2]หน้าผ้า!AG419</f>
        <v>0</v>
      </c>
      <c r="AZ410" s="2">
        <f>[2]หน้าผ้า!EG419</f>
        <v>0</v>
      </c>
      <c r="BA410" s="2">
        <f>[2]หน้าผ้า!EH419</f>
        <v>0</v>
      </c>
      <c r="BB410" s="2">
        <f>[2]หน้าผ้า!EI419</f>
        <v>0</v>
      </c>
      <c r="BC410" s="1">
        <f>[2]หน้าผ้า!BZ419</f>
        <v>0</v>
      </c>
      <c r="BD410" s="56">
        <f>[2]หน้าผ้า!CA419</f>
        <v>0</v>
      </c>
    </row>
    <row r="411" spans="1:56" ht="27.75" customHeight="1" x14ac:dyDescent="0.45">
      <c r="A411" s="3">
        <f>[2]หน้าผ้า!C420</f>
        <v>0</v>
      </c>
      <c r="B411" s="14">
        <f>[2]หน้าผ้า!B420</f>
        <v>0</v>
      </c>
      <c r="C411" s="9">
        <f>[2]หน้าผ้า!E420</f>
        <v>0</v>
      </c>
      <c r="D411" s="13">
        <f>[2]หน้าผ้า!F420</f>
        <v>0</v>
      </c>
      <c r="E411" s="9">
        <f>[2]หน้าผ้า!G420</f>
        <v>0</v>
      </c>
      <c r="F411" s="9">
        <f>[2]หน้าผ้า!H420</f>
        <v>0</v>
      </c>
      <c r="G411" s="9">
        <f>[2]หน้าผ้า!I420</f>
        <v>0</v>
      </c>
      <c r="H411" s="9">
        <f>[2]หน้าผ้า!J420</f>
        <v>0</v>
      </c>
      <c r="I411" s="9">
        <f>[2]หน้าผ้า!L420</f>
        <v>0</v>
      </c>
      <c r="J411" s="9">
        <f>[2]หน้าผ้า!M420</f>
        <v>0</v>
      </c>
      <c r="K411" s="9">
        <f>[2]หน้าผ้า!N420</f>
        <v>0</v>
      </c>
      <c r="L411" s="9">
        <f>[2]หน้าผ้า!R420</f>
        <v>0</v>
      </c>
      <c r="M411" s="10">
        <f>[2]หน้าผ้า!T420</f>
        <v>0</v>
      </c>
      <c r="N411" s="9">
        <f>[2]หน้าผ้า!U420</f>
        <v>0</v>
      </c>
      <c r="O411" s="9">
        <f>[2]หน้าผ้า!V420</f>
        <v>0</v>
      </c>
      <c r="P411" s="10">
        <f>[2]หน้าผ้า!AB420</f>
        <v>0</v>
      </c>
      <c r="Q411" s="10">
        <f>[2]หน้าผ้า!AC420</f>
        <v>0</v>
      </c>
      <c r="R411" s="10">
        <f>[2]หน้าผ้า!AD420</f>
        <v>0</v>
      </c>
      <c r="S411" s="9">
        <f>[2]หน้าผ้า!Z420</f>
        <v>0</v>
      </c>
      <c r="T411" s="12">
        <f>[2]หน้าผ้า!X420</f>
        <v>0</v>
      </c>
      <c r="U411" s="11">
        <f>[2]หน้าผ้า!AA420</f>
        <v>0</v>
      </c>
      <c r="V411" s="10">
        <f>[2]หน้าผ้า!AJ420</f>
        <v>0</v>
      </c>
      <c r="W411" s="10">
        <f>[2]หน้าผ้า!AL420</f>
        <v>0</v>
      </c>
      <c r="X411" s="10">
        <f>[2]หน้าผ้า!AM420</f>
        <v>0</v>
      </c>
      <c r="Y411" s="10">
        <f>[2]หน้าผ้า!AN420</f>
        <v>0</v>
      </c>
      <c r="Z411" s="9">
        <f>[2]หน้าผ้า!AO420</f>
        <v>0</v>
      </c>
      <c r="AA411" s="8">
        <f>[2]หน้าผ้า!AQ420</f>
        <v>0</v>
      </c>
      <c r="AB411" s="8">
        <f>[2]หน้าผ้า!AR420</f>
        <v>0</v>
      </c>
      <c r="AC411" s="8">
        <f>[2]หน้าผ้า!AS420</f>
        <v>0</v>
      </c>
      <c r="AD411" s="8">
        <f>[2]หน้าผ้า!AT420</f>
        <v>0</v>
      </c>
      <c r="AE411" s="8">
        <f>[2]หน้าผ้า!AU420</f>
        <v>0</v>
      </c>
      <c r="AF411" s="8">
        <f>[2]หน้าผ้า!AI420</f>
        <v>0</v>
      </c>
      <c r="AG411" s="1">
        <f>[3]หน้าผ้า!DC423</f>
        <v>0</v>
      </c>
      <c r="AH411" s="1">
        <f>[2]หน้าผ้า!DL420</f>
        <v>0</v>
      </c>
      <c r="AI411" s="1">
        <f>[2]หน้าผ้า!DM420</f>
        <v>0</v>
      </c>
      <c r="AJ411" s="3">
        <f>[2]หน้าผ้า!DN420</f>
        <v>0</v>
      </c>
      <c r="AK411" s="3">
        <f>[2]หน้าผ้า!DQ420</f>
        <v>0</v>
      </c>
      <c r="AL411" s="3">
        <f>[2]หน้าผ้า!DR420</f>
        <v>0</v>
      </c>
      <c r="AM411" s="3">
        <f>[2]หน้าผ้า!DS420</f>
        <v>0</v>
      </c>
      <c r="AN411" s="3">
        <f>[2]หน้าผ้า!DT420</f>
        <v>0</v>
      </c>
      <c r="AO411" s="3">
        <f>[2]หน้าผ้า!DU420</f>
        <v>0</v>
      </c>
      <c r="AP411" s="3">
        <f>[2]หน้าผ้า!DP420</f>
        <v>0</v>
      </c>
      <c r="AQ411" s="3">
        <f>[2]หน้าผ้า!DW420</f>
        <v>0</v>
      </c>
      <c r="AR411" s="3">
        <f>[2]หน้าผ้า!DX420</f>
        <v>0</v>
      </c>
      <c r="AS411" s="3">
        <f>[2]หน้าผ้า!DY420</f>
        <v>0</v>
      </c>
      <c r="AT411" s="3">
        <f>[2]หน้าผ้า!DZ420</f>
        <v>0</v>
      </c>
      <c r="AU411" s="3">
        <f>[2]หน้าผ้า!EA420</f>
        <v>0</v>
      </c>
      <c r="AV411" s="1">
        <f>[2]หน้าผ้า!EB420</f>
        <v>0</v>
      </c>
      <c r="AW411" s="2">
        <f>[2]หน้าผ้า!EC420</f>
        <v>0</v>
      </c>
      <c r="AX411" s="2">
        <f>[2]หน้าผ้า!ED420</f>
        <v>0</v>
      </c>
      <c r="AY411" s="2">
        <f>[2]หน้าผ้า!AG420</f>
        <v>0</v>
      </c>
      <c r="AZ411" s="2">
        <f>[2]หน้าผ้า!EG420</f>
        <v>0</v>
      </c>
      <c r="BA411" s="2">
        <f>[2]หน้าผ้า!EH420</f>
        <v>0</v>
      </c>
      <c r="BB411" s="2">
        <f>[2]หน้าผ้า!EI420</f>
        <v>0</v>
      </c>
      <c r="BC411" s="1">
        <f>[2]หน้าผ้า!BZ420</f>
        <v>0</v>
      </c>
      <c r="BD411" s="56">
        <f>[2]หน้าผ้า!CA420</f>
        <v>0</v>
      </c>
    </row>
    <row r="412" spans="1:56" ht="27.75" customHeight="1" x14ac:dyDescent="0.45">
      <c r="A412" s="3">
        <f>[2]หน้าผ้า!C421</f>
        <v>0</v>
      </c>
      <c r="B412" s="14">
        <f>[2]หน้าผ้า!B421</f>
        <v>0</v>
      </c>
      <c r="C412" s="9">
        <f>[2]หน้าผ้า!E421</f>
        <v>0</v>
      </c>
      <c r="D412" s="13">
        <f>[2]หน้าผ้า!F421</f>
        <v>0</v>
      </c>
      <c r="E412" s="9">
        <f>[2]หน้าผ้า!G421</f>
        <v>0</v>
      </c>
      <c r="F412" s="9">
        <f>[2]หน้าผ้า!H421</f>
        <v>0</v>
      </c>
      <c r="G412" s="9">
        <f>[2]หน้าผ้า!I421</f>
        <v>0</v>
      </c>
      <c r="H412" s="9">
        <f>[2]หน้าผ้า!J421</f>
        <v>0</v>
      </c>
      <c r="I412" s="9">
        <f>[2]หน้าผ้า!L421</f>
        <v>0</v>
      </c>
      <c r="J412" s="9">
        <f>[2]หน้าผ้า!M421</f>
        <v>0</v>
      </c>
      <c r="K412" s="9">
        <f>[2]หน้าผ้า!N421</f>
        <v>0</v>
      </c>
      <c r="L412" s="9">
        <f>[2]หน้าผ้า!R421</f>
        <v>0</v>
      </c>
      <c r="M412" s="10">
        <f>[2]หน้าผ้า!T421</f>
        <v>0</v>
      </c>
      <c r="N412" s="9">
        <f>[2]หน้าผ้า!U421</f>
        <v>0</v>
      </c>
      <c r="O412" s="9">
        <f>[2]หน้าผ้า!V421</f>
        <v>0</v>
      </c>
      <c r="P412" s="10">
        <f>[2]หน้าผ้า!AB421</f>
        <v>0</v>
      </c>
      <c r="Q412" s="10">
        <f>[2]หน้าผ้า!AC421</f>
        <v>0</v>
      </c>
      <c r="R412" s="10">
        <f>[2]หน้าผ้า!AD421</f>
        <v>0</v>
      </c>
      <c r="S412" s="9">
        <f>[2]หน้าผ้า!Z421</f>
        <v>0</v>
      </c>
      <c r="T412" s="12">
        <f>[2]หน้าผ้า!X421</f>
        <v>0</v>
      </c>
      <c r="U412" s="11">
        <f>[2]หน้าผ้า!AA421</f>
        <v>0</v>
      </c>
      <c r="V412" s="10">
        <f>[2]หน้าผ้า!AJ421</f>
        <v>0</v>
      </c>
      <c r="W412" s="10">
        <f>[2]หน้าผ้า!AL421</f>
        <v>0</v>
      </c>
      <c r="X412" s="10">
        <f>[2]หน้าผ้า!AM421</f>
        <v>0</v>
      </c>
      <c r="Y412" s="10">
        <f>[2]หน้าผ้า!AN421</f>
        <v>0</v>
      </c>
      <c r="Z412" s="9">
        <f>[2]หน้าผ้า!AO421</f>
        <v>0</v>
      </c>
      <c r="AA412" s="8">
        <f>[2]หน้าผ้า!AQ421</f>
        <v>0</v>
      </c>
      <c r="AB412" s="8">
        <f>[2]หน้าผ้า!AR421</f>
        <v>0</v>
      </c>
      <c r="AC412" s="8">
        <f>[2]หน้าผ้า!AS421</f>
        <v>0</v>
      </c>
      <c r="AD412" s="8">
        <f>[2]หน้าผ้า!AT421</f>
        <v>0</v>
      </c>
      <c r="AE412" s="8">
        <f>[2]หน้าผ้า!AU421</f>
        <v>0</v>
      </c>
      <c r="AF412" s="8">
        <f>[2]หน้าผ้า!AI421</f>
        <v>0</v>
      </c>
      <c r="AG412" s="1">
        <f>[3]หน้าผ้า!DC424</f>
        <v>0</v>
      </c>
      <c r="AH412" s="1">
        <f>[2]หน้าผ้า!DL421</f>
        <v>0</v>
      </c>
      <c r="AI412" s="1">
        <f>[2]หน้าผ้า!DM421</f>
        <v>0</v>
      </c>
      <c r="AJ412" s="3">
        <f>[2]หน้าผ้า!DN421</f>
        <v>0</v>
      </c>
      <c r="AK412" s="3">
        <f>[2]หน้าผ้า!DQ421</f>
        <v>0</v>
      </c>
      <c r="AL412" s="3">
        <f>[2]หน้าผ้า!DR421</f>
        <v>0</v>
      </c>
      <c r="AM412" s="3">
        <f>[2]หน้าผ้า!DS421</f>
        <v>0</v>
      </c>
      <c r="AN412" s="3">
        <f>[2]หน้าผ้า!DT421</f>
        <v>0</v>
      </c>
      <c r="AO412" s="3">
        <f>[2]หน้าผ้า!DU421</f>
        <v>0</v>
      </c>
      <c r="AP412" s="3">
        <f>[2]หน้าผ้า!DP421</f>
        <v>0</v>
      </c>
      <c r="AQ412" s="3">
        <f>[2]หน้าผ้า!DW421</f>
        <v>0</v>
      </c>
      <c r="AR412" s="3">
        <f>[2]หน้าผ้า!DX421</f>
        <v>0</v>
      </c>
      <c r="AS412" s="3">
        <f>[2]หน้าผ้า!DY421</f>
        <v>0</v>
      </c>
      <c r="AT412" s="3">
        <f>[2]หน้าผ้า!DZ421</f>
        <v>0</v>
      </c>
      <c r="AU412" s="3">
        <f>[2]หน้าผ้า!EA421</f>
        <v>0</v>
      </c>
      <c r="AV412" s="1">
        <f>[2]หน้าผ้า!EB421</f>
        <v>0</v>
      </c>
      <c r="AW412" s="2">
        <f>[2]หน้าผ้า!EC421</f>
        <v>0</v>
      </c>
      <c r="AX412" s="2">
        <f>[2]หน้าผ้า!ED421</f>
        <v>0</v>
      </c>
      <c r="AY412" s="2">
        <f>[2]หน้าผ้า!AG421</f>
        <v>0</v>
      </c>
      <c r="AZ412" s="2">
        <f>[2]หน้าผ้า!EG421</f>
        <v>0</v>
      </c>
      <c r="BA412" s="2">
        <f>[2]หน้าผ้า!EH421</f>
        <v>0</v>
      </c>
      <c r="BB412" s="2">
        <f>[2]หน้าผ้า!EI421</f>
        <v>0</v>
      </c>
      <c r="BC412" s="1">
        <f>[2]หน้าผ้า!BZ421</f>
        <v>0</v>
      </c>
      <c r="BD412" s="56">
        <f>[2]หน้าผ้า!CA421</f>
        <v>0</v>
      </c>
    </row>
    <row r="413" spans="1:56" ht="27.75" customHeight="1" x14ac:dyDescent="0.45">
      <c r="A413" s="3">
        <f>[2]หน้าผ้า!C422</f>
        <v>0</v>
      </c>
      <c r="B413" s="14">
        <f>[2]หน้าผ้า!B422</f>
        <v>0</v>
      </c>
      <c r="C413" s="9">
        <f>[2]หน้าผ้า!E422</f>
        <v>0</v>
      </c>
      <c r="D413" s="13">
        <f>[2]หน้าผ้า!F422</f>
        <v>0</v>
      </c>
      <c r="E413" s="9">
        <f>[2]หน้าผ้า!G422</f>
        <v>0</v>
      </c>
      <c r="F413" s="9">
        <f>[2]หน้าผ้า!H422</f>
        <v>0</v>
      </c>
      <c r="G413" s="9">
        <f>[2]หน้าผ้า!I422</f>
        <v>0</v>
      </c>
      <c r="H413" s="9">
        <f>[2]หน้าผ้า!J422</f>
        <v>0</v>
      </c>
      <c r="I413" s="9">
        <f>[2]หน้าผ้า!L422</f>
        <v>0</v>
      </c>
      <c r="J413" s="9">
        <f>[2]หน้าผ้า!M422</f>
        <v>0</v>
      </c>
      <c r="K413" s="9">
        <f>[2]หน้าผ้า!N422</f>
        <v>0</v>
      </c>
      <c r="L413" s="9">
        <f>[2]หน้าผ้า!R422</f>
        <v>0</v>
      </c>
      <c r="M413" s="10">
        <f>[2]หน้าผ้า!T422</f>
        <v>0</v>
      </c>
      <c r="N413" s="9">
        <f>[2]หน้าผ้า!U422</f>
        <v>0</v>
      </c>
      <c r="O413" s="9">
        <f>[2]หน้าผ้า!V422</f>
        <v>0</v>
      </c>
      <c r="P413" s="10">
        <f>[2]หน้าผ้า!AB422</f>
        <v>0</v>
      </c>
      <c r="Q413" s="10">
        <f>[2]หน้าผ้า!AC422</f>
        <v>0</v>
      </c>
      <c r="R413" s="10">
        <f>[2]หน้าผ้า!AD422</f>
        <v>0</v>
      </c>
      <c r="S413" s="9">
        <f>[2]หน้าผ้า!Z422</f>
        <v>0</v>
      </c>
      <c r="T413" s="12">
        <f>[2]หน้าผ้า!X422</f>
        <v>0</v>
      </c>
      <c r="U413" s="11">
        <f>[2]หน้าผ้า!AA422</f>
        <v>0</v>
      </c>
      <c r="V413" s="10">
        <f>[2]หน้าผ้า!AJ422</f>
        <v>0</v>
      </c>
      <c r="W413" s="10">
        <f>[2]หน้าผ้า!AL422</f>
        <v>0</v>
      </c>
      <c r="X413" s="10">
        <f>[2]หน้าผ้า!AM422</f>
        <v>0</v>
      </c>
      <c r="Y413" s="10">
        <f>[2]หน้าผ้า!AN422</f>
        <v>0</v>
      </c>
      <c r="Z413" s="9">
        <f>[2]หน้าผ้า!AO422</f>
        <v>0</v>
      </c>
      <c r="AA413" s="8">
        <f>[2]หน้าผ้า!AQ422</f>
        <v>0</v>
      </c>
      <c r="AB413" s="8">
        <f>[2]หน้าผ้า!AR422</f>
        <v>0</v>
      </c>
      <c r="AC413" s="8">
        <f>[2]หน้าผ้า!AS422</f>
        <v>0</v>
      </c>
      <c r="AD413" s="8">
        <f>[2]หน้าผ้า!AT422</f>
        <v>0</v>
      </c>
      <c r="AE413" s="8">
        <f>[2]หน้าผ้า!AU422</f>
        <v>0</v>
      </c>
      <c r="AF413" s="8">
        <f>[2]หน้าผ้า!AI422</f>
        <v>0</v>
      </c>
      <c r="AG413" s="1">
        <f>[3]หน้าผ้า!DC425</f>
        <v>0</v>
      </c>
      <c r="AH413" s="1">
        <f>[2]หน้าผ้า!DL422</f>
        <v>0</v>
      </c>
      <c r="AI413" s="1">
        <f>[2]หน้าผ้า!DM422</f>
        <v>0</v>
      </c>
      <c r="AJ413" s="3">
        <f>[2]หน้าผ้า!DN422</f>
        <v>0</v>
      </c>
      <c r="AK413" s="3">
        <f>[2]หน้าผ้า!DQ422</f>
        <v>0</v>
      </c>
      <c r="AL413" s="3">
        <f>[2]หน้าผ้า!DR422</f>
        <v>0</v>
      </c>
      <c r="AM413" s="3">
        <f>[2]หน้าผ้า!DS422</f>
        <v>0</v>
      </c>
      <c r="AN413" s="3">
        <f>[2]หน้าผ้า!DT422</f>
        <v>0</v>
      </c>
      <c r="AO413" s="3">
        <f>[2]หน้าผ้า!DU422</f>
        <v>0</v>
      </c>
      <c r="AP413" s="3">
        <f>[2]หน้าผ้า!DP422</f>
        <v>0</v>
      </c>
      <c r="AQ413" s="3">
        <f>[2]หน้าผ้า!DW422</f>
        <v>0</v>
      </c>
      <c r="AR413" s="3">
        <f>[2]หน้าผ้า!DX422</f>
        <v>0</v>
      </c>
      <c r="AS413" s="3">
        <f>[2]หน้าผ้า!DY422</f>
        <v>0</v>
      </c>
      <c r="AT413" s="3">
        <f>[2]หน้าผ้า!DZ422</f>
        <v>0</v>
      </c>
      <c r="AU413" s="3">
        <f>[2]หน้าผ้า!EA422</f>
        <v>0</v>
      </c>
      <c r="AV413" s="1">
        <f>[2]หน้าผ้า!EB422</f>
        <v>0</v>
      </c>
      <c r="AW413" s="2">
        <f>[2]หน้าผ้า!EC422</f>
        <v>0</v>
      </c>
      <c r="AX413" s="2">
        <f>[2]หน้าผ้า!ED422</f>
        <v>0</v>
      </c>
      <c r="AY413" s="2">
        <f>[2]หน้าผ้า!AG422</f>
        <v>0</v>
      </c>
      <c r="AZ413" s="2">
        <f>[2]หน้าผ้า!EG422</f>
        <v>0</v>
      </c>
      <c r="BA413" s="2">
        <f>[2]หน้าผ้า!EH422</f>
        <v>0</v>
      </c>
      <c r="BB413" s="2">
        <f>[2]หน้าผ้า!EI422</f>
        <v>0</v>
      </c>
      <c r="BC413" s="1">
        <f>[2]หน้าผ้า!BZ422</f>
        <v>0</v>
      </c>
      <c r="BD413" s="56">
        <f>[2]หน้าผ้า!CA422</f>
        <v>0</v>
      </c>
    </row>
    <row r="414" spans="1:56" ht="27.75" customHeight="1" x14ac:dyDescent="0.45">
      <c r="A414" s="3">
        <f>[2]หน้าผ้า!C423</f>
        <v>0</v>
      </c>
      <c r="B414" s="14">
        <f>[2]หน้าผ้า!B423</f>
        <v>0</v>
      </c>
      <c r="C414" s="9">
        <f>[2]หน้าผ้า!E423</f>
        <v>0</v>
      </c>
      <c r="D414" s="13">
        <f>[2]หน้าผ้า!F423</f>
        <v>0</v>
      </c>
      <c r="E414" s="9">
        <f>[2]หน้าผ้า!G423</f>
        <v>0</v>
      </c>
      <c r="F414" s="9">
        <f>[2]หน้าผ้า!H423</f>
        <v>0</v>
      </c>
      <c r="G414" s="9">
        <f>[2]หน้าผ้า!I423</f>
        <v>0</v>
      </c>
      <c r="H414" s="9">
        <f>[2]หน้าผ้า!J423</f>
        <v>0</v>
      </c>
      <c r="I414" s="9">
        <f>[2]หน้าผ้า!L423</f>
        <v>0</v>
      </c>
      <c r="J414" s="9">
        <f>[2]หน้าผ้า!M423</f>
        <v>0</v>
      </c>
      <c r="K414" s="9">
        <f>[2]หน้าผ้า!N423</f>
        <v>0</v>
      </c>
      <c r="L414" s="9">
        <f>[2]หน้าผ้า!R423</f>
        <v>0</v>
      </c>
      <c r="M414" s="10">
        <f>[2]หน้าผ้า!T423</f>
        <v>0</v>
      </c>
      <c r="N414" s="9">
        <f>[2]หน้าผ้า!U423</f>
        <v>0</v>
      </c>
      <c r="O414" s="9">
        <f>[2]หน้าผ้า!V423</f>
        <v>0</v>
      </c>
      <c r="P414" s="10">
        <f>[2]หน้าผ้า!AB423</f>
        <v>0</v>
      </c>
      <c r="Q414" s="10">
        <f>[2]หน้าผ้า!AC423</f>
        <v>0</v>
      </c>
      <c r="R414" s="10">
        <f>[2]หน้าผ้า!AD423</f>
        <v>0</v>
      </c>
      <c r="S414" s="9">
        <f>[2]หน้าผ้า!Z423</f>
        <v>0</v>
      </c>
      <c r="T414" s="12">
        <f>[2]หน้าผ้า!X423</f>
        <v>0</v>
      </c>
      <c r="U414" s="11">
        <f>[2]หน้าผ้า!AA423</f>
        <v>0</v>
      </c>
      <c r="V414" s="10">
        <f>[2]หน้าผ้า!AJ423</f>
        <v>0</v>
      </c>
      <c r="W414" s="10">
        <f>[2]หน้าผ้า!AL423</f>
        <v>0</v>
      </c>
      <c r="X414" s="10">
        <f>[2]หน้าผ้า!AM423</f>
        <v>0</v>
      </c>
      <c r="Y414" s="10">
        <f>[2]หน้าผ้า!AN423</f>
        <v>0</v>
      </c>
      <c r="Z414" s="9">
        <f>[2]หน้าผ้า!AO423</f>
        <v>0</v>
      </c>
      <c r="AA414" s="8">
        <f>[2]หน้าผ้า!AQ423</f>
        <v>0</v>
      </c>
      <c r="AB414" s="8">
        <f>[2]หน้าผ้า!AR423</f>
        <v>0</v>
      </c>
      <c r="AC414" s="8">
        <f>[2]หน้าผ้า!AS423</f>
        <v>0</v>
      </c>
      <c r="AD414" s="8">
        <f>[2]หน้าผ้า!AT423</f>
        <v>0</v>
      </c>
      <c r="AE414" s="8">
        <f>[2]หน้าผ้า!AU423</f>
        <v>0</v>
      </c>
      <c r="AF414" s="8">
        <f>[2]หน้าผ้า!AI423</f>
        <v>0</v>
      </c>
      <c r="AG414" s="1">
        <f>[3]หน้าผ้า!DC426</f>
        <v>0</v>
      </c>
      <c r="AH414" s="1">
        <f>[2]หน้าผ้า!DL423</f>
        <v>0</v>
      </c>
      <c r="AI414" s="1">
        <f>[2]หน้าผ้า!DM423</f>
        <v>0</v>
      </c>
      <c r="AJ414" s="3">
        <f>[2]หน้าผ้า!DN423</f>
        <v>0</v>
      </c>
      <c r="AK414" s="3">
        <f>[2]หน้าผ้า!DQ423</f>
        <v>0</v>
      </c>
      <c r="AL414" s="3">
        <f>[2]หน้าผ้า!DR423</f>
        <v>0</v>
      </c>
      <c r="AM414" s="3">
        <f>[2]หน้าผ้า!DS423</f>
        <v>0</v>
      </c>
      <c r="AN414" s="3">
        <f>[2]หน้าผ้า!DT423</f>
        <v>0</v>
      </c>
      <c r="AO414" s="3">
        <f>[2]หน้าผ้า!DU423</f>
        <v>0</v>
      </c>
      <c r="AP414" s="3">
        <f>[2]หน้าผ้า!DP423</f>
        <v>0</v>
      </c>
      <c r="AQ414" s="3">
        <f>[2]หน้าผ้า!DW423</f>
        <v>0</v>
      </c>
      <c r="AR414" s="3">
        <f>[2]หน้าผ้า!DX423</f>
        <v>0</v>
      </c>
      <c r="AS414" s="3">
        <f>[2]หน้าผ้า!DY423</f>
        <v>0</v>
      </c>
      <c r="AT414" s="3">
        <f>[2]หน้าผ้า!DZ423</f>
        <v>0</v>
      </c>
      <c r="AU414" s="3">
        <f>[2]หน้าผ้า!EA423</f>
        <v>0</v>
      </c>
      <c r="AV414" s="1">
        <f>[2]หน้าผ้า!EB423</f>
        <v>0</v>
      </c>
      <c r="AW414" s="2">
        <f>[2]หน้าผ้า!EC423</f>
        <v>0</v>
      </c>
      <c r="AX414" s="2">
        <f>[2]หน้าผ้า!ED423</f>
        <v>0</v>
      </c>
      <c r="AY414" s="2">
        <f>[2]หน้าผ้า!AG423</f>
        <v>0</v>
      </c>
      <c r="AZ414" s="2">
        <f>[2]หน้าผ้า!EG423</f>
        <v>0</v>
      </c>
      <c r="BA414" s="2">
        <f>[2]หน้าผ้า!EH423</f>
        <v>0</v>
      </c>
      <c r="BB414" s="2">
        <f>[2]หน้าผ้า!EI423</f>
        <v>0</v>
      </c>
      <c r="BC414" s="1">
        <f>[2]หน้าผ้า!BZ423</f>
        <v>0</v>
      </c>
      <c r="BD414" s="56">
        <f>[2]หน้าผ้า!CA423</f>
        <v>0</v>
      </c>
    </row>
    <row r="415" spans="1:56" ht="27.75" customHeight="1" x14ac:dyDescent="0.45">
      <c r="A415" s="3">
        <f>[2]หน้าผ้า!C424</f>
        <v>0</v>
      </c>
      <c r="B415" s="14">
        <f>[2]หน้าผ้า!B424</f>
        <v>0</v>
      </c>
      <c r="C415" s="9">
        <f>[2]หน้าผ้า!E424</f>
        <v>0</v>
      </c>
      <c r="D415" s="13">
        <f>[2]หน้าผ้า!F424</f>
        <v>0</v>
      </c>
      <c r="E415" s="9">
        <f>[2]หน้าผ้า!G424</f>
        <v>0</v>
      </c>
      <c r="F415" s="9">
        <f>[2]หน้าผ้า!H424</f>
        <v>0</v>
      </c>
      <c r="G415" s="9">
        <f>[2]หน้าผ้า!I424</f>
        <v>0</v>
      </c>
      <c r="H415" s="9">
        <f>[2]หน้าผ้า!J424</f>
        <v>0</v>
      </c>
      <c r="I415" s="9">
        <f>[2]หน้าผ้า!L424</f>
        <v>0</v>
      </c>
      <c r="J415" s="9">
        <f>[2]หน้าผ้า!M424</f>
        <v>0</v>
      </c>
      <c r="K415" s="9">
        <f>[2]หน้าผ้า!N424</f>
        <v>0</v>
      </c>
      <c r="L415" s="9">
        <f>[2]หน้าผ้า!R424</f>
        <v>0</v>
      </c>
      <c r="M415" s="10">
        <f>[2]หน้าผ้า!T424</f>
        <v>0</v>
      </c>
      <c r="N415" s="9">
        <f>[2]หน้าผ้า!U424</f>
        <v>0</v>
      </c>
      <c r="O415" s="9">
        <f>[2]หน้าผ้า!V424</f>
        <v>0</v>
      </c>
      <c r="P415" s="10">
        <f>[2]หน้าผ้า!AB424</f>
        <v>0</v>
      </c>
      <c r="Q415" s="10">
        <f>[2]หน้าผ้า!AC424</f>
        <v>0</v>
      </c>
      <c r="R415" s="10">
        <f>[2]หน้าผ้า!AD424</f>
        <v>0</v>
      </c>
      <c r="S415" s="9">
        <f>[2]หน้าผ้า!Z424</f>
        <v>0</v>
      </c>
      <c r="T415" s="12">
        <f>[2]หน้าผ้า!X424</f>
        <v>0</v>
      </c>
      <c r="U415" s="11">
        <f>[2]หน้าผ้า!AA424</f>
        <v>0</v>
      </c>
      <c r="V415" s="10">
        <f>[2]หน้าผ้า!AJ424</f>
        <v>0</v>
      </c>
      <c r="W415" s="10">
        <f>[2]หน้าผ้า!AL424</f>
        <v>0</v>
      </c>
      <c r="X415" s="10">
        <f>[2]หน้าผ้า!AM424</f>
        <v>0</v>
      </c>
      <c r="Y415" s="10">
        <f>[2]หน้าผ้า!AN424</f>
        <v>0</v>
      </c>
      <c r="Z415" s="9">
        <f>[2]หน้าผ้า!AO424</f>
        <v>0</v>
      </c>
      <c r="AA415" s="8">
        <f>[2]หน้าผ้า!AQ424</f>
        <v>0</v>
      </c>
      <c r="AB415" s="8">
        <f>[2]หน้าผ้า!AR424</f>
        <v>0</v>
      </c>
      <c r="AC415" s="8">
        <f>[2]หน้าผ้า!AS424</f>
        <v>0</v>
      </c>
      <c r="AD415" s="8">
        <f>[2]หน้าผ้า!AT424</f>
        <v>0</v>
      </c>
      <c r="AE415" s="8">
        <f>[2]หน้าผ้า!AU424</f>
        <v>0</v>
      </c>
      <c r="AF415" s="8">
        <f>[2]หน้าผ้า!AI424</f>
        <v>0</v>
      </c>
      <c r="AG415" s="1">
        <f>[3]หน้าผ้า!DC427</f>
        <v>0</v>
      </c>
      <c r="AH415" s="1">
        <f>[2]หน้าผ้า!DL424</f>
        <v>0</v>
      </c>
      <c r="AI415" s="1">
        <f>[2]หน้าผ้า!DM424</f>
        <v>0</v>
      </c>
      <c r="AJ415" s="3">
        <f>[2]หน้าผ้า!DN424</f>
        <v>0</v>
      </c>
      <c r="AK415" s="3">
        <f>[2]หน้าผ้า!DQ424</f>
        <v>0</v>
      </c>
      <c r="AL415" s="3">
        <f>[2]หน้าผ้า!DR424</f>
        <v>0</v>
      </c>
      <c r="AM415" s="3">
        <f>[2]หน้าผ้า!DS424</f>
        <v>0</v>
      </c>
      <c r="AN415" s="3">
        <f>[2]หน้าผ้า!DT424</f>
        <v>0</v>
      </c>
      <c r="AO415" s="3">
        <f>[2]หน้าผ้า!DU424</f>
        <v>0</v>
      </c>
      <c r="AP415" s="3">
        <f>[2]หน้าผ้า!DP424</f>
        <v>0</v>
      </c>
      <c r="AQ415" s="3">
        <f>[2]หน้าผ้า!DW424</f>
        <v>0</v>
      </c>
      <c r="AR415" s="3">
        <f>[2]หน้าผ้า!DX424</f>
        <v>0</v>
      </c>
      <c r="AS415" s="3">
        <f>[2]หน้าผ้า!DY424</f>
        <v>0</v>
      </c>
      <c r="AT415" s="3">
        <f>[2]หน้าผ้า!DZ424</f>
        <v>0</v>
      </c>
      <c r="AU415" s="3">
        <f>[2]หน้าผ้า!EA424</f>
        <v>0</v>
      </c>
      <c r="AV415" s="1">
        <f>[2]หน้าผ้า!EB424</f>
        <v>0</v>
      </c>
      <c r="AW415" s="2">
        <f>[2]หน้าผ้า!EC424</f>
        <v>0</v>
      </c>
      <c r="AX415" s="2">
        <f>[2]หน้าผ้า!ED424</f>
        <v>0</v>
      </c>
      <c r="AY415" s="2">
        <f>[2]หน้าผ้า!AG424</f>
        <v>0</v>
      </c>
      <c r="AZ415" s="2">
        <f>[2]หน้าผ้า!EG424</f>
        <v>0</v>
      </c>
      <c r="BA415" s="2">
        <f>[2]หน้าผ้า!EH424</f>
        <v>0</v>
      </c>
      <c r="BB415" s="2">
        <f>[2]หน้าผ้า!EI424</f>
        <v>0</v>
      </c>
      <c r="BC415" s="1">
        <f>[2]หน้าผ้า!BZ424</f>
        <v>0</v>
      </c>
      <c r="BD415" s="56">
        <f>[2]หน้าผ้า!CA424</f>
        <v>0</v>
      </c>
    </row>
    <row r="416" spans="1:56" ht="27.75" customHeight="1" x14ac:dyDescent="0.45">
      <c r="A416" s="3">
        <f>[2]หน้าผ้า!C425</f>
        <v>0</v>
      </c>
      <c r="B416" s="14">
        <f>[2]หน้าผ้า!B425</f>
        <v>0</v>
      </c>
      <c r="C416" s="9">
        <f>[2]หน้าผ้า!E425</f>
        <v>0</v>
      </c>
      <c r="D416" s="13">
        <f>[2]หน้าผ้า!F425</f>
        <v>0</v>
      </c>
      <c r="E416" s="9">
        <f>[2]หน้าผ้า!G425</f>
        <v>0</v>
      </c>
      <c r="F416" s="9">
        <f>[2]หน้าผ้า!H425</f>
        <v>0</v>
      </c>
      <c r="G416" s="9">
        <f>[2]หน้าผ้า!I425</f>
        <v>0</v>
      </c>
      <c r="H416" s="9">
        <f>[2]หน้าผ้า!J425</f>
        <v>0</v>
      </c>
      <c r="I416" s="9">
        <f>[2]หน้าผ้า!L425</f>
        <v>0</v>
      </c>
      <c r="J416" s="9">
        <f>[2]หน้าผ้า!M425</f>
        <v>0</v>
      </c>
      <c r="K416" s="9">
        <f>[2]หน้าผ้า!N425</f>
        <v>0</v>
      </c>
      <c r="L416" s="9">
        <f>[2]หน้าผ้า!R425</f>
        <v>0</v>
      </c>
      <c r="M416" s="10">
        <f>[2]หน้าผ้า!T425</f>
        <v>0</v>
      </c>
      <c r="N416" s="9">
        <f>[2]หน้าผ้า!U425</f>
        <v>0</v>
      </c>
      <c r="O416" s="9">
        <f>[2]หน้าผ้า!V425</f>
        <v>0</v>
      </c>
      <c r="P416" s="10">
        <f>[2]หน้าผ้า!AB425</f>
        <v>0</v>
      </c>
      <c r="Q416" s="10">
        <f>[2]หน้าผ้า!AC425</f>
        <v>0</v>
      </c>
      <c r="R416" s="10">
        <f>[2]หน้าผ้า!AD425</f>
        <v>0</v>
      </c>
      <c r="S416" s="9">
        <f>[2]หน้าผ้า!Z425</f>
        <v>0</v>
      </c>
      <c r="T416" s="12">
        <f>[2]หน้าผ้า!X425</f>
        <v>0</v>
      </c>
      <c r="U416" s="11">
        <f>[2]หน้าผ้า!AA425</f>
        <v>0</v>
      </c>
      <c r="V416" s="10">
        <f>[2]หน้าผ้า!AJ425</f>
        <v>0</v>
      </c>
      <c r="W416" s="10">
        <f>[2]หน้าผ้า!AL425</f>
        <v>0</v>
      </c>
      <c r="X416" s="10">
        <f>[2]หน้าผ้า!AM425</f>
        <v>0</v>
      </c>
      <c r="Y416" s="10">
        <f>[2]หน้าผ้า!AN425</f>
        <v>0</v>
      </c>
      <c r="Z416" s="9">
        <f>[2]หน้าผ้า!AO425</f>
        <v>0</v>
      </c>
      <c r="AA416" s="8">
        <f>[2]หน้าผ้า!AQ425</f>
        <v>0</v>
      </c>
      <c r="AB416" s="8">
        <f>[2]หน้าผ้า!AR425</f>
        <v>0</v>
      </c>
      <c r="AC416" s="8">
        <f>[2]หน้าผ้า!AS425</f>
        <v>0</v>
      </c>
      <c r="AD416" s="8">
        <f>[2]หน้าผ้า!AT425</f>
        <v>0</v>
      </c>
      <c r="AE416" s="8">
        <f>[2]หน้าผ้า!AU425</f>
        <v>0</v>
      </c>
      <c r="AF416" s="8">
        <f>[2]หน้าผ้า!AI425</f>
        <v>0</v>
      </c>
      <c r="AG416" s="1">
        <f>[3]หน้าผ้า!DC428</f>
        <v>0</v>
      </c>
      <c r="AH416" s="1">
        <f>[2]หน้าผ้า!DL425</f>
        <v>0</v>
      </c>
      <c r="AI416" s="1">
        <f>[2]หน้าผ้า!DM425</f>
        <v>0</v>
      </c>
      <c r="AJ416" s="3">
        <f>[2]หน้าผ้า!DN425</f>
        <v>0</v>
      </c>
      <c r="AK416" s="3">
        <f>[2]หน้าผ้า!DQ425</f>
        <v>0</v>
      </c>
      <c r="AL416" s="3">
        <f>[2]หน้าผ้า!DR425</f>
        <v>0</v>
      </c>
      <c r="AM416" s="3">
        <f>[2]หน้าผ้า!DS425</f>
        <v>0</v>
      </c>
      <c r="AN416" s="3">
        <f>[2]หน้าผ้า!DT425</f>
        <v>0</v>
      </c>
      <c r="AO416" s="3">
        <f>[2]หน้าผ้า!DU425</f>
        <v>0</v>
      </c>
      <c r="AP416" s="3">
        <f>[2]หน้าผ้า!DP425</f>
        <v>0</v>
      </c>
      <c r="AQ416" s="3">
        <f>[2]หน้าผ้า!DW425</f>
        <v>0</v>
      </c>
      <c r="AR416" s="3">
        <f>[2]หน้าผ้า!DX425</f>
        <v>0</v>
      </c>
      <c r="AS416" s="3">
        <f>[2]หน้าผ้า!DY425</f>
        <v>0</v>
      </c>
      <c r="AT416" s="3">
        <f>[2]หน้าผ้า!DZ425</f>
        <v>0</v>
      </c>
      <c r="AU416" s="3">
        <f>[2]หน้าผ้า!EA425</f>
        <v>0</v>
      </c>
      <c r="AV416" s="1">
        <f>[2]หน้าผ้า!EB425</f>
        <v>0</v>
      </c>
      <c r="AW416" s="2">
        <f>[2]หน้าผ้า!EC425</f>
        <v>0</v>
      </c>
      <c r="AX416" s="2">
        <f>[2]หน้าผ้า!ED425</f>
        <v>0</v>
      </c>
      <c r="AY416" s="2">
        <f>[2]หน้าผ้า!AG425</f>
        <v>0</v>
      </c>
      <c r="AZ416" s="2">
        <f>[2]หน้าผ้า!EG425</f>
        <v>0</v>
      </c>
      <c r="BA416" s="2">
        <f>[2]หน้าผ้า!EH425</f>
        <v>0</v>
      </c>
      <c r="BB416" s="2">
        <f>[2]หน้าผ้า!EI425</f>
        <v>0</v>
      </c>
      <c r="BC416" s="1">
        <f>[2]หน้าผ้า!BZ425</f>
        <v>0</v>
      </c>
      <c r="BD416" s="56">
        <f>[2]หน้าผ้า!CA425</f>
        <v>0</v>
      </c>
    </row>
    <row r="417" spans="1:56" ht="27.75" customHeight="1" x14ac:dyDescent="0.45">
      <c r="A417" s="3">
        <f>[2]หน้าผ้า!C426</f>
        <v>0</v>
      </c>
      <c r="B417" s="14">
        <f>[2]หน้าผ้า!B426</f>
        <v>0</v>
      </c>
      <c r="C417" s="9">
        <f>[2]หน้าผ้า!E426</f>
        <v>0</v>
      </c>
      <c r="D417" s="13">
        <f>[2]หน้าผ้า!F426</f>
        <v>0</v>
      </c>
      <c r="E417" s="9">
        <f>[2]หน้าผ้า!G426</f>
        <v>0</v>
      </c>
      <c r="F417" s="9">
        <f>[2]หน้าผ้า!H426</f>
        <v>0</v>
      </c>
      <c r="G417" s="9">
        <f>[2]หน้าผ้า!I426</f>
        <v>0</v>
      </c>
      <c r="H417" s="9">
        <f>[2]หน้าผ้า!J426</f>
        <v>0</v>
      </c>
      <c r="I417" s="9">
        <f>[2]หน้าผ้า!L426</f>
        <v>0</v>
      </c>
      <c r="J417" s="9">
        <f>[2]หน้าผ้า!M426</f>
        <v>0</v>
      </c>
      <c r="K417" s="9">
        <f>[2]หน้าผ้า!N426</f>
        <v>0</v>
      </c>
      <c r="L417" s="9">
        <f>[2]หน้าผ้า!R426</f>
        <v>0</v>
      </c>
      <c r="M417" s="10">
        <f>[2]หน้าผ้า!T426</f>
        <v>0</v>
      </c>
      <c r="N417" s="9">
        <f>[2]หน้าผ้า!U426</f>
        <v>0</v>
      </c>
      <c r="O417" s="9">
        <f>[2]หน้าผ้า!V426</f>
        <v>0</v>
      </c>
      <c r="P417" s="10">
        <f>[2]หน้าผ้า!AB426</f>
        <v>0</v>
      </c>
      <c r="Q417" s="10">
        <f>[2]หน้าผ้า!AC426</f>
        <v>0</v>
      </c>
      <c r="R417" s="10">
        <f>[2]หน้าผ้า!AD426</f>
        <v>0</v>
      </c>
      <c r="S417" s="9">
        <f>[2]หน้าผ้า!Z426</f>
        <v>0</v>
      </c>
      <c r="T417" s="12">
        <f>[2]หน้าผ้า!X426</f>
        <v>0</v>
      </c>
      <c r="U417" s="11">
        <f>[2]หน้าผ้า!AA426</f>
        <v>0</v>
      </c>
      <c r="V417" s="10">
        <f>[2]หน้าผ้า!AJ426</f>
        <v>0</v>
      </c>
      <c r="W417" s="10">
        <f>[2]หน้าผ้า!AL426</f>
        <v>0</v>
      </c>
      <c r="X417" s="10">
        <f>[2]หน้าผ้า!AM426</f>
        <v>0</v>
      </c>
      <c r="Y417" s="10">
        <f>[2]หน้าผ้า!AN426</f>
        <v>0</v>
      </c>
      <c r="Z417" s="9">
        <f>[2]หน้าผ้า!AO426</f>
        <v>0</v>
      </c>
      <c r="AA417" s="8">
        <f>[2]หน้าผ้า!AQ426</f>
        <v>0</v>
      </c>
      <c r="AB417" s="8">
        <f>[2]หน้าผ้า!AR426</f>
        <v>0</v>
      </c>
      <c r="AC417" s="8">
        <f>[2]หน้าผ้า!AS426</f>
        <v>0</v>
      </c>
      <c r="AD417" s="8">
        <f>[2]หน้าผ้า!AT426</f>
        <v>0</v>
      </c>
      <c r="AE417" s="8">
        <f>[2]หน้าผ้า!AU426</f>
        <v>0</v>
      </c>
      <c r="AF417" s="8">
        <f>[2]หน้าผ้า!AI426</f>
        <v>0</v>
      </c>
      <c r="AG417" s="1">
        <f>[3]หน้าผ้า!DC429</f>
        <v>0</v>
      </c>
      <c r="AH417" s="1">
        <f>[2]หน้าผ้า!DL426</f>
        <v>0</v>
      </c>
      <c r="AI417" s="1">
        <f>[2]หน้าผ้า!DM426</f>
        <v>0</v>
      </c>
      <c r="AJ417" s="3">
        <f>[2]หน้าผ้า!DN426</f>
        <v>0</v>
      </c>
      <c r="AK417" s="3">
        <f>[2]หน้าผ้า!DQ426</f>
        <v>0</v>
      </c>
      <c r="AL417" s="3">
        <f>[2]หน้าผ้า!DR426</f>
        <v>0</v>
      </c>
      <c r="AM417" s="3">
        <f>[2]หน้าผ้า!DS426</f>
        <v>0</v>
      </c>
      <c r="AN417" s="3">
        <f>[2]หน้าผ้า!DT426</f>
        <v>0</v>
      </c>
      <c r="AO417" s="3">
        <f>[2]หน้าผ้า!DU426</f>
        <v>0</v>
      </c>
      <c r="AP417" s="3">
        <f>[2]หน้าผ้า!DP426</f>
        <v>0</v>
      </c>
      <c r="AQ417" s="3">
        <f>[2]หน้าผ้า!DW426</f>
        <v>0</v>
      </c>
      <c r="AR417" s="3">
        <f>[2]หน้าผ้า!DX426</f>
        <v>0</v>
      </c>
      <c r="AS417" s="3">
        <f>[2]หน้าผ้า!DY426</f>
        <v>0</v>
      </c>
      <c r="AT417" s="3">
        <f>[2]หน้าผ้า!DZ426</f>
        <v>0</v>
      </c>
      <c r="AU417" s="3">
        <f>[2]หน้าผ้า!EA426</f>
        <v>0</v>
      </c>
      <c r="AV417" s="1">
        <f>[2]หน้าผ้า!EB426</f>
        <v>0</v>
      </c>
      <c r="AW417" s="2">
        <f>[2]หน้าผ้า!EC426</f>
        <v>0</v>
      </c>
      <c r="AX417" s="2">
        <f>[2]หน้าผ้า!ED426</f>
        <v>0</v>
      </c>
      <c r="AY417" s="2">
        <f>[2]หน้าผ้า!AG426</f>
        <v>0</v>
      </c>
      <c r="AZ417" s="2">
        <f>[2]หน้าผ้า!EG426</f>
        <v>0</v>
      </c>
      <c r="BA417" s="2">
        <f>[2]หน้าผ้า!EH426</f>
        <v>0</v>
      </c>
      <c r="BB417" s="2">
        <f>[2]หน้าผ้า!EI426</f>
        <v>0</v>
      </c>
      <c r="BC417" s="1">
        <f>[2]หน้าผ้า!BZ426</f>
        <v>0</v>
      </c>
      <c r="BD417" s="56">
        <f>[2]หน้าผ้า!CA426</f>
        <v>0</v>
      </c>
    </row>
    <row r="418" spans="1:56" ht="27.75" customHeight="1" x14ac:dyDescent="0.45">
      <c r="A418" s="3">
        <f>[2]หน้าผ้า!C427</f>
        <v>0</v>
      </c>
      <c r="B418" s="14">
        <f>[2]หน้าผ้า!B427</f>
        <v>0</v>
      </c>
      <c r="C418" s="9">
        <f>[2]หน้าผ้า!E427</f>
        <v>0</v>
      </c>
      <c r="D418" s="13">
        <f>[2]หน้าผ้า!F427</f>
        <v>0</v>
      </c>
      <c r="E418" s="9">
        <f>[2]หน้าผ้า!G427</f>
        <v>0</v>
      </c>
      <c r="F418" s="9">
        <f>[2]หน้าผ้า!H427</f>
        <v>0</v>
      </c>
      <c r="G418" s="9">
        <f>[2]หน้าผ้า!I427</f>
        <v>0</v>
      </c>
      <c r="H418" s="9">
        <f>[2]หน้าผ้า!J427</f>
        <v>0</v>
      </c>
      <c r="I418" s="9">
        <f>[2]หน้าผ้า!L427</f>
        <v>0</v>
      </c>
      <c r="J418" s="9">
        <f>[2]หน้าผ้า!M427</f>
        <v>0</v>
      </c>
      <c r="K418" s="9">
        <f>[2]หน้าผ้า!N427</f>
        <v>0</v>
      </c>
      <c r="L418" s="9">
        <f>[2]หน้าผ้า!R427</f>
        <v>0</v>
      </c>
      <c r="M418" s="10">
        <f>[2]หน้าผ้า!T427</f>
        <v>0</v>
      </c>
      <c r="N418" s="9">
        <f>[2]หน้าผ้า!U427</f>
        <v>0</v>
      </c>
      <c r="O418" s="9">
        <f>[2]หน้าผ้า!V427</f>
        <v>0</v>
      </c>
      <c r="P418" s="10">
        <f>[2]หน้าผ้า!AB427</f>
        <v>0</v>
      </c>
      <c r="Q418" s="10">
        <f>[2]หน้าผ้า!AC427</f>
        <v>0</v>
      </c>
      <c r="R418" s="10">
        <f>[2]หน้าผ้า!AD427</f>
        <v>0</v>
      </c>
      <c r="S418" s="9">
        <f>[2]หน้าผ้า!Z427</f>
        <v>0</v>
      </c>
      <c r="T418" s="12">
        <f>[2]หน้าผ้า!X427</f>
        <v>0</v>
      </c>
      <c r="U418" s="11">
        <f>[2]หน้าผ้า!AA427</f>
        <v>0</v>
      </c>
      <c r="V418" s="10">
        <f>[2]หน้าผ้า!AJ427</f>
        <v>0</v>
      </c>
      <c r="W418" s="10">
        <f>[2]หน้าผ้า!AL427</f>
        <v>0</v>
      </c>
      <c r="X418" s="10">
        <f>[2]หน้าผ้า!AM427</f>
        <v>0</v>
      </c>
      <c r="Y418" s="10">
        <f>[2]หน้าผ้า!AN427</f>
        <v>0</v>
      </c>
      <c r="Z418" s="9">
        <f>[2]หน้าผ้า!AO427</f>
        <v>0</v>
      </c>
      <c r="AA418" s="8">
        <f>[2]หน้าผ้า!AQ427</f>
        <v>0</v>
      </c>
      <c r="AB418" s="8">
        <f>[2]หน้าผ้า!AR427</f>
        <v>0</v>
      </c>
      <c r="AC418" s="8">
        <f>[2]หน้าผ้า!AS427</f>
        <v>0</v>
      </c>
      <c r="AD418" s="8">
        <f>[2]หน้าผ้า!AT427</f>
        <v>0</v>
      </c>
      <c r="AE418" s="8">
        <f>[2]หน้าผ้า!AU427</f>
        <v>0</v>
      </c>
      <c r="AF418" s="8">
        <f>[2]หน้าผ้า!AI427</f>
        <v>0</v>
      </c>
      <c r="AG418" s="1">
        <f>[3]หน้าผ้า!DC430</f>
        <v>0</v>
      </c>
      <c r="AH418" s="1">
        <f>[2]หน้าผ้า!DL427</f>
        <v>0</v>
      </c>
      <c r="AI418" s="1">
        <f>[2]หน้าผ้า!DM427</f>
        <v>0</v>
      </c>
      <c r="AJ418" s="3">
        <f>[2]หน้าผ้า!DN427</f>
        <v>0</v>
      </c>
      <c r="AK418" s="3">
        <f>[2]หน้าผ้า!DQ427</f>
        <v>0</v>
      </c>
      <c r="AL418" s="3">
        <f>[2]หน้าผ้า!DR427</f>
        <v>0</v>
      </c>
      <c r="AM418" s="3">
        <f>[2]หน้าผ้า!DS427</f>
        <v>0</v>
      </c>
      <c r="AN418" s="3">
        <f>[2]หน้าผ้า!DT427</f>
        <v>0</v>
      </c>
      <c r="AO418" s="3">
        <f>[2]หน้าผ้า!DU427</f>
        <v>0</v>
      </c>
      <c r="AP418" s="3">
        <f>[2]หน้าผ้า!DP427</f>
        <v>0</v>
      </c>
      <c r="AQ418" s="3">
        <f>[2]หน้าผ้า!DW427</f>
        <v>0</v>
      </c>
      <c r="AR418" s="3">
        <f>[2]หน้าผ้า!DX427</f>
        <v>0</v>
      </c>
      <c r="AS418" s="3">
        <f>[2]หน้าผ้า!DY427</f>
        <v>0</v>
      </c>
      <c r="AT418" s="3">
        <f>[2]หน้าผ้า!DZ427</f>
        <v>0</v>
      </c>
      <c r="AU418" s="3">
        <f>[2]หน้าผ้า!EA427</f>
        <v>0</v>
      </c>
      <c r="AV418" s="1">
        <f>[2]หน้าผ้า!EB427</f>
        <v>0</v>
      </c>
      <c r="AW418" s="2">
        <f>[2]หน้าผ้า!EC427</f>
        <v>0</v>
      </c>
      <c r="AX418" s="2">
        <f>[2]หน้าผ้า!ED427</f>
        <v>0</v>
      </c>
      <c r="AY418" s="2">
        <f>[2]หน้าผ้า!AG427</f>
        <v>0</v>
      </c>
      <c r="AZ418" s="2">
        <f>[2]หน้าผ้า!EG427</f>
        <v>0</v>
      </c>
      <c r="BA418" s="2">
        <f>[2]หน้าผ้า!EH427</f>
        <v>0</v>
      </c>
      <c r="BB418" s="2">
        <f>[2]หน้าผ้า!EI427</f>
        <v>0</v>
      </c>
      <c r="BC418" s="1">
        <f>[2]หน้าผ้า!BZ427</f>
        <v>0</v>
      </c>
      <c r="BD418" s="56">
        <f>[2]หน้าผ้า!CA427</f>
        <v>0</v>
      </c>
    </row>
    <row r="419" spans="1:56" ht="27.75" customHeight="1" x14ac:dyDescent="0.45">
      <c r="A419" s="3">
        <f>[2]หน้าผ้า!C428</f>
        <v>0</v>
      </c>
      <c r="B419" s="14">
        <f>[2]หน้าผ้า!B428</f>
        <v>0</v>
      </c>
      <c r="C419" s="9">
        <f>[2]หน้าผ้า!E428</f>
        <v>0</v>
      </c>
      <c r="D419" s="13">
        <f>[2]หน้าผ้า!F428</f>
        <v>0</v>
      </c>
      <c r="E419" s="9">
        <f>[2]หน้าผ้า!G428</f>
        <v>0</v>
      </c>
      <c r="F419" s="9">
        <f>[2]หน้าผ้า!H428</f>
        <v>0</v>
      </c>
      <c r="G419" s="9">
        <f>[2]หน้าผ้า!I428</f>
        <v>0</v>
      </c>
      <c r="H419" s="9">
        <f>[2]หน้าผ้า!J428</f>
        <v>0</v>
      </c>
      <c r="I419" s="9">
        <f>[2]หน้าผ้า!L428</f>
        <v>0</v>
      </c>
      <c r="J419" s="9">
        <f>[2]หน้าผ้า!M428</f>
        <v>0</v>
      </c>
      <c r="K419" s="9">
        <f>[2]หน้าผ้า!N428</f>
        <v>0</v>
      </c>
      <c r="L419" s="9">
        <f>[2]หน้าผ้า!R428</f>
        <v>0</v>
      </c>
      <c r="M419" s="10">
        <f>[2]หน้าผ้า!T428</f>
        <v>0</v>
      </c>
      <c r="N419" s="9">
        <f>[2]หน้าผ้า!U428</f>
        <v>0</v>
      </c>
      <c r="O419" s="9">
        <f>[2]หน้าผ้า!V428</f>
        <v>0</v>
      </c>
      <c r="P419" s="10">
        <f>[2]หน้าผ้า!AB428</f>
        <v>0</v>
      </c>
      <c r="Q419" s="10">
        <f>[2]หน้าผ้า!AC428</f>
        <v>0</v>
      </c>
      <c r="R419" s="10">
        <f>[2]หน้าผ้า!AD428</f>
        <v>0</v>
      </c>
      <c r="S419" s="9">
        <f>[2]หน้าผ้า!Z428</f>
        <v>0</v>
      </c>
      <c r="T419" s="12">
        <f>[2]หน้าผ้า!X428</f>
        <v>0</v>
      </c>
      <c r="U419" s="11">
        <f>[2]หน้าผ้า!AA428</f>
        <v>0</v>
      </c>
      <c r="V419" s="10">
        <f>[2]หน้าผ้า!AJ428</f>
        <v>0</v>
      </c>
      <c r="W419" s="10">
        <f>[2]หน้าผ้า!AL428</f>
        <v>0</v>
      </c>
      <c r="X419" s="10">
        <f>[2]หน้าผ้า!AM428</f>
        <v>0</v>
      </c>
      <c r="Y419" s="10">
        <f>[2]หน้าผ้า!AN428</f>
        <v>0</v>
      </c>
      <c r="Z419" s="9">
        <f>[2]หน้าผ้า!AO428</f>
        <v>0</v>
      </c>
      <c r="AA419" s="8">
        <f>[2]หน้าผ้า!AQ428</f>
        <v>0</v>
      </c>
      <c r="AB419" s="8">
        <f>[2]หน้าผ้า!AR428</f>
        <v>0</v>
      </c>
      <c r="AC419" s="8">
        <f>[2]หน้าผ้า!AS428</f>
        <v>0</v>
      </c>
      <c r="AD419" s="8">
        <f>[2]หน้าผ้า!AT428</f>
        <v>0</v>
      </c>
      <c r="AE419" s="8">
        <f>[2]หน้าผ้า!AU428</f>
        <v>0</v>
      </c>
      <c r="AF419" s="8">
        <f>[2]หน้าผ้า!AI428</f>
        <v>0</v>
      </c>
      <c r="AG419" s="1">
        <f>[3]หน้าผ้า!DC431</f>
        <v>0</v>
      </c>
      <c r="AH419" s="1">
        <f>[2]หน้าผ้า!DL428</f>
        <v>0</v>
      </c>
      <c r="AI419" s="1">
        <f>[2]หน้าผ้า!DM428</f>
        <v>0</v>
      </c>
      <c r="AJ419" s="3">
        <f>[2]หน้าผ้า!DN428</f>
        <v>0</v>
      </c>
      <c r="AK419" s="3">
        <f>[2]หน้าผ้า!DQ428</f>
        <v>0</v>
      </c>
      <c r="AL419" s="3">
        <f>[2]หน้าผ้า!DR428</f>
        <v>0</v>
      </c>
      <c r="AM419" s="3">
        <f>[2]หน้าผ้า!DS428</f>
        <v>0</v>
      </c>
      <c r="AN419" s="3">
        <f>[2]หน้าผ้า!DT428</f>
        <v>0</v>
      </c>
      <c r="AO419" s="3">
        <f>[2]หน้าผ้า!DU428</f>
        <v>0</v>
      </c>
      <c r="AP419" s="3">
        <f>[2]หน้าผ้า!DP428</f>
        <v>0</v>
      </c>
      <c r="AQ419" s="3">
        <f>[2]หน้าผ้า!DW428</f>
        <v>0</v>
      </c>
      <c r="AR419" s="3">
        <f>[2]หน้าผ้า!DX428</f>
        <v>0</v>
      </c>
      <c r="AS419" s="3">
        <f>[2]หน้าผ้า!DY428</f>
        <v>0</v>
      </c>
      <c r="AT419" s="3">
        <f>[2]หน้าผ้า!DZ428</f>
        <v>0</v>
      </c>
      <c r="AU419" s="3">
        <f>[2]หน้าผ้า!EA428</f>
        <v>0</v>
      </c>
      <c r="AV419" s="1">
        <f>[2]หน้าผ้า!EB428</f>
        <v>0</v>
      </c>
      <c r="AW419" s="2">
        <f>[2]หน้าผ้า!EC428</f>
        <v>0</v>
      </c>
      <c r="AX419" s="2">
        <f>[2]หน้าผ้า!ED428</f>
        <v>0</v>
      </c>
      <c r="AY419" s="2">
        <f>[2]หน้าผ้า!AG428</f>
        <v>0</v>
      </c>
      <c r="AZ419" s="2">
        <f>[2]หน้าผ้า!EG428</f>
        <v>0</v>
      </c>
      <c r="BA419" s="2">
        <f>[2]หน้าผ้า!EH428</f>
        <v>0</v>
      </c>
      <c r="BB419" s="2">
        <f>[2]หน้าผ้า!EI428</f>
        <v>0</v>
      </c>
      <c r="BC419" s="1">
        <f>[2]หน้าผ้า!BZ428</f>
        <v>0</v>
      </c>
      <c r="BD419" s="56">
        <f>[2]หน้าผ้า!CA428</f>
        <v>0</v>
      </c>
    </row>
    <row r="420" spans="1:56" ht="27.75" customHeight="1" x14ac:dyDescent="0.45">
      <c r="A420" s="3">
        <f>[2]หน้าผ้า!C429</f>
        <v>0</v>
      </c>
      <c r="B420" s="14">
        <f>[2]หน้าผ้า!B429</f>
        <v>0</v>
      </c>
      <c r="C420" s="9">
        <f>[2]หน้าผ้า!E429</f>
        <v>0</v>
      </c>
      <c r="D420" s="13">
        <f>[2]หน้าผ้า!F429</f>
        <v>0</v>
      </c>
      <c r="E420" s="9">
        <f>[2]หน้าผ้า!G429</f>
        <v>0</v>
      </c>
      <c r="F420" s="9">
        <f>[2]หน้าผ้า!H429</f>
        <v>0</v>
      </c>
      <c r="G420" s="9">
        <f>[2]หน้าผ้า!I429</f>
        <v>0</v>
      </c>
      <c r="H420" s="9">
        <f>[2]หน้าผ้า!J429</f>
        <v>0</v>
      </c>
      <c r="I420" s="9">
        <f>[2]หน้าผ้า!L429</f>
        <v>0</v>
      </c>
      <c r="J420" s="9">
        <f>[2]หน้าผ้า!M429</f>
        <v>0</v>
      </c>
      <c r="K420" s="9">
        <f>[2]หน้าผ้า!N429</f>
        <v>0</v>
      </c>
      <c r="L420" s="9">
        <f>[2]หน้าผ้า!R429</f>
        <v>0</v>
      </c>
      <c r="M420" s="10">
        <f>[2]หน้าผ้า!T429</f>
        <v>0</v>
      </c>
      <c r="N420" s="9">
        <f>[2]หน้าผ้า!U429</f>
        <v>0</v>
      </c>
      <c r="O420" s="9">
        <f>[2]หน้าผ้า!V429</f>
        <v>0</v>
      </c>
      <c r="P420" s="10">
        <f>[2]หน้าผ้า!AB429</f>
        <v>0</v>
      </c>
      <c r="Q420" s="10">
        <f>[2]หน้าผ้า!AC429</f>
        <v>0</v>
      </c>
      <c r="R420" s="10">
        <f>[2]หน้าผ้า!AD429</f>
        <v>0</v>
      </c>
      <c r="S420" s="9">
        <f>[2]หน้าผ้า!Z429</f>
        <v>0</v>
      </c>
      <c r="T420" s="12">
        <f>[2]หน้าผ้า!X429</f>
        <v>0</v>
      </c>
      <c r="U420" s="11">
        <f>[2]หน้าผ้า!AA429</f>
        <v>0</v>
      </c>
      <c r="V420" s="10">
        <f>[2]หน้าผ้า!AJ429</f>
        <v>0</v>
      </c>
      <c r="W420" s="10">
        <f>[2]หน้าผ้า!AL429</f>
        <v>0</v>
      </c>
      <c r="X420" s="10">
        <f>[2]หน้าผ้า!AM429</f>
        <v>0</v>
      </c>
      <c r="Y420" s="10">
        <f>[2]หน้าผ้า!AN429</f>
        <v>0</v>
      </c>
      <c r="Z420" s="9">
        <f>[2]หน้าผ้า!AO429</f>
        <v>0</v>
      </c>
      <c r="AA420" s="8">
        <f>[2]หน้าผ้า!AQ429</f>
        <v>0</v>
      </c>
      <c r="AB420" s="8">
        <f>[2]หน้าผ้า!AR429</f>
        <v>0</v>
      </c>
      <c r="AC420" s="8">
        <f>[2]หน้าผ้า!AS429</f>
        <v>0</v>
      </c>
      <c r="AD420" s="8">
        <f>[2]หน้าผ้า!AT429</f>
        <v>0</v>
      </c>
      <c r="AE420" s="8">
        <f>[2]หน้าผ้า!AU429</f>
        <v>0</v>
      </c>
      <c r="AF420" s="8">
        <f>[2]หน้าผ้า!AI429</f>
        <v>0</v>
      </c>
      <c r="AG420" s="1">
        <f>[3]หน้าผ้า!DC432</f>
        <v>0</v>
      </c>
      <c r="AH420" s="1">
        <f>[2]หน้าผ้า!DL429</f>
        <v>0</v>
      </c>
      <c r="AI420" s="1">
        <f>[2]หน้าผ้า!DM429</f>
        <v>0</v>
      </c>
      <c r="AJ420" s="3">
        <f>[2]หน้าผ้า!DN429</f>
        <v>0</v>
      </c>
      <c r="AK420" s="3">
        <f>[2]หน้าผ้า!DQ429</f>
        <v>0</v>
      </c>
      <c r="AL420" s="3">
        <f>[2]หน้าผ้า!DR429</f>
        <v>0</v>
      </c>
      <c r="AM420" s="3">
        <f>[2]หน้าผ้า!DS429</f>
        <v>0</v>
      </c>
      <c r="AN420" s="3">
        <f>[2]หน้าผ้า!DT429</f>
        <v>0</v>
      </c>
      <c r="AO420" s="3">
        <f>[2]หน้าผ้า!DU429</f>
        <v>0</v>
      </c>
      <c r="AP420" s="3">
        <f>[2]หน้าผ้า!DP429</f>
        <v>0</v>
      </c>
      <c r="AQ420" s="3">
        <f>[2]หน้าผ้า!DW429</f>
        <v>0</v>
      </c>
      <c r="AR420" s="3">
        <f>[2]หน้าผ้า!DX429</f>
        <v>0</v>
      </c>
      <c r="AS420" s="3">
        <f>[2]หน้าผ้า!DY429</f>
        <v>0</v>
      </c>
      <c r="AT420" s="3">
        <f>[2]หน้าผ้า!DZ429</f>
        <v>0</v>
      </c>
      <c r="AU420" s="3">
        <f>[2]หน้าผ้า!EA429</f>
        <v>0</v>
      </c>
      <c r="AV420" s="1">
        <f>[2]หน้าผ้า!EB429</f>
        <v>0</v>
      </c>
      <c r="AW420" s="2">
        <f>[2]หน้าผ้า!EC429</f>
        <v>0</v>
      </c>
      <c r="AX420" s="2">
        <f>[2]หน้าผ้า!ED429</f>
        <v>0</v>
      </c>
      <c r="AY420" s="2">
        <f>[2]หน้าผ้า!AG429</f>
        <v>0</v>
      </c>
      <c r="AZ420" s="2">
        <f>[2]หน้าผ้า!EG429</f>
        <v>0</v>
      </c>
      <c r="BA420" s="2">
        <f>[2]หน้าผ้า!EH429</f>
        <v>0</v>
      </c>
      <c r="BB420" s="2">
        <f>[2]หน้าผ้า!EI429</f>
        <v>0</v>
      </c>
      <c r="BC420" s="1">
        <f>[2]หน้าผ้า!BZ429</f>
        <v>0</v>
      </c>
      <c r="BD420" s="56">
        <f>[2]หน้าผ้า!CA429</f>
        <v>0</v>
      </c>
    </row>
    <row r="421" spans="1:56" ht="27.75" customHeight="1" x14ac:dyDescent="0.45">
      <c r="A421" s="3">
        <f>[2]หน้าผ้า!C430</f>
        <v>0</v>
      </c>
      <c r="B421" s="14">
        <f>[2]หน้าผ้า!B430</f>
        <v>0</v>
      </c>
      <c r="C421" s="9">
        <f>[2]หน้าผ้า!E430</f>
        <v>0</v>
      </c>
      <c r="D421" s="13">
        <f>[2]หน้าผ้า!F430</f>
        <v>0</v>
      </c>
      <c r="E421" s="9">
        <f>[2]หน้าผ้า!G430</f>
        <v>0</v>
      </c>
      <c r="F421" s="9">
        <f>[2]หน้าผ้า!H430</f>
        <v>0</v>
      </c>
      <c r="G421" s="9">
        <f>[2]หน้าผ้า!I430</f>
        <v>0</v>
      </c>
      <c r="H421" s="9">
        <f>[2]หน้าผ้า!J430</f>
        <v>0</v>
      </c>
      <c r="I421" s="9">
        <f>[2]หน้าผ้า!L430</f>
        <v>0</v>
      </c>
      <c r="J421" s="9">
        <f>[2]หน้าผ้า!M430</f>
        <v>0</v>
      </c>
      <c r="K421" s="9">
        <f>[2]หน้าผ้า!N430</f>
        <v>0</v>
      </c>
      <c r="L421" s="9">
        <f>[2]หน้าผ้า!R430</f>
        <v>0</v>
      </c>
      <c r="M421" s="10">
        <f>[2]หน้าผ้า!T430</f>
        <v>0</v>
      </c>
      <c r="N421" s="9">
        <f>[2]หน้าผ้า!U430</f>
        <v>0</v>
      </c>
      <c r="O421" s="9">
        <f>[2]หน้าผ้า!V430</f>
        <v>0</v>
      </c>
      <c r="P421" s="10">
        <f>[2]หน้าผ้า!AB430</f>
        <v>0</v>
      </c>
      <c r="Q421" s="10">
        <f>[2]หน้าผ้า!AC430</f>
        <v>0</v>
      </c>
      <c r="R421" s="10">
        <f>[2]หน้าผ้า!AD430</f>
        <v>0</v>
      </c>
      <c r="S421" s="9">
        <f>[2]หน้าผ้า!Z430</f>
        <v>0</v>
      </c>
      <c r="T421" s="12">
        <f>[2]หน้าผ้า!X430</f>
        <v>0</v>
      </c>
      <c r="U421" s="11">
        <f>[2]หน้าผ้า!AA430</f>
        <v>0</v>
      </c>
      <c r="V421" s="10">
        <f>[2]หน้าผ้า!AJ430</f>
        <v>0</v>
      </c>
      <c r="W421" s="10">
        <f>[2]หน้าผ้า!AL430</f>
        <v>0</v>
      </c>
      <c r="X421" s="10">
        <f>[2]หน้าผ้า!AM430</f>
        <v>0</v>
      </c>
      <c r="Y421" s="10">
        <f>[2]หน้าผ้า!AN430</f>
        <v>0</v>
      </c>
      <c r="Z421" s="9">
        <f>[2]หน้าผ้า!AO430</f>
        <v>0</v>
      </c>
      <c r="AA421" s="8">
        <f>[2]หน้าผ้า!AQ430</f>
        <v>0</v>
      </c>
      <c r="AB421" s="8">
        <f>[2]หน้าผ้า!AR430</f>
        <v>0</v>
      </c>
      <c r="AC421" s="8">
        <f>[2]หน้าผ้า!AS430</f>
        <v>0</v>
      </c>
      <c r="AD421" s="8">
        <f>[2]หน้าผ้า!AT430</f>
        <v>0</v>
      </c>
      <c r="AE421" s="8">
        <f>[2]หน้าผ้า!AU430</f>
        <v>0</v>
      </c>
      <c r="AF421" s="8">
        <f>[2]หน้าผ้า!AI430</f>
        <v>0</v>
      </c>
      <c r="AG421" s="1">
        <f>[3]หน้าผ้า!DC433</f>
        <v>0</v>
      </c>
      <c r="AH421" s="1">
        <f>[2]หน้าผ้า!DL430</f>
        <v>0</v>
      </c>
      <c r="AI421" s="1">
        <f>[2]หน้าผ้า!DM430</f>
        <v>0</v>
      </c>
      <c r="AJ421" s="3">
        <f>[2]หน้าผ้า!DN430</f>
        <v>0</v>
      </c>
      <c r="AK421" s="3">
        <f>[2]หน้าผ้า!DQ430</f>
        <v>0</v>
      </c>
      <c r="AL421" s="3">
        <f>[2]หน้าผ้า!DR430</f>
        <v>0</v>
      </c>
      <c r="AM421" s="3">
        <f>[2]หน้าผ้า!DS430</f>
        <v>0</v>
      </c>
      <c r="AN421" s="3">
        <f>[2]หน้าผ้า!DT430</f>
        <v>0</v>
      </c>
      <c r="AO421" s="3">
        <f>[2]หน้าผ้า!DU430</f>
        <v>0</v>
      </c>
      <c r="AP421" s="3">
        <f>[2]หน้าผ้า!DP430</f>
        <v>0</v>
      </c>
      <c r="AQ421" s="3">
        <f>[2]หน้าผ้า!DW430</f>
        <v>0</v>
      </c>
      <c r="AR421" s="3">
        <f>[2]หน้าผ้า!DX430</f>
        <v>0</v>
      </c>
      <c r="AS421" s="3">
        <f>[2]หน้าผ้า!DY430</f>
        <v>0</v>
      </c>
      <c r="AT421" s="3">
        <f>[2]หน้าผ้า!DZ430</f>
        <v>0</v>
      </c>
      <c r="AU421" s="3">
        <f>[2]หน้าผ้า!EA430</f>
        <v>0</v>
      </c>
      <c r="AV421" s="1">
        <f>[2]หน้าผ้า!EB430</f>
        <v>0</v>
      </c>
      <c r="AW421" s="2">
        <f>[2]หน้าผ้า!EC430</f>
        <v>0</v>
      </c>
      <c r="AX421" s="2">
        <f>[2]หน้าผ้า!ED430</f>
        <v>0</v>
      </c>
      <c r="AY421" s="2">
        <f>[2]หน้าผ้า!AG430</f>
        <v>0</v>
      </c>
      <c r="AZ421" s="2">
        <f>[2]หน้าผ้า!EG430</f>
        <v>0</v>
      </c>
      <c r="BA421" s="2">
        <f>[2]หน้าผ้า!EH430</f>
        <v>0</v>
      </c>
      <c r="BB421" s="2">
        <f>[2]หน้าผ้า!EI430</f>
        <v>0</v>
      </c>
      <c r="BC421" s="1">
        <f>[2]หน้าผ้า!BZ430</f>
        <v>0</v>
      </c>
      <c r="BD421" s="56">
        <f>[2]หน้าผ้า!CA430</f>
        <v>0</v>
      </c>
    </row>
    <row r="422" spans="1:56" ht="27.75" customHeight="1" x14ac:dyDescent="0.45">
      <c r="A422" s="3">
        <f>[2]หน้าผ้า!C431</f>
        <v>0</v>
      </c>
      <c r="B422" s="14">
        <f>[2]หน้าผ้า!B431</f>
        <v>0</v>
      </c>
      <c r="C422" s="9">
        <f>[2]หน้าผ้า!E431</f>
        <v>0</v>
      </c>
      <c r="D422" s="13">
        <f>[2]หน้าผ้า!F431</f>
        <v>0</v>
      </c>
      <c r="E422" s="9">
        <f>[2]หน้าผ้า!G431</f>
        <v>0</v>
      </c>
      <c r="F422" s="9">
        <f>[2]หน้าผ้า!H431</f>
        <v>0</v>
      </c>
      <c r="G422" s="9">
        <f>[2]หน้าผ้า!I431</f>
        <v>0</v>
      </c>
      <c r="H422" s="9">
        <f>[2]หน้าผ้า!J431</f>
        <v>0</v>
      </c>
      <c r="I422" s="9">
        <f>[2]หน้าผ้า!L431</f>
        <v>0</v>
      </c>
      <c r="J422" s="9">
        <f>[2]หน้าผ้า!M431</f>
        <v>0</v>
      </c>
      <c r="K422" s="9">
        <f>[2]หน้าผ้า!N431</f>
        <v>0</v>
      </c>
      <c r="L422" s="9">
        <f>[2]หน้าผ้า!R431</f>
        <v>0</v>
      </c>
      <c r="M422" s="10">
        <f>[2]หน้าผ้า!T431</f>
        <v>0</v>
      </c>
      <c r="N422" s="9">
        <f>[2]หน้าผ้า!U431</f>
        <v>0</v>
      </c>
      <c r="O422" s="9">
        <f>[2]หน้าผ้า!V431</f>
        <v>0</v>
      </c>
      <c r="P422" s="10">
        <f>[2]หน้าผ้า!AB431</f>
        <v>0</v>
      </c>
      <c r="Q422" s="10">
        <f>[2]หน้าผ้า!AC431</f>
        <v>0</v>
      </c>
      <c r="R422" s="10">
        <f>[2]หน้าผ้า!AD431</f>
        <v>0</v>
      </c>
      <c r="S422" s="9">
        <f>[2]หน้าผ้า!Z431</f>
        <v>0</v>
      </c>
      <c r="T422" s="12">
        <f>[2]หน้าผ้า!X431</f>
        <v>0</v>
      </c>
      <c r="U422" s="11">
        <f>[2]หน้าผ้า!AA431</f>
        <v>0</v>
      </c>
      <c r="V422" s="10">
        <f>[2]หน้าผ้า!AJ431</f>
        <v>0</v>
      </c>
      <c r="W422" s="10">
        <f>[2]หน้าผ้า!AL431</f>
        <v>0</v>
      </c>
      <c r="X422" s="10">
        <f>[2]หน้าผ้า!AM431</f>
        <v>0</v>
      </c>
      <c r="Y422" s="10">
        <f>[2]หน้าผ้า!AN431</f>
        <v>0</v>
      </c>
      <c r="Z422" s="9">
        <f>[2]หน้าผ้า!AO431</f>
        <v>0</v>
      </c>
      <c r="AA422" s="8">
        <f>[2]หน้าผ้า!AQ431</f>
        <v>0</v>
      </c>
      <c r="AB422" s="8">
        <f>[2]หน้าผ้า!AR431</f>
        <v>0</v>
      </c>
      <c r="AC422" s="8">
        <f>[2]หน้าผ้า!AS431</f>
        <v>0</v>
      </c>
      <c r="AD422" s="8">
        <f>[2]หน้าผ้า!AT431</f>
        <v>0</v>
      </c>
      <c r="AE422" s="8">
        <f>[2]หน้าผ้า!AU431</f>
        <v>0</v>
      </c>
      <c r="AF422" s="8">
        <f>[2]หน้าผ้า!AI431</f>
        <v>0</v>
      </c>
      <c r="AG422" s="1">
        <f>[3]หน้าผ้า!DC434</f>
        <v>0</v>
      </c>
      <c r="AH422" s="1">
        <f>[2]หน้าผ้า!DL431</f>
        <v>0</v>
      </c>
      <c r="AI422" s="1">
        <f>[2]หน้าผ้า!DM431</f>
        <v>0</v>
      </c>
      <c r="AJ422" s="3">
        <f>[2]หน้าผ้า!DN431</f>
        <v>0</v>
      </c>
      <c r="AK422" s="3">
        <f>[2]หน้าผ้า!DQ431</f>
        <v>0</v>
      </c>
      <c r="AL422" s="3">
        <f>[2]หน้าผ้า!DR431</f>
        <v>0</v>
      </c>
      <c r="AM422" s="3">
        <f>[2]หน้าผ้า!DS431</f>
        <v>0</v>
      </c>
      <c r="AN422" s="3">
        <f>[2]หน้าผ้า!DT431</f>
        <v>0</v>
      </c>
      <c r="AO422" s="3">
        <f>[2]หน้าผ้า!DU431</f>
        <v>0</v>
      </c>
      <c r="AP422" s="3">
        <f>[2]หน้าผ้า!DP431</f>
        <v>0</v>
      </c>
      <c r="AQ422" s="3">
        <f>[2]หน้าผ้า!DW431</f>
        <v>0</v>
      </c>
      <c r="AR422" s="3">
        <f>[2]หน้าผ้า!DX431</f>
        <v>0</v>
      </c>
      <c r="AS422" s="3">
        <f>[2]หน้าผ้า!DY431</f>
        <v>0</v>
      </c>
      <c r="AT422" s="3">
        <f>[2]หน้าผ้า!DZ431</f>
        <v>0</v>
      </c>
      <c r="AU422" s="3">
        <f>[2]หน้าผ้า!EA431</f>
        <v>0</v>
      </c>
      <c r="AV422" s="1">
        <f>[2]หน้าผ้า!EB431</f>
        <v>0</v>
      </c>
      <c r="AW422" s="2">
        <f>[2]หน้าผ้า!EC431</f>
        <v>0</v>
      </c>
      <c r="AX422" s="2">
        <f>[2]หน้าผ้า!ED431</f>
        <v>0</v>
      </c>
      <c r="AY422" s="2">
        <f>[2]หน้าผ้า!AG431</f>
        <v>0</v>
      </c>
      <c r="AZ422" s="2">
        <f>[2]หน้าผ้า!EG431</f>
        <v>0</v>
      </c>
      <c r="BA422" s="2">
        <f>[2]หน้าผ้า!EH431</f>
        <v>0</v>
      </c>
      <c r="BB422" s="2">
        <f>[2]หน้าผ้า!EI431</f>
        <v>0</v>
      </c>
      <c r="BC422" s="1">
        <f>[2]หน้าผ้า!BZ431</f>
        <v>0</v>
      </c>
      <c r="BD422" s="56">
        <f>[2]หน้าผ้า!CA431</f>
        <v>0</v>
      </c>
    </row>
    <row r="423" spans="1:56" ht="27.75" customHeight="1" x14ac:dyDescent="0.45">
      <c r="A423" s="3">
        <f>[2]หน้าผ้า!C432</f>
        <v>0</v>
      </c>
      <c r="B423" s="14">
        <f>[2]หน้าผ้า!B432</f>
        <v>0</v>
      </c>
      <c r="C423" s="9">
        <f>[2]หน้าผ้า!E432</f>
        <v>0</v>
      </c>
      <c r="D423" s="13">
        <f>[2]หน้าผ้า!F432</f>
        <v>0</v>
      </c>
      <c r="E423" s="9">
        <f>[2]หน้าผ้า!G432</f>
        <v>0</v>
      </c>
      <c r="F423" s="9">
        <f>[2]หน้าผ้า!H432</f>
        <v>0</v>
      </c>
      <c r="G423" s="9">
        <f>[2]หน้าผ้า!I432</f>
        <v>0</v>
      </c>
      <c r="H423" s="9">
        <f>[2]หน้าผ้า!J432</f>
        <v>0</v>
      </c>
      <c r="I423" s="9">
        <f>[2]หน้าผ้า!L432</f>
        <v>0</v>
      </c>
      <c r="J423" s="9">
        <f>[2]หน้าผ้า!M432</f>
        <v>0</v>
      </c>
      <c r="K423" s="9">
        <f>[2]หน้าผ้า!N432</f>
        <v>0</v>
      </c>
      <c r="L423" s="9">
        <f>[2]หน้าผ้า!R432</f>
        <v>0</v>
      </c>
      <c r="M423" s="10">
        <f>[2]หน้าผ้า!T432</f>
        <v>0</v>
      </c>
      <c r="N423" s="9">
        <f>[2]หน้าผ้า!U432</f>
        <v>0</v>
      </c>
      <c r="O423" s="9">
        <f>[2]หน้าผ้า!V432</f>
        <v>0</v>
      </c>
      <c r="P423" s="10">
        <f>[2]หน้าผ้า!AB432</f>
        <v>0</v>
      </c>
      <c r="Q423" s="10">
        <f>[2]หน้าผ้า!AC432</f>
        <v>0</v>
      </c>
      <c r="R423" s="10">
        <f>[2]หน้าผ้า!AD432</f>
        <v>0</v>
      </c>
      <c r="S423" s="9">
        <f>[2]หน้าผ้า!Z432</f>
        <v>0</v>
      </c>
      <c r="T423" s="12">
        <f>[2]หน้าผ้า!X432</f>
        <v>0</v>
      </c>
      <c r="U423" s="11">
        <f>[2]หน้าผ้า!AA432</f>
        <v>0</v>
      </c>
      <c r="V423" s="10">
        <f>[2]หน้าผ้า!AJ432</f>
        <v>0</v>
      </c>
      <c r="W423" s="10">
        <f>[2]หน้าผ้า!AL432</f>
        <v>0</v>
      </c>
      <c r="X423" s="10">
        <f>[2]หน้าผ้า!AM432</f>
        <v>0</v>
      </c>
      <c r="Y423" s="10">
        <f>[2]หน้าผ้า!AN432</f>
        <v>0</v>
      </c>
      <c r="Z423" s="9">
        <f>[2]หน้าผ้า!AO432</f>
        <v>0</v>
      </c>
      <c r="AA423" s="8">
        <f>[2]หน้าผ้า!AQ432</f>
        <v>0</v>
      </c>
      <c r="AB423" s="8">
        <f>[2]หน้าผ้า!AR432</f>
        <v>0</v>
      </c>
      <c r="AC423" s="8">
        <f>[2]หน้าผ้า!AS432</f>
        <v>0</v>
      </c>
      <c r="AD423" s="8">
        <f>[2]หน้าผ้า!AT432</f>
        <v>0</v>
      </c>
      <c r="AE423" s="8">
        <f>[2]หน้าผ้า!AU432</f>
        <v>0</v>
      </c>
      <c r="AF423" s="8">
        <f>[2]หน้าผ้า!AI432</f>
        <v>0</v>
      </c>
      <c r="AG423" s="1">
        <f>[3]หน้าผ้า!DC435</f>
        <v>0</v>
      </c>
      <c r="AH423" s="1">
        <f>[2]หน้าผ้า!DL432</f>
        <v>0</v>
      </c>
      <c r="AI423" s="1">
        <f>[2]หน้าผ้า!DM432</f>
        <v>0</v>
      </c>
      <c r="AJ423" s="3">
        <f>[2]หน้าผ้า!DN432</f>
        <v>0</v>
      </c>
      <c r="AK423" s="3">
        <f>[2]หน้าผ้า!DQ432</f>
        <v>0</v>
      </c>
      <c r="AL423" s="3">
        <f>[2]หน้าผ้า!DR432</f>
        <v>0</v>
      </c>
      <c r="AM423" s="3">
        <f>[2]หน้าผ้า!DS432</f>
        <v>0</v>
      </c>
      <c r="AN423" s="3">
        <f>[2]หน้าผ้า!DT432</f>
        <v>0</v>
      </c>
      <c r="AO423" s="3">
        <f>[2]หน้าผ้า!DU432</f>
        <v>0</v>
      </c>
      <c r="AP423" s="3">
        <f>[2]หน้าผ้า!DP432</f>
        <v>0</v>
      </c>
      <c r="AQ423" s="3">
        <f>[2]หน้าผ้า!DW432</f>
        <v>0</v>
      </c>
      <c r="AR423" s="3">
        <f>[2]หน้าผ้า!DX432</f>
        <v>0</v>
      </c>
      <c r="AS423" s="3">
        <f>[2]หน้าผ้า!DY432</f>
        <v>0</v>
      </c>
      <c r="AT423" s="3">
        <f>[2]หน้าผ้า!DZ432</f>
        <v>0</v>
      </c>
      <c r="AU423" s="3">
        <f>[2]หน้าผ้า!EA432</f>
        <v>0</v>
      </c>
      <c r="AV423" s="1">
        <f>[2]หน้าผ้า!EB432</f>
        <v>0</v>
      </c>
      <c r="AW423" s="2">
        <f>[2]หน้าผ้า!EC432</f>
        <v>0</v>
      </c>
      <c r="AX423" s="2">
        <f>[2]หน้าผ้า!ED432</f>
        <v>0</v>
      </c>
      <c r="AY423" s="2">
        <f>[2]หน้าผ้า!AG432</f>
        <v>0</v>
      </c>
      <c r="AZ423" s="2">
        <f>[2]หน้าผ้า!EG432</f>
        <v>0</v>
      </c>
      <c r="BA423" s="2">
        <f>[2]หน้าผ้า!EH432</f>
        <v>0</v>
      </c>
      <c r="BB423" s="2">
        <f>[2]หน้าผ้า!EI432</f>
        <v>0</v>
      </c>
      <c r="BC423" s="1">
        <f>[2]หน้าผ้า!BZ432</f>
        <v>0</v>
      </c>
      <c r="BD423" s="56">
        <f>[2]หน้าผ้า!CA432</f>
        <v>0</v>
      </c>
    </row>
    <row r="424" spans="1:56" ht="27.75" customHeight="1" x14ac:dyDescent="0.45">
      <c r="A424" s="3">
        <f>[2]หน้าผ้า!C433</f>
        <v>0</v>
      </c>
      <c r="B424" s="14">
        <f>[2]หน้าผ้า!B433</f>
        <v>0</v>
      </c>
      <c r="C424" s="9">
        <f>[2]หน้าผ้า!E433</f>
        <v>0</v>
      </c>
      <c r="D424" s="13">
        <f>[2]หน้าผ้า!F433</f>
        <v>0</v>
      </c>
      <c r="E424" s="9">
        <f>[2]หน้าผ้า!G433</f>
        <v>0</v>
      </c>
      <c r="F424" s="9">
        <f>[2]หน้าผ้า!H433</f>
        <v>0</v>
      </c>
      <c r="G424" s="9">
        <f>[2]หน้าผ้า!I433</f>
        <v>0</v>
      </c>
      <c r="H424" s="9">
        <f>[2]หน้าผ้า!J433</f>
        <v>0</v>
      </c>
      <c r="I424" s="9">
        <f>[2]หน้าผ้า!L433</f>
        <v>0</v>
      </c>
      <c r="J424" s="9">
        <f>[2]หน้าผ้า!M433</f>
        <v>0</v>
      </c>
      <c r="K424" s="9">
        <f>[2]หน้าผ้า!N433</f>
        <v>0</v>
      </c>
      <c r="L424" s="9">
        <f>[2]หน้าผ้า!R433</f>
        <v>0</v>
      </c>
      <c r="M424" s="10">
        <f>[2]หน้าผ้า!T433</f>
        <v>0</v>
      </c>
      <c r="N424" s="9">
        <f>[2]หน้าผ้า!U433</f>
        <v>0</v>
      </c>
      <c r="O424" s="9">
        <f>[2]หน้าผ้า!V433</f>
        <v>0</v>
      </c>
      <c r="P424" s="10">
        <f>[2]หน้าผ้า!AB433</f>
        <v>0</v>
      </c>
      <c r="Q424" s="10">
        <f>[2]หน้าผ้า!AC433</f>
        <v>0</v>
      </c>
      <c r="R424" s="10">
        <f>[2]หน้าผ้า!AD433</f>
        <v>0</v>
      </c>
      <c r="S424" s="9">
        <f>[2]หน้าผ้า!Z433</f>
        <v>0</v>
      </c>
      <c r="T424" s="12">
        <f>[2]หน้าผ้า!X433</f>
        <v>0</v>
      </c>
      <c r="U424" s="11">
        <f>[2]หน้าผ้า!AA433</f>
        <v>0</v>
      </c>
      <c r="V424" s="10">
        <f>[2]หน้าผ้า!AJ433</f>
        <v>0</v>
      </c>
      <c r="W424" s="10">
        <f>[2]หน้าผ้า!AL433</f>
        <v>0</v>
      </c>
      <c r="X424" s="10">
        <f>[2]หน้าผ้า!AM433</f>
        <v>0</v>
      </c>
      <c r="Y424" s="10">
        <f>[2]หน้าผ้า!AN433</f>
        <v>0</v>
      </c>
      <c r="Z424" s="9">
        <f>[2]หน้าผ้า!AO433</f>
        <v>0</v>
      </c>
      <c r="AA424" s="8">
        <f>[2]หน้าผ้า!AQ433</f>
        <v>0</v>
      </c>
      <c r="AB424" s="8">
        <f>[2]หน้าผ้า!AR433</f>
        <v>0</v>
      </c>
      <c r="AC424" s="8">
        <f>[2]หน้าผ้า!AS433</f>
        <v>0</v>
      </c>
      <c r="AD424" s="8">
        <f>[2]หน้าผ้า!AT433</f>
        <v>0</v>
      </c>
      <c r="AE424" s="8">
        <f>[2]หน้าผ้า!AU433</f>
        <v>0</v>
      </c>
      <c r="AF424" s="8">
        <f>[2]หน้าผ้า!AI433</f>
        <v>0</v>
      </c>
      <c r="AG424" s="1">
        <f>[3]หน้าผ้า!DC436</f>
        <v>0</v>
      </c>
      <c r="AH424" s="1">
        <f>[2]หน้าผ้า!DL433</f>
        <v>0</v>
      </c>
      <c r="AI424" s="1">
        <f>[2]หน้าผ้า!DM433</f>
        <v>0</v>
      </c>
      <c r="AJ424" s="3">
        <f>[2]หน้าผ้า!DN433</f>
        <v>0</v>
      </c>
      <c r="AK424" s="3">
        <f>[2]หน้าผ้า!DQ433</f>
        <v>0</v>
      </c>
      <c r="AL424" s="3">
        <f>[2]หน้าผ้า!DR433</f>
        <v>0</v>
      </c>
      <c r="AM424" s="3">
        <f>[2]หน้าผ้า!DS433</f>
        <v>0</v>
      </c>
      <c r="AN424" s="3">
        <f>[2]หน้าผ้า!DT433</f>
        <v>0</v>
      </c>
      <c r="AO424" s="3">
        <f>[2]หน้าผ้า!DU433</f>
        <v>0</v>
      </c>
      <c r="AP424" s="3">
        <f>[2]หน้าผ้า!DP433</f>
        <v>0</v>
      </c>
      <c r="AQ424" s="3">
        <f>[2]หน้าผ้า!DW433</f>
        <v>0</v>
      </c>
      <c r="AR424" s="3">
        <f>[2]หน้าผ้า!DX433</f>
        <v>0</v>
      </c>
      <c r="AS424" s="3">
        <f>[2]หน้าผ้า!DY433</f>
        <v>0</v>
      </c>
      <c r="AT424" s="3">
        <f>[2]หน้าผ้า!DZ433</f>
        <v>0</v>
      </c>
      <c r="AU424" s="3">
        <f>[2]หน้าผ้า!EA433</f>
        <v>0</v>
      </c>
      <c r="AV424" s="1">
        <f>[2]หน้าผ้า!EB433</f>
        <v>0</v>
      </c>
      <c r="AW424" s="2">
        <f>[2]หน้าผ้า!EC433</f>
        <v>0</v>
      </c>
      <c r="AX424" s="2">
        <f>[2]หน้าผ้า!ED433</f>
        <v>0</v>
      </c>
      <c r="AY424" s="2">
        <f>[2]หน้าผ้า!AG433</f>
        <v>0</v>
      </c>
      <c r="AZ424" s="2">
        <f>[2]หน้าผ้า!EG433</f>
        <v>0</v>
      </c>
      <c r="BA424" s="2">
        <f>[2]หน้าผ้า!EH433</f>
        <v>0</v>
      </c>
      <c r="BB424" s="2">
        <f>[2]หน้าผ้า!EI433</f>
        <v>0</v>
      </c>
      <c r="BC424" s="1">
        <f>[2]หน้าผ้า!BZ433</f>
        <v>0</v>
      </c>
      <c r="BD424" s="56">
        <f>[2]หน้าผ้า!CA433</f>
        <v>0</v>
      </c>
    </row>
    <row r="425" spans="1:56" ht="27.75" customHeight="1" x14ac:dyDescent="0.45">
      <c r="A425" s="3">
        <f>[2]หน้าผ้า!C434</f>
        <v>0</v>
      </c>
      <c r="B425" s="14">
        <f>[2]หน้าผ้า!B434</f>
        <v>0</v>
      </c>
      <c r="C425" s="9">
        <f>[2]หน้าผ้า!E434</f>
        <v>0</v>
      </c>
      <c r="D425" s="13">
        <f>[2]หน้าผ้า!F434</f>
        <v>0</v>
      </c>
      <c r="E425" s="9">
        <f>[2]หน้าผ้า!G434</f>
        <v>0</v>
      </c>
      <c r="F425" s="9">
        <f>[2]หน้าผ้า!H434</f>
        <v>0</v>
      </c>
      <c r="G425" s="9">
        <f>[2]หน้าผ้า!I434</f>
        <v>0</v>
      </c>
      <c r="H425" s="9">
        <f>[2]หน้าผ้า!J434</f>
        <v>0</v>
      </c>
      <c r="I425" s="9">
        <f>[2]หน้าผ้า!L434</f>
        <v>0</v>
      </c>
      <c r="J425" s="9">
        <f>[2]หน้าผ้า!M434</f>
        <v>0</v>
      </c>
      <c r="K425" s="9">
        <f>[2]หน้าผ้า!N434</f>
        <v>0</v>
      </c>
      <c r="L425" s="9">
        <f>[2]หน้าผ้า!R434</f>
        <v>0</v>
      </c>
      <c r="M425" s="10">
        <f>[2]หน้าผ้า!T434</f>
        <v>0</v>
      </c>
      <c r="N425" s="9">
        <f>[2]หน้าผ้า!U434</f>
        <v>0</v>
      </c>
      <c r="O425" s="9">
        <f>[2]หน้าผ้า!V434</f>
        <v>0</v>
      </c>
      <c r="P425" s="10">
        <f>[2]หน้าผ้า!AB434</f>
        <v>0</v>
      </c>
      <c r="Q425" s="10">
        <f>[2]หน้าผ้า!AC434</f>
        <v>0</v>
      </c>
      <c r="R425" s="10">
        <f>[2]หน้าผ้า!AD434</f>
        <v>0</v>
      </c>
      <c r="S425" s="9">
        <f>[2]หน้าผ้า!Z434</f>
        <v>0</v>
      </c>
      <c r="T425" s="12">
        <f>[2]หน้าผ้า!X434</f>
        <v>0</v>
      </c>
      <c r="U425" s="11">
        <f>[2]หน้าผ้า!AA434</f>
        <v>0</v>
      </c>
      <c r="V425" s="10">
        <f>[2]หน้าผ้า!AJ434</f>
        <v>0</v>
      </c>
      <c r="W425" s="10">
        <f>[2]หน้าผ้า!AL434</f>
        <v>0</v>
      </c>
      <c r="X425" s="10">
        <f>[2]หน้าผ้า!AM434</f>
        <v>0</v>
      </c>
      <c r="Y425" s="10">
        <f>[2]หน้าผ้า!AN434</f>
        <v>0</v>
      </c>
      <c r="Z425" s="9">
        <f>[2]หน้าผ้า!AO434</f>
        <v>0</v>
      </c>
      <c r="AA425" s="8">
        <f>[2]หน้าผ้า!AQ434</f>
        <v>0</v>
      </c>
      <c r="AB425" s="8">
        <f>[2]หน้าผ้า!AR434</f>
        <v>0</v>
      </c>
      <c r="AC425" s="8">
        <f>[2]หน้าผ้า!AS434</f>
        <v>0</v>
      </c>
      <c r="AD425" s="8">
        <f>[2]หน้าผ้า!AT434</f>
        <v>0</v>
      </c>
      <c r="AE425" s="8">
        <f>[2]หน้าผ้า!AU434</f>
        <v>0</v>
      </c>
      <c r="AF425" s="8">
        <f>[2]หน้าผ้า!AI434</f>
        <v>0</v>
      </c>
      <c r="AG425" s="1">
        <f>[3]หน้าผ้า!DC437</f>
        <v>0</v>
      </c>
      <c r="AH425" s="1">
        <f>[2]หน้าผ้า!DL434</f>
        <v>0</v>
      </c>
      <c r="AI425" s="1">
        <f>[2]หน้าผ้า!DM434</f>
        <v>0</v>
      </c>
      <c r="AJ425" s="3">
        <f>[2]หน้าผ้า!DN434</f>
        <v>0</v>
      </c>
      <c r="AK425" s="3">
        <f>[2]หน้าผ้า!DQ434</f>
        <v>0</v>
      </c>
      <c r="AL425" s="3">
        <f>[2]หน้าผ้า!DR434</f>
        <v>0</v>
      </c>
      <c r="AM425" s="3">
        <f>[2]หน้าผ้า!DS434</f>
        <v>0</v>
      </c>
      <c r="AN425" s="3">
        <f>[2]หน้าผ้า!DT434</f>
        <v>0</v>
      </c>
      <c r="AO425" s="3">
        <f>[2]หน้าผ้า!DU434</f>
        <v>0</v>
      </c>
      <c r="AP425" s="3">
        <f>[2]หน้าผ้า!DP434</f>
        <v>0</v>
      </c>
      <c r="AQ425" s="3">
        <f>[2]หน้าผ้า!DW434</f>
        <v>0</v>
      </c>
      <c r="AR425" s="3">
        <f>[2]หน้าผ้า!DX434</f>
        <v>0</v>
      </c>
      <c r="AS425" s="3">
        <f>[2]หน้าผ้า!DY434</f>
        <v>0</v>
      </c>
      <c r="AT425" s="3">
        <f>[2]หน้าผ้า!DZ434</f>
        <v>0</v>
      </c>
      <c r="AU425" s="3">
        <f>[2]หน้าผ้า!EA434</f>
        <v>0</v>
      </c>
      <c r="AV425" s="1">
        <f>[2]หน้าผ้า!EB434</f>
        <v>0</v>
      </c>
      <c r="AW425" s="2">
        <f>[2]หน้าผ้า!EC434</f>
        <v>0</v>
      </c>
      <c r="AX425" s="2">
        <f>[2]หน้าผ้า!ED434</f>
        <v>0</v>
      </c>
      <c r="AY425" s="2">
        <f>[2]หน้าผ้า!AG434</f>
        <v>0</v>
      </c>
      <c r="AZ425" s="2">
        <f>[2]หน้าผ้า!EG434</f>
        <v>0</v>
      </c>
      <c r="BA425" s="2">
        <f>[2]หน้าผ้า!EH434</f>
        <v>0</v>
      </c>
      <c r="BB425" s="2">
        <f>[2]หน้าผ้า!EI434</f>
        <v>0</v>
      </c>
      <c r="BC425" s="1">
        <f>[2]หน้าผ้า!BZ434</f>
        <v>0</v>
      </c>
      <c r="BD425" s="56">
        <f>[2]หน้าผ้า!CA434</f>
        <v>0</v>
      </c>
    </row>
    <row r="426" spans="1:56" ht="27.75" customHeight="1" x14ac:dyDescent="0.45">
      <c r="A426" s="3">
        <f>[2]หน้าผ้า!C435</f>
        <v>0</v>
      </c>
      <c r="B426" s="14">
        <f>[2]หน้าผ้า!B435</f>
        <v>0</v>
      </c>
      <c r="C426" s="9">
        <f>[2]หน้าผ้า!E435</f>
        <v>0</v>
      </c>
      <c r="D426" s="13">
        <f>[2]หน้าผ้า!F435</f>
        <v>0</v>
      </c>
      <c r="E426" s="9">
        <f>[2]หน้าผ้า!G435</f>
        <v>0</v>
      </c>
      <c r="F426" s="9">
        <f>[2]หน้าผ้า!H435</f>
        <v>0</v>
      </c>
      <c r="G426" s="9">
        <f>[2]หน้าผ้า!I435</f>
        <v>0</v>
      </c>
      <c r="H426" s="9">
        <f>[2]หน้าผ้า!J435</f>
        <v>0</v>
      </c>
      <c r="I426" s="9">
        <f>[2]หน้าผ้า!L435</f>
        <v>0</v>
      </c>
      <c r="J426" s="9">
        <f>[2]หน้าผ้า!M435</f>
        <v>0</v>
      </c>
      <c r="K426" s="9">
        <f>[2]หน้าผ้า!N435</f>
        <v>0</v>
      </c>
      <c r="L426" s="9">
        <f>[2]หน้าผ้า!R435</f>
        <v>0</v>
      </c>
      <c r="M426" s="10">
        <f>[2]หน้าผ้า!T435</f>
        <v>0</v>
      </c>
      <c r="N426" s="9">
        <f>[2]หน้าผ้า!U435</f>
        <v>0</v>
      </c>
      <c r="O426" s="9">
        <f>[2]หน้าผ้า!V435</f>
        <v>0</v>
      </c>
      <c r="P426" s="10">
        <f>[2]หน้าผ้า!AB435</f>
        <v>0</v>
      </c>
      <c r="Q426" s="10">
        <f>[2]หน้าผ้า!AC435</f>
        <v>0</v>
      </c>
      <c r="R426" s="10">
        <f>[2]หน้าผ้า!AD435</f>
        <v>0</v>
      </c>
      <c r="S426" s="9">
        <f>[2]หน้าผ้า!Z435</f>
        <v>0</v>
      </c>
      <c r="T426" s="12">
        <f>[2]หน้าผ้า!X435</f>
        <v>0</v>
      </c>
      <c r="U426" s="11">
        <f>[2]หน้าผ้า!AA435</f>
        <v>0</v>
      </c>
      <c r="V426" s="10">
        <f>[2]หน้าผ้า!AJ435</f>
        <v>0</v>
      </c>
      <c r="W426" s="10">
        <f>[2]หน้าผ้า!AL435</f>
        <v>0</v>
      </c>
      <c r="X426" s="10">
        <f>[2]หน้าผ้า!AM435</f>
        <v>0</v>
      </c>
      <c r="Y426" s="10">
        <f>[2]หน้าผ้า!AN435</f>
        <v>0</v>
      </c>
      <c r="Z426" s="9">
        <f>[2]หน้าผ้า!AO435</f>
        <v>0</v>
      </c>
      <c r="AA426" s="8">
        <f>[2]หน้าผ้า!AQ435</f>
        <v>0</v>
      </c>
      <c r="AB426" s="8">
        <f>[2]หน้าผ้า!AR435</f>
        <v>0</v>
      </c>
      <c r="AC426" s="8">
        <f>[2]หน้าผ้า!AS435</f>
        <v>0</v>
      </c>
      <c r="AD426" s="8">
        <f>[2]หน้าผ้า!AT435</f>
        <v>0</v>
      </c>
      <c r="AE426" s="8">
        <f>[2]หน้าผ้า!AU435</f>
        <v>0</v>
      </c>
      <c r="AF426" s="8">
        <f>[2]หน้าผ้า!AI435</f>
        <v>0</v>
      </c>
      <c r="AG426" s="1">
        <f>[3]หน้าผ้า!DC438</f>
        <v>0</v>
      </c>
      <c r="AH426" s="1">
        <f>[2]หน้าผ้า!DL435</f>
        <v>0</v>
      </c>
      <c r="AI426" s="1">
        <f>[2]หน้าผ้า!DM435</f>
        <v>0</v>
      </c>
      <c r="AJ426" s="3">
        <f>[2]หน้าผ้า!DN435</f>
        <v>0</v>
      </c>
      <c r="AK426" s="3">
        <f>[2]หน้าผ้า!DQ435</f>
        <v>0</v>
      </c>
      <c r="AL426" s="3">
        <f>[2]หน้าผ้า!DR435</f>
        <v>0</v>
      </c>
      <c r="AM426" s="3">
        <f>[2]หน้าผ้า!DS435</f>
        <v>0</v>
      </c>
      <c r="AN426" s="3">
        <f>[2]หน้าผ้า!DT435</f>
        <v>0</v>
      </c>
      <c r="AO426" s="3">
        <f>[2]หน้าผ้า!DU435</f>
        <v>0</v>
      </c>
      <c r="AP426" s="3">
        <f>[2]หน้าผ้า!DP435</f>
        <v>0</v>
      </c>
      <c r="AQ426" s="3">
        <f>[2]หน้าผ้า!DW435</f>
        <v>0</v>
      </c>
      <c r="AR426" s="3">
        <f>[2]หน้าผ้า!DX435</f>
        <v>0</v>
      </c>
      <c r="AS426" s="3">
        <f>[2]หน้าผ้า!DY435</f>
        <v>0</v>
      </c>
      <c r="AT426" s="3">
        <f>[2]หน้าผ้า!DZ435</f>
        <v>0</v>
      </c>
      <c r="AU426" s="3">
        <f>[2]หน้าผ้า!EA435</f>
        <v>0</v>
      </c>
      <c r="AV426" s="1">
        <f>[2]หน้าผ้า!EB435</f>
        <v>0</v>
      </c>
      <c r="AW426" s="2">
        <f>[2]หน้าผ้า!EC435</f>
        <v>0</v>
      </c>
      <c r="AX426" s="2">
        <f>[2]หน้าผ้า!ED435</f>
        <v>0</v>
      </c>
      <c r="AY426" s="2">
        <f>[2]หน้าผ้า!AG435</f>
        <v>0</v>
      </c>
      <c r="AZ426" s="2">
        <f>[2]หน้าผ้า!EG435</f>
        <v>0</v>
      </c>
      <c r="BA426" s="2">
        <f>[2]หน้าผ้า!EH435</f>
        <v>0</v>
      </c>
      <c r="BB426" s="2">
        <f>[2]หน้าผ้า!EI435</f>
        <v>0</v>
      </c>
      <c r="BC426" s="1">
        <f>[2]หน้าผ้า!BZ435</f>
        <v>0</v>
      </c>
      <c r="BD426" s="56">
        <f>[2]หน้าผ้า!CA435</f>
        <v>0</v>
      </c>
    </row>
    <row r="427" spans="1:56" ht="27.75" customHeight="1" x14ac:dyDescent="0.45">
      <c r="A427" s="3">
        <f>[2]หน้าผ้า!C436</f>
        <v>0</v>
      </c>
      <c r="B427" s="14">
        <f>[2]หน้าผ้า!B436</f>
        <v>0</v>
      </c>
      <c r="C427" s="9">
        <f>[2]หน้าผ้า!E436</f>
        <v>0</v>
      </c>
      <c r="D427" s="13">
        <f>[2]หน้าผ้า!F436</f>
        <v>0</v>
      </c>
      <c r="E427" s="9">
        <f>[2]หน้าผ้า!G436</f>
        <v>0</v>
      </c>
      <c r="F427" s="9">
        <f>[2]หน้าผ้า!H436</f>
        <v>0</v>
      </c>
      <c r="G427" s="9">
        <f>[2]หน้าผ้า!I436</f>
        <v>0</v>
      </c>
      <c r="H427" s="9">
        <f>[2]หน้าผ้า!J436</f>
        <v>0</v>
      </c>
      <c r="I427" s="9">
        <f>[2]หน้าผ้า!L436</f>
        <v>0</v>
      </c>
      <c r="J427" s="9">
        <f>[2]หน้าผ้า!M436</f>
        <v>0</v>
      </c>
      <c r="K427" s="9">
        <f>[2]หน้าผ้า!N436</f>
        <v>0</v>
      </c>
      <c r="L427" s="9">
        <f>[2]หน้าผ้า!R436</f>
        <v>0</v>
      </c>
      <c r="M427" s="10">
        <f>[2]หน้าผ้า!T436</f>
        <v>0</v>
      </c>
      <c r="N427" s="9">
        <f>[2]หน้าผ้า!U436</f>
        <v>0</v>
      </c>
      <c r="O427" s="9">
        <f>[2]หน้าผ้า!V436</f>
        <v>0</v>
      </c>
      <c r="P427" s="10">
        <f>[2]หน้าผ้า!AB436</f>
        <v>0</v>
      </c>
      <c r="Q427" s="10">
        <f>[2]หน้าผ้า!AC436</f>
        <v>0</v>
      </c>
      <c r="R427" s="10">
        <f>[2]หน้าผ้า!AD436</f>
        <v>0</v>
      </c>
      <c r="S427" s="9">
        <f>[2]หน้าผ้า!Z436</f>
        <v>0</v>
      </c>
      <c r="T427" s="12">
        <f>[2]หน้าผ้า!X436</f>
        <v>0</v>
      </c>
      <c r="U427" s="11">
        <f>[2]หน้าผ้า!AA436</f>
        <v>0</v>
      </c>
      <c r="V427" s="10">
        <f>[2]หน้าผ้า!AJ436</f>
        <v>0</v>
      </c>
      <c r="W427" s="10">
        <f>[2]หน้าผ้า!AL436</f>
        <v>0</v>
      </c>
      <c r="X427" s="10">
        <f>[2]หน้าผ้า!AM436</f>
        <v>0</v>
      </c>
      <c r="Y427" s="10">
        <f>[2]หน้าผ้า!AN436</f>
        <v>0</v>
      </c>
      <c r="Z427" s="9">
        <f>[2]หน้าผ้า!AO436</f>
        <v>0</v>
      </c>
      <c r="AA427" s="8">
        <f>[2]หน้าผ้า!AQ436</f>
        <v>0</v>
      </c>
      <c r="AB427" s="8">
        <f>[2]หน้าผ้า!AR436</f>
        <v>0</v>
      </c>
      <c r="AC427" s="8">
        <f>[2]หน้าผ้า!AS436</f>
        <v>0</v>
      </c>
      <c r="AD427" s="8">
        <f>[2]หน้าผ้า!AT436</f>
        <v>0</v>
      </c>
      <c r="AE427" s="8">
        <f>[2]หน้าผ้า!AU436</f>
        <v>0</v>
      </c>
      <c r="AF427" s="8">
        <f>[2]หน้าผ้า!AI436</f>
        <v>0</v>
      </c>
      <c r="AG427" s="1">
        <f>[3]หน้าผ้า!DC439</f>
        <v>0</v>
      </c>
      <c r="AH427" s="1">
        <f>[2]หน้าผ้า!DL436</f>
        <v>0</v>
      </c>
      <c r="AI427" s="1">
        <f>[2]หน้าผ้า!DM436</f>
        <v>0</v>
      </c>
      <c r="AJ427" s="3">
        <f>[2]หน้าผ้า!DN436</f>
        <v>0</v>
      </c>
      <c r="AK427" s="3">
        <f>[2]หน้าผ้า!DQ436</f>
        <v>0</v>
      </c>
      <c r="AL427" s="3">
        <f>[2]หน้าผ้า!DR436</f>
        <v>0</v>
      </c>
      <c r="AM427" s="3">
        <f>[2]หน้าผ้า!DS436</f>
        <v>0</v>
      </c>
      <c r="AN427" s="3">
        <f>[2]หน้าผ้า!DT436</f>
        <v>0</v>
      </c>
      <c r="AO427" s="3">
        <f>[2]หน้าผ้า!DU436</f>
        <v>0</v>
      </c>
      <c r="AP427" s="3">
        <f>[2]หน้าผ้า!DP436</f>
        <v>0</v>
      </c>
      <c r="AQ427" s="3">
        <f>[2]หน้าผ้า!DW436</f>
        <v>0</v>
      </c>
      <c r="AR427" s="3">
        <f>[2]หน้าผ้า!DX436</f>
        <v>0</v>
      </c>
      <c r="AS427" s="3">
        <f>[2]หน้าผ้า!DY436</f>
        <v>0</v>
      </c>
      <c r="AT427" s="3">
        <f>[2]หน้าผ้า!DZ436</f>
        <v>0</v>
      </c>
      <c r="AU427" s="3">
        <f>[2]หน้าผ้า!EA436</f>
        <v>0</v>
      </c>
      <c r="AV427" s="1">
        <f>[2]หน้าผ้า!EB436</f>
        <v>0</v>
      </c>
      <c r="AW427" s="2">
        <f>[2]หน้าผ้า!EC436</f>
        <v>0</v>
      </c>
      <c r="AX427" s="2">
        <f>[2]หน้าผ้า!ED436</f>
        <v>0</v>
      </c>
      <c r="AY427" s="2">
        <f>[2]หน้าผ้า!AG436</f>
        <v>0</v>
      </c>
      <c r="AZ427" s="2">
        <f>[2]หน้าผ้า!EG436</f>
        <v>0</v>
      </c>
      <c r="BA427" s="2">
        <f>[2]หน้าผ้า!EH436</f>
        <v>0</v>
      </c>
      <c r="BB427" s="2">
        <f>[2]หน้าผ้า!EI436</f>
        <v>0</v>
      </c>
      <c r="BC427" s="1">
        <f>[2]หน้าผ้า!BZ436</f>
        <v>0</v>
      </c>
      <c r="BD427" s="56">
        <f>[2]หน้าผ้า!CA436</f>
        <v>0</v>
      </c>
    </row>
    <row r="428" spans="1:56" ht="27.75" customHeight="1" x14ac:dyDescent="0.45">
      <c r="A428" s="3">
        <f>[2]หน้าผ้า!C437</f>
        <v>0</v>
      </c>
      <c r="B428" s="14">
        <f>[2]หน้าผ้า!B437</f>
        <v>0</v>
      </c>
      <c r="C428" s="9">
        <f>[2]หน้าผ้า!E437</f>
        <v>0</v>
      </c>
      <c r="D428" s="13">
        <f>[2]หน้าผ้า!F437</f>
        <v>0</v>
      </c>
      <c r="E428" s="9">
        <f>[2]หน้าผ้า!G437</f>
        <v>0</v>
      </c>
      <c r="F428" s="9">
        <f>[2]หน้าผ้า!H437</f>
        <v>0</v>
      </c>
      <c r="G428" s="9">
        <f>[2]หน้าผ้า!I437</f>
        <v>0</v>
      </c>
      <c r="H428" s="9">
        <f>[2]หน้าผ้า!J437</f>
        <v>0</v>
      </c>
      <c r="I428" s="9">
        <f>[2]หน้าผ้า!L437</f>
        <v>0</v>
      </c>
      <c r="J428" s="9">
        <f>[2]หน้าผ้า!M437</f>
        <v>0</v>
      </c>
      <c r="K428" s="9">
        <f>[2]หน้าผ้า!N437</f>
        <v>0</v>
      </c>
      <c r="L428" s="9">
        <f>[2]หน้าผ้า!R437</f>
        <v>0</v>
      </c>
      <c r="M428" s="10">
        <f>[2]หน้าผ้า!T437</f>
        <v>0</v>
      </c>
      <c r="N428" s="9">
        <f>[2]หน้าผ้า!U437</f>
        <v>0</v>
      </c>
      <c r="O428" s="9">
        <f>[2]หน้าผ้า!V437</f>
        <v>0</v>
      </c>
      <c r="P428" s="10">
        <f>[2]หน้าผ้า!AB437</f>
        <v>0</v>
      </c>
      <c r="Q428" s="10">
        <f>[2]หน้าผ้า!AC437</f>
        <v>0</v>
      </c>
      <c r="R428" s="10">
        <f>[2]หน้าผ้า!AD437</f>
        <v>0</v>
      </c>
      <c r="S428" s="9">
        <f>[2]หน้าผ้า!Z437</f>
        <v>0</v>
      </c>
      <c r="T428" s="12">
        <f>[2]หน้าผ้า!X437</f>
        <v>0</v>
      </c>
      <c r="U428" s="11">
        <f>[2]หน้าผ้า!AA437</f>
        <v>0</v>
      </c>
      <c r="V428" s="10">
        <f>[2]หน้าผ้า!AJ437</f>
        <v>0</v>
      </c>
      <c r="W428" s="10">
        <f>[2]หน้าผ้า!AL437</f>
        <v>0</v>
      </c>
      <c r="X428" s="10">
        <f>[2]หน้าผ้า!AM437</f>
        <v>0</v>
      </c>
      <c r="Y428" s="10">
        <f>[2]หน้าผ้า!AN437</f>
        <v>0</v>
      </c>
      <c r="Z428" s="9">
        <f>[2]หน้าผ้า!AO437</f>
        <v>0</v>
      </c>
      <c r="AA428" s="8">
        <f>[2]หน้าผ้า!AQ437</f>
        <v>0</v>
      </c>
      <c r="AB428" s="8">
        <f>[2]หน้าผ้า!AR437</f>
        <v>0</v>
      </c>
      <c r="AC428" s="8">
        <f>[2]หน้าผ้า!AS437</f>
        <v>0</v>
      </c>
      <c r="AD428" s="8">
        <f>[2]หน้าผ้า!AT437</f>
        <v>0</v>
      </c>
      <c r="AE428" s="8">
        <f>[2]หน้าผ้า!AU437</f>
        <v>0</v>
      </c>
      <c r="AF428" s="8">
        <f>[2]หน้าผ้า!AI437</f>
        <v>0</v>
      </c>
      <c r="AG428" s="1">
        <f>[3]หน้าผ้า!DC440</f>
        <v>0</v>
      </c>
      <c r="AH428" s="1">
        <f>[2]หน้าผ้า!DL437</f>
        <v>0</v>
      </c>
      <c r="AI428" s="1">
        <f>[2]หน้าผ้า!DM437</f>
        <v>0</v>
      </c>
      <c r="AJ428" s="3">
        <f>[2]หน้าผ้า!DN437</f>
        <v>0</v>
      </c>
      <c r="AK428" s="3">
        <f>[2]หน้าผ้า!DQ437</f>
        <v>0</v>
      </c>
      <c r="AL428" s="3">
        <f>[2]หน้าผ้า!DR437</f>
        <v>0</v>
      </c>
      <c r="AM428" s="3">
        <f>[2]หน้าผ้า!DS437</f>
        <v>0</v>
      </c>
      <c r="AN428" s="3">
        <f>[2]หน้าผ้า!DT437</f>
        <v>0</v>
      </c>
      <c r="AO428" s="3">
        <f>[2]หน้าผ้า!DU437</f>
        <v>0</v>
      </c>
      <c r="AP428" s="3">
        <f>[2]หน้าผ้า!DP437</f>
        <v>0</v>
      </c>
      <c r="AQ428" s="3">
        <f>[2]หน้าผ้า!DW437</f>
        <v>0</v>
      </c>
      <c r="AR428" s="3">
        <f>[2]หน้าผ้า!DX437</f>
        <v>0</v>
      </c>
      <c r="AS428" s="3">
        <f>[2]หน้าผ้า!DY437</f>
        <v>0</v>
      </c>
      <c r="AT428" s="3">
        <f>[2]หน้าผ้า!DZ437</f>
        <v>0</v>
      </c>
      <c r="AU428" s="3">
        <f>[2]หน้าผ้า!EA437</f>
        <v>0</v>
      </c>
      <c r="AV428" s="1">
        <f>[2]หน้าผ้า!EB437</f>
        <v>0</v>
      </c>
      <c r="AW428" s="2">
        <f>[2]หน้าผ้า!EC437</f>
        <v>0</v>
      </c>
      <c r="AX428" s="2">
        <f>[2]หน้าผ้า!ED437</f>
        <v>0</v>
      </c>
      <c r="AY428" s="2">
        <f>[2]หน้าผ้า!AG437</f>
        <v>0</v>
      </c>
      <c r="AZ428" s="2">
        <f>[2]หน้าผ้า!EG437</f>
        <v>0</v>
      </c>
      <c r="BA428" s="2">
        <f>[2]หน้าผ้า!EH437</f>
        <v>0</v>
      </c>
      <c r="BB428" s="2">
        <f>[2]หน้าผ้า!EI437</f>
        <v>0</v>
      </c>
      <c r="BC428" s="1">
        <f>[2]หน้าผ้า!BZ437</f>
        <v>0</v>
      </c>
      <c r="BD428" s="56">
        <f>[2]หน้าผ้า!CA437</f>
        <v>0</v>
      </c>
    </row>
    <row r="429" spans="1:56" ht="27.75" customHeight="1" x14ac:dyDescent="0.45">
      <c r="A429" s="3">
        <f>[2]หน้าผ้า!C438</f>
        <v>0</v>
      </c>
      <c r="B429" s="14">
        <f>[2]หน้าผ้า!B438</f>
        <v>0</v>
      </c>
      <c r="C429" s="9">
        <f>[2]หน้าผ้า!E438</f>
        <v>0</v>
      </c>
      <c r="D429" s="13">
        <f>[2]หน้าผ้า!F438</f>
        <v>0</v>
      </c>
      <c r="E429" s="9">
        <f>[2]หน้าผ้า!G438</f>
        <v>0</v>
      </c>
      <c r="F429" s="9">
        <f>[2]หน้าผ้า!H438</f>
        <v>0</v>
      </c>
      <c r="G429" s="9">
        <f>[2]หน้าผ้า!I438</f>
        <v>0</v>
      </c>
      <c r="H429" s="9">
        <f>[2]หน้าผ้า!J438</f>
        <v>0</v>
      </c>
      <c r="I429" s="9">
        <f>[2]หน้าผ้า!L438</f>
        <v>0</v>
      </c>
      <c r="J429" s="9">
        <f>[2]หน้าผ้า!M438</f>
        <v>0</v>
      </c>
      <c r="K429" s="9">
        <f>[2]หน้าผ้า!N438</f>
        <v>0</v>
      </c>
      <c r="L429" s="9">
        <f>[2]หน้าผ้า!R438</f>
        <v>0</v>
      </c>
      <c r="M429" s="10">
        <f>[2]หน้าผ้า!T438</f>
        <v>0</v>
      </c>
      <c r="N429" s="9">
        <f>[2]หน้าผ้า!U438</f>
        <v>0</v>
      </c>
      <c r="O429" s="9">
        <f>[2]หน้าผ้า!V438</f>
        <v>0</v>
      </c>
      <c r="P429" s="10">
        <f>[2]หน้าผ้า!AB438</f>
        <v>0</v>
      </c>
      <c r="Q429" s="10">
        <f>[2]หน้าผ้า!AC438</f>
        <v>0</v>
      </c>
      <c r="R429" s="10">
        <f>[2]หน้าผ้า!AD438</f>
        <v>0</v>
      </c>
      <c r="S429" s="9">
        <f>[2]หน้าผ้า!Z438</f>
        <v>0</v>
      </c>
      <c r="T429" s="12">
        <f>[2]หน้าผ้า!X438</f>
        <v>0</v>
      </c>
      <c r="U429" s="11">
        <f>[2]หน้าผ้า!AA438</f>
        <v>0</v>
      </c>
      <c r="V429" s="10">
        <f>[2]หน้าผ้า!AJ438</f>
        <v>0</v>
      </c>
      <c r="W429" s="10">
        <f>[2]หน้าผ้า!AL438</f>
        <v>0</v>
      </c>
      <c r="X429" s="10">
        <f>[2]หน้าผ้า!AM438</f>
        <v>0</v>
      </c>
      <c r="Y429" s="10">
        <f>[2]หน้าผ้า!AN438</f>
        <v>0</v>
      </c>
      <c r="Z429" s="9">
        <f>[2]หน้าผ้า!AO438</f>
        <v>0</v>
      </c>
      <c r="AA429" s="8">
        <f>[2]หน้าผ้า!AQ438</f>
        <v>0</v>
      </c>
      <c r="AB429" s="8">
        <f>[2]หน้าผ้า!AR438</f>
        <v>0</v>
      </c>
      <c r="AC429" s="8">
        <f>[2]หน้าผ้า!AS438</f>
        <v>0</v>
      </c>
      <c r="AD429" s="8">
        <f>[2]หน้าผ้า!AT438</f>
        <v>0</v>
      </c>
      <c r="AE429" s="8">
        <f>[2]หน้าผ้า!AU438</f>
        <v>0</v>
      </c>
      <c r="AF429" s="8">
        <f>[2]หน้าผ้า!AI438</f>
        <v>0</v>
      </c>
      <c r="AG429" s="1">
        <f>[3]หน้าผ้า!DC441</f>
        <v>0</v>
      </c>
      <c r="AH429" s="1">
        <f>[2]หน้าผ้า!DL438</f>
        <v>0</v>
      </c>
      <c r="AI429" s="1">
        <f>[2]หน้าผ้า!DM438</f>
        <v>0</v>
      </c>
      <c r="AJ429" s="3">
        <f>[2]หน้าผ้า!DN438</f>
        <v>0</v>
      </c>
      <c r="AK429" s="3">
        <f>[2]หน้าผ้า!DQ438</f>
        <v>0</v>
      </c>
      <c r="AL429" s="3">
        <f>[2]หน้าผ้า!DR438</f>
        <v>0</v>
      </c>
      <c r="AM429" s="3">
        <f>[2]หน้าผ้า!DS438</f>
        <v>0</v>
      </c>
      <c r="AN429" s="3">
        <f>[2]หน้าผ้า!DT438</f>
        <v>0</v>
      </c>
      <c r="AO429" s="3">
        <f>[2]หน้าผ้า!DU438</f>
        <v>0</v>
      </c>
      <c r="AP429" s="3">
        <f>[2]หน้าผ้า!DP438</f>
        <v>0</v>
      </c>
      <c r="AQ429" s="3">
        <f>[2]หน้าผ้า!DW438</f>
        <v>0</v>
      </c>
      <c r="AR429" s="3">
        <f>[2]หน้าผ้า!DX438</f>
        <v>0</v>
      </c>
      <c r="AS429" s="3">
        <f>[2]หน้าผ้า!DY438</f>
        <v>0</v>
      </c>
      <c r="AT429" s="3">
        <f>[2]หน้าผ้า!DZ438</f>
        <v>0</v>
      </c>
      <c r="AU429" s="3">
        <f>[2]หน้าผ้า!EA438</f>
        <v>0</v>
      </c>
      <c r="AV429" s="1">
        <f>[2]หน้าผ้า!EB438</f>
        <v>0</v>
      </c>
      <c r="AW429" s="2">
        <f>[2]หน้าผ้า!EC438</f>
        <v>0</v>
      </c>
      <c r="AX429" s="2">
        <f>[2]หน้าผ้า!ED438</f>
        <v>0</v>
      </c>
      <c r="AY429" s="2">
        <f>[2]หน้าผ้า!AG438</f>
        <v>0</v>
      </c>
      <c r="AZ429" s="2">
        <f>[2]หน้าผ้า!EG438</f>
        <v>0</v>
      </c>
      <c r="BA429" s="2">
        <f>[2]หน้าผ้า!EH438</f>
        <v>0</v>
      </c>
      <c r="BB429" s="2">
        <f>[2]หน้าผ้า!EI438</f>
        <v>0</v>
      </c>
      <c r="BC429" s="1">
        <f>[2]หน้าผ้า!BZ438</f>
        <v>0</v>
      </c>
      <c r="BD429" s="56">
        <f>[2]หน้าผ้า!CA438</f>
        <v>0</v>
      </c>
    </row>
    <row r="430" spans="1:56" ht="27.75" customHeight="1" x14ac:dyDescent="0.45">
      <c r="A430" s="3">
        <f>[2]หน้าผ้า!C439</f>
        <v>0</v>
      </c>
      <c r="B430" s="14">
        <f>[2]หน้าผ้า!B439</f>
        <v>0</v>
      </c>
      <c r="C430" s="9">
        <f>[2]หน้าผ้า!E439</f>
        <v>0</v>
      </c>
      <c r="D430" s="13">
        <f>[2]หน้าผ้า!F439</f>
        <v>0</v>
      </c>
      <c r="E430" s="9">
        <f>[2]หน้าผ้า!G439</f>
        <v>0</v>
      </c>
      <c r="F430" s="9">
        <f>[2]หน้าผ้า!H439</f>
        <v>0</v>
      </c>
      <c r="G430" s="9">
        <f>[2]หน้าผ้า!I439</f>
        <v>0</v>
      </c>
      <c r="H430" s="9">
        <f>[2]หน้าผ้า!J439</f>
        <v>0</v>
      </c>
      <c r="I430" s="9">
        <f>[2]หน้าผ้า!L439</f>
        <v>0</v>
      </c>
      <c r="J430" s="9">
        <f>[2]หน้าผ้า!M439</f>
        <v>0</v>
      </c>
      <c r="K430" s="9">
        <f>[2]หน้าผ้า!N439</f>
        <v>0</v>
      </c>
      <c r="L430" s="9">
        <f>[2]หน้าผ้า!R439</f>
        <v>0</v>
      </c>
      <c r="M430" s="10">
        <f>[2]หน้าผ้า!T439</f>
        <v>0</v>
      </c>
      <c r="N430" s="9">
        <f>[2]หน้าผ้า!U439</f>
        <v>0</v>
      </c>
      <c r="O430" s="9">
        <f>[2]หน้าผ้า!V439</f>
        <v>0</v>
      </c>
      <c r="P430" s="10">
        <f>[2]หน้าผ้า!AB439</f>
        <v>0</v>
      </c>
      <c r="Q430" s="10">
        <f>[2]หน้าผ้า!AC439</f>
        <v>0</v>
      </c>
      <c r="R430" s="10">
        <f>[2]หน้าผ้า!AD439</f>
        <v>0</v>
      </c>
      <c r="S430" s="9">
        <f>[2]หน้าผ้า!Z439</f>
        <v>0</v>
      </c>
      <c r="T430" s="12">
        <f>[2]หน้าผ้า!X439</f>
        <v>0</v>
      </c>
      <c r="U430" s="11">
        <f>[2]หน้าผ้า!AA439</f>
        <v>0</v>
      </c>
      <c r="V430" s="10">
        <f>[2]หน้าผ้า!AJ439</f>
        <v>0</v>
      </c>
      <c r="W430" s="10">
        <f>[2]หน้าผ้า!AL439</f>
        <v>0</v>
      </c>
      <c r="X430" s="10">
        <f>[2]หน้าผ้า!AM439</f>
        <v>0</v>
      </c>
      <c r="Y430" s="10">
        <f>[2]หน้าผ้า!AN439</f>
        <v>0</v>
      </c>
      <c r="Z430" s="9">
        <f>[2]หน้าผ้า!AO439</f>
        <v>0</v>
      </c>
      <c r="AA430" s="8">
        <f>[2]หน้าผ้า!AQ439</f>
        <v>0</v>
      </c>
      <c r="AB430" s="8">
        <f>[2]หน้าผ้า!AR439</f>
        <v>0</v>
      </c>
      <c r="AC430" s="8">
        <f>[2]หน้าผ้า!AS439</f>
        <v>0</v>
      </c>
      <c r="AD430" s="8">
        <f>[2]หน้าผ้า!AT439</f>
        <v>0</v>
      </c>
      <c r="AE430" s="8">
        <f>[2]หน้าผ้า!AU439</f>
        <v>0</v>
      </c>
      <c r="AF430" s="8">
        <f>[2]หน้าผ้า!AI439</f>
        <v>0</v>
      </c>
      <c r="AG430" s="1">
        <f>[3]หน้าผ้า!DC442</f>
        <v>0</v>
      </c>
      <c r="AH430" s="1">
        <f>[2]หน้าผ้า!DL439</f>
        <v>0</v>
      </c>
      <c r="AI430" s="1">
        <f>[2]หน้าผ้า!DM439</f>
        <v>0</v>
      </c>
      <c r="AJ430" s="3">
        <f>[2]หน้าผ้า!DN439</f>
        <v>0</v>
      </c>
      <c r="AK430" s="3">
        <f>[2]หน้าผ้า!DQ439</f>
        <v>0</v>
      </c>
      <c r="AL430" s="3">
        <f>[2]หน้าผ้า!DR439</f>
        <v>0</v>
      </c>
      <c r="AM430" s="3">
        <f>[2]หน้าผ้า!DS439</f>
        <v>0</v>
      </c>
      <c r="AN430" s="3">
        <f>[2]หน้าผ้า!DT439</f>
        <v>0</v>
      </c>
      <c r="AO430" s="3">
        <f>[2]หน้าผ้า!DU439</f>
        <v>0</v>
      </c>
      <c r="AP430" s="3">
        <f>[2]หน้าผ้า!DP439</f>
        <v>0</v>
      </c>
      <c r="AQ430" s="3">
        <f>[2]หน้าผ้า!DW439</f>
        <v>0</v>
      </c>
      <c r="AR430" s="3">
        <f>[2]หน้าผ้า!DX439</f>
        <v>0</v>
      </c>
      <c r="AS430" s="3">
        <f>[2]หน้าผ้า!DY439</f>
        <v>0</v>
      </c>
      <c r="AT430" s="3">
        <f>[2]หน้าผ้า!DZ439</f>
        <v>0</v>
      </c>
      <c r="AU430" s="3">
        <f>[2]หน้าผ้า!EA439</f>
        <v>0</v>
      </c>
      <c r="AV430" s="1">
        <f>[2]หน้าผ้า!EB439</f>
        <v>0</v>
      </c>
      <c r="AW430" s="2">
        <f>[2]หน้าผ้า!EC439</f>
        <v>0</v>
      </c>
      <c r="AX430" s="2">
        <f>[2]หน้าผ้า!ED439</f>
        <v>0</v>
      </c>
      <c r="AY430" s="2">
        <f>[2]หน้าผ้า!AG439</f>
        <v>0</v>
      </c>
      <c r="AZ430" s="2">
        <f>[2]หน้าผ้า!EG439</f>
        <v>0</v>
      </c>
      <c r="BA430" s="2">
        <f>[2]หน้าผ้า!EH439</f>
        <v>0</v>
      </c>
      <c r="BB430" s="2">
        <f>[2]หน้าผ้า!EI439</f>
        <v>0</v>
      </c>
      <c r="BC430" s="1">
        <f>[2]หน้าผ้า!BZ439</f>
        <v>0</v>
      </c>
      <c r="BD430" s="56">
        <f>[2]หน้าผ้า!CA439</f>
        <v>0</v>
      </c>
    </row>
    <row r="431" spans="1:56" ht="27.75" customHeight="1" x14ac:dyDescent="0.45">
      <c r="A431" s="3">
        <f>[2]หน้าผ้า!C440</f>
        <v>0</v>
      </c>
      <c r="B431" s="14">
        <f>[2]หน้าผ้า!B440</f>
        <v>0</v>
      </c>
      <c r="C431" s="9">
        <f>[2]หน้าผ้า!E440</f>
        <v>0</v>
      </c>
      <c r="D431" s="13">
        <f>[2]หน้าผ้า!F440</f>
        <v>0</v>
      </c>
      <c r="E431" s="9">
        <f>[2]หน้าผ้า!G440</f>
        <v>0</v>
      </c>
      <c r="F431" s="9">
        <f>[2]หน้าผ้า!H440</f>
        <v>0</v>
      </c>
      <c r="G431" s="9">
        <f>[2]หน้าผ้า!I440</f>
        <v>0</v>
      </c>
      <c r="H431" s="9">
        <f>[2]หน้าผ้า!J440</f>
        <v>0</v>
      </c>
      <c r="I431" s="9">
        <f>[2]หน้าผ้า!L440</f>
        <v>0</v>
      </c>
      <c r="J431" s="9">
        <f>[2]หน้าผ้า!M440</f>
        <v>0</v>
      </c>
      <c r="K431" s="9">
        <f>[2]หน้าผ้า!N440</f>
        <v>0</v>
      </c>
      <c r="L431" s="9">
        <f>[2]หน้าผ้า!R440</f>
        <v>0</v>
      </c>
      <c r="M431" s="10">
        <f>[2]หน้าผ้า!T440</f>
        <v>0</v>
      </c>
      <c r="N431" s="9">
        <f>[2]หน้าผ้า!U440</f>
        <v>0</v>
      </c>
      <c r="O431" s="9">
        <f>[2]หน้าผ้า!V440</f>
        <v>0</v>
      </c>
      <c r="P431" s="10">
        <f>[2]หน้าผ้า!AB440</f>
        <v>0</v>
      </c>
      <c r="Q431" s="10">
        <f>[2]หน้าผ้า!AC440</f>
        <v>0</v>
      </c>
      <c r="R431" s="10">
        <f>[2]หน้าผ้า!AD440</f>
        <v>0</v>
      </c>
      <c r="S431" s="9">
        <f>[2]หน้าผ้า!Z440</f>
        <v>0</v>
      </c>
      <c r="T431" s="12">
        <f>[2]หน้าผ้า!X440</f>
        <v>0</v>
      </c>
      <c r="U431" s="11">
        <f>[2]หน้าผ้า!AA440</f>
        <v>0</v>
      </c>
      <c r="V431" s="10">
        <f>[2]หน้าผ้า!AJ440</f>
        <v>0</v>
      </c>
      <c r="W431" s="10">
        <f>[2]หน้าผ้า!AL440</f>
        <v>0</v>
      </c>
      <c r="X431" s="10">
        <f>[2]หน้าผ้า!AM440</f>
        <v>0</v>
      </c>
      <c r="Y431" s="10">
        <f>[2]หน้าผ้า!AN440</f>
        <v>0</v>
      </c>
      <c r="Z431" s="9">
        <f>[2]หน้าผ้า!AO440</f>
        <v>0</v>
      </c>
      <c r="AA431" s="8">
        <f>[2]หน้าผ้า!AQ440</f>
        <v>0</v>
      </c>
      <c r="AB431" s="8">
        <f>[2]หน้าผ้า!AR440</f>
        <v>0</v>
      </c>
      <c r="AC431" s="8">
        <f>[2]หน้าผ้า!AS440</f>
        <v>0</v>
      </c>
      <c r="AD431" s="8">
        <f>[2]หน้าผ้า!AT440</f>
        <v>0</v>
      </c>
      <c r="AE431" s="8">
        <f>[2]หน้าผ้า!AU440</f>
        <v>0</v>
      </c>
      <c r="AF431" s="8">
        <f>[2]หน้าผ้า!AI440</f>
        <v>0</v>
      </c>
      <c r="AG431" s="1">
        <f>[3]หน้าผ้า!DC443</f>
        <v>0</v>
      </c>
      <c r="AH431" s="1">
        <f>[2]หน้าผ้า!DL440</f>
        <v>0</v>
      </c>
      <c r="AI431" s="1">
        <f>[2]หน้าผ้า!DM440</f>
        <v>0</v>
      </c>
      <c r="AJ431" s="3">
        <f>[2]หน้าผ้า!DN440</f>
        <v>0</v>
      </c>
      <c r="AK431" s="3">
        <f>[2]หน้าผ้า!DQ440</f>
        <v>0</v>
      </c>
      <c r="AL431" s="3">
        <f>[2]หน้าผ้า!DR440</f>
        <v>0</v>
      </c>
      <c r="AM431" s="3">
        <f>[2]หน้าผ้า!DS440</f>
        <v>0</v>
      </c>
      <c r="AN431" s="3">
        <f>[2]หน้าผ้า!DT440</f>
        <v>0</v>
      </c>
      <c r="AO431" s="3">
        <f>[2]หน้าผ้า!DU440</f>
        <v>0</v>
      </c>
      <c r="AP431" s="3">
        <f>[2]หน้าผ้า!DP440</f>
        <v>0</v>
      </c>
      <c r="AQ431" s="3">
        <f>[2]หน้าผ้า!DW440</f>
        <v>0</v>
      </c>
      <c r="AR431" s="3">
        <f>[2]หน้าผ้า!DX440</f>
        <v>0</v>
      </c>
      <c r="AS431" s="3">
        <f>[2]หน้าผ้า!DY440</f>
        <v>0</v>
      </c>
      <c r="AT431" s="3">
        <f>[2]หน้าผ้า!DZ440</f>
        <v>0</v>
      </c>
      <c r="AU431" s="3">
        <f>[2]หน้าผ้า!EA440</f>
        <v>0</v>
      </c>
      <c r="AV431" s="1">
        <f>[2]หน้าผ้า!EB440</f>
        <v>0</v>
      </c>
      <c r="AW431" s="2">
        <f>[2]หน้าผ้า!EC440</f>
        <v>0</v>
      </c>
      <c r="AX431" s="2">
        <f>[2]หน้าผ้า!ED440</f>
        <v>0</v>
      </c>
      <c r="AY431" s="2">
        <f>[2]หน้าผ้า!AG440</f>
        <v>0</v>
      </c>
      <c r="AZ431" s="2">
        <f>[2]หน้าผ้า!EG440</f>
        <v>0</v>
      </c>
      <c r="BA431" s="2">
        <f>[2]หน้าผ้า!EH440</f>
        <v>0</v>
      </c>
      <c r="BB431" s="2">
        <f>[2]หน้าผ้า!EI440</f>
        <v>0</v>
      </c>
      <c r="BC431" s="1">
        <f>[2]หน้าผ้า!BZ440</f>
        <v>0</v>
      </c>
      <c r="BD431" s="56">
        <f>[2]หน้าผ้า!CA440</f>
        <v>0</v>
      </c>
    </row>
    <row r="432" spans="1:56" ht="27.75" customHeight="1" x14ac:dyDescent="0.45">
      <c r="A432" s="3">
        <f>[2]หน้าผ้า!C441</f>
        <v>0</v>
      </c>
      <c r="B432" s="14">
        <f>[2]หน้าผ้า!B441</f>
        <v>0</v>
      </c>
      <c r="C432" s="9">
        <f>[2]หน้าผ้า!E441</f>
        <v>0</v>
      </c>
      <c r="D432" s="13">
        <f>[2]หน้าผ้า!F441</f>
        <v>0</v>
      </c>
      <c r="E432" s="9">
        <f>[2]หน้าผ้า!G441</f>
        <v>0</v>
      </c>
      <c r="F432" s="9">
        <f>[2]หน้าผ้า!H441</f>
        <v>0</v>
      </c>
      <c r="G432" s="9">
        <f>[2]หน้าผ้า!I441</f>
        <v>0</v>
      </c>
      <c r="H432" s="9">
        <f>[2]หน้าผ้า!J441</f>
        <v>0</v>
      </c>
      <c r="I432" s="9">
        <f>[2]หน้าผ้า!L441</f>
        <v>0</v>
      </c>
      <c r="J432" s="9">
        <f>[2]หน้าผ้า!M441</f>
        <v>0</v>
      </c>
      <c r="K432" s="9">
        <f>[2]หน้าผ้า!N441</f>
        <v>0</v>
      </c>
      <c r="L432" s="9">
        <f>[2]หน้าผ้า!R441</f>
        <v>0</v>
      </c>
      <c r="M432" s="10">
        <f>[2]หน้าผ้า!T441</f>
        <v>0</v>
      </c>
      <c r="N432" s="9">
        <f>[2]หน้าผ้า!U441</f>
        <v>0</v>
      </c>
      <c r="O432" s="9">
        <f>[2]หน้าผ้า!V441</f>
        <v>0</v>
      </c>
      <c r="P432" s="10">
        <f>[2]หน้าผ้า!AB441</f>
        <v>0</v>
      </c>
      <c r="Q432" s="10">
        <f>[2]หน้าผ้า!AC441</f>
        <v>0</v>
      </c>
      <c r="R432" s="10">
        <f>[2]หน้าผ้า!AD441</f>
        <v>0</v>
      </c>
      <c r="S432" s="9">
        <f>[2]หน้าผ้า!Z441</f>
        <v>0</v>
      </c>
      <c r="T432" s="12">
        <f>[2]หน้าผ้า!X441</f>
        <v>0</v>
      </c>
      <c r="U432" s="11">
        <f>[2]หน้าผ้า!AA441</f>
        <v>0</v>
      </c>
      <c r="V432" s="10">
        <f>[2]หน้าผ้า!AJ441</f>
        <v>0</v>
      </c>
      <c r="W432" s="10">
        <f>[2]หน้าผ้า!AL441</f>
        <v>0</v>
      </c>
      <c r="X432" s="10">
        <f>[2]หน้าผ้า!AM441</f>
        <v>0</v>
      </c>
      <c r="Y432" s="10">
        <f>[2]หน้าผ้า!AN441</f>
        <v>0</v>
      </c>
      <c r="Z432" s="9">
        <f>[2]หน้าผ้า!AO441</f>
        <v>0</v>
      </c>
      <c r="AA432" s="8">
        <f>[2]หน้าผ้า!AQ441</f>
        <v>0</v>
      </c>
      <c r="AB432" s="8">
        <f>[2]หน้าผ้า!AR441</f>
        <v>0</v>
      </c>
      <c r="AC432" s="8">
        <f>[2]หน้าผ้า!AS441</f>
        <v>0</v>
      </c>
      <c r="AD432" s="8">
        <f>[2]หน้าผ้า!AT441</f>
        <v>0</v>
      </c>
      <c r="AE432" s="8">
        <f>[2]หน้าผ้า!AU441</f>
        <v>0</v>
      </c>
      <c r="AF432" s="8">
        <f>[2]หน้าผ้า!AI441</f>
        <v>0</v>
      </c>
      <c r="AG432" s="1">
        <f>[3]หน้าผ้า!DC444</f>
        <v>0</v>
      </c>
      <c r="AH432" s="1">
        <f>[2]หน้าผ้า!DL441</f>
        <v>0</v>
      </c>
      <c r="AI432" s="1">
        <f>[2]หน้าผ้า!DM441</f>
        <v>0</v>
      </c>
      <c r="AJ432" s="3">
        <f>[2]หน้าผ้า!DN441</f>
        <v>0</v>
      </c>
      <c r="AK432" s="3">
        <f>[2]หน้าผ้า!DQ441</f>
        <v>0</v>
      </c>
      <c r="AL432" s="3">
        <f>[2]หน้าผ้า!DR441</f>
        <v>0</v>
      </c>
      <c r="AM432" s="3">
        <f>[2]หน้าผ้า!DS441</f>
        <v>0</v>
      </c>
      <c r="AN432" s="3">
        <f>[2]หน้าผ้า!DT441</f>
        <v>0</v>
      </c>
      <c r="AO432" s="3">
        <f>[2]หน้าผ้า!DU441</f>
        <v>0</v>
      </c>
      <c r="AP432" s="3">
        <f>[2]หน้าผ้า!DP441</f>
        <v>0</v>
      </c>
      <c r="AQ432" s="3">
        <f>[2]หน้าผ้า!DW441</f>
        <v>0</v>
      </c>
      <c r="AR432" s="3">
        <f>[2]หน้าผ้า!DX441</f>
        <v>0</v>
      </c>
      <c r="AS432" s="3">
        <f>[2]หน้าผ้า!DY441</f>
        <v>0</v>
      </c>
      <c r="AT432" s="3">
        <f>[2]หน้าผ้า!DZ441</f>
        <v>0</v>
      </c>
      <c r="AU432" s="3">
        <f>[2]หน้าผ้า!EA441</f>
        <v>0</v>
      </c>
      <c r="AV432" s="1">
        <f>[2]หน้าผ้า!EB441</f>
        <v>0</v>
      </c>
      <c r="AW432" s="2">
        <f>[2]หน้าผ้า!EC441</f>
        <v>0</v>
      </c>
      <c r="AX432" s="2">
        <f>[2]หน้าผ้า!ED441</f>
        <v>0</v>
      </c>
      <c r="AY432" s="2">
        <f>[2]หน้าผ้า!AG441</f>
        <v>0</v>
      </c>
      <c r="AZ432" s="2">
        <f>[2]หน้าผ้า!EG441</f>
        <v>0</v>
      </c>
      <c r="BA432" s="2">
        <f>[2]หน้าผ้า!EH441</f>
        <v>0</v>
      </c>
      <c r="BB432" s="2">
        <f>[2]หน้าผ้า!EI441</f>
        <v>0</v>
      </c>
      <c r="BC432" s="1">
        <f>[2]หน้าผ้า!BZ441</f>
        <v>0</v>
      </c>
      <c r="BD432" s="56">
        <f>[2]หน้าผ้า!CA441</f>
        <v>0</v>
      </c>
    </row>
    <row r="433" spans="1:56" ht="27.75" customHeight="1" x14ac:dyDescent="0.45">
      <c r="A433" s="3">
        <f>[2]หน้าผ้า!C442</f>
        <v>0</v>
      </c>
      <c r="B433" s="14">
        <f>[2]หน้าผ้า!B442</f>
        <v>0</v>
      </c>
      <c r="C433" s="9">
        <f>[2]หน้าผ้า!E442</f>
        <v>0</v>
      </c>
      <c r="D433" s="13">
        <f>[2]หน้าผ้า!F442</f>
        <v>0</v>
      </c>
      <c r="E433" s="9">
        <f>[2]หน้าผ้า!G442</f>
        <v>0</v>
      </c>
      <c r="F433" s="9">
        <f>[2]หน้าผ้า!H442</f>
        <v>0</v>
      </c>
      <c r="G433" s="9">
        <f>[2]หน้าผ้า!I442</f>
        <v>0</v>
      </c>
      <c r="H433" s="9">
        <f>[2]หน้าผ้า!J442</f>
        <v>0</v>
      </c>
      <c r="I433" s="9">
        <f>[2]หน้าผ้า!L442</f>
        <v>0</v>
      </c>
      <c r="J433" s="9">
        <f>[2]หน้าผ้า!M442</f>
        <v>0</v>
      </c>
      <c r="K433" s="9">
        <f>[2]หน้าผ้า!N442</f>
        <v>0</v>
      </c>
      <c r="L433" s="9">
        <f>[2]หน้าผ้า!R442</f>
        <v>0</v>
      </c>
      <c r="M433" s="10">
        <f>[2]หน้าผ้า!T442</f>
        <v>0</v>
      </c>
      <c r="N433" s="9">
        <f>[2]หน้าผ้า!U442</f>
        <v>0</v>
      </c>
      <c r="O433" s="9">
        <f>[2]หน้าผ้า!V442</f>
        <v>0</v>
      </c>
      <c r="P433" s="10">
        <f>[2]หน้าผ้า!AB442</f>
        <v>0</v>
      </c>
      <c r="Q433" s="10">
        <f>[2]หน้าผ้า!AC442</f>
        <v>0</v>
      </c>
      <c r="R433" s="10">
        <f>[2]หน้าผ้า!AD442</f>
        <v>0</v>
      </c>
      <c r="S433" s="9">
        <f>[2]หน้าผ้า!Z442</f>
        <v>0</v>
      </c>
      <c r="T433" s="12">
        <f>[2]หน้าผ้า!X442</f>
        <v>0</v>
      </c>
      <c r="U433" s="11">
        <f>[2]หน้าผ้า!AA442</f>
        <v>0</v>
      </c>
      <c r="V433" s="10">
        <f>[2]หน้าผ้า!AJ442</f>
        <v>0</v>
      </c>
      <c r="W433" s="10">
        <f>[2]หน้าผ้า!AL442</f>
        <v>0</v>
      </c>
      <c r="X433" s="10">
        <f>[2]หน้าผ้า!AM442</f>
        <v>0</v>
      </c>
      <c r="Y433" s="10">
        <f>[2]หน้าผ้า!AN442</f>
        <v>0</v>
      </c>
      <c r="Z433" s="9">
        <f>[2]หน้าผ้า!AO442</f>
        <v>0</v>
      </c>
      <c r="AA433" s="8">
        <f>[2]หน้าผ้า!AQ442</f>
        <v>0</v>
      </c>
      <c r="AB433" s="8">
        <f>[2]หน้าผ้า!AR442</f>
        <v>0</v>
      </c>
      <c r="AC433" s="8">
        <f>[2]หน้าผ้า!AS442</f>
        <v>0</v>
      </c>
      <c r="AD433" s="8">
        <f>[2]หน้าผ้า!AT442</f>
        <v>0</v>
      </c>
      <c r="AE433" s="8">
        <f>[2]หน้าผ้า!AU442</f>
        <v>0</v>
      </c>
      <c r="AF433" s="8">
        <f>[2]หน้าผ้า!AI442</f>
        <v>0</v>
      </c>
      <c r="AG433" s="1">
        <f>[3]หน้าผ้า!DC445</f>
        <v>0</v>
      </c>
      <c r="AH433" s="1">
        <f>[2]หน้าผ้า!DL442</f>
        <v>0</v>
      </c>
      <c r="AI433" s="1">
        <f>[2]หน้าผ้า!DM442</f>
        <v>0</v>
      </c>
      <c r="AJ433" s="3">
        <f>[2]หน้าผ้า!DN442</f>
        <v>0</v>
      </c>
      <c r="AK433" s="3">
        <f>[2]หน้าผ้า!DQ442</f>
        <v>0</v>
      </c>
      <c r="AL433" s="3">
        <f>[2]หน้าผ้า!DR442</f>
        <v>0</v>
      </c>
      <c r="AM433" s="3">
        <f>[2]หน้าผ้า!DS442</f>
        <v>0</v>
      </c>
      <c r="AN433" s="3">
        <f>[2]หน้าผ้า!DT442</f>
        <v>0</v>
      </c>
      <c r="AO433" s="3">
        <f>[2]หน้าผ้า!DU442</f>
        <v>0</v>
      </c>
      <c r="AP433" s="3">
        <f>[2]หน้าผ้า!DP442</f>
        <v>0</v>
      </c>
      <c r="AQ433" s="3">
        <f>[2]หน้าผ้า!DW442</f>
        <v>0</v>
      </c>
      <c r="AR433" s="3">
        <f>[2]หน้าผ้า!DX442</f>
        <v>0</v>
      </c>
      <c r="AS433" s="3">
        <f>[2]หน้าผ้า!DY442</f>
        <v>0</v>
      </c>
      <c r="AT433" s="3">
        <f>[2]หน้าผ้า!DZ442</f>
        <v>0</v>
      </c>
      <c r="AU433" s="3">
        <f>[2]หน้าผ้า!EA442</f>
        <v>0</v>
      </c>
      <c r="AV433" s="1">
        <f>[2]หน้าผ้า!EB442</f>
        <v>0</v>
      </c>
      <c r="AW433" s="2">
        <f>[2]หน้าผ้า!EC442</f>
        <v>0</v>
      </c>
      <c r="AX433" s="2">
        <f>[2]หน้าผ้า!ED442</f>
        <v>0</v>
      </c>
      <c r="AY433" s="2">
        <f>[2]หน้าผ้า!AG442</f>
        <v>0</v>
      </c>
      <c r="AZ433" s="2">
        <f>[2]หน้าผ้า!EG442</f>
        <v>0</v>
      </c>
      <c r="BA433" s="2">
        <f>[2]หน้าผ้า!EH442</f>
        <v>0</v>
      </c>
      <c r="BB433" s="2">
        <f>[2]หน้าผ้า!EI442</f>
        <v>0</v>
      </c>
      <c r="BC433" s="1">
        <f>[2]หน้าผ้า!BZ442</f>
        <v>0</v>
      </c>
      <c r="BD433" s="56">
        <f>[2]หน้าผ้า!CA442</f>
        <v>0</v>
      </c>
    </row>
    <row r="434" spans="1:56" ht="27.75" customHeight="1" x14ac:dyDescent="0.45">
      <c r="A434" s="3">
        <f>[2]หน้าผ้า!C443</f>
        <v>0</v>
      </c>
      <c r="B434" s="14">
        <f>[2]หน้าผ้า!B443</f>
        <v>0</v>
      </c>
      <c r="C434" s="9">
        <f>[2]หน้าผ้า!E443</f>
        <v>0</v>
      </c>
      <c r="D434" s="13">
        <f>[2]หน้าผ้า!F443</f>
        <v>0</v>
      </c>
      <c r="E434" s="9">
        <f>[2]หน้าผ้า!G443</f>
        <v>0</v>
      </c>
      <c r="F434" s="9">
        <f>[2]หน้าผ้า!H443</f>
        <v>0</v>
      </c>
      <c r="G434" s="9">
        <f>[2]หน้าผ้า!I443</f>
        <v>0</v>
      </c>
      <c r="H434" s="9">
        <f>[2]หน้าผ้า!J443</f>
        <v>0</v>
      </c>
      <c r="I434" s="9">
        <f>[2]หน้าผ้า!L443</f>
        <v>0</v>
      </c>
      <c r="J434" s="9">
        <f>[2]หน้าผ้า!M443</f>
        <v>0</v>
      </c>
      <c r="K434" s="9">
        <f>[2]หน้าผ้า!N443</f>
        <v>0</v>
      </c>
      <c r="L434" s="9">
        <f>[2]หน้าผ้า!R443</f>
        <v>0</v>
      </c>
      <c r="M434" s="10">
        <f>[2]หน้าผ้า!T443</f>
        <v>0</v>
      </c>
      <c r="N434" s="9">
        <f>[2]หน้าผ้า!U443</f>
        <v>0</v>
      </c>
      <c r="O434" s="9">
        <f>[2]หน้าผ้า!V443</f>
        <v>0</v>
      </c>
      <c r="P434" s="10">
        <f>[2]หน้าผ้า!AB443</f>
        <v>0</v>
      </c>
      <c r="Q434" s="10">
        <f>[2]หน้าผ้า!AC443</f>
        <v>0</v>
      </c>
      <c r="R434" s="10">
        <f>[2]หน้าผ้า!AD443</f>
        <v>0</v>
      </c>
      <c r="S434" s="9">
        <f>[2]หน้าผ้า!Z443</f>
        <v>0</v>
      </c>
      <c r="T434" s="12">
        <f>[2]หน้าผ้า!X443</f>
        <v>0</v>
      </c>
      <c r="U434" s="11">
        <f>[2]หน้าผ้า!AA443</f>
        <v>0</v>
      </c>
      <c r="V434" s="10">
        <f>[2]หน้าผ้า!AJ443</f>
        <v>0</v>
      </c>
      <c r="W434" s="10">
        <f>[2]หน้าผ้า!AL443</f>
        <v>0</v>
      </c>
      <c r="X434" s="10">
        <f>[2]หน้าผ้า!AM443</f>
        <v>0</v>
      </c>
      <c r="Y434" s="10">
        <f>[2]หน้าผ้า!AN443</f>
        <v>0</v>
      </c>
      <c r="Z434" s="9">
        <f>[2]หน้าผ้า!AO443</f>
        <v>0</v>
      </c>
      <c r="AA434" s="8">
        <f>[2]หน้าผ้า!AQ443</f>
        <v>0</v>
      </c>
      <c r="AB434" s="8">
        <f>[2]หน้าผ้า!AR443</f>
        <v>0</v>
      </c>
      <c r="AC434" s="8">
        <f>[2]หน้าผ้า!AS443</f>
        <v>0</v>
      </c>
      <c r="AD434" s="8">
        <f>[2]หน้าผ้า!AT443</f>
        <v>0</v>
      </c>
      <c r="AE434" s="8">
        <f>[2]หน้าผ้า!AU443</f>
        <v>0</v>
      </c>
      <c r="AF434" s="8">
        <f>[2]หน้าผ้า!AI443</f>
        <v>0</v>
      </c>
      <c r="AG434" s="1">
        <f>[3]หน้าผ้า!DC446</f>
        <v>0</v>
      </c>
      <c r="AH434" s="1">
        <f>[2]หน้าผ้า!DL443</f>
        <v>0</v>
      </c>
      <c r="AI434" s="1">
        <f>[2]หน้าผ้า!DM443</f>
        <v>0</v>
      </c>
      <c r="AJ434" s="3">
        <f>[2]หน้าผ้า!DN443</f>
        <v>0</v>
      </c>
      <c r="AK434" s="3">
        <f>[2]หน้าผ้า!DQ443</f>
        <v>0</v>
      </c>
      <c r="AL434" s="3">
        <f>[2]หน้าผ้า!DR443</f>
        <v>0</v>
      </c>
      <c r="AM434" s="3">
        <f>[2]หน้าผ้า!DS443</f>
        <v>0</v>
      </c>
      <c r="AN434" s="3">
        <f>[2]หน้าผ้า!DT443</f>
        <v>0</v>
      </c>
      <c r="AO434" s="3">
        <f>[2]หน้าผ้า!DU443</f>
        <v>0</v>
      </c>
      <c r="AP434" s="3">
        <f>[2]หน้าผ้า!DP443</f>
        <v>0</v>
      </c>
      <c r="AQ434" s="3">
        <f>[2]หน้าผ้า!DW443</f>
        <v>0</v>
      </c>
      <c r="AR434" s="3">
        <f>[2]หน้าผ้า!DX443</f>
        <v>0</v>
      </c>
      <c r="AS434" s="3">
        <f>[2]หน้าผ้า!DY443</f>
        <v>0</v>
      </c>
      <c r="AT434" s="3">
        <f>[2]หน้าผ้า!DZ443</f>
        <v>0</v>
      </c>
      <c r="AU434" s="3">
        <f>[2]หน้าผ้า!EA443</f>
        <v>0</v>
      </c>
      <c r="AV434" s="1">
        <f>[2]หน้าผ้า!EB443</f>
        <v>0</v>
      </c>
      <c r="AW434" s="2">
        <f>[2]หน้าผ้า!EC443</f>
        <v>0</v>
      </c>
      <c r="AX434" s="2">
        <f>[2]หน้าผ้า!ED443</f>
        <v>0</v>
      </c>
      <c r="AY434" s="2">
        <f>[2]หน้าผ้า!AG443</f>
        <v>0</v>
      </c>
      <c r="AZ434" s="2">
        <f>[2]หน้าผ้า!EG443</f>
        <v>0</v>
      </c>
      <c r="BA434" s="2">
        <f>[2]หน้าผ้า!EH443</f>
        <v>0</v>
      </c>
      <c r="BB434" s="2">
        <f>[2]หน้าผ้า!EI443</f>
        <v>0</v>
      </c>
      <c r="BC434" s="1">
        <f>[2]หน้าผ้า!BZ443</f>
        <v>0</v>
      </c>
      <c r="BD434" s="56">
        <f>[2]หน้าผ้า!CA443</f>
        <v>0</v>
      </c>
    </row>
    <row r="435" spans="1:56" ht="27.75" customHeight="1" x14ac:dyDescent="0.45">
      <c r="A435" s="3">
        <f>[2]หน้าผ้า!C444</f>
        <v>0</v>
      </c>
      <c r="B435" s="14">
        <f>[2]หน้าผ้า!B444</f>
        <v>0</v>
      </c>
      <c r="C435" s="9">
        <f>[2]หน้าผ้า!E444</f>
        <v>0</v>
      </c>
      <c r="D435" s="13">
        <f>[2]หน้าผ้า!F444</f>
        <v>0</v>
      </c>
      <c r="E435" s="9">
        <f>[2]หน้าผ้า!G444</f>
        <v>0</v>
      </c>
      <c r="F435" s="9">
        <f>[2]หน้าผ้า!H444</f>
        <v>0</v>
      </c>
      <c r="G435" s="9">
        <f>[2]หน้าผ้า!I444</f>
        <v>0</v>
      </c>
      <c r="H435" s="9">
        <f>[2]หน้าผ้า!J444</f>
        <v>0</v>
      </c>
      <c r="I435" s="9">
        <f>[2]หน้าผ้า!L444</f>
        <v>0</v>
      </c>
      <c r="J435" s="9">
        <f>[2]หน้าผ้า!M444</f>
        <v>0</v>
      </c>
      <c r="K435" s="9">
        <f>[2]หน้าผ้า!N444</f>
        <v>0</v>
      </c>
      <c r="L435" s="9">
        <f>[2]หน้าผ้า!R444</f>
        <v>0</v>
      </c>
      <c r="M435" s="10">
        <f>[2]หน้าผ้า!T444</f>
        <v>0</v>
      </c>
      <c r="N435" s="9">
        <f>[2]หน้าผ้า!U444</f>
        <v>0</v>
      </c>
      <c r="O435" s="9">
        <f>[2]หน้าผ้า!V444</f>
        <v>0</v>
      </c>
      <c r="P435" s="10">
        <f>[2]หน้าผ้า!AB444</f>
        <v>0</v>
      </c>
      <c r="Q435" s="10">
        <f>[2]หน้าผ้า!AC444</f>
        <v>0</v>
      </c>
      <c r="R435" s="10">
        <f>[2]หน้าผ้า!AD444</f>
        <v>0</v>
      </c>
      <c r="S435" s="9">
        <f>[2]หน้าผ้า!Z444</f>
        <v>0</v>
      </c>
      <c r="T435" s="12">
        <f>[2]หน้าผ้า!X444</f>
        <v>0</v>
      </c>
      <c r="U435" s="11">
        <f>[2]หน้าผ้า!AA444</f>
        <v>0</v>
      </c>
      <c r="V435" s="10">
        <f>[2]หน้าผ้า!AJ444</f>
        <v>0</v>
      </c>
      <c r="W435" s="10">
        <f>[2]หน้าผ้า!AL444</f>
        <v>0</v>
      </c>
      <c r="X435" s="10">
        <f>[2]หน้าผ้า!AM444</f>
        <v>0</v>
      </c>
      <c r="Y435" s="10">
        <f>[2]หน้าผ้า!AN444</f>
        <v>0</v>
      </c>
      <c r="Z435" s="9">
        <f>[2]หน้าผ้า!AO444</f>
        <v>0</v>
      </c>
      <c r="AA435" s="8">
        <f>[2]หน้าผ้า!AQ444</f>
        <v>0</v>
      </c>
      <c r="AB435" s="8">
        <f>[2]หน้าผ้า!AR444</f>
        <v>0</v>
      </c>
      <c r="AC435" s="8">
        <f>[2]หน้าผ้า!AS444</f>
        <v>0</v>
      </c>
      <c r="AD435" s="8">
        <f>[2]หน้าผ้า!AT444</f>
        <v>0</v>
      </c>
      <c r="AE435" s="8">
        <f>[2]หน้าผ้า!AU444</f>
        <v>0</v>
      </c>
      <c r="AF435" s="8">
        <f>[2]หน้าผ้า!AI444</f>
        <v>0</v>
      </c>
      <c r="AG435" s="1">
        <f>[3]หน้าผ้า!DC447</f>
        <v>0</v>
      </c>
      <c r="AH435" s="1">
        <f>[2]หน้าผ้า!DL444</f>
        <v>0</v>
      </c>
      <c r="AI435" s="1">
        <f>[2]หน้าผ้า!DM444</f>
        <v>0</v>
      </c>
      <c r="AJ435" s="3">
        <f>[2]หน้าผ้า!DN444</f>
        <v>0</v>
      </c>
      <c r="AK435" s="3">
        <f>[2]หน้าผ้า!DQ444</f>
        <v>0</v>
      </c>
      <c r="AL435" s="3">
        <f>[2]หน้าผ้า!DR444</f>
        <v>0</v>
      </c>
      <c r="AM435" s="3">
        <f>[2]หน้าผ้า!DS444</f>
        <v>0</v>
      </c>
      <c r="AN435" s="3">
        <f>[2]หน้าผ้า!DT444</f>
        <v>0</v>
      </c>
      <c r="AO435" s="3">
        <f>[2]หน้าผ้า!DU444</f>
        <v>0</v>
      </c>
      <c r="AP435" s="3">
        <f>[2]หน้าผ้า!DP444</f>
        <v>0</v>
      </c>
      <c r="AQ435" s="3">
        <f>[2]หน้าผ้า!DW444</f>
        <v>0</v>
      </c>
      <c r="AR435" s="3">
        <f>[2]หน้าผ้า!DX444</f>
        <v>0</v>
      </c>
      <c r="AS435" s="3">
        <f>[2]หน้าผ้า!DY444</f>
        <v>0</v>
      </c>
      <c r="AT435" s="3">
        <f>[2]หน้าผ้า!DZ444</f>
        <v>0</v>
      </c>
      <c r="AU435" s="3">
        <f>[2]หน้าผ้า!EA444</f>
        <v>0</v>
      </c>
      <c r="AV435" s="1">
        <f>[2]หน้าผ้า!EB444</f>
        <v>0</v>
      </c>
      <c r="AW435" s="2">
        <f>[2]หน้าผ้า!EC444</f>
        <v>0</v>
      </c>
      <c r="AX435" s="2">
        <f>[2]หน้าผ้า!ED444</f>
        <v>0</v>
      </c>
      <c r="AY435" s="2">
        <f>[2]หน้าผ้า!AG444</f>
        <v>0</v>
      </c>
      <c r="AZ435" s="2">
        <f>[2]หน้าผ้า!EG444</f>
        <v>0</v>
      </c>
      <c r="BA435" s="2">
        <f>[2]หน้าผ้า!EH444</f>
        <v>0</v>
      </c>
      <c r="BB435" s="2">
        <f>[2]หน้าผ้า!EI444</f>
        <v>0</v>
      </c>
      <c r="BC435" s="1">
        <f>[2]หน้าผ้า!BZ444</f>
        <v>0</v>
      </c>
      <c r="BD435" s="56">
        <f>[2]หน้าผ้า!CA444</f>
        <v>0</v>
      </c>
    </row>
    <row r="436" spans="1:56" ht="27.75" customHeight="1" x14ac:dyDescent="0.45">
      <c r="A436" s="3">
        <f>[2]หน้าผ้า!C445</f>
        <v>0</v>
      </c>
      <c r="B436" s="14">
        <f>[2]หน้าผ้า!B445</f>
        <v>0</v>
      </c>
      <c r="C436" s="9">
        <f>[2]หน้าผ้า!E445</f>
        <v>0</v>
      </c>
      <c r="D436" s="13">
        <f>[2]หน้าผ้า!F445</f>
        <v>0</v>
      </c>
      <c r="E436" s="9">
        <f>[2]หน้าผ้า!G445</f>
        <v>0</v>
      </c>
      <c r="F436" s="9">
        <f>[2]หน้าผ้า!H445</f>
        <v>0</v>
      </c>
      <c r="G436" s="9">
        <f>[2]หน้าผ้า!I445</f>
        <v>0</v>
      </c>
      <c r="H436" s="9">
        <f>[2]หน้าผ้า!J445</f>
        <v>0</v>
      </c>
      <c r="I436" s="9">
        <f>[2]หน้าผ้า!L445</f>
        <v>0</v>
      </c>
      <c r="J436" s="9">
        <f>[2]หน้าผ้า!M445</f>
        <v>0</v>
      </c>
      <c r="K436" s="9">
        <f>[2]หน้าผ้า!N445</f>
        <v>0</v>
      </c>
      <c r="L436" s="9">
        <f>[2]หน้าผ้า!R445</f>
        <v>0</v>
      </c>
      <c r="M436" s="10">
        <f>[2]หน้าผ้า!T445</f>
        <v>0</v>
      </c>
      <c r="N436" s="9">
        <f>[2]หน้าผ้า!U445</f>
        <v>0</v>
      </c>
      <c r="O436" s="9">
        <f>[2]หน้าผ้า!V445</f>
        <v>0</v>
      </c>
      <c r="P436" s="10">
        <f>[2]หน้าผ้า!AB445</f>
        <v>0</v>
      </c>
      <c r="Q436" s="10">
        <f>[2]หน้าผ้า!AC445</f>
        <v>0</v>
      </c>
      <c r="R436" s="10">
        <f>[2]หน้าผ้า!AD445</f>
        <v>0</v>
      </c>
      <c r="S436" s="9">
        <f>[2]หน้าผ้า!Z445</f>
        <v>0</v>
      </c>
      <c r="T436" s="12">
        <f>[2]หน้าผ้า!X445</f>
        <v>0</v>
      </c>
      <c r="U436" s="11">
        <f>[2]หน้าผ้า!AA445</f>
        <v>0</v>
      </c>
      <c r="V436" s="10">
        <f>[2]หน้าผ้า!AJ445</f>
        <v>0</v>
      </c>
      <c r="W436" s="10">
        <f>[2]หน้าผ้า!AL445</f>
        <v>0</v>
      </c>
      <c r="X436" s="10">
        <f>[2]หน้าผ้า!AM445</f>
        <v>0</v>
      </c>
      <c r="Y436" s="10">
        <f>[2]หน้าผ้า!AN445</f>
        <v>0</v>
      </c>
      <c r="Z436" s="9">
        <f>[2]หน้าผ้า!AO445</f>
        <v>0</v>
      </c>
      <c r="AA436" s="8">
        <f>[2]หน้าผ้า!AQ445</f>
        <v>0</v>
      </c>
      <c r="AB436" s="8">
        <f>[2]หน้าผ้า!AR445</f>
        <v>0</v>
      </c>
      <c r="AC436" s="8">
        <f>[2]หน้าผ้า!AS445</f>
        <v>0</v>
      </c>
      <c r="AD436" s="8">
        <f>[2]หน้าผ้า!AT445</f>
        <v>0</v>
      </c>
      <c r="AE436" s="8">
        <f>[2]หน้าผ้า!AU445</f>
        <v>0</v>
      </c>
      <c r="AF436" s="8">
        <f>[2]หน้าผ้า!AI445</f>
        <v>0</v>
      </c>
      <c r="AG436" s="1">
        <f>[3]หน้าผ้า!DC448</f>
        <v>0</v>
      </c>
      <c r="AH436" s="1">
        <f>[2]หน้าผ้า!DL445</f>
        <v>0</v>
      </c>
      <c r="AI436" s="1">
        <f>[2]หน้าผ้า!DM445</f>
        <v>0</v>
      </c>
      <c r="AJ436" s="3">
        <f>[2]หน้าผ้า!DN445</f>
        <v>0</v>
      </c>
      <c r="AK436" s="3">
        <f>[2]หน้าผ้า!DQ445</f>
        <v>0</v>
      </c>
      <c r="AL436" s="3">
        <f>[2]หน้าผ้า!DR445</f>
        <v>0</v>
      </c>
      <c r="AM436" s="3">
        <f>[2]หน้าผ้า!DS445</f>
        <v>0</v>
      </c>
      <c r="AN436" s="3">
        <f>[2]หน้าผ้า!DT445</f>
        <v>0</v>
      </c>
      <c r="AO436" s="3">
        <f>[2]หน้าผ้า!DU445</f>
        <v>0</v>
      </c>
      <c r="AP436" s="3">
        <f>[2]หน้าผ้า!DP445</f>
        <v>0</v>
      </c>
      <c r="AQ436" s="3">
        <f>[2]หน้าผ้า!DW445</f>
        <v>0</v>
      </c>
      <c r="AR436" s="3">
        <f>[2]หน้าผ้า!DX445</f>
        <v>0</v>
      </c>
      <c r="AS436" s="3">
        <f>[2]หน้าผ้า!DY445</f>
        <v>0</v>
      </c>
      <c r="AT436" s="3">
        <f>[2]หน้าผ้า!DZ445</f>
        <v>0</v>
      </c>
      <c r="AU436" s="3">
        <f>[2]หน้าผ้า!EA445</f>
        <v>0</v>
      </c>
      <c r="AV436" s="1">
        <f>[2]หน้าผ้า!EB445</f>
        <v>0</v>
      </c>
      <c r="AW436" s="2">
        <f>[2]หน้าผ้า!EC445</f>
        <v>0</v>
      </c>
      <c r="AX436" s="2">
        <f>[2]หน้าผ้า!ED445</f>
        <v>0</v>
      </c>
      <c r="AY436" s="2">
        <f>[2]หน้าผ้า!AG445</f>
        <v>0</v>
      </c>
      <c r="AZ436" s="2">
        <f>[2]หน้าผ้า!EG445</f>
        <v>0</v>
      </c>
      <c r="BA436" s="2">
        <f>[2]หน้าผ้า!EH445</f>
        <v>0</v>
      </c>
      <c r="BB436" s="2">
        <f>[2]หน้าผ้า!EI445</f>
        <v>0</v>
      </c>
      <c r="BC436" s="1">
        <f>[2]หน้าผ้า!BZ445</f>
        <v>0</v>
      </c>
      <c r="BD436" s="56">
        <f>[2]หน้าผ้า!CA445</f>
        <v>0</v>
      </c>
    </row>
    <row r="437" spans="1:56" ht="27.75" customHeight="1" x14ac:dyDescent="0.45">
      <c r="A437" s="3">
        <f>[2]หน้าผ้า!C446</f>
        <v>0</v>
      </c>
      <c r="B437" s="14">
        <f>[2]หน้าผ้า!B446</f>
        <v>0</v>
      </c>
      <c r="C437" s="9">
        <f>[2]หน้าผ้า!E446</f>
        <v>0</v>
      </c>
      <c r="D437" s="13">
        <f>[2]หน้าผ้า!F446</f>
        <v>0</v>
      </c>
      <c r="E437" s="9">
        <f>[2]หน้าผ้า!G446</f>
        <v>0</v>
      </c>
      <c r="F437" s="9">
        <f>[2]หน้าผ้า!H446</f>
        <v>0</v>
      </c>
      <c r="G437" s="9">
        <f>[2]หน้าผ้า!I446</f>
        <v>0</v>
      </c>
      <c r="H437" s="9">
        <f>[2]หน้าผ้า!J446</f>
        <v>0</v>
      </c>
      <c r="I437" s="9">
        <f>[2]หน้าผ้า!L446</f>
        <v>0</v>
      </c>
      <c r="J437" s="9">
        <f>[2]หน้าผ้า!M446</f>
        <v>0</v>
      </c>
      <c r="K437" s="9">
        <f>[2]หน้าผ้า!N446</f>
        <v>0</v>
      </c>
      <c r="L437" s="9">
        <f>[2]หน้าผ้า!R446</f>
        <v>0</v>
      </c>
      <c r="M437" s="10">
        <f>[2]หน้าผ้า!T446</f>
        <v>0</v>
      </c>
      <c r="N437" s="9">
        <f>[2]หน้าผ้า!U446</f>
        <v>0</v>
      </c>
      <c r="O437" s="9">
        <f>[2]หน้าผ้า!V446</f>
        <v>0</v>
      </c>
      <c r="P437" s="10">
        <f>[2]หน้าผ้า!AB446</f>
        <v>0</v>
      </c>
      <c r="Q437" s="10">
        <f>[2]หน้าผ้า!AC446</f>
        <v>0</v>
      </c>
      <c r="R437" s="10">
        <f>[2]หน้าผ้า!AD446</f>
        <v>0</v>
      </c>
      <c r="S437" s="9">
        <f>[2]หน้าผ้า!Z446</f>
        <v>0</v>
      </c>
      <c r="T437" s="12">
        <f>[2]หน้าผ้า!X446</f>
        <v>0</v>
      </c>
      <c r="U437" s="11">
        <f>[2]หน้าผ้า!AA446</f>
        <v>0</v>
      </c>
      <c r="V437" s="10">
        <f>[2]หน้าผ้า!AJ446</f>
        <v>0</v>
      </c>
      <c r="W437" s="10">
        <f>[2]หน้าผ้า!AL446</f>
        <v>0</v>
      </c>
      <c r="X437" s="10">
        <f>[2]หน้าผ้า!AM446</f>
        <v>0</v>
      </c>
      <c r="Y437" s="10">
        <f>[2]หน้าผ้า!AN446</f>
        <v>0</v>
      </c>
      <c r="Z437" s="9">
        <f>[2]หน้าผ้า!AO446</f>
        <v>0</v>
      </c>
      <c r="AA437" s="8">
        <f>[2]หน้าผ้า!AQ446</f>
        <v>0</v>
      </c>
      <c r="AB437" s="8">
        <f>[2]หน้าผ้า!AR446</f>
        <v>0</v>
      </c>
      <c r="AC437" s="8">
        <f>[2]หน้าผ้า!AS446</f>
        <v>0</v>
      </c>
      <c r="AD437" s="8">
        <f>[2]หน้าผ้า!AT446</f>
        <v>0</v>
      </c>
      <c r="AE437" s="8">
        <f>[2]หน้าผ้า!AU446</f>
        <v>0</v>
      </c>
      <c r="AF437" s="8">
        <f>[2]หน้าผ้า!AI446</f>
        <v>0</v>
      </c>
      <c r="AG437" s="1">
        <f>[3]หน้าผ้า!DC449</f>
        <v>0</v>
      </c>
      <c r="AH437" s="1">
        <f>[2]หน้าผ้า!DL446</f>
        <v>0</v>
      </c>
      <c r="AI437" s="1">
        <f>[2]หน้าผ้า!DM446</f>
        <v>0</v>
      </c>
      <c r="AJ437" s="3">
        <f>[2]หน้าผ้า!DN446</f>
        <v>0</v>
      </c>
      <c r="AK437" s="3">
        <f>[2]หน้าผ้า!DQ446</f>
        <v>0</v>
      </c>
      <c r="AL437" s="3">
        <f>[2]หน้าผ้า!DR446</f>
        <v>0</v>
      </c>
      <c r="AM437" s="3">
        <f>[2]หน้าผ้า!DS446</f>
        <v>0</v>
      </c>
      <c r="AN437" s="3">
        <f>[2]หน้าผ้า!DT446</f>
        <v>0</v>
      </c>
      <c r="AO437" s="3">
        <f>[2]หน้าผ้า!DU446</f>
        <v>0</v>
      </c>
      <c r="AP437" s="3">
        <f>[2]หน้าผ้า!DP446</f>
        <v>0</v>
      </c>
      <c r="AQ437" s="3">
        <f>[2]หน้าผ้า!DW446</f>
        <v>0</v>
      </c>
      <c r="AR437" s="3">
        <f>[2]หน้าผ้า!DX446</f>
        <v>0</v>
      </c>
      <c r="AS437" s="3">
        <f>[2]หน้าผ้า!DY446</f>
        <v>0</v>
      </c>
      <c r="AT437" s="3">
        <f>[2]หน้าผ้า!DZ446</f>
        <v>0</v>
      </c>
      <c r="AU437" s="3">
        <f>[2]หน้าผ้า!EA446</f>
        <v>0</v>
      </c>
      <c r="AV437" s="1">
        <f>[2]หน้าผ้า!EB446</f>
        <v>0</v>
      </c>
      <c r="AW437" s="2">
        <f>[2]หน้าผ้า!EC446</f>
        <v>0</v>
      </c>
      <c r="AX437" s="2">
        <f>[2]หน้าผ้า!ED446</f>
        <v>0</v>
      </c>
      <c r="AY437" s="2">
        <f>[2]หน้าผ้า!AG446</f>
        <v>0</v>
      </c>
      <c r="AZ437" s="2">
        <f>[2]หน้าผ้า!EG446</f>
        <v>0</v>
      </c>
      <c r="BA437" s="2">
        <f>[2]หน้าผ้า!EH446</f>
        <v>0</v>
      </c>
      <c r="BB437" s="2">
        <f>[2]หน้าผ้า!EI446</f>
        <v>0</v>
      </c>
      <c r="BC437" s="1">
        <f>[2]หน้าผ้า!BZ446</f>
        <v>0</v>
      </c>
      <c r="BD437" s="56">
        <f>[2]หน้าผ้า!CA446</f>
        <v>0</v>
      </c>
    </row>
    <row r="438" spans="1:56" ht="27.75" customHeight="1" x14ac:dyDescent="0.45">
      <c r="A438" s="3">
        <f>[2]หน้าผ้า!C447</f>
        <v>0</v>
      </c>
      <c r="B438" s="14">
        <f>[2]หน้าผ้า!B447</f>
        <v>0</v>
      </c>
      <c r="C438" s="9">
        <f>[2]หน้าผ้า!E447</f>
        <v>0</v>
      </c>
      <c r="D438" s="13">
        <f>[2]หน้าผ้า!F447</f>
        <v>0</v>
      </c>
      <c r="E438" s="9">
        <f>[2]หน้าผ้า!G447</f>
        <v>0</v>
      </c>
      <c r="F438" s="9">
        <f>[2]หน้าผ้า!H447</f>
        <v>0</v>
      </c>
      <c r="G438" s="9">
        <f>[2]หน้าผ้า!I447</f>
        <v>0</v>
      </c>
      <c r="H438" s="9">
        <f>[2]หน้าผ้า!J447</f>
        <v>0</v>
      </c>
      <c r="I438" s="9">
        <f>[2]หน้าผ้า!L447</f>
        <v>0</v>
      </c>
      <c r="J438" s="9">
        <f>[2]หน้าผ้า!M447</f>
        <v>0</v>
      </c>
      <c r="K438" s="9">
        <f>[2]หน้าผ้า!N447</f>
        <v>0</v>
      </c>
      <c r="L438" s="9">
        <f>[2]หน้าผ้า!R447</f>
        <v>0</v>
      </c>
      <c r="M438" s="10">
        <f>[2]หน้าผ้า!T447</f>
        <v>0</v>
      </c>
      <c r="N438" s="9">
        <f>[2]หน้าผ้า!U447</f>
        <v>0</v>
      </c>
      <c r="O438" s="9">
        <f>[2]หน้าผ้า!V447</f>
        <v>0</v>
      </c>
      <c r="P438" s="10">
        <f>[2]หน้าผ้า!AB447</f>
        <v>0</v>
      </c>
      <c r="Q438" s="10">
        <f>[2]หน้าผ้า!AC447</f>
        <v>0</v>
      </c>
      <c r="R438" s="10">
        <f>[2]หน้าผ้า!AD447</f>
        <v>0</v>
      </c>
      <c r="S438" s="9">
        <f>[2]หน้าผ้า!Z447</f>
        <v>0</v>
      </c>
      <c r="T438" s="12">
        <f>[2]หน้าผ้า!X447</f>
        <v>0</v>
      </c>
      <c r="U438" s="11">
        <f>[2]หน้าผ้า!AA447</f>
        <v>0</v>
      </c>
      <c r="V438" s="10">
        <f>[2]หน้าผ้า!AJ447</f>
        <v>0</v>
      </c>
      <c r="W438" s="10">
        <f>[2]หน้าผ้า!AL447</f>
        <v>0</v>
      </c>
      <c r="X438" s="10">
        <f>[2]หน้าผ้า!AM447</f>
        <v>0</v>
      </c>
      <c r="Y438" s="10">
        <f>[2]หน้าผ้า!AN447</f>
        <v>0</v>
      </c>
      <c r="Z438" s="9">
        <f>[2]หน้าผ้า!AO447</f>
        <v>0</v>
      </c>
      <c r="AA438" s="8">
        <f>[2]หน้าผ้า!AQ447</f>
        <v>0</v>
      </c>
      <c r="AB438" s="8">
        <f>[2]หน้าผ้า!AR447</f>
        <v>0</v>
      </c>
      <c r="AC438" s="8">
        <f>[2]หน้าผ้า!AS447</f>
        <v>0</v>
      </c>
      <c r="AD438" s="8">
        <f>[2]หน้าผ้า!AT447</f>
        <v>0</v>
      </c>
      <c r="AE438" s="8">
        <f>[2]หน้าผ้า!AU447</f>
        <v>0</v>
      </c>
      <c r="AF438" s="8">
        <f>[2]หน้าผ้า!AI447</f>
        <v>0</v>
      </c>
      <c r="AG438" s="1">
        <f>[3]หน้าผ้า!DC450</f>
        <v>0</v>
      </c>
      <c r="AH438" s="1">
        <f>[2]หน้าผ้า!DL447</f>
        <v>0</v>
      </c>
      <c r="AI438" s="1">
        <f>[2]หน้าผ้า!DM447</f>
        <v>0</v>
      </c>
      <c r="AJ438" s="3">
        <f>[2]หน้าผ้า!DN447</f>
        <v>0</v>
      </c>
      <c r="AK438" s="3">
        <f>[2]หน้าผ้า!DQ447</f>
        <v>0</v>
      </c>
      <c r="AL438" s="3">
        <f>[2]หน้าผ้า!DR447</f>
        <v>0</v>
      </c>
      <c r="AM438" s="3">
        <f>[2]หน้าผ้า!DS447</f>
        <v>0</v>
      </c>
      <c r="AN438" s="3">
        <f>[2]หน้าผ้า!DT447</f>
        <v>0</v>
      </c>
      <c r="AO438" s="3">
        <f>[2]หน้าผ้า!DU447</f>
        <v>0</v>
      </c>
      <c r="AP438" s="3">
        <f>[2]หน้าผ้า!DP447</f>
        <v>0</v>
      </c>
      <c r="AQ438" s="3">
        <f>[2]หน้าผ้า!DW447</f>
        <v>0</v>
      </c>
      <c r="AR438" s="3">
        <f>[2]หน้าผ้า!DX447</f>
        <v>0</v>
      </c>
      <c r="AS438" s="3">
        <f>[2]หน้าผ้า!DY447</f>
        <v>0</v>
      </c>
      <c r="AT438" s="3">
        <f>[2]หน้าผ้า!DZ447</f>
        <v>0</v>
      </c>
      <c r="AU438" s="3">
        <f>[2]หน้าผ้า!EA447</f>
        <v>0</v>
      </c>
      <c r="AV438" s="1">
        <f>[2]หน้าผ้า!EB447</f>
        <v>0</v>
      </c>
      <c r="AW438" s="2">
        <f>[2]หน้าผ้า!EC447</f>
        <v>0</v>
      </c>
      <c r="AX438" s="2">
        <f>[2]หน้าผ้า!ED447</f>
        <v>0</v>
      </c>
      <c r="AY438" s="2">
        <f>[2]หน้าผ้า!AG447</f>
        <v>0</v>
      </c>
      <c r="AZ438" s="2">
        <f>[2]หน้าผ้า!EG447</f>
        <v>0</v>
      </c>
      <c r="BA438" s="2">
        <f>[2]หน้าผ้า!EH447</f>
        <v>0</v>
      </c>
      <c r="BB438" s="2">
        <f>[2]หน้าผ้า!EI447</f>
        <v>0</v>
      </c>
      <c r="BC438" s="1">
        <f>[2]หน้าผ้า!BZ447</f>
        <v>0</v>
      </c>
      <c r="BD438" s="56">
        <f>[2]หน้าผ้า!CA447</f>
        <v>0</v>
      </c>
    </row>
    <row r="439" spans="1:56" ht="27.75" customHeight="1" x14ac:dyDescent="0.45">
      <c r="A439" s="3">
        <f>[2]หน้าผ้า!C448</f>
        <v>0</v>
      </c>
      <c r="B439" s="14">
        <f>[2]หน้าผ้า!B448</f>
        <v>0</v>
      </c>
      <c r="C439" s="9">
        <f>[2]หน้าผ้า!E448</f>
        <v>0</v>
      </c>
      <c r="D439" s="13">
        <f>[2]หน้าผ้า!F448</f>
        <v>0</v>
      </c>
      <c r="E439" s="9">
        <f>[2]หน้าผ้า!G448</f>
        <v>0</v>
      </c>
      <c r="F439" s="9">
        <f>[2]หน้าผ้า!H448</f>
        <v>0</v>
      </c>
      <c r="G439" s="9">
        <f>[2]หน้าผ้า!I448</f>
        <v>0</v>
      </c>
      <c r="H439" s="9">
        <f>[2]หน้าผ้า!J448</f>
        <v>0</v>
      </c>
      <c r="I439" s="9">
        <f>[2]หน้าผ้า!L448</f>
        <v>0</v>
      </c>
      <c r="J439" s="9">
        <f>[2]หน้าผ้า!M448</f>
        <v>0</v>
      </c>
      <c r="K439" s="9">
        <f>[2]หน้าผ้า!N448</f>
        <v>0</v>
      </c>
      <c r="L439" s="9">
        <f>[2]หน้าผ้า!R448</f>
        <v>0</v>
      </c>
      <c r="M439" s="10">
        <f>[2]หน้าผ้า!T448</f>
        <v>0</v>
      </c>
      <c r="N439" s="9">
        <f>[2]หน้าผ้า!U448</f>
        <v>0</v>
      </c>
      <c r="O439" s="9">
        <f>[2]หน้าผ้า!V448</f>
        <v>0</v>
      </c>
      <c r="P439" s="10">
        <f>[2]หน้าผ้า!AB448</f>
        <v>0</v>
      </c>
      <c r="Q439" s="10">
        <f>[2]หน้าผ้า!AC448</f>
        <v>0</v>
      </c>
      <c r="R439" s="10">
        <f>[2]หน้าผ้า!AD448</f>
        <v>0</v>
      </c>
      <c r="S439" s="9">
        <f>[2]หน้าผ้า!Z448</f>
        <v>0</v>
      </c>
      <c r="T439" s="12">
        <f>[2]หน้าผ้า!X448</f>
        <v>0</v>
      </c>
      <c r="U439" s="11">
        <f>[2]หน้าผ้า!AA448</f>
        <v>0</v>
      </c>
      <c r="V439" s="10">
        <f>[2]หน้าผ้า!AJ448</f>
        <v>0</v>
      </c>
      <c r="W439" s="10">
        <f>[2]หน้าผ้า!AL448</f>
        <v>0</v>
      </c>
      <c r="X439" s="10">
        <f>[2]หน้าผ้า!AM448</f>
        <v>0</v>
      </c>
      <c r="Y439" s="10">
        <f>[2]หน้าผ้า!AN448</f>
        <v>0</v>
      </c>
      <c r="Z439" s="9">
        <f>[2]หน้าผ้า!AO448</f>
        <v>0</v>
      </c>
      <c r="AA439" s="8">
        <f>[2]หน้าผ้า!AQ448</f>
        <v>0</v>
      </c>
      <c r="AB439" s="8">
        <f>[2]หน้าผ้า!AR448</f>
        <v>0</v>
      </c>
      <c r="AC439" s="8">
        <f>[2]หน้าผ้า!AS448</f>
        <v>0</v>
      </c>
      <c r="AD439" s="8">
        <f>[2]หน้าผ้า!AT448</f>
        <v>0</v>
      </c>
      <c r="AE439" s="8">
        <f>[2]หน้าผ้า!AU448</f>
        <v>0</v>
      </c>
      <c r="AF439" s="8">
        <f>[2]หน้าผ้า!AI448</f>
        <v>0</v>
      </c>
      <c r="AG439" s="1">
        <f>[3]หน้าผ้า!DC451</f>
        <v>0</v>
      </c>
      <c r="AH439" s="1">
        <f>[2]หน้าผ้า!DL448</f>
        <v>0</v>
      </c>
      <c r="AI439" s="1">
        <f>[2]หน้าผ้า!DM448</f>
        <v>0</v>
      </c>
      <c r="AJ439" s="3">
        <f>[2]หน้าผ้า!DN448</f>
        <v>0</v>
      </c>
      <c r="AK439" s="3">
        <f>[2]หน้าผ้า!DQ448</f>
        <v>0</v>
      </c>
      <c r="AL439" s="3">
        <f>[2]หน้าผ้า!DR448</f>
        <v>0</v>
      </c>
      <c r="AM439" s="3">
        <f>[2]หน้าผ้า!DS448</f>
        <v>0</v>
      </c>
      <c r="AN439" s="3">
        <f>[2]หน้าผ้า!DT448</f>
        <v>0</v>
      </c>
      <c r="AO439" s="3">
        <f>[2]หน้าผ้า!DU448</f>
        <v>0</v>
      </c>
      <c r="AP439" s="3">
        <f>[2]หน้าผ้า!DP448</f>
        <v>0</v>
      </c>
      <c r="AQ439" s="3">
        <f>[2]หน้าผ้า!DW448</f>
        <v>0</v>
      </c>
      <c r="AR439" s="3">
        <f>[2]หน้าผ้า!DX448</f>
        <v>0</v>
      </c>
      <c r="AS439" s="3">
        <f>[2]หน้าผ้า!DY448</f>
        <v>0</v>
      </c>
      <c r="AT439" s="3">
        <f>[2]หน้าผ้า!DZ448</f>
        <v>0</v>
      </c>
      <c r="AU439" s="3">
        <f>[2]หน้าผ้า!EA448</f>
        <v>0</v>
      </c>
      <c r="AV439" s="1">
        <f>[2]หน้าผ้า!EB448</f>
        <v>0</v>
      </c>
      <c r="AW439" s="2">
        <f>[2]หน้าผ้า!EC448</f>
        <v>0</v>
      </c>
      <c r="AX439" s="2">
        <f>[2]หน้าผ้า!ED448</f>
        <v>0</v>
      </c>
      <c r="AY439" s="2">
        <f>[2]หน้าผ้า!AG448</f>
        <v>0</v>
      </c>
      <c r="AZ439" s="2">
        <f>[2]หน้าผ้า!EG448</f>
        <v>0</v>
      </c>
      <c r="BA439" s="2">
        <f>[2]หน้าผ้า!EH448</f>
        <v>0</v>
      </c>
      <c r="BB439" s="2">
        <f>[2]หน้าผ้า!EI448</f>
        <v>0</v>
      </c>
      <c r="BC439" s="1">
        <f>[2]หน้าผ้า!BZ448</f>
        <v>0</v>
      </c>
      <c r="BD439" s="56">
        <f>[2]หน้าผ้า!CA448</f>
        <v>0</v>
      </c>
    </row>
    <row r="440" spans="1:56" ht="27.75" customHeight="1" x14ac:dyDescent="0.45">
      <c r="A440" s="3">
        <f>[2]หน้าผ้า!C449</f>
        <v>0</v>
      </c>
      <c r="B440" s="14">
        <f>[2]หน้าผ้า!B449</f>
        <v>0</v>
      </c>
      <c r="C440" s="9">
        <f>[2]หน้าผ้า!E449</f>
        <v>0</v>
      </c>
      <c r="D440" s="13">
        <f>[2]หน้าผ้า!F449</f>
        <v>0</v>
      </c>
      <c r="E440" s="9">
        <f>[2]หน้าผ้า!G449</f>
        <v>0</v>
      </c>
      <c r="F440" s="9">
        <f>[2]หน้าผ้า!H449</f>
        <v>0</v>
      </c>
      <c r="G440" s="9">
        <f>[2]หน้าผ้า!I449</f>
        <v>0</v>
      </c>
      <c r="H440" s="9">
        <f>[2]หน้าผ้า!J449</f>
        <v>0</v>
      </c>
      <c r="I440" s="9">
        <f>[2]หน้าผ้า!L449</f>
        <v>0</v>
      </c>
      <c r="J440" s="9">
        <f>[2]หน้าผ้า!M449</f>
        <v>0</v>
      </c>
      <c r="K440" s="9">
        <f>[2]หน้าผ้า!N449</f>
        <v>0</v>
      </c>
      <c r="L440" s="9">
        <f>[2]หน้าผ้า!R449</f>
        <v>0</v>
      </c>
      <c r="M440" s="10">
        <f>[2]หน้าผ้า!T449</f>
        <v>0</v>
      </c>
      <c r="N440" s="9">
        <f>[2]หน้าผ้า!U449</f>
        <v>0</v>
      </c>
      <c r="O440" s="9">
        <f>[2]หน้าผ้า!V449</f>
        <v>0</v>
      </c>
      <c r="P440" s="10">
        <f>[2]หน้าผ้า!AB449</f>
        <v>0</v>
      </c>
      <c r="Q440" s="10">
        <f>[2]หน้าผ้า!AC449</f>
        <v>0</v>
      </c>
      <c r="R440" s="10">
        <f>[2]หน้าผ้า!AD449</f>
        <v>0</v>
      </c>
      <c r="S440" s="9">
        <f>[2]หน้าผ้า!Z449</f>
        <v>0</v>
      </c>
      <c r="T440" s="12">
        <f>[2]หน้าผ้า!X449</f>
        <v>0</v>
      </c>
      <c r="U440" s="11">
        <f>[2]หน้าผ้า!AA449</f>
        <v>0</v>
      </c>
      <c r="V440" s="10">
        <f>[2]หน้าผ้า!AJ449</f>
        <v>0</v>
      </c>
      <c r="W440" s="10">
        <f>[2]หน้าผ้า!AL449</f>
        <v>0</v>
      </c>
      <c r="X440" s="10">
        <f>[2]หน้าผ้า!AM449</f>
        <v>0</v>
      </c>
      <c r="Y440" s="10">
        <f>[2]หน้าผ้า!AN449</f>
        <v>0</v>
      </c>
      <c r="Z440" s="9">
        <f>[2]หน้าผ้า!AO449</f>
        <v>0</v>
      </c>
      <c r="AA440" s="8">
        <f>[2]หน้าผ้า!AQ449</f>
        <v>0</v>
      </c>
      <c r="AB440" s="8">
        <f>[2]หน้าผ้า!AR449</f>
        <v>0</v>
      </c>
      <c r="AC440" s="8">
        <f>[2]หน้าผ้า!AS449</f>
        <v>0</v>
      </c>
      <c r="AD440" s="8">
        <f>[2]หน้าผ้า!AT449</f>
        <v>0</v>
      </c>
      <c r="AE440" s="8">
        <f>[2]หน้าผ้า!AU449</f>
        <v>0</v>
      </c>
      <c r="AF440" s="8">
        <f>[2]หน้าผ้า!AI449</f>
        <v>0</v>
      </c>
      <c r="AG440" s="1">
        <f>[3]หน้าผ้า!DC452</f>
        <v>0</v>
      </c>
      <c r="AH440" s="1">
        <f>[2]หน้าผ้า!DL449</f>
        <v>0</v>
      </c>
      <c r="AI440" s="1">
        <f>[2]หน้าผ้า!DM449</f>
        <v>0</v>
      </c>
      <c r="AJ440" s="3">
        <f>[2]หน้าผ้า!DN449</f>
        <v>0</v>
      </c>
      <c r="AK440" s="3">
        <f>[2]หน้าผ้า!DQ449</f>
        <v>0</v>
      </c>
      <c r="AL440" s="3">
        <f>[2]หน้าผ้า!DR449</f>
        <v>0</v>
      </c>
      <c r="AM440" s="3">
        <f>[2]หน้าผ้า!DS449</f>
        <v>0</v>
      </c>
      <c r="AN440" s="3">
        <f>[2]หน้าผ้า!DT449</f>
        <v>0</v>
      </c>
      <c r="AO440" s="3">
        <f>[2]หน้าผ้า!DU449</f>
        <v>0</v>
      </c>
      <c r="AP440" s="3">
        <f>[2]หน้าผ้า!DP449</f>
        <v>0</v>
      </c>
      <c r="AQ440" s="3">
        <f>[2]หน้าผ้า!DW449</f>
        <v>0</v>
      </c>
      <c r="AR440" s="3">
        <f>[2]หน้าผ้า!DX449</f>
        <v>0</v>
      </c>
      <c r="AS440" s="3">
        <f>[2]หน้าผ้า!DY449</f>
        <v>0</v>
      </c>
      <c r="AT440" s="3">
        <f>[2]หน้าผ้า!DZ449</f>
        <v>0</v>
      </c>
      <c r="AU440" s="3">
        <f>[2]หน้าผ้า!EA449</f>
        <v>0</v>
      </c>
      <c r="AV440" s="1">
        <f>[2]หน้าผ้า!EB449</f>
        <v>0</v>
      </c>
      <c r="AW440" s="2">
        <f>[2]หน้าผ้า!EC449</f>
        <v>0</v>
      </c>
      <c r="AX440" s="2">
        <f>[2]หน้าผ้า!ED449</f>
        <v>0</v>
      </c>
      <c r="AY440" s="2">
        <f>[2]หน้าผ้า!AG449</f>
        <v>0</v>
      </c>
      <c r="AZ440" s="2">
        <f>[2]หน้าผ้า!EG449</f>
        <v>0</v>
      </c>
      <c r="BA440" s="2">
        <f>[2]หน้าผ้า!EH449</f>
        <v>0</v>
      </c>
      <c r="BB440" s="2">
        <f>[2]หน้าผ้า!EI449</f>
        <v>0</v>
      </c>
      <c r="BC440" s="1">
        <f>[2]หน้าผ้า!BZ449</f>
        <v>0</v>
      </c>
      <c r="BD440" s="56">
        <f>[2]หน้าผ้า!CA449</f>
        <v>0</v>
      </c>
    </row>
    <row r="441" spans="1:56" ht="27.75" customHeight="1" x14ac:dyDescent="0.45">
      <c r="A441" s="3">
        <f>[2]หน้าผ้า!C450</f>
        <v>0</v>
      </c>
      <c r="B441" s="14">
        <f>[2]หน้าผ้า!B450</f>
        <v>0</v>
      </c>
      <c r="C441" s="9">
        <f>[2]หน้าผ้า!E450</f>
        <v>0</v>
      </c>
      <c r="D441" s="13">
        <f>[2]หน้าผ้า!F450</f>
        <v>0</v>
      </c>
      <c r="E441" s="9">
        <f>[2]หน้าผ้า!G450</f>
        <v>0</v>
      </c>
      <c r="F441" s="9">
        <f>[2]หน้าผ้า!H450</f>
        <v>0</v>
      </c>
      <c r="G441" s="9">
        <f>[2]หน้าผ้า!I450</f>
        <v>0</v>
      </c>
      <c r="H441" s="9">
        <f>[2]หน้าผ้า!J450</f>
        <v>0</v>
      </c>
      <c r="I441" s="9">
        <f>[2]หน้าผ้า!L450</f>
        <v>0</v>
      </c>
      <c r="J441" s="9">
        <f>[2]หน้าผ้า!M450</f>
        <v>0</v>
      </c>
      <c r="K441" s="9">
        <f>[2]หน้าผ้า!N450</f>
        <v>0</v>
      </c>
      <c r="L441" s="9">
        <f>[2]หน้าผ้า!R450</f>
        <v>0</v>
      </c>
      <c r="M441" s="10">
        <f>[2]หน้าผ้า!T450</f>
        <v>0</v>
      </c>
      <c r="N441" s="9">
        <f>[2]หน้าผ้า!U450</f>
        <v>0</v>
      </c>
      <c r="O441" s="9">
        <f>[2]หน้าผ้า!V450</f>
        <v>0</v>
      </c>
      <c r="P441" s="10">
        <f>[2]หน้าผ้า!AB450</f>
        <v>0</v>
      </c>
      <c r="Q441" s="10">
        <f>[2]หน้าผ้า!AC450</f>
        <v>0</v>
      </c>
      <c r="R441" s="10">
        <f>[2]หน้าผ้า!AD450</f>
        <v>0</v>
      </c>
      <c r="S441" s="9">
        <f>[2]หน้าผ้า!Z450</f>
        <v>0</v>
      </c>
      <c r="T441" s="12">
        <f>[2]หน้าผ้า!X450</f>
        <v>0</v>
      </c>
      <c r="U441" s="11">
        <f>[2]หน้าผ้า!AA450</f>
        <v>0</v>
      </c>
      <c r="V441" s="10">
        <f>[2]หน้าผ้า!AJ450</f>
        <v>0</v>
      </c>
      <c r="W441" s="10">
        <f>[2]หน้าผ้า!AL450</f>
        <v>0</v>
      </c>
      <c r="X441" s="10">
        <f>[2]หน้าผ้า!AM450</f>
        <v>0</v>
      </c>
      <c r="Y441" s="10">
        <f>[2]หน้าผ้า!AN450</f>
        <v>0</v>
      </c>
      <c r="Z441" s="9">
        <f>[2]หน้าผ้า!AO450</f>
        <v>0</v>
      </c>
      <c r="AA441" s="8">
        <f>[2]หน้าผ้า!AQ450</f>
        <v>0</v>
      </c>
      <c r="AB441" s="8">
        <f>[2]หน้าผ้า!AR450</f>
        <v>0</v>
      </c>
      <c r="AC441" s="8">
        <f>[2]หน้าผ้า!AS450</f>
        <v>0</v>
      </c>
      <c r="AD441" s="8">
        <f>[2]หน้าผ้า!AT450</f>
        <v>0</v>
      </c>
      <c r="AE441" s="8">
        <f>[2]หน้าผ้า!AU450</f>
        <v>0</v>
      </c>
      <c r="AF441" s="8">
        <f>[2]หน้าผ้า!AI450</f>
        <v>0</v>
      </c>
      <c r="AG441" s="1">
        <f>[3]หน้าผ้า!DC453</f>
        <v>0</v>
      </c>
      <c r="AH441" s="1">
        <f>[2]หน้าผ้า!DL450</f>
        <v>0</v>
      </c>
      <c r="AI441" s="1">
        <f>[2]หน้าผ้า!DM450</f>
        <v>0</v>
      </c>
      <c r="AJ441" s="3">
        <f>[2]หน้าผ้า!DN450</f>
        <v>0</v>
      </c>
      <c r="AK441" s="3">
        <f>[2]หน้าผ้า!DQ450</f>
        <v>0</v>
      </c>
      <c r="AL441" s="3">
        <f>[2]หน้าผ้า!DR450</f>
        <v>0</v>
      </c>
      <c r="AM441" s="3">
        <f>[2]หน้าผ้า!DS450</f>
        <v>0</v>
      </c>
      <c r="AN441" s="3">
        <f>[2]หน้าผ้า!DT450</f>
        <v>0</v>
      </c>
      <c r="AO441" s="3">
        <f>[2]หน้าผ้า!DU450</f>
        <v>0</v>
      </c>
      <c r="AP441" s="3">
        <f>[2]หน้าผ้า!DP450</f>
        <v>0</v>
      </c>
      <c r="AQ441" s="3">
        <f>[2]หน้าผ้า!DW450</f>
        <v>0</v>
      </c>
      <c r="AR441" s="3">
        <f>[2]หน้าผ้า!DX450</f>
        <v>0</v>
      </c>
      <c r="AS441" s="3">
        <f>[2]หน้าผ้า!DY450</f>
        <v>0</v>
      </c>
      <c r="AT441" s="3">
        <f>[2]หน้าผ้า!DZ450</f>
        <v>0</v>
      </c>
      <c r="AU441" s="3">
        <f>[2]หน้าผ้า!EA450</f>
        <v>0</v>
      </c>
      <c r="AV441" s="1">
        <f>[2]หน้าผ้า!EB450</f>
        <v>0</v>
      </c>
      <c r="AW441" s="2">
        <f>[2]หน้าผ้า!EC450</f>
        <v>0</v>
      </c>
      <c r="AX441" s="2">
        <f>[2]หน้าผ้า!ED450</f>
        <v>0</v>
      </c>
      <c r="AY441" s="2">
        <f>[2]หน้าผ้า!AG450</f>
        <v>0</v>
      </c>
      <c r="AZ441" s="2">
        <f>[2]หน้าผ้า!EG450</f>
        <v>0</v>
      </c>
      <c r="BA441" s="2">
        <f>[2]หน้าผ้า!EH450</f>
        <v>0</v>
      </c>
      <c r="BB441" s="2">
        <f>[2]หน้าผ้า!EI450</f>
        <v>0</v>
      </c>
      <c r="BC441" s="1">
        <f>[2]หน้าผ้า!BZ450</f>
        <v>0</v>
      </c>
      <c r="BD441" s="56">
        <f>[2]หน้าผ้า!CA450</f>
        <v>0</v>
      </c>
    </row>
    <row r="442" spans="1:56" ht="27.75" customHeight="1" x14ac:dyDescent="0.45">
      <c r="A442" s="3">
        <f>[2]หน้าผ้า!C451</f>
        <v>0</v>
      </c>
      <c r="B442" s="14">
        <f>[2]หน้าผ้า!B451</f>
        <v>0</v>
      </c>
      <c r="C442" s="9">
        <f>[2]หน้าผ้า!E451</f>
        <v>0</v>
      </c>
      <c r="D442" s="13">
        <f>[2]หน้าผ้า!F451</f>
        <v>0</v>
      </c>
      <c r="E442" s="9">
        <f>[2]หน้าผ้า!G451</f>
        <v>0</v>
      </c>
      <c r="F442" s="9">
        <f>[2]หน้าผ้า!H451</f>
        <v>0</v>
      </c>
      <c r="G442" s="9">
        <f>[2]หน้าผ้า!I451</f>
        <v>0</v>
      </c>
      <c r="H442" s="9">
        <f>[2]หน้าผ้า!J451</f>
        <v>0</v>
      </c>
      <c r="I442" s="9">
        <f>[2]หน้าผ้า!L451</f>
        <v>0</v>
      </c>
      <c r="J442" s="9">
        <f>[2]หน้าผ้า!M451</f>
        <v>0</v>
      </c>
      <c r="K442" s="9">
        <f>[2]หน้าผ้า!N451</f>
        <v>0</v>
      </c>
      <c r="L442" s="9">
        <f>[2]หน้าผ้า!R451</f>
        <v>0</v>
      </c>
      <c r="M442" s="10">
        <f>[2]หน้าผ้า!T451</f>
        <v>0</v>
      </c>
      <c r="N442" s="9">
        <f>[2]หน้าผ้า!U451</f>
        <v>0</v>
      </c>
      <c r="O442" s="9">
        <f>[2]หน้าผ้า!V451</f>
        <v>0</v>
      </c>
      <c r="P442" s="10">
        <f>[2]หน้าผ้า!AB451</f>
        <v>0</v>
      </c>
      <c r="Q442" s="10">
        <f>[2]หน้าผ้า!AC451</f>
        <v>0</v>
      </c>
      <c r="R442" s="10">
        <f>[2]หน้าผ้า!AD451</f>
        <v>0</v>
      </c>
      <c r="S442" s="9">
        <f>[2]หน้าผ้า!Z451</f>
        <v>0</v>
      </c>
      <c r="T442" s="12">
        <f>[2]หน้าผ้า!X451</f>
        <v>0</v>
      </c>
      <c r="U442" s="11">
        <f>[2]หน้าผ้า!AA451</f>
        <v>0</v>
      </c>
      <c r="V442" s="10">
        <f>[2]หน้าผ้า!AJ451</f>
        <v>0</v>
      </c>
      <c r="W442" s="10">
        <f>[2]หน้าผ้า!AL451</f>
        <v>0</v>
      </c>
      <c r="X442" s="10">
        <f>[2]หน้าผ้า!AM451</f>
        <v>0</v>
      </c>
      <c r="Y442" s="10">
        <f>[2]หน้าผ้า!AN451</f>
        <v>0</v>
      </c>
      <c r="Z442" s="9">
        <f>[2]หน้าผ้า!AO451</f>
        <v>0</v>
      </c>
      <c r="AA442" s="8">
        <f>[2]หน้าผ้า!AQ451</f>
        <v>0</v>
      </c>
      <c r="AB442" s="8">
        <f>[2]หน้าผ้า!AR451</f>
        <v>0</v>
      </c>
      <c r="AC442" s="8">
        <f>[2]หน้าผ้า!AS451</f>
        <v>0</v>
      </c>
      <c r="AD442" s="8">
        <f>[2]หน้าผ้า!AT451</f>
        <v>0</v>
      </c>
      <c r="AE442" s="8">
        <f>[2]หน้าผ้า!AU451</f>
        <v>0</v>
      </c>
      <c r="AF442" s="8">
        <f>[2]หน้าผ้า!AI451</f>
        <v>0</v>
      </c>
      <c r="AG442" s="1">
        <f>[3]หน้าผ้า!DC454</f>
        <v>0</v>
      </c>
      <c r="AH442" s="1">
        <f>[2]หน้าผ้า!DL451</f>
        <v>0</v>
      </c>
      <c r="AI442" s="1">
        <f>[2]หน้าผ้า!DM451</f>
        <v>0</v>
      </c>
      <c r="AJ442" s="3">
        <f>[2]หน้าผ้า!DN451</f>
        <v>0</v>
      </c>
      <c r="AK442" s="3">
        <f>[2]หน้าผ้า!DQ451</f>
        <v>0</v>
      </c>
      <c r="AL442" s="3">
        <f>[2]หน้าผ้า!DR451</f>
        <v>0</v>
      </c>
      <c r="AM442" s="3">
        <f>[2]หน้าผ้า!DS451</f>
        <v>0</v>
      </c>
      <c r="AN442" s="3">
        <f>[2]หน้าผ้า!DT451</f>
        <v>0</v>
      </c>
      <c r="AO442" s="3">
        <f>[2]หน้าผ้า!DU451</f>
        <v>0</v>
      </c>
      <c r="AP442" s="3">
        <f>[2]หน้าผ้า!DP451</f>
        <v>0</v>
      </c>
      <c r="AQ442" s="3">
        <f>[2]หน้าผ้า!DW451</f>
        <v>0</v>
      </c>
      <c r="AR442" s="3">
        <f>[2]หน้าผ้า!DX451</f>
        <v>0</v>
      </c>
      <c r="AS442" s="3">
        <f>[2]หน้าผ้า!DY451</f>
        <v>0</v>
      </c>
      <c r="AT442" s="3">
        <f>[2]หน้าผ้า!DZ451</f>
        <v>0</v>
      </c>
      <c r="AU442" s="3">
        <f>[2]หน้าผ้า!EA451</f>
        <v>0</v>
      </c>
      <c r="AV442" s="1">
        <f>[2]หน้าผ้า!EB451</f>
        <v>0</v>
      </c>
      <c r="AW442" s="2">
        <f>[2]หน้าผ้า!EC451</f>
        <v>0</v>
      </c>
      <c r="AX442" s="2">
        <f>[2]หน้าผ้า!ED451</f>
        <v>0</v>
      </c>
      <c r="AY442" s="2">
        <f>[2]หน้าผ้า!AG451</f>
        <v>0</v>
      </c>
      <c r="AZ442" s="2">
        <f>[2]หน้าผ้า!EG451</f>
        <v>0</v>
      </c>
      <c r="BA442" s="2">
        <f>[2]หน้าผ้า!EH451</f>
        <v>0</v>
      </c>
      <c r="BB442" s="2">
        <f>[2]หน้าผ้า!EI451</f>
        <v>0</v>
      </c>
      <c r="BC442" s="1">
        <f>[2]หน้าผ้า!BZ451</f>
        <v>0</v>
      </c>
      <c r="BD442" s="56">
        <f>[2]หน้าผ้า!CA451</f>
        <v>0</v>
      </c>
    </row>
    <row r="443" spans="1:56" ht="27.75" customHeight="1" x14ac:dyDescent="0.45">
      <c r="A443" s="3">
        <f>[2]หน้าผ้า!C452</f>
        <v>0</v>
      </c>
      <c r="B443" s="14">
        <f>[2]หน้าผ้า!B452</f>
        <v>0</v>
      </c>
      <c r="C443" s="9">
        <f>[2]หน้าผ้า!E452</f>
        <v>0</v>
      </c>
      <c r="D443" s="13">
        <f>[2]หน้าผ้า!F452</f>
        <v>0</v>
      </c>
      <c r="E443" s="9">
        <f>[2]หน้าผ้า!G452</f>
        <v>0</v>
      </c>
      <c r="F443" s="9">
        <f>[2]หน้าผ้า!H452</f>
        <v>0</v>
      </c>
      <c r="G443" s="9">
        <f>[2]หน้าผ้า!I452</f>
        <v>0</v>
      </c>
      <c r="H443" s="9">
        <f>[2]หน้าผ้า!J452</f>
        <v>0</v>
      </c>
      <c r="I443" s="9">
        <f>[2]หน้าผ้า!L452</f>
        <v>0</v>
      </c>
      <c r="J443" s="9">
        <f>[2]หน้าผ้า!M452</f>
        <v>0</v>
      </c>
      <c r="K443" s="9">
        <f>[2]หน้าผ้า!N452</f>
        <v>0</v>
      </c>
      <c r="L443" s="9">
        <f>[2]หน้าผ้า!R452</f>
        <v>0</v>
      </c>
      <c r="M443" s="10">
        <f>[2]หน้าผ้า!T452</f>
        <v>0</v>
      </c>
      <c r="N443" s="9">
        <f>[2]หน้าผ้า!U452</f>
        <v>0</v>
      </c>
      <c r="O443" s="9">
        <f>[2]หน้าผ้า!V452</f>
        <v>0</v>
      </c>
      <c r="P443" s="10">
        <f>[2]หน้าผ้า!AB452</f>
        <v>0</v>
      </c>
      <c r="Q443" s="10">
        <f>[2]หน้าผ้า!AC452</f>
        <v>0</v>
      </c>
      <c r="R443" s="10">
        <f>[2]หน้าผ้า!AD452</f>
        <v>0</v>
      </c>
      <c r="S443" s="9">
        <f>[2]หน้าผ้า!Z452</f>
        <v>0</v>
      </c>
      <c r="T443" s="12">
        <f>[2]หน้าผ้า!X452</f>
        <v>0</v>
      </c>
      <c r="U443" s="11">
        <f>[2]หน้าผ้า!AA452</f>
        <v>0</v>
      </c>
      <c r="V443" s="10">
        <f>[2]หน้าผ้า!AJ452</f>
        <v>0</v>
      </c>
      <c r="W443" s="10">
        <f>[2]หน้าผ้า!AL452</f>
        <v>0</v>
      </c>
      <c r="X443" s="10">
        <f>[2]หน้าผ้า!AM452</f>
        <v>0</v>
      </c>
      <c r="Y443" s="10">
        <f>[2]หน้าผ้า!AN452</f>
        <v>0</v>
      </c>
      <c r="Z443" s="9">
        <f>[2]หน้าผ้า!AO452</f>
        <v>0</v>
      </c>
      <c r="AA443" s="8">
        <f>[2]หน้าผ้า!AQ452</f>
        <v>0</v>
      </c>
      <c r="AB443" s="8">
        <f>[2]หน้าผ้า!AR452</f>
        <v>0</v>
      </c>
      <c r="AC443" s="8">
        <f>[2]หน้าผ้า!AS452</f>
        <v>0</v>
      </c>
      <c r="AD443" s="8">
        <f>[2]หน้าผ้า!AT452</f>
        <v>0</v>
      </c>
      <c r="AE443" s="8">
        <f>[2]หน้าผ้า!AU452</f>
        <v>0</v>
      </c>
      <c r="AF443" s="8">
        <f>[2]หน้าผ้า!AI452</f>
        <v>0</v>
      </c>
      <c r="AG443" s="1">
        <f>[3]หน้าผ้า!DC455</f>
        <v>0</v>
      </c>
      <c r="AH443" s="1">
        <f>[2]หน้าผ้า!DL452</f>
        <v>0</v>
      </c>
      <c r="AI443" s="1">
        <f>[2]หน้าผ้า!DM452</f>
        <v>0</v>
      </c>
      <c r="AJ443" s="3">
        <f>[2]หน้าผ้า!DN452</f>
        <v>0</v>
      </c>
      <c r="AK443" s="3">
        <f>[2]หน้าผ้า!DQ452</f>
        <v>0</v>
      </c>
      <c r="AL443" s="3">
        <f>[2]หน้าผ้า!DR452</f>
        <v>0</v>
      </c>
      <c r="AM443" s="3">
        <f>[2]หน้าผ้า!DS452</f>
        <v>0</v>
      </c>
      <c r="AN443" s="3">
        <f>[2]หน้าผ้า!DT452</f>
        <v>0</v>
      </c>
      <c r="AO443" s="3">
        <f>[2]หน้าผ้า!DU452</f>
        <v>0</v>
      </c>
      <c r="AP443" s="3">
        <f>[2]หน้าผ้า!DP452</f>
        <v>0</v>
      </c>
      <c r="AQ443" s="3">
        <f>[2]หน้าผ้า!DW452</f>
        <v>0</v>
      </c>
      <c r="AR443" s="3">
        <f>[2]หน้าผ้า!DX452</f>
        <v>0</v>
      </c>
      <c r="AS443" s="3">
        <f>[2]หน้าผ้า!DY452</f>
        <v>0</v>
      </c>
      <c r="AT443" s="3">
        <f>[2]หน้าผ้า!DZ452</f>
        <v>0</v>
      </c>
      <c r="AU443" s="3">
        <f>[2]หน้าผ้า!EA452</f>
        <v>0</v>
      </c>
      <c r="AV443" s="1">
        <f>[2]หน้าผ้า!EB452</f>
        <v>0</v>
      </c>
      <c r="AW443" s="2">
        <f>[2]หน้าผ้า!EC452</f>
        <v>0</v>
      </c>
      <c r="AX443" s="2">
        <f>[2]หน้าผ้า!ED452</f>
        <v>0</v>
      </c>
      <c r="AY443" s="2">
        <f>[2]หน้าผ้า!AG452</f>
        <v>0</v>
      </c>
      <c r="AZ443" s="2">
        <f>[2]หน้าผ้า!EG452</f>
        <v>0</v>
      </c>
      <c r="BA443" s="2">
        <f>[2]หน้าผ้า!EH452</f>
        <v>0</v>
      </c>
      <c r="BB443" s="2">
        <f>[2]หน้าผ้า!EI452</f>
        <v>0</v>
      </c>
      <c r="BC443" s="1">
        <f>[2]หน้าผ้า!BZ452</f>
        <v>0</v>
      </c>
      <c r="BD443" s="56">
        <f>[2]หน้าผ้า!CA452</f>
        <v>0</v>
      </c>
    </row>
    <row r="444" spans="1:56" ht="27.75" customHeight="1" x14ac:dyDescent="0.45">
      <c r="A444" s="3">
        <f>[2]หน้าผ้า!C453</f>
        <v>0</v>
      </c>
      <c r="B444" s="14">
        <f>[2]หน้าผ้า!B453</f>
        <v>0</v>
      </c>
      <c r="C444" s="9">
        <f>[2]หน้าผ้า!E453</f>
        <v>0</v>
      </c>
      <c r="D444" s="13">
        <f>[2]หน้าผ้า!F453</f>
        <v>0</v>
      </c>
      <c r="E444" s="9">
        <f>[2]หน้าผ้า!G453</f>
        <v>0</v>
      </c>
      <c r="F444" s="9">
        <f>[2]หน้าผ้า!H453</f>
        <v>0</v>
      </c>
      <c r="G444" s="9">
        <f>[2]หน้าผ้า!I453</f>
        <v>0</v>
      </c>
      <c r="H444" s="9">
        <f>[2]หน้าผ้า!J453</f>
        <v>0</v>
      </c>
      <c r="I444" s="9">
        <f>[2]หน้าผ้า!L453</f>
        <v>0</v>
      </c>
      <c r="J444" s="9">
        <f>[2]หน้าผ้า!M453</f>
        <v>0</v>
      </c>
      <c r="K444" s="9">
        <f>[2]หน้าผ้า!N453</f>
        <v>0</v>
      </c>
      <c r="L444" s="9">
        <f>[2]หน้าผ้า!R453</f>
        <v>0</v>
      </c>
      <c r="M444" s="10">
        <f>[2]หน้าผ้า!T453</f>
        <v>0</v>
      </c>
      <c r="N444" s="9">
        <f>[2]หน้าผ้า!U453</f>
        <v>0</v>
      </c>
      <c r="O444" s="9">
        <f>[2]หน้าผ้า!V453</f>
        <v>0</v>
      </c>
      <c r="P444" s="10">
        <f>[2]หน้าผ้า!AB453</f>
        <v>0</v>
      </c>
      <c r="Q444" s="10">
        <f>[2]หน้าผ้า!AC453</f>
        <v>0</v>
      </c>
      <c r="R444" s="10">
        <f>[2]หน้าผ้า!AD453</f>
        <v>0</v>
      </c>
      <c r="S444" s="9">
        <f>[2]หน้าผ้า!Z453</f>
        <v>0</v>
      </c>
      <c r="T444" s="12">
        <f>[2]หน้าผ้า!X453</f>
        <v>0</v>
      </c>
      <c r="U444" s="11">
        <f>[2]หน้าผ้า!AA453</f>
        <v>0</v>
      </c>
      <c r="V444" s="10">
        <f>[2]หน้าผ้า!AJ453</f>
        <v>0</v>
      </c>
      <c r="W444" s="10">
        <f>[2]หน้าผ้า!AL453</f>
        <v>0</v>
      </c>
      <c r="X444" s="10">
        <f>[2]หน้าผ้า!AM453</f>
        <v>0</v>
      </c>
      <c r="Y444" s="10">
        <f>[2]หน้าผ้า!AN453</f>
        <v>0</v>
      </c>
      <c r="Z444" s="9">
        <f>[2]หน้าผ้า!AO453</f>
        <v>0</v>
      </c>
      <c r="AA444" s="8">
        <f>[2]หน้าผ้า!AQ453</f>
        <v>0</v>
      </c>
      <c r="AB444" s="8">
        <f>[2]หน้าผ้า!AR453</f>
        <v>0</v>
      </c>
      <c r="AC444" s="8">
        <f>[2]หน้าผ้า!AS453</f>
        <v>0</v>
      </c>
      <c r="AD444" s="8">
        <f>[2]หน้าผ้า!AT453</f>
        <v>0</v>
      </c>
      <c r="AE444" s="8">
        <f>[2]หน้าผ้า!AU453</f>
        <v>0</v>
      </c>
      <c r="AF444" s="8">
        <f>[2]หน้าผ้า!AI453</f>
        <v>0</v>
      </c>
      <c r="AG444" s="1">
        <f>[3]หน้าผ้า!DC456</f>
        <v>0</v>
      </c>
      <c r="AH444" s="1">
        <f>[2]หน้าผ้า!DL453</f>
        <v>0</v>
      </c>
      <c r="AI444" s="1">
        <f>[2]หน้าผ้า!DM453</f>
        <v>0</v>
      </c>
      <c r="AJ444" s="3">
        <f>[2]หน้าผ้า!DN453</f>
        <v>0</v>
      </c>
      <c r="AK444" s="3">
        <f>[2]หน้าผ้า!DQ453</f>
        <v>0</v>
      </c>
      <c r="AL444" s="3">
        <f>[2]หน้าผ้า!DR453</f>
        <v>0</v>
      </c>
      <c r="AM444" s="3">
        <f>[2]หน้าผ้า!DS453</f>
        <v>0</v>
      </c>
      <c r="AN444" s="3">
        <f>[2]หน้าผ้า!DT453</f>
        <v>0</v>
      </c>
      <c r="AO444" s="3">
        <f>[2]หน้าผ้า!DU453</f>
        <v>0</v>
      </c>
      <c r="AP444" s="3">
        <f>[2]หน้าผ้า!DP453</f>
        <v>0</v>
      </c>
      <c r="AQ444" s="3">
        <f>[2]หน้าผ้า!DW453</f>
        <v>0</v>
      </c>
      <c r="AR444" s="3">
        <f>[2]หน้าผ้า!DX453</f>
        <v>0</v>
      </c>
      <c r="AS444" s="3">
        <f>[2]หน้าผ้า!DY453</f>
        <v>0</v>
      </c>
      <c r="AT444" s="3">
        <f>[2]หน้าผ้า!DZ453</f>
        <v>0</v>
      </c>
      <c r="AU444" s="3">
        <f>[2]หน้าผ้า!EA453</f>
        <v>0</v>
      </c>
      <c r="AV444" s="1">
        <f>[2]หน้าผ้า!EB453</f>
        <v>0</v>
      </c>
      <c r="AW444" s="2">
        <f>[2]หน้าผ้า!EC453</f>
        <v>0</v>
      </c>
      <c r="AX444" s="2">
        <f>[2]หน้าผ้า!ED453</f>
        <v>0</v>
      </c>
      <c r="AY444" s="2">
        <f>[2]หน้าผ้า!AG453</f>
        <v>0</v>
      </c>
      <c r="AZ444" s="2">
        <f>[2]หน้าผ้า!EG453</f>
        <v>0</v>
      </c>
      <c r="BA444" s="2">
        <f>[2]หน้าผ้า!EH453</f>
        <v>0</v>
      </c>
      <c r="BB444" s="2">
        <f>[2]หน้าผ้า!EI453</f>
        <v>0</v>
      </c>
      <c r="BC444" s="1">
        <f>[2]หน้าผ้า!BZ453</f>
        <v>0</v>
      </c>
      <c r="BD444" s="56">
        <f>[2]หน้าผ้า!CA453</f>
        <v>0</v>
      </c>
    </row>
    <row r="445" spans="1:56" ht="27.75" customHeight="1" x14ac:dyDescent="0.45">
      <c r="A445" s="3">
        <f>[2]หน้าผ้า!C454</f>
        <v>0</v>
      </c>
      <c r="B445" s="14">
        <f>[2]หน้าผ้า!B454</f>
        <v>0</v>
      </c>
      <c r="C445" s="9">
        <f>[2]หน้าผ้า!E454</f>
        <v>0</v>
      </c>
      <c r="D445" s="13">
        <f>[2]หน้าผ้า!F454</f>
        <v>0</v>
      </c>
      <c r="E445" s="9">
        <f>[2]หน้าผ้า!G454</f>
        <v>0</v>
      </c>
      <c r="F445" s="9">
        <f>[2]หน้าผ้า!H454</f>
        <v>0</v>
      </c>
      <c r="G445" s="9">
        <f>[2]หน้าผ้า!I454</f>
        <v>0</v>
      </c>
      <c r="H445" s="9">
        <f>[2]หน้าผ้า!J454</f>
        <v>0</v>
      </c>
      <c r="I445" s="9">
        <f>[2]หน้าผ้า!L454</f>
        <v>0</v>
      </c>
      <c r="J445" s="9">
        <f>[2]หน้าผ้า!M454</f>
        <v>0</v>
      </c>
      <c r="K445" s="9">
        <f>[2]หน้าผ้า!N454</f>
        <v>0</v>
      </c>
      <c r="L445" s="9">
        <f>[2]หน้าผ้า!R454</f>
        <v>0</v>
      </c>
      <c r="M445" s="10">
        <f>[2]หน้าผ้า!T454</f>
        <v>0</v>
      </c>
      <c r="N445" s="9">
        <f>[2]หน้าผ้า!U454</f>
        <v>0</v>
      </c>
      <c r="O445" s="9">
        <f>[2]หน้าผ้า!V454</f>
        <v>0</v>
      </c>
      <c r="P445" s="10">
        <f>[2]หน้าผ้า!AB454</f>
        <v>0</v>
      </c>
      <c r="Q445" s="10">
        <f>[2]หน้าผ้า!AC454</f>
        <v>0</v>
      </c>
      <c r="R445" s="10">
        <f>[2]หน้าผ้า!AD454</f>
        <v>0</v>
      </c>
      <c r="S445" s="9">
        <f>[2]หน้าผ้า!Z454</f>
        <v>0</v>
      </c>
      <c r="T445" s="12">
        <f>[2]หน้าผ้า!X454</f>
        <v>0</v>
      </c>
      <c r="U445" s="11">
        <f>[2]หน้าผ้า!AA454</f>
        <v>0</v>
      </c>
      <c r="V445" s="10">
        <f>[2]หน้าผ้า!AJ454</f>
        <v>0</v>
      </c>
      <c r="W445" s="10">
        <f>[2]หน้าผ้า!AL454</f>
        <v>0</v>
      </c>
      <c r="X445" s="10">
        <f>[2]หน้าผ้า!AM454</f>
        <v>0</v>
      </c>
      <c r="Y445" s="10">
        <f>[2]หน้าผ้า!AN454</f>
        <v>0</v>
      </c>
      <c r="Z445" s="9">
        <f>[2]หน้าผ้า!AO454</f>
        <v>0</v>
      </c>
      <c r="AA445" s="8">
        <f>[2]หน้าผ้า!AQ454</f>
        <v>0</v>
      </c>
      <c r="AB445" s="8">
        <f>[2]หน้าผ้า!AR454</f>
        <v>0</v>
      </c>
      <c r="AC445" s="8">
        <f>[2]หน้าผ้า!AS454</f>
        <v>0</v>
      </c>
      <c r="AD445" s="8">
        <f>[2]หน้าผ้า!AT454</f>
        <v>0</v>
      </c>
      <c r="AE445" s="8">
        <f>[2]หน้าผ้า!AU454</f>
        <v>0</v>
      </c>
      <c r="AF445" s="8">
        <f>[2]หน้าผ้า!AI454</f>
        <v>0</v>
      </c>
      <c r="AG445" s="1">
        <f>[3]หน้าผ้า!DC457</f>
        <v>0</v>
      </c>
      <c r="AH445" s="1">
        <f>[2]หน้าผ้า!DL454</f>
        <v>0</v>
      </c>
      <c r="AI445" s="1">
        <f>[2]หน้าผ้า!DM454</f>
        <v>0</v>
      </c>
      <c r="AJ445" s="3">
        <f>[2]หน้าผ้า!DN454</f>
        <v>0</v>
      </c>
      <c r="AK445" s="3">
        <f>[2]หน้าผ้า!DQ454</f>
        <v>0</v>
      </c>
      <c r="AL445" s="3">
        <f>[2]หน้าผ้า!DR454</f>
        <v>0</v>
      </c>
      <c r="AM445" s="3">
        <f>[2]หน้าผ้า!DS454</f>
        <v>0</v>
      </c>
      <c r="AN445" s="3">
        <f>[2]หน้าผ้า!DT454</f>
        <v>0</v>
      </c>
      <c r="AO445" s="3">
        <f>[2]หน้าผ้า!DU454</f>
        <v>0</v>
      </c>
      <c r="AP445" s="3">
        <f>[2]หน้าผ้า!DP454</f>
        <v>0</v>
      </c>
      <c r="AQ445" s="3">
        <f>[2]หน้าผ้า!DW454</f>
        <v>0</v>
      </c>
      <c r="AR445" s="3">
        <f>[2]หน้าผ้า!DX454</f>
        <v>0</v>
      </c>
      <c r="AS445" s="3">
        <f>[2]หน้าผ้า!DY454</f>
        <v>0</v>
      </c>
      <c r="AT445" s="3">
        <f>[2]หน้าผ้า!DZ454</f>
        <v>0</v>
      </c>
      <c r="AU445" s="3">
        <f>[2]หน้าผ้า!EA454</f>
        <v>0</v>
      </c>
      <c r="AV445" s="1">
        <f>[2]หน้าผ้า!EB454</f>
        <v>0</v>
      </c>
      <c r="AW445" s="2">
        <f>[2]หน้าผ้า!EC454</f>
        <v>0</v>
      </c>
      <c r="AX445" s="2">
        <f>[2]หน้าผ้า!ED454</f>
        <v>0</v>
      </c>
      <c r="AY445" s="2">
        <f>[2]หน้าผ้า!AG454</f>
        <v>0</v>
      </c>
      <c r="AZ445" s="2">
        <f>[2]หน้าผ้า!EG454</f>
        <v>0</v>
      </c>
      <c r="BA445" s="2">
        <f>[2]หน้าผ้า!EH454</f>
        <v>0</v>
      </c>
      <c r="BB445" s="2">
        <f>[2]หน้าผ้า!EI454</f>
        <v>0</v>
      </c>
      <c r="BC445" s="1">
        <f>[2]หน้าผ้า!BZ454</f>
        <v>0</v>
      </c>
      <c r="BD445" s="56">
        <f>[2]หน้าผ้า!CA454</f>
        <v>0</v>
      </c>
    </row>
    <row r="446" spans="1:56" ht="27.75" customHeight="1" x14ac:dyDescent="0.45">
      <c r="A446" s="3">
        <f>[2]หน้าผ้า!C455</f>
        <v>0</v>
      </c>
      <c r="B446" s="14">
        <f>[2]หน้าผ้า!B455</f>
        <v>0</v>
      </c>
      <c r="C446" s="9">
        <f>[2]หน้าผ้า!E455</f>
        <v>0</v>
      </c>
      <c r="D446" s="13">
        <f>[2]หน้าผ้า!F455</f>
        <v>0</v>
      </c>
      <c r="E446" s="9">
        <f>[2]หน้าผ้า!G455</f>
        <v>0</v>
      </c>
      <c r="F446" s="9">
        <f>[2]หน้าผ้า!H455</f>
        <v>0</v>
      </c>
      <c r="G446" s="9">
        <f>[2]หน้าผ้า!I455</f>
        <v>0</v>
      </c>
      <c r="H446" s="9">
        <f>[2]หน้าผ้า!J455</f>
        <v>0</v>
      </c>
      <c r="I446" s="9">
        <f>[2]หน้าผ้า!L455</f>
        <v>0</v>
      </c>
      <c r="J446" s="9">
        <f>[2]หน้าผ้า!M455</f>
        <v>0</v>
      </c>
      <c r="K446" s="9">
        <f>[2]หน้าผ้า!N455</f>
        <v>0</v>
      </c>
      <c r="L446" s="9">
        <f>[2]หน้าผ้า!R455</f>
        <v>0</v>
      </c>
      <c r="M446" s="10">
        <f>[2]หน้าผ้า!T455</f>
        <v>0</v>
      </c>
      <c r="N446" s="9">
        <f>[2]หน้าผ้า!U455</f>
        <v>0</v>
      </c>
      <c r="O446" s="9">
        <f>[2]หน้าผ้า!V455</f>
        <v>0</v>
      </c>
      <c r="P446" s="10">
        <f>[2]หน้าผ้า!AB455</f>
        <v>0</v>
      </c>
      <c r="Q446" s="10">
        <f>[2]หน้าผ้า!AC455</f>
        <v>0</v>
      </c>
      <c r="R446" s="10">
        <f>[2]หน้าผ้า!AD455</f>
        <v>0</v>
      </c>
      <c r="S446" s="9">
        <f>[2]หน้าผ้า!Z455</f>
        <v>0</v>
      </c>
      <c r="T446" s="12">
        <f>[2]หน้าผ้า!X455</f>
        <v>0</v>
      </c>
      <c r="U446" s="11">
        <f>[2]หน้าผ้า!AA455</f>
        <v>0</v>
      </c>
      <c r="V446" s="10">
        <f>[2]หน้าผ้า!AJ455</f>
        <v>0</v>
      </c>
      <c r="W446" s="10">
        <f>[2]หน้าผ้า!AL455</f>
        <v>0</v>
      </c>
      <c r="X446" s="10">
        <f>[2]หน้าผ้า!AM455</f>
        <v>0</v>
      </c>
      <c r="Y446" s="10">
        <f>[2]หน้าผ้า!AN455</f>
        <v>0</v>
      </c>
      <c r="Z446" s="9">
        <f>[2]หน้าผ้า!AO455</f>
        <v>0</v>
      </c>
      <c r="AA446" s="8">
        <f>[2]หน้าผ้า!AQ455</f>
        <v>0</v>
      </c>
      <c r="AB446" s="8">
        <f>[2]หน้าผ้า!AR455</f>
        <v>0</v>
      </c>
      <c r="AC446" s="8">
        <f>[2]หน้าผ้า!AS455</f>
        <v>0</v>
      </c>
      <c r="AD446" s="8">
        <f>[2]หน้าผ้า!AT455</f>
        <v>0</v>
      </c>
      <c r="AE446" s="8">
        <f>[2]หน้าผ้า!AU455</f>
        <v>0</v>
      </c>
      <c r="AF446" s="8">
        <f>[2]หน้าผ้า!AI455</f>
        <v>0</v>
      </c>
      <c r="AG446" s="1">
        <f>[3]หน้าผ้า!DC458</f>
        <v>0</v>
      </c>
      <c r="AH446" s="1">
        <f>[2]หน้าผ้า!DL455</f>
        <v>0</v>
      </c>
      <c r="AI446" s="1">
        <f>[2]หน้าผ้า!DM455</f>
        <v>0</v>
      </c>
      <c r="AJ446" s="3">
        <f>[2]หน้าผ้า!DN455</f>
        <v>0</v>
      </c>
      <c r="AK446" s="3">
        <f>[2]หน้าผ้า!DQ455</f>
        <v>0</v>
      </c>
      <c r="AL446" s="3">
        <f>[2]หน้าผ้า!DR455</f>
        <v>0</v>
      </c>
      <c r="AM446" s="3">
        <f>[2]หน้าผ้า!DS455</f>
        <v>0</v>
      </c>
      <c r="AN446" s="3">
        <f>[2]หน้าผ้า!DT455</f>
        <v>0</v>
      </c>
      <c r="AO446" s="3">
        <f>[2]หน้าผ้า!DU455</f>
        <v>0</v>
      </c>
      <c r="AP446" s="3">
        <f>[2]หน้าผ้า!DP455</f>
        <v>0</v>
      </c>
      <c r="AQ446" s="3">
        <f>[2]หน้าผ้า!DW455</f>
        <v>0</v>
      </c>
      <c r="AR446" s="3">
        <f>[2]หน้าผ้า!DX455</f>
        <v>0</v>
      </c>
      <c r="AS446" s="3">
        <f>[2]หน้าผ้า!DY455</f>
        <v>0</v>
      </c>
      <c r="AT446" s="3">
        <f>[2]หน้าผ้า!DZ455</f>
        <v>0</v>
      </c>
      <c r="AU446" s="3">
        <f>[2]หน้าผ้า!EA455</f>
        <v>0</v>
      </c>
      <c r="AV446" s="1">
        <f>[2]หน้าผ้า!EB455</f>
        <v>0</v>
      </c>
      <c r="AW446" s="2">
        <f>[2]หน้าผ้า!EC455</f>
        <v>0</v>
      </c>
      <c r="AX446" s="2">
        <f>[2]หน้าผ้า!ED455</f>
        <v>0</v>
      </c>
      <c r="AY446" s="2">
        <f>[2]หน้าผ้า!AG455</f>
        <v>0</v>
      </c>
      <c r="AZ446" s="2">
        <f>[2]หน้าผ้า!EG455</f>
        <v>0</v>
      </c>
      <c r="BA446" s="2">
        <f>[2]หน้าผ้า!EH455</f>
        <v>0</v>
      </c>
      <c r="BB446" s="2">
        <f>[2]หน้าผ้า!EI455</f>
        <v>0</v>
      </c>
      <c r="BC446" s="1">
        <f>[2]หน้าผ้า!BZ455</f>
        <v>0</v>
      </c>
      <c r="BD446" s="56">
        <f>[2]หน้าผ้า!CA455</f>
        <v>0</v>
      </c>
    </row>
    <row r="447" spans="1:56" ht="27.75" customHeight="1" x14ac:dyDescent="0.45">
      <c r="A447" s="3">
        <f>[2]หน้าผ้า!C456</f>
        <v>0</v>
      </c>
      <c r="B447" s="14">
        <f>[2]หน้าผ้า!B456</f>
        <v>0</v>
      </c>
      <c r="C447" s="9">
        <f>[2]หน้าผ้า!E456</f>
        <v>0</v>
      </c>
      <c r="D447" s="13">
        <f>[2]หน้าผ้า!F456</f>
        <v>0</v>
      </c>
      <c r="E447" s="9">
        <f>[2]หน้าผ้า!G456</f>
        <v>0</v>
      </c>
      <c r="F447" s="9">
        <f>[2]หน้าผ้า!H456</f>
        <v>0</v>
      </c>
      <c r="G447" s="9">
        <f>[2]หน้าผ้า!I456</f>
        <v>0</v>
      </c>
      <c r="H447" s="9">
        <f>[2]หน้าผ้า!J456</f>
        <v>0</v>
      </c>
      <c r="I447" s="9">
        <f>[2]หน้าผ้า!L456</f>
        <v>0</v>
      </c>
      <c r="J447" s="9">
        <f>[2]หน้าผ้า!M456</f>
        <v>0</v>
      </c>
      <c r="K447" s="9">
        <f>[2]หน้าผ้า!N456</f>
        <v>0</v>
      </c>
      <c r="L447" s="9">
        <f>[2]หน้าผ้า!R456</f>
        <v>0</v>
      </c>
      <c r="M447" s="10">
        <f>[2]หน้าผ้า!T456</f>
        <v>0</v>
      </c>
      <c r="N447" s="9">
        <f>[2]หน้าผ้า!U456</f>
        <v>0</v>
      </c>
      <c r="O447" s="9">
        <f>[2]หน้าผ้า!V456</f>
        <v>0</v>
      </c>
      <c r="P447" s="10">
        <f>[2]หน้าผ้า!AB456</f>
        <v>0</v>
      </c>
      <c r="Q447" s="10">
        <f>[2]หน้าผ้า!AC456</f>
        <v>0</v>
      </c>
      <c r="R447" s="10">
        <f>[2]หน้าผ้า!AD456</f>
        <v>0</v>
      </c>
      <c r="S447" s="9">
        <f>[2]หน้าผ้า!Z456</f>
        <v>0</v>
      </c>
      <c r="T447" s="12">
        <f>[2]หน้าผ้า!X456</f>
        <v>0</v>
      </c>
      <c r="U447" s="11">
        <f>[2]หน้าผ้า!AA456</f>
        <v>0</v>
      </c>
      <c r="V447" s="10">
        <f>[2]หน้าผ้า!AJ456</f>
        <v>0</v>
      </c>
      <c r="W447" s="10">
        <f>[2]หน้าผ้า!AL456</f>
        <v>0</v>
      </c>
      <c r="X447" s="10">
        <f>[2]หน้าผ้า!AM456</f>
        <v>0</v>
      </c>
      <c r="Y447" s="10">
        <f>[2]หน้าผ้า!AN456</f>
        <v>0</v>
      </c>
      <c r="Z447" s="9">
        <f>[2]หน้าผ้า!AO456</f>
        <v>0</v>
      </c>
      <c r="AA447" s="8">
        <f>[2]หน้าผ้า!AQ456</f>
        <v>0</v>
      </c>
      <c r="AB447" s="8">
        <f>[2]หน้าผ้า!AR456</f>
        <v>0</v>
      </c>
      <c r="AC447" s="8">
        <f>[2]หน้าผ้า!AS456</f>
        <v>0</v>
      </c>
      <c r="AD447" s="8">
        <f>[2]หน้าผ้า!AT456</f>
        <v>0</v>
      </c>
      <c r="AE447" s="8">
        <f>[2]หน้าผ้า!AU456</f>
        <v>0</v>
      </c>
      <c r="AF447" s="8">
        <f>[2]หน้าผ้า!AI456</f>
        <v>0</v>
      </c>
      <c r="AG447" s="1">
        <f>[3]หน้าผ้า!DC459</f>
        <v>0</v>
      </c>
      <c r="AH447" s="1">
        <f>[2]หน้าผ้า!DL456</f>
        <v>0</v>
      </c>
      <c r="AI447" s="1">
        <f>[2]หน้าผ้า!DM456</f>
        <v>0</v>
      </c>
      <c r="AJ447" s="3">
        <f>[2]หน้าผ้า!DN456</f>
        <v>0</v>
      </c>
      <c r="AK447" s="3">
        <f>[2]หน้าผ้า!DQ456</f>
        <v>0</v>
      </c>
      <c r="AL447" s="3">
        <f>[2]หน้าผ้า!DR456</f>
        <v>0</v>
      </c>
      <c r="AM447" s="3">
        <f>[2]หน้าผ้า!DS456</f>
        <v>0</v>
      </c>
      <c r="AN447" s="3">
        <f>[2]หน้าผ้า!DT456</f>
        <v>0</v>
      </c>
      <c r="AO447" s="3">
        <f>[2]หน้าผ้า!DU456</f>
        <v>0</v>
      </c>
      <c r="AP447" s="3">
        <f>[2]หน้าผ้า!DP456</f>
        <v>0</v>
      </c>
      <c r="AQ447" s="3">
        <f>[2]หน้าผ้า!DW456</f>
        <v>0</v>
      </c>
      <c r="AR447" s="3">
        <f>[2]หน้าผ้า!DX456</f>
        <v>0</v>
      </c>
      <c r="AS447" s="3">
        <f>[2]หน้าผ้า!DY456</f>
        <v>0</v>
      </c>
      <c r="AT447" s="3">
        <f>[2]หน้าผ้า!DZ456</f>
        <v>0</v>
      </c>
      <c r="AU447" s="3">
        <f>[2]หน้าผ้า!EA456</f>
        <v>0</v>
      </c>
      <c r="AV447" s="1">
        <f>[2]หน้าผ้า!EB456</f>
        <v>0</v>
      </c>
      <c r="AW447" s="2">
        <f>[2]หน้าผ้า!EC456</f>
        <v>0</v>
      </c>
      <c r="AX447" s="2">
        <f>[2]หน้าผ้า!ED456</f>
        <v>0</v>
      </c>
      <c r="AY447" s="2">
        <f>[2]หน้าผ้า!AG456</f>
        <v>0</v>
      </c>
      <c r="AZ447" s="2">
        <f>[2]หน้าผ้า!EG456</f>
        <v>0</v>
      </c>
      <c r="BA447" s="2">
        <f>[2]หน้าผ้า!EH456</f>
        <v>0</v>
      </c>
      <c r="BB447" s="2">
        <f>[2]หน้าผ้า!EI456</f>
        <v>0</v>
      </c>
      <c r="BC447" s="1">
        <f>[2]หน้าผ้า!BZ456</f>
        <v>0</v>
      </c>
      <c r="BD447" s="56">
        <f>[2]หน้าผ้า!CA456</f>
        <v>0</v>
      </c>
    </row>
    <row r="448" spans="1:56" ht="27.75" customHeight="1" x14ac:dyDescent="0.45">
      <c r="A448" s="3">
        <f>[2]หน้าผ้า!C457</f>
        <v>0</v>
      </c>
      <c r="B448" s="14">
        <f>[2]หน้าผ้า!B457</f>
        <v>0</v>
      </c>
      <c r="C448" s="9">
        <f>[2]หน้าผ้า!E457</f>
        <v>0</v>
      </c>
      <c r="D448" s="13">
        <f>[2]หน้าผ้า!F457</f>
        <v>0</v>
      </c>
      <c r="E448" s="9">
        <f>[2]หน้าผ้า!G457</f>
        <v>0</v>
      </c>
      <c r="F448" s="9">
        <f>[2]หน้าผ้า!H457</f>
        <v>0</v>
      </c>
      <c r="G448" s="9">
        <f>[2]หน้าผ้า!I457</f>
        <v>0</v>
      </c>
      <c r="H448" s="9">
        <f>[2]หน้าผ้า!J457</f>
        <v>0</v>
      </c>
      <c r="I448" s="9">
        <f>[2]หน้าผ้า!L457</f>
        <v>0</v>
      </c>
      <c r="J448" s="9">
        <f>[2]หน้าผ้า!M457</f>
        <v>0</v>
      </c>
      <c r="K448" s="9">
        <f>[2]หน้าผ้า!N457</f>
        <v>0</v>
      </c>
      <c r="L448" s="9">
        <f>[2]หน้าผ้า!R457</f>
        <v>0</v>
      </c>
      <c r="M448" s="10">
        <f>[2]หน้าผ้า!T457</f>
        <v>0</v>
      </c>
      <c r="N448" s="9">
        <f>[2]หน้าผ้า!U457</f>
        <v>0</v>
      </c>
      <c r="O448" s="9">
        <f>[2]หน้าผ้า!V457</f>
        <v>0</v>
      </c>
      <c r="P448" s="10">
        <f>[2]หน้าผ้า!AB457</f>
        <v>0</v>
      </c>
      <c r="Q448" s="10">
        <f>[2]หน้าผ้า!AC457</f>
        <v>0</v>
      </c>
      <c r="R448" s="10">
        <f>[2]หน้าผ้า!AD457</f>
        <v>0</v>
      </c>
      <c r="S448" s="9">
        <f>[2]หน้าผ้า!Z457</f>
        <v>0</v>
      </c>
      <c r="T448" s="12">
        <f>[2]หน้าผ้า!X457</f>
        <v>0</v>
      </c>
      <c r="U448" s="11">
        <f>[2]หน้าผ้า!AA457</f>
        <v>0</v>
      </c>
      <c r="V448" s="10">
        <f>[2]หน้าผ้า!AJ457</f>
        <v>0</v>
      </c>
      <c r="W448" s="10">
        <f>[2]หน้าผ้า!AL457</f>
        <v>0</v>
      </c>
      <c r="X448" s="10">
        <f>[2]หน้าผ้า!AM457</f>
        <v>0</v>
      </c>
      <c r="Y448" s="10">
        <f>[2]หน้าผ้า!AN457</f>
        <v>0</v>
      </c>
      <c r="Z448" s="9">
        <f>[2]หน้าผ้า!AO457</f>
        <v>0</v>
      </c>
      <c r="AA448" s="8">
        <f>[2]หน้าผ้า!AQ457</f>
        <v>0</v>
      </c>
      <c r="AB448" s="8">
        <f>[2]หน้าผ้า!AR457</f>
        <v>0</v>
      </c>
      <c r="AC448" s="8">
        <f>[2]หน้าผ้า!AS457</f>
        <v>0</v>
      </c>
      <c r="AD448" s="8">
        <f>[2]หน้าผ้า!AT457</f>
        <v>0</v>
      </c>
      <c r="AE448" s="8">
        <f>[2]หน้าผ้า!AU457</f>
        <v>0</v>
      </c>
      <c r="AF448" s="8">
        <f>[2]หน้าผ้า!AI457</f>
        <v>0</v>
      </c>
      <c r="AG448" s="1">
        <f>[3]หน้าผ้า!DC460</f>
        <v>0</v>
      </c>
      <c r="AH448" s="1">
        <f>[2]หน้าผ้า!DL457</f>
        <v>0</v>
      </c>
      <c r="AI448" s="1">
        <f>[2]หน้าผ้า!DM457</f>
        <v>0</v>
      </c>
      <c r="AJ448" s="3">
        <f>[2]หน้าผ้า!DN457</f>
        <v>0</v>
      </c>
      <c r="AK448" s="3">
        <f>[2]หน้าผ้า!DQ457</f>
        <v>0</v>
      </c>
      <c r="AL448" s="3">
        <f>[2]หน้าผ้า!DR457</f>
        <v>0</v>
      </c>
      <c r="AM448" s="3">
        <f>[2]หน้าผ้า!DS457</f>
        <v>0</v>
      </c>
      <c r="AN448" s="3">
        <f>[2]หน้าผ้า!DT457</f>
        <v>0</v>
      </c>
      <c r="AO448" s="3">
        <f>[2]หน้าผ้า!DU457</f>
        <v>0</v>
      </c>
      <c r="AP448" s="3">
        <f>[2]หน้าผ้า!DP457</f>
        <v>0</v>
      </c>
      <c r="AQ448" s="3">
        <f>[2]หน้าผ้า!DW457</f>
        <v>0</v>
      </c>
      <c r="AR448" s="3">
        <f>[2]หน้าผ้า!DX457</f>
        <v>0</v>
      </c>
      <c r="AS448" s="3">
        <f>[2]หน้าผ้า!DY457</f>
        <v>0</v>
      </c>
      <c r="AT448" s="3">
        <f>[2]หน้าผ้า!DZ457</f>
        <v>0</v>
      </c>
      <c r="AU448" s="3">
        <f>[2]หน้าผ้า!EA457</f>
        <v>0</v>
      </c>
      <c r="AV448" s="1">
        <f>[2]หน้าผ้า!EB457</f>
        <v>0</v>
      </c>
      <c r="AW448" s="2">
        <f>[2]หน้าผ้า!EC457</f>
        <v>0</v>
      </c>
      <c r="AX448" s="2">
        <f>[2]หน้าผ้า!ED457</f>
        <v>0</v>
      </c>
      <c r="AY448" s="2">
        <f>[2]หน้าผ้า!AG457</f>
        <v>0</v>
      </c>
      <c r="AZ448" s="2">
        <f>[2]หน้าผ้า!EG457</f>
        <v>0</v>
      </c>
      <c r="BA448" s="2">
        <f>[2]หน้าผ้า!EH457</f>
        <v>0</v>
      </c>
      <c r="BB448" s="2">
        <f>[2]หน้าผ้า!EI457</f>
        <v>0</v>
      </c>
      <c r="BC448" s="1">
        <f>[2]หน้าผ้า!BZ457</f>
        <v>0</v>
      </c>
      <c r="BD448" s="56">
        <f>[2]หน้าผ้า!CA457</f>
        <v>0</v>
      </c>
    </row>
    <row r="449" spans="1:56" ht="27.75" customHeight="1" x14ac:dyDescent="0.45">
      <c r="A449" s="3">
        <f>[2]หน้าผ้า!C458</f>
        <v>0</v>
      </c>
      <c r="B449" s="14">
        <f>[2]หน้าผ้า!B458</f>
        <v>0</v>
      </c>
      <c r="C449" s="9">
        <f>[2]หน้าผ้า!E458</f>
        <v>0</v>
      </c>
      <c r="D449" s="13">
        <f>[2]หน้าผ้า!F458</f>
        <v>0</v>
      </c>
      <c r="E449" s="9">
        <f>[2]หน้าผ้า!G458</f>
        <v>0</v>
      </c>
      <c r="F449" s="9">
        <f>[2]หน้าผ้า!H458</f>
        <v>0</v>
      </c>
      <c r="G449" s="9">
        <f>[2]หน้าผ้า!I458</f>
        <v>0</v>
      </c>
      <c r="H449" s="9">
        <f>[2]หน้าผ้า!J458</f>
        <v>0</v>
      </c>
      <c r="I449" s="9">
        <f>[2]หน้าผ้า!L458</f>
        <v>0</v>
      </c>
      <c r="J449" s="9">
        <f>[2]หน้าผ้า!M458</f>
        <v>0</v>
      </c>
      <c r="K449" s="9">
        <f>[2]หน้าผ้า!N458</f>
        <v>0</v>
      </c>
      <c r="L449" s="9">
        <f>[2]หน้าผ้า!R458</f>
        <v>0</v>
      </c>
      <c r="M449" s="10">
        <f>[2]หน้าผ้า!T458</f>
        <v>0</v>
      </c>
      <c r="N449" s="9">
        <f>[2]หน้าผ้า!U458</f>
        <v>0</v>
      </c>
      <c r="O449" s="9">
        <f>[2]หน้าผ้า!V458</f>
        <v>0</v>
      </c>
      <c r="P449" s="10">
        <f>[2]หน้าผ้า!AB458</f>
        <v>0</v>
      </c>
      <c r="Q449" s="10">
        <f>[2]หน้าผ้า!AC458</f>
        <v>0</v>
      </c>
      <c r="R449" s="10">
        <f>[2]หน้าผ้า!AD458</f>
        <v>0</v>
      </c>
      <c r="S449" s="9">
        <f>[2]หน้าผ้า!Z458</f>
        <v>0</v>
      </c>
      <c r="T449" s="12">
        <f>[2]หน้าผ้า!X458</f>
        <v>0</v>
      </c>
      <c r="U449" s="11">
        <f>[2]หน้าผ้า!AA458</f>
        <v>0</v>
      </c>
      <c r="V449" s="10">
        <f>[2]หน้าผ้า!AJ458</f>
        <v>0</v>
      </c>
      <c r="W449" s="10">
        <f>[2]หน้าผ้า!AL458</f>
        <v>0</v>
      </c>
      <c r="X449" s="10">
        <f>[2]หน้าผ้า!AM458</f>
        <v>0</v>
      </c>
      <c r="Y449" s="10">
        <f>[2]หน้าผ้า!AN458</f>
        <v>0</v>
      </c>
      <c r="Z449" s="9">
        <f>[2]หน้าผ้า!AO458</f>
        <v>0</v>
      </c>
      <c r="AA449" s="8">
        <f>[2]หน้าผ้า!AQ458</f>
        <v>0</v>
      </c>
      <c r="AB449" s="8">
        <f>[2]หน้าผ้า!AR458</f>
        <v>0</v>
      </c>
      <c r="AC449" s="8">
        <f>[2]หน้าผ้า!AS458</f>
        <v>0</v>
      </c>
      <c r="AD449" s="8">
        <f>[2]หน้าผ้า!AT458</f>
        <v>0</v>
      </c>
      <c r="AE449" s="8">
        <f>[2]หน้าผ้า!AU458</f>
        <v>0</v>
      </c>
      <c r="AF449" s="8">
        <f>[2]หน้าผ้า!AI458</f>
        <v>0</v>
      </c>
      <c r="AG449" s="1">
        <f>[3]หน้าผ้า!DC461</f>
        <v>0</v>
      </c>
      <c r="AH449" s="1">
        <f>[2]หน้าผ้า!DL458</f>
        <v>0</v>
      </c>
      <c r="AI449" s="1">
        <f>[2]หน้าผ้า!DM458</f>
        <v>0</v>
      </c>
      <c r="AJ449" s="3">
        <f>[2]หน้าผ้า!DN458</f>
        <v>0</v>
      </c>
      <c r="AK449" s="3">
        <f>[2]หน้าผ้า!DQ458</f>
        <v>0</v>
      </c>
      <c r="AL449" s="3">
        <f>[2]หน้าผ้า!DR458</f>
        <v>0</v>
      </c>
      <c r="AM449" s="3">
        <f>[2]หน้าผ้า!DS458</f>
        <v>0</v>
      </c>
      <c r="AN449" s="3">
        <f>[2]หน้าผ้า!DT458</f>
        <v>0</v>
      </c>
      <c r="AO449" s="3">
        <f>[2]หน้าผ้า!DU458</f>
        <v>0</v>
      </c>
      <c r="AP449" s="3">
        <f>[2]หน้าผ้า!DP458</f>
        <v>0</v>
      </c>
      <c r="AQ449" s="3">
        <f>[2]หน้าผ้า!DW458</f>
        <v>0</v>
      </c>
      <c r="AR449" s="3">
        <f>[2]หน้าผ้า!DX458</f>
        <v>0</v>
      </c>
      <c r="AS449" s="3">
        <f>[2]หน้าผ้า!DY458</f>
        <v>0</v>
      </c>
      <c r="AT449" s="3">
        <f>[2]หน้าผ้า!DZ458</f>
        <v>0</v>
      </c>
      <c r="AU449" s="3">
        <f>[2]หน้าผ้า!EA458</f>
        <v>0</v>
      </c>
      <c r="AV449" s="1">
        <f>[2]หน้าผ้า!EB458</f>
        <v>0</v>
      </c>
      <c r="AW449" s="2">
        <f>[2]หน้าผ้า!EC458</f>
        <v>0</v>
      </c>
      <c r="AX449" s="2">
        <f>[2]หน้าผ้า!ED458</f>
        <v>0</v>
      </c>
      <c r="AY449" s="2">
        <f>[2]หน้าผ้า!AG458</f>
        <v>0</v>
      </c>
      <c r="AZ449" s="2">
        <f>[2]หน้าผ้า!EG458</f>
        <v>0</v>
      </c>
      <c r="BA449" s="2">
        <f>[2]หน้าผ้า!EH458</f>
        <v>0</v>
      </c>
      <c r="BB449" s="2">
        <f>[2]หน้าผ้า!EI458</f>
        <v>0</v>
      </c>
      <c r="BC449" s="1">
        <f>[2]หน้าผ้า!BZ458</f>
        <v>0</v>
      </c>
      <c r="BD449" s="56">
        <f>[2]หน้าผ้า!CA458</f>
        <v>0</v>
      </c>
    </row>
    <row r="450" spans="1:56" ht="27.75" customHeight="1" x14ac:dyDescent="0.45">
      <c r="A450" s="3">
        <f>[2]หน้าผ้า!C459</f>
        <v>0</v>
      </c>
      <c r="B450" s="14">
        <f>[2]หน้าผ้า!B459</f>
        <v>0</v>
      </c>
      <c r="C450" s="9">
        <f>[2]หน้าผ้า!E459</f>
        <v>0</v>
      </c>
      <c r="D450" s="13">
        <f>[2]หน้าผ้า!F459</f>
        <v>0</v>
      </c>
      <c r="E450" s="9">
        <f>[2]หน้าผ้า!G459</f>
        <v>0</v>
      </c>
      <c r="F450" s="9">
        <f>[2]หน้าผ้า!H459</f>
        <v>0</v>
      </c>
      <c r="G450" s="9">
        <f>[2]หน้าผ้า!I459</f>
        <v>0</v>
      </c>
      <c r="H450" s="9">
        <f>[2]หน้าผ้า!J459</f>
        <v>0</v>
      </c>
      <c r="I450" s="9">
        <f>[2]หน้าผ้า!L459</f>
        <v>0</v>
      </c>
      <c r="J450" s="9">
        <f>[2]หน้าผ้า!M459</f>
        <v>0</v>
      </c>
      <c r="K450" s="9">
        <f>[2]หน้าผ้า!N459</f>
        <v>0</v>
      </c>
      <c r="L450" s="9">
        <f>[2]หน้าผ้า!R459</f>
        <v>0</v>
      </c>
      <c r="M450" s="10">
        <f>[2]หน้าผ้า!T459</f>
        <v>0</v>
      </c>
      <c r="N450" s="9">
        <f>[2]หน้าผ้า!U459</f>
        <v>0</v>
      </c>
      <c r="O450" s="9">
        <f>[2]หน้าผ้า!V459</f>
        <v>0</v>
      </c>
      <c r="P450" s="10">
        <f>[2]หน้าผ้า!AB459</f>
        <v>0</v>
      </c>
      <c r="Q450" s="10">
        <f>[2]หน้าผ้า!AC459</f>
        <v>0</v>
      </c>
      <c r="R450" s="10">
        <f>[2]หน้าผ้า!AD459</f>
        <v>0</v>
      </c>
      <c r="S450" s="9">
        <f>[2]หน้าผ้า!Z459</f>
        <v>0</v>
      </c>
      <c r="T450" s="12">
        <f>[2]หน้าผ้า!X459</f>
        <v>0</v>
      </c>
      <c r="U450" s="11">
        <f>[2]หน้าผ้า!AA459</f>
        <v>0</v>
      </c>
      <c r="V450" s="10">
        <f>[2]หน้าผ้า!AJ459</f>
        <v>0</v>
      </c>
      <c r="W450" s="10">
        <f>[2]หน้าผ้า!AL459</f>
        <v>0</v>
      </c>
      <c r="X450" s="10">
        <f>[2]หน้าผ้า!AM459</f>
        <v>0</v>
      </c>
      <c r="Y450" s="10">
        <f>[2]หน้าผ้า!AN459</f>
        <v>0</v>
      </c>
      <c r="Z450" s="9">
        <f>[2]หน้าผ้า!AO459</f>
        <v>0</v>
      </c>
      <c r="AA450" s="8">
        <f>[2]หน้าผ้า!AQ459</f>
        <v>0</v>
      </c>
      <c r="AB450" s="8">
        <f>[2]หน้าผ้า!AR459</f>
        <v>0</v>
      </c>
      <c r="AC450" s="8">
        <f>[2]หน้าผ้า!AS459</f>
        <v>0</v>
      </c>
      <c r="AD450" s="8">
        <f>[2]หน้าผ้า!AT459</f>
        <v>0</v>
      </c>
      <c r="AE450" s="8">
        <f>[2]หน้าผ้า!AU459</f>
        <v>0</v>
      </c>
      <c r="AF450" s="8">
        <f>[2]หน้าผ้า!AI459</f>
        <v>0</v>
      </c>
      <c r="AG450" s="1">
        <f>[3]หน้าผ้า!DC462</f>
        <v>0</v>
      </c>
      <c r="AH450" s="1">
        <f>[2]หน้าผ้า!DL459</f>
        <v>0</v>
      </c>
      <c r="AI450" s="1">
        <f>[2]หน้าผ้า!DM459</f>
        <v>0</v>
      </c>
      <c r="AJ450" s="3">
        <f>[2]หน้าผ้า!DN459</f>
        <v>0</v>
      </c>
      <c r="AK450" s="3">
        <f>[2]หน้าผ้า!DQ459</f>
        <v>0</v>
      </c>
      <c r="AL450" s="3">
        <f>[2]หน้าผ้า!DR459</f>
        <v>0</v>
      </c>
      <c r="AM450" s="3">
        <f>[2]หน้าผ้า!DS459</f>
        <v>0</v>
      </c>
      <c r="AN450" s="3">
        <f>[2]หน้าผ้า!DT459</f>
        <v>0</v>
      </c>
      <c r="AO450" s="3">
        <f>[2]หน้าผ้า!DU459</f>
        <v>0</v>
      </c>
      <c r="AP450" s="3">
        <f>[2]หน้าผ้า!DP459</f>
        <v>0</v>
      </c>
      <c r="AQ450" s="3">
        <f>[2]หน้าผ้า!DW459</f>
        <v>0</v>
      </c>
      <c r="AR450" s="3">
        <f>[2]หน้าผ้า!DX459</f>
        <v>0</v>
      </c>
      <c r="AS450" s="3">
        <f>[2]หน้าผ้า!DY459</f>
        <v>0</v>
      </c>
      <c r="AT450" s="3">
        <f>[2]หน้าผ้า!DZ459</f>
        <v>0</v>
      </c>
      <c r="AU450" s="3">
        <f>[2]หน้าผ้า!EA459</f>
        <v>0</v>
      </c>
      <c r="AV450" s="1">
        <f>[2]หน้าผ้า!EB459</f>
        <v>0</v>
      </c>
      <c r="AW450" s="2">
        <f>[2]หน้าผ้า!EC459</f>
        <v>0</v>
      </c>
      <c r="AX450" s="2">
        <f>[2]หน้าผ้า!ED459</f>
        <v>0</v>
      </c>
      <c r="AY450" s="2">
        <f>[2]หน้าผ้า!AG459</f>
        <v>0</v>
      </c>
      <c r="AZ450" s="2">
        <f>[2]หน้าผ้า!EG459</f>
        <v>0</v>
      </c>
      <c r="BA450" s="2">
        <f>[2]หน้าผ้า!EH459</f>
        <v>0</v>
      </c>
      <c r="BB450" s="2">
        <f>[2]หน้าผ้า!EI459</f>
        <v>0</v>
      </c>
      <c r="BC450" s="1">
        <f>[2]หน้าผ้า!BZ459</f>
        <v>0</v>
      </c>
      <c r="BD450" s="56">
        <f>[2]หน้าผ้า!CA459</f>
        <v>0</v>
      </c>
    </row>
    <row r="451" spans="1:56" ht="27.75" customHeight="1" x14ac:dyDescent="0.45">
      <c r="A451" s="3">
        <f>[2]หน้าผ้า!C460</f>
        <v>0</v>
      </c>
      <c r="B451" s="14">
        <f>[2]หน้าผ้า!B460</f>
        <v>0</v>
      </c>
      <c r="C451" s="9">
        <f>[2]หน้าผ้า!E460</f>
        <v>0</v>
      </c>
      <c r="D451" s="13">
        <f>[2]หน้าผ้า!F460</f>
        <v>0</v>
      </c>
      <c r="E451" s="9">
        <f>[2]หน้าผ้า!G460</f>
        <v>0</v>
      </c>
      <c r="F451" s="9">
        <f>[2]หน้าผ้า!H460</f>
        <v>0</v>
      </c>
      <c r="G451" s="9">
        <f>[2]หน้าผ้า!I460</f>
        <v>0</v>
      </c>
      <c r="H451" s="9">
        <f>[2]หน้าผ้า!J460</f>
        <v>0</v>
      </c>
      <c r="I451" s="9">
        <f>[2]หน้าผ้า!L460</f>
        <v>0</v>
      </c>
      <c r="J451" s="9">
        <f>[2]หน้าผ้า!M460</f>
        <v>0</v>
      </c>
      <c r="K451" s="9">
        <f>[2]หน้าผ้า!N460</f>
        <v>0</v>
      </c>
      <c r="L451" s="9">
        <f>[2]หน้าผ้า!R460</f>
        <v>0</v>
      </c>
      <c r="M451" s="10">
        <f>[2]หน้าผ้า!T460</f>
        <v>0</v>
      </c>
      <c r="N451" s="9">
        <f>[2]หน้าผ้า!U460</f>
        <v>0</v>
      </c>
      <c r="O451" s="9">
        <f>[2]หน้าผ้า!V460</f>
        <v>0</v>
      </c>
      <c r="P451" s="10">
        <f>[2]หน้าผ้า!AB460</f>
        <v>0</v>
      </c>
      <c r="Q451" s="10">
        <f>[2]หน้าผ้า!AC460</f>
        <v>0</v>
      </c>
      <c r="R451" s="10">
        <f>[2]หน้าผ้า!AD460</f>
        <v>0</v>
      </c>
      <c r="S451" s="9">
        <f>[2]หน้าผ้า!Z460</f>
        <v>0</v>
      </c>
      <c r="T451" s="12">
        <f>[2]หน้าผ้า!X460</f>
        <v>0</v>
      </c>
      <c r="U451" s="11">
        <f>[2]หน้าผ้า!AA460</f>
        <v>0</v>
      </c>
      <c r="V451" s="10">
        <f>[2]หน้าผ้า!AJ460</f>
        <v>0</v>
      </c>
      <c r="W451" s="10">
        <f>[2]หน้าผ้า!AL460</f>
        <v>0</v>
      </c>
      <c r="X451" s="10">
        <f>[2]หน้าผ้า!AM460</f>
        <v>0</v>
      </c>
      <c r="Y451" s="10">
        <f>[2]หน้าผ้า!AN460</f>
        <v>0</v>
      </c>
      <c r="Z451" s="9">
        <f>[2]หน้าผ้า!AO460</f>
        <v>0</v>
      </c>
      <c r="AA451" s="8">
        <f>[2]หน้าผ้า!AQ460</f>
        <v>0</v>
      </c>
      <c r="AB451" s="8">
        <f>[2]หน้าผ้า!AR460</f>
        <v>0</v>
      </c>
      <c r="AC451" s="8">
        <f>[2]หน้าผ้า!AS460</f>
        <v>0</v>
      </c>
      <c r="AD451" s="8">
        <f>[2]หน้าผ้า!AT460</f>
        <v>0</v>
      </c>
      <c r="AE451" s="8">
        <f>[2]หน้าผ้า!AU460</f>
        <v>0</v>
      </c>
      <c r="AF451" s="8">
        <f>[2]หน้าผ้า!AI460</f>
        <v>0</v>
      </c>
      <c r="AG451" s="1">
        <f>[3]หน้าผ้า!DC463</f>
        <v>0</v>
      </c>
      <c r="AH451" s="1">
        <f>[2]หน้าผ้า!DL460</f>
        <v>0</v>
      </c>
      <c r="AI451" s="1">
        <f>[2]หน้าผ้า!DM460</f>
        <v>0</v>
      </c>
      <c r="AJ451" s="3">
        <f>[2]หน้าผ้า!DN460</f>
        <v>0</v>
      </c>
      <c r="AK451" s="3">
        <f>[2]หน้าผ้า!DQ460</f>
        <v>0</v>
      </c>
      <c r="AL451" s="3">
        <f>[2]หน้าผ้า!DR460</f>
        <v>0</v>
      </c>
      <c r="AM451" s="3">
        <f>[2]หน้าผ้า!DS460</f>
        <v>0</v>
      </c>
      <c r="AN451" s="3">
        <f>[2]หน้าผ้า!DT460</f>
        <v>0</v>
      </c>
      <c r="AO451" s="3">
        <f>[2]หน้าผ้า!DU460</f>
        <v>0</v>
      </c>
      <c r="AP451" s="3">
        <f>[2]หน้าผ้า!DP460</f>
        <v>0</v>
      </c>
      <c r="AQ451" s="3">
        <f>[2]หน้าผ้า!DW460</f>
        <v>0</v>
      </c>
      <c r="AR451" s="3">
        <f>[2]หน้าผ้า!DX460</f>
        <v>0</v>
      </c>
      <c r="AS451" s="3">
        <f>[2]หน้าผ้า!DY460</f>
        <v>0</v>
      </c>
      <c r="AT451" s="3">
        <f>[2]หน้าผ้า!DZ460</f>
        <v>0</v>
      </c>
      <c r="AU451" s="3">
        <f>[2]หน้าผ้า!EA460</f>
        <v>0</v>
      </c>
      <c r="AV451" s="1">
        <f>[2]หน้าผ้า!EB460</f>
        <v>0</v>
      </c>
      <c r="AW451" s="2">
        <f>[2]หน้าผ้า!EC460</f>
        <v>0</v>
      </c>
      <c r="AX451" s="2">
        <f>[2]หน้าผ้า!ED460</f>
        <v>0</v>
      </c>
      <c r="AY451" s="2">
        <f>[2]หน้าผ้า!AG460</f>
        <v>0</v>
      </c>
      <c r="AZ451" s="2">
        <f>[2]หน้าผ้า!EG460</f>
        <v>0</v>
      </c>
      <c r="BA451" s="2">
        <f>[2]หน้าผ้า!EH460</f>
        <v>0</v>
      </c>
      <c r="BB451" s="2">
        <f>[2]หน้าผ้า!EI460</f>
        <v>0</v>
      </c>
      <c r="BC451" s="1">
        <f>[2]หน้าผ้า!BZ460</f>
        <v>0</v>
      </c>
      <c r="BD451" s="56">
        <f>[2]หน้าผ้า!CA460</f>
        <v>0</v>
      </c>
    </row>
    <row r="452" spans="1:56" ht="27.75" customHeight="1" x14ac:dyDescent="0.45">
      <c r="A452" s="3">
        <f>[2]หน้าผ้า!C461</f>
        <v>0</v>
      </c>
      <c r="B452" s="14">
        <f>[2]หน้าผ้า!B461</f>
        <v>0</v>
      </c>
      <c r="C452" s="9">
        <f>[2]หน้าผ้า!E461</f>
        <v>0</v>
      </c>
      <c r="D452" s="13">
        <f>[2]หน้าผ้า!F461</f>
        <v>0</v>
      </c>
      <c r="E452" s="9">
        <f>[2]หน้าผ้า!G461</f>
        <v>0</v>
      </c>
      <c r="F452" s="9">
        <f>[2]หน้าผ้า!H461</f>
        <v>0</v>
      </c>
      <c r="G452" s="9">
        <f>[2]หน้าผ้า!I461</f>
        <v>0</v>
      </c>
      <c r="H452" s="9">
        <f>[2]หน้าผ้า!J461</f>
        <v>0</v>
      </c>
      <c r="I452" s="9">
        <f>[2]หน้าผ้า!L461</f>
        <v>0</v>
      </c>
      <c r="J452" s="9">
        <f>[2]หน้าผ้า!M461</f>
        <v>0</v>
      </c>
      <c r="K452" s="9">
        <f>[2]หน้าผ้า!N461</f>
        <v>0</v>
      </c>
      <c r="L452" s="9">
        <f>[2]หน้าผ้า!R461</f>
        <v>0</v>
      </c>
      <c r="M452" s="10">
        <f>[2]หน้าผ้า!T461</f>
        <v>0</v>
      </c>
      <c r="N452" s="9">
        <f>[2]หน้าผ้า!U461</f>
        <v>0</v>
      </c>
      <c r="O452" s="9">
        <f>[2]หน้าผ้า!V461</f>
        <v>0</v>
      </c>
      <c r="P452" s="10">
        <f>[2]หน้าผ้า!AB461</f>
        <v>0</v>
      </c>
      <c r="Q452" s="10">
        <f>[2]หน้าผ้า!AC461</f>
        <v>0</v>
      </c>
      <c r="R452" s="10">
        <f>[2]หน้าผ้า!AD461</f>
        <v>0</v>
      </c>
      <c r="S452" s="9">
        <f>[2]หน้าผ้า!Z461</f>
        <v>0</v>
      </c>
      <c r="T452" s="12">
        <f>[2]หน้าผ้า!X461</f>
        <v>0</v>
      </c>
      <c r="U452" s="11">
        <f>[2]หน้าผ้า!AA461</f>
        <v>0</v>
      </c>
      <c r="V452" s="10">
        <f>[2]หน้าผ้า!AJ461</f>
        <v>0</v>
      </c>
      <c r="W452" s="10">
        <f>[2]หน้าผ้า!AL461</f>
        <v>0</v>
      </c>
      <c r="X452" s="10">
        <f>[2]หน้าผ้า!AM461</f>
        <v>0</v>
      </c>
      <c r="Y452" s="10">
        <f>[2]หน้าผ้า!AN461</f>
        <v>0</v>
      </c>
      <c r="Z452" s="9">
        <f>[2]หน้าผ้า!AO461</f>
        <v>0</v>
      </c>
      <c r="AA452" s="8">
        <f>[2]หน้าผ้า!AQ461</f>
        <v>0</v>
      </c>
      <c r="AB452" s="8">
        <f>[2]หน้าผ้า!AR461</f>
        <v>0</v>
      </c>
      <c r="AC452" s="8">
        <f>[2]หน้าผ้า!AS461</f>
        <v>0</v>
      </c>
      <c r="AD452" s="8">
        <f>[2]หน้าผ้า!AT461</f>
        <v>0</v>
      </c>
      <c r="AE452" s="8">
        <f>[2]หน้าผ้า!AU461</f>
        <v>0</v>
      </c>
      <c r="AF452" s="8">
        <f>[2]หน้าผ้า!AI461</f>
        <v>0</v>
      </c>
      <c r="AG452" s="1">
        <f>[3]หน้าผ้า!DC464</f>
        <v>0</v>
      </c>
      <c r="AH452" s="1">
        <f>[2]หน้าผ้า!DL461</f>
        <v>0</v>
      </c>
      <c r="AI452" s="1">
        <f>[2]หน้าผ้า!DM461</f>
        <v>0</v>
      </c>
      <c r="AJ452" s="3">
        <f>[2]หน้าผ้า!DN461</f>
        <v>0</v>
      </c>
      <c r="AK452" s="3">
        <f>[2]หน้าผ้า!DQ461</f>
        <v>0</v>
      </c>
      <c r="AL452" s="3">
        <f>[2]หน้าผ้า!DR461</f>
        <v>0</v>
      </c>
      <c r="AM452" s="3">
        <f>[2]หน้าผ้า!DS461</f>
        <v>0</v>
      </c>
      <c r="AN452" s="3">
        <f>[2]หน้าผ้า!DT461</f>
        <v>0</v>
      </c>
      <c r="AO452" s="3">
        <f>[2]หน้าผ้า!DU461</f>
        <v>0</v>
      </c>
      <c r="AP452" s="3">
        <f>[2]หน้าผ้า!DP461</f>
        <v>0</v>
      </c>
      <c r="AQ452" s="3">
        <f>[2]หน้าผ้า!DW461</f>
        <v>0</v>
      </c>
      <c r="AR452" s="3">
        <f>[2]หน้าผ้า!DX461</f>
        <v>0</v>
      </c>
      <c r="AS452" s="3">
        <f>[2]หน้าผ้า!DY461</f>
        <v>0</v>
      </c>
      <c r="AT452" s="3">
        <f>[2]หน้าผ้า!DZ461</f>
        <v>0</v>
      </c>
      <c r="AU452" s="3">
        <f>[2]หน้าผ้า!EA461</f>
        <v>0</v>
      </c>
      <c r="AV452" s="1">
        <f>[2]หน้าผ้า!EB461</f>
        <v>0</v>
      </c>
      <c r="AW452" s="2">
        <f>[2]หน้าผ้า!EC461</f>
        <v>0</v>
      </c>
      <c r="AX452" s="2">
        <f>[2]หน้าผ้า!ED461</f>
        <v>0</v>
      </c>
      <c r="AY452" s="2">
        <f>[2]หน้าผ้า!AG461</f>
        <v>0</v>
      </c>
      <c r="AZ452" s="2">
        <f>[2]หน้าผ้า!EG461</f>
        <v>0</v>
      </c>
      <c r="BA452" s="2">
        <f>[2]หน้าผ้า!EH461</f>
        <v>0</v>
      </c>
      <c r="BB452" s="2">
        <f>[2]หน้าผ้า!EI461</f>
        <v>0</v>
      </c>
      <c r="BC452" s="1">
        <f>[2]หน้าผ้า!BZ461</f>
        <v>0</v>
      </c>
      <c r="BD452" s="56">
        <f>[2]หน้าผ้า!CA461</f>
        <v>0</v>
      </c>
    </row>
    <row r="453" spans="1:56" ht="27.75" customHeight="1" x14ac:dyDescent="0.45">
      <c r="A453" s="3">
        <f>[2]หน้าผ้า!C462</f>
        <v>0</v>
      </c>
      <c r="B453" s="14">
        <f>[2]หน้าผ้า!B462</f>
        <v>0</v>
      </c>
      <c r="C453" s="9">
        <f>[2]หน้าผ้า!E462</f>
        <v>0</v>
      </c>
      <c r="D453" s="13">
        <f>[2]หน้าผ้า!F462</f>
        <v>0</v>
      </c>
      <c r="E453" s="9">
        <f>[2]หน้าผ้า!G462</f>
        <v>0</v>
      </c>
      <c r="F453" s="9">
        <f>[2]หน้าผ้า!H462</f>
        <v>0</v>
      </c>
      <c r="G453" s="9">
        <f>[2]หน้าผ้า!I462</f>
        <v>0</v>
      </c>
      <c r="H453" s="9">
        <f>[2]หน้าผ้า!J462</f>
        <v>0</v>
      </c>
      <c r="I453" s="9">
        <f>[2]หน้าผ้า!L462</f>
        <v>0</v>
      </c>
      <c r="J453" s="9">
        <f>[2]หน้าผ้า!M462</f>
        <v>0</v>
      </c>
      <c r="K453" s="9">
        <f>[2]หน้าผ้า!N462</f>
        <v>0</v>
      </c>
      <c r="L453" s="9">
        <f>[2]หน้าผ้า!R462</f>
        <v>0</v>
      </c>
      <c r="M453" s="10">
        <f>[2]หน้าผ้า!T462</f>
        <v>0</v>
      </c>
      <c r="N453" s="9">
        <f>[2]หน้าผ้า!U462</f>
        <v>0</v>
      </c>
      <c r="O453" s="9">
        <f>[2]หน้าผ้า!V462</f>
        <v>0</v>
      </c>
      <c r="P453" s="10">
        <f>[2]หน้าผ้า!AB462</f>
        <v>0</v>
      </c>
      <c r="Q453" s="10">
        <f>[2]หน้าผ้า!AC462</f>
        <v>0</v>
      </c>
      <c r="R453" s="10">
        <f>[2]หน้าผ้า!AD462</f>
        <v>0</v>
      </c>
      <c r="S453" s="9">
        <f>[2]หน้าผ้า!Z462</f>
        <v>0</v>
      </c>
      <c r="T453" s="12">
        <f>[2]หน้าผ้า!X462</f>
        <v>0</v>
      </c>
      <c r="U453" s="11">
        <f>[2]หน้าผ้า!AA462</f>
        <v>0</v>
      </c>
      <c r="V453" s="10">
        <f>[2]หน้าผ้า!AJ462</f>
        <v>0</v>
      </c>
      <c r="W453" s="10">
        <f>[2]หน้าผ้า!AL462</f>
        <v>0</v>
      </c>
      <c r="X453" s="10">
        <f>[2]หน้าผ้า!AM462</f>
        <v>0</v>
      </c>
      <c r="Y453" s="10">
        <f>[2]หน้าผ้า!AN462</f>
        <v>0</v>
      </c>
      <c r="Z453" s="9">
        <f>[2]หน้าผ้า!AO462</f>
        <v>0</v>
      </c>
      <c r="AA453" s="8">
        <f>[2]หน้าผ้า!AQ462</f>
        <v>0</v>
      </c>
      <c r="AB453" s="8">
        <f>[2]หน้าผ้า!AR462</f>
        <v>0</v>
      </c>
      <c r="AC453" s="8">
        <f>[2]หน้าผ้า!AS462</f>
        <v>0</v>
      </c>
      <c r="AD453" s="8">
        <f>[2]หน้าผ้า!AT462</f>
        <v>0</v>
      </c>
      <c r="AE453" s="8">
        <f>[2]หน้าผ้า!AU462</f>
        <v>0</v>
      </c>
      <c r="AF453" s="8">
        <f>[2]หน้าผ้า!AI462</f>
        <v>0</v>
      </c>
      <c r="AG453" s="1">
        <f>[3]หน้าผ้า!DC465</f>
        <v>0</v>
      </c>
      <c r="AH453" s="1">
        <f>[2]หน้าผ้า!DL462</f>
        <v>0</v>
      </c>
      <c r="AI453" s="1">
        <f>[2]หน้าผ้า!DM462</f>
        <v>0</v>
      </c>
      <c r="AJ453" s="3">
        <f>[2]หน้าผ้า!DN462</f>
        <v>0</v>
      </c>
      <c r="AK453" s="3">
        <f>[2]หน้าผ้า!DQ462</f>
        <v>0</v>
      </c>
      <c r="AL453" s="3">
        <f>[2]หน้าผ้า!DR462</f>
        <v>0</v>
      </c>
      <c r="AM453" s="3">
        <f>[2]หน้าผ้า!DS462</f>
        <v>0</v>
      </c>
      <c r="AN453" s="3">
        <f>[2]หน้าผ้า!DT462</f>
        <v>0</v>
      </c>
      <c r="AO453" s="3">
        <f>[2]หน้าผ้า!DU462</f>
        <v>0</v>
      </c>
      <c r="AP453" s="3">
        <f>[2]หน้าผ้า!DP462</f>
        <v>0</v>
      </c>
      <c r="AQ453" s="3">
        <f>[2]หน้าผ้า!DW462</f>
        <v>0</v>
      </c>
      <c r="AR453" s="3">
        <f>[2]หน้าผ้า!DX462</f>
        <v>0</v>
      </c>
      <c r="AS453" s="3">
        <f>[2]หน้าผ้า!DY462</f>
        <v>0</v>
      </c>
      <c r="AT453" s="3">
        <f>[2]หน้าผ้า!DZ462</f>
        <v>0</v>
      </c>
      <c r="AU453" s="3">
        <f>[2]หน้าผ้า!EA462</f>
        <v>0</v>
      </c>
      <c r="AV453" s="1">
        <f>[2]หน้าผ้า!EB462</f>
        <v>0</v>
      </c>
      <c r="AW453" s="2">
        <f>[2]หน้าผ้า!EC462</f>
        <v>0</v>
      </c>
      <c r="AX453" s="2">
        <f>[2]หน้าผ้า!ED462</f>
        <v>0</v>
      </c>
      <c r="AY453" s="2">
        <f>[2]หน้าผ้า!AG462</f>
        <v>0</v>
      </c>
      <c r="AZ453" s="2">
        <f>[2]หน้าผ้า!EG462</f>
        <v>0</v>
      </c>
      <c r="BA453" s="2">
        <f>[2]หน้าผ้า!EH462</f>
        <v>0</v>
      </c>
      <c r="BB453" s="2">
        <f>[2]หน้าผ้า!EI462</f>
        <v>0</v>
      </c>
      <c r="BC453" s="1">
        <f>[2]หน้าผ้า!BZ462</f>
        <v>0</v>
      </c>
      <c r="BD453" s="56">
        <f>[2]หน้าผ้า!CA462</f>
        <v>0</v>
      </c>
    </row>
    <row r="454" spans="1:56" ht="27.75" customHeight="1" x14ac:dyDescent="0.45">
      <c r="A454" s="3">
        <f>[2]หน้าผ้า!C463</f>
        <v>0</v>
      </c>
      <c r="B454" s="14">
        <f>[2]หน้าผ้า!B463</f>
        <v>0</v>
      </c>
      <c r="C454" s="9">
        <f>[2]หน้าผ้า!E463</f>
        <v>0</v>
      </c>
      <c r="D454" s="13">
        <f>[2]หน้าผ้า!F463</f>
        <v>0</v>
      </c>
      <c r="E454" s="9">
        <f>[2]หน้าผ้า!G463</f>
        <v>0</v>
      </c>
      <c r="F454" s="9">
        <f>[2]หน้าผ้า!H463</f>
        <v>0</v>
      </c>
      <c r="G454" s="9">
        <f>[2]หน้าผ้า!I463</f>
        <v>0</v>
      </c>
      <c r="H454" s="9">
        <f>[2]หน้าผ้า!J463</f>
        <v>0</v>
      </c>
      <c r="I454" s="9">
        <f>[2]หน้าผ้า!L463</f>
        <v>0</v>
      </c>
      <c r="J454" s="9">
        <f>[2]หน้าผ้า!M463</f>
        <v>0</v>
      </c>
      <c r="K454" s="9">
        <f>[2]หน้าผ้า!N463</f>
        <v>0</v>
      </c>
      <c r="L454" s="9">
        <f>[2]หน้าผ้า!R463</f>
        <v>0</v>
      </c>
      <c r="M454" s="10">
        <f>[2]หน้าผ้า!T463</f>
        <v>0</v>
      </c>
      <c r="N454" s="9">
        <f>[2]หน้าผ้า!U463</f>
        <v>0</v>
      </c>
      <c r="O454" s="9">
        <f>[2]หน้าผ้า!V463</f>
        <v>0</v>
      </c>
      <c r="P454" s="10">
        <f>[2]หน้าผ้า!AB463</f>
        <v>0</v>
      </c>
      <c r="Q454" s="10">
        <f>[2]หน้าผ้า!AC463</f>
        <v>0</v>
      </c>
      <c r="R454" s="10">
        <f>[2]หน้าผ้า!AD463</f>
        <v>0</v>
      </c>
      <c r="S454" s="9">
        <f>[2]หน้าผ้า!Z463</f>
        <v>0</v>
      </c>
      <c r="T454" s="12">
        <f>[2]หน้าผ้า!X463</f>
        <v>0</v>
      </c>
      <c r="U454" s="11">
        <f>[2]หน้าผ้า!AA463</f>
        <v>0</v>
      </c>
      <c r="V454" s="10">
        <f>[2]หน้าผ้า!AJ463</f>
        <v>0</v>
      </c>
      <c r="W454" s="10">
        <f>[2]หน้าผ้า!AL463</f>
        <v>0</v>
      </c>
      <c r="X454" s="10">
        <f>[2]หน้าผ้า!AM463</f>
        <v>0</v>
      </c>
      <c r="Y454" s="10">
        <f>[2]หน้าผ้า!AN463</f>
        <v>0</v>
      </c>
      <c r="Z454" s="9">
        <f>[2]หน้าผ้า!AO463</f>
        <v>0</v>
      </c>
      <c r="AA454" s="8">
        <f>[2]หน้าผ้า!AQ463</f>
        <v>0</v>
      </c>
      <c r="AB454" s="8">
        <f>[2]หน้าผ้า!AR463</f>
        <v>0</v>
      </c>
      <c r="AC454" s="8">
        <f>[2]หน้าผ้า!AS463</f>
        <v>0</v>
      </c>
      <c r="AD454" s="8">
        <f>[2]หน้าผ้า!AT463</f>
        <v>0</v>
      </c>
      <c r="AE454" s="8">
        <f>[2]หน้าผ้า!AU463</f>
        <v>0</v>
      </c>
      <c r="AF454" s="8">
        <f>[2]หน้าผ้า!AI463</f>
        <v>0</v>
      </c>
      <c r="AG454" s="1">
        <f>[3]หน้าผ้า!DC466</f>
        <v>0</v>
      </c>
      <c r="AH454" s="1">
        <f>[2]หน้าผ้า!DL463</f>
        <v>0</v>
      </c>
      <c r="AI454" s="1">
        <f>[2]หน้าผ้า!DM463</f>
        <v>0</v>
      </c>
      <c r="AJ454" s="3">
        <f>[2]หน้าผ้า!DN463</f>
        <v>0</v>
      </c>
      <c r="AK454" s="3">
        <f>[2]หน้าผ้า!DQ463</f>
        <v>0</v>
      </c>
      <c r="AL454" s="3">
        <f>[2]หน้าผ้า!DR463</f>
        <v>0</v>
      </c>
      <c r="AM454" s="3">
        <f>[2]หน้าผ้า!DS463</f>
        <v>0</v>
      </c>
      <c r="AN454" s="3">
        <f>[2]หน้าผ้า!DT463</f>
        <v>0</v>
      </c>
      <c r="AO454" s="3">
        <f>[2]หน้าผ้า!DU463</f>
        <v>0</v>
      </c>
      <c r="AP454" s="3">
        <f>[2]หน้าผ้า!DP463</f>
        <v>0</v>
      </c>
      <c r="AQ454" s="3">
        <f>[2]หน้าผ้า!DW463</f>
        <v>0</v>
      </c>
      <c r="AR454" s="3">
        <f>[2]หน้าผ้า!DX463</f>
        <v>0</v>
      </c>
      <c r="AS454" s="3">
        <f>[2]หน้าผ้า!DY463</f>
        <v>0</v>
      </c>
      <c r="AT454" s="3">
        <f>[2]หน้าผ้า!DZ463</f>
        <v>0</v>
      </c>
      <c r="AU454" s="3">
        <f>[2]หน้าผ้า!EA463</f>
        <v>0</v>
      </c>
      <c r="AV454" s="1">
        <f>[2]หน้าผ้า!EB463</f>
        <v>0</v>
      </c>
      <c r="AW454" s="2">
        <f>[2]หน้าผ้า!EC463</f>
        <v>0</v>
      </c>
      <c r="AX454" s="2">
        <f>[2]หน้าผ้า!ED463</f>
        <v>0</v>
      </c>
      <c r="AY454" s="2">
        <f>[2]หน้าผ้า!AG463</f>
        <v>0</v>
      </c>
      <c r="AZ454" s="2">
        <f>[2]หน้าผ้า!EG463</f>
        <v>0</v>
      </c>
      <c r="BA454" s="2">
        <f>[2]หน้าผ้า!EH463</f>
        <v>0</v>
      </c>
      <c r="BB454" s="2">
        <f>[2]หน้าผ้า!EI463</f>
        <v>0</v>
      </c>
      <c r="BC454" s="1">
        <f>[2]หน้าผ้า!BZ463</f>
        <v>0</v>
      </c>
      <c r="BD454" s="56">
        <f>[2]หน้าผ้า!CA463</f>
        <v>0</v>
      </c>
    </row>
    <row r="455" spans="1:56" ht="27.75" customHeight="1" x14ac:dyDescent="0.45">
      <c r="A455" s="3">
        <f>[2]หน้าผ้า!C464</f>
        <v>0</v>
      </c>
      <c r="B455" s="14">
        <f>[2]หน้าผ้า!B464</f>
        <v>0</v>
      </c>
      <c r="C455" s="9">
        <f>[2]หน้าผ้า!E464</f>
        <v>0</v>
      </c>
      <c r="D455" s="13">
        <f>[2]หน้าผ้า!F464</f>
        <v>0</v>
      </c>
      <c r="E455" s="9">
        <f>[2]หน้าผ้า!G464</f>
        <v>0</v>
      </c>
      <c r="F455" s="9">
        <f>[2]หน้าผ้า!H464</f>
        <v>0</v>
      </c>
      <c r="G455" s="9">
        <f>[2]หน้าผ้า!I464</f>
        <v>0</v>
      </c>
      <c r="H455" s="9">
        <f>[2]หน้าผ้า!J464</f>
        <v>0</v>
      </c>
      <c r="I455" s="9">
        <f>[2]หน้าผ้า!L464</f>
        <v>0</v>
      </c>
      <c r="J455" s="9">
        <f>[2]หน้าผ้า!M464</f>
        <v>0</v>
      </c>
      <c r="K455" s="9">
        <f>[2]หน้าผ้า!N464</f>
        <v>0</v>
      </c>
      <c r="L455" s="9">
        <f>[2]หน้าผ้า!R464</f>
        <v>0</v>
      </c>
      <c r="M455" s="10">
        <f>[2]หน้าผ้า!T464</f>
        <v>0</v>
      </c>
      <c r="N455" s="9">
        <f>[2]หน้าผ้า!U464</f>
        <v>0</v>
      </c>
      <c r="O455" s="9">
        <f>[2]หน้าผ้า!V464</f>
        <v>0</v>
      </c>
      <c r="P455" s="10">
        <f>[2]หน้าผ้า!AB464</f>
        <v>0</v>
      </c>
      <c r="Q455" s="10">
        <f>[2]หน้าผ้า!AC464</f>
        <v>0</v>
      </c>
      <c r="R455" s="10">
        <f>[2]หน้าผ้า!AD464</f>
        <v>0</v>
      </c>
      <c r="S455" s="9">
        <f>[2]หน้าผ้า!Z464</f>
        <v>0</v>
      </c>
      <c r="T455" s="12">
        <f>[2]หน้าผ้า!X464</f>
        <v>0</v>
      </c>
      <c r="U455" s="11">
        <f>[2]หน้าผ้า!AA464</f>
        <v>0</v>
      </c>
      <c r="V455" s="10">
        <f>[2]หน้าผ้า!AJ464</f>
        <v>0</v>
      </c>
      <c r="W455" s="10">
        <f>[2]หน้าผ้า!AL464</f>
        <v>0</v>
      </c>
      <c r="X455" s="10">
        <f>[2]หน้าผ้า!AM464</f>
        <v>0</v>
      </c>
      <c r="Y455" s="10">
        <f>[2]หน้าผ้า!AN464</f>
        <v>0</v>
      </c>
      <c r="Z455" s="9">
        <f>[2]หน้าผ้า!AO464</f>
        <v>0</v>
      </c>
      <c r="AA455" s="8">
        <f>[2]หน้าผ้า!AQ464</f>
        <v>0</v>
      </c>
      <c r="AB455" s="8">
        <f>[2]หน้าผ้า!AR464</f>
        <v>0</v>
      </c>
      <c r="AC455" s="8">
        <f>[2]หน้าผ้า!AS464</f>
        <v>0</v>
      </c>
      <c r="AD455" s="8">
        <f>[2]หน้าผ้า!AT464</f>
        <v>0</v>
      </c>
      <c r="AE455" s="8">
        <f>[2]หน้าผ้า!AU464</f>
        <v>0</v>
      </c>
      <c r="AF455" s="8">
        <f>[2]หน้าผ้า!AI464</f>
        <v>0</v>
      </c>
      <c r="AG455" s="1">
        <f>[3]หน้าผ้า!DC467</f>
        <v>0</v>
      </c>
      <c r="AH455" s="1">
        <f>[2]หน้าผ้า!DL464</f>
        <v>0</v>
      </c>
      <c r="AI455" s="1">
        <f>[2]หน้าผ้า!DM464</f>
        <v>0</v>
      </c>
      <c r="AJ455" s="3">
        <f>[2]หน้าผ้า!DN464</f>
        <v>0</v>
      </c>
      <c r="AK455" s="3">
        <f>[2]หน้าผ้า!DQ464</f>
        <v>0</v>
      </c>
      <c r="AL455" s="3">
        <f>[2]หน้าผ้า!DR464</f>
        <v>0</v>
      </c>
      <c r="AM455" s="3">
        <f>[2]หน้าผ้า!DS464</f>
        <v>0</v>
      </c>
      <c r="AN455" s="3">
        <f>[2]หน้าผ้า!DT464</f>
        <v>0</v>
      </c>
      <c r="AO455" s="3">
        <f>[2]หน้าผ้า!DU464</f>
        <v>0</v>
      </c>
      <c r="AP455" s="3">
        <f>[2]หน้าผ้า!DP464</f>
        <v>0</v>
      </c>
      <c r="AQ455" s="3">
        <f>[2]หน้าผ้า!DW464</f>
        <v>0</v>
      </c>
      <c r="AR455" s="3">
        <f>[2]หน้าผ้า!DX464</f>
        <v>0</v>
      </c>
      <c r="AS455" s="3">
        <f>[2]หน้าผ้า!DY464</f>
        <v>0</v>
      </c>
      <c r="AT455" s="3">
        <f>[2]หน้าผ้า!DZ464</f>
        <v>0</v>
      </c>
      <c r="AU455" s="3">
        <f>[2]หน้าผ้า!EA464</f>
        <v>0</v>
      </c>
      <c r="AV455" s="1">
        <f>[2]หน้าผ้า!EB464</f>
        <v>0</v>
      </c>
      <c r="AW455" s="2">
        <f>[2]หน้าผ้า!EC464</f>
        <v>0</v>
      </c>
      <c r="AX455" s="2">
        <f>[2]หน้าผ้า!ED464</f>
        <v>0</v>
      </c>
      <c r="AY455" s="2">
        <f>[2]หน้าผ้า!AG464</f>
        <v>0</v>
      </c>
      <c r="AZ455" s="2">
        <f>[2]หน้าผ้า!EG464</f>
        <v>0</v>
      </c>
      <c r="BA455" s="2">
        <f>[2]หน้าผ้า!EH464</f>
        <v>0</v>
      </c>
      <c r="BB455" s="2">
        <f>[2]หน้าผ้า!EI464</f>
        <v>0</v>
      </c>
      <c r="BC455" s="1">
        <f>[2]หน้าผ้า!BZ464</f>
        <v>0</v>
      </c>
      <c r="BD455" s="56">
        <f>[2]หน้าผ้า!CA464</f>
        <v>0</v>
      </c>
    </row>
    <row r="456" spans="1:56" ht="27.75" customHeight="1" x14ac:dyDescent="0.45">
      <c r="A456" s="3">
        <f>[2]หน้าผ้า!C465</f>
        <v>0</v>
      </c>
      <c r="B456" s="14">
        <f>[2]หน้าผ้า!B465</f>
        <v>0</v>
      </c>
      <c r="C456" s="9">
        <f>[2]หน้าผ้า!E465</f>
        <v>0</v>
      </c>
      <c r="D456" s="13">
        <f>[2]หน้าผ้า!F465</f>
        <v>0</v>
      </c>
      <c r="E456" s="9">
        <f>[2]หน้าผ้า!G465</f>
        <v>0</v>
      </c>
      <c r="F456" s="9">
        <f>[2]หน้าผ้า!H465</f>
        <v>0</v>
      </c>
      <c r="G456" s="9">
        <f>[2]หน้าผ้า!I465</f>
        <v>0</v>
      </c>
      <c r="H456" s="9">
        <f>[2]หน้าผ้า!J465</f>
        <v>0</v>
      </c>
      <c r="I456" s="9">
        <f>[2]หน้าผ้า!L465</f>
        <v>0</v>
      </c>
      <c r="J456" s="9">
        <f>[2]หน้าผ้า!M465</f>
        <v>0</v>
      </c>
      <c r="K456" s="9">
        <f>[2]หน้าผ้า!N465</f>
        <v>0</v>
      </c>
      <c r="L456" s="9">
        <f>[2]หน้าผ้า!R465</f>
        <v>0</v>
      </c>
      <c r="M456" s="10">
        <f>[2]หน้าผ้า!T465</f>
        <v>0</v>
      </c>
      <c r="N456" s="9">
        <f>[2]หน้าผ้า!U465</f>
        <v>0</v>
      </c>
      <c r="O456" s="9">
        <f>[2]หน้าผ้า!V465</f>
        <v>0</v>
      </c>
      <c r="P456" s="10">
        <f>[2]หน้าผ้า!AB465</f>
        <v>0</v>
      </c>
      <c r="Q456" s="10">
        <f>[2]หน้าผ้า!AC465</f>
        <v>0</v>
      </c>
      <c r="R456" s="10">
        <f>[2]หน้าผ้า!AD465</f>
        <v>0</v>
      </c>
      <c r="S456" s="9">
        <f>[2]หน้าผ้า!Z465</f>
        <v>0</v>
      </c>
      <c r="T456" s="12">
        <f>[2]หน้าผ้า!X465</f>
        <v>0</v>
      </c>
      <c r="U456" s="11">
        <f>[2]หน้าผ้า!AA465</f>
        <v>0</v>
      </c>
      <c r="V456" s="10">
        <f>[2]หน้าผ้า!AJ465</f>
        <v>0</v>
      </c>
      <c r="W456" s="10">
        <f>[2]หน้าผ้า!AL465</f>
        <v>0</v>
      </c>
      <c r="X456" s="10">
        <f>[2]หน้าผ้า!AM465</f>
        <v>0</v>
      </c>
      <c r="Y456" s="10">
        <f>[2]หน้าผ้า!AN465</f>
        <v>0</v>
      </c>
      <c r="Z456" s="9">
        <f>[2]หน้าผ้า!AO465</f>
        <v>0</v>
      </c>
      <c r="AA456" s="8">
        <f>[2]หน้าผ้า!AQ465</f>
        <v>0</v>
      </c>
      <c r="AB456" s="8">
        <f>[2]หน้าผ้า!AR465</f>
        <v>0</v>
      </c>
      <c r="AC456" s="8">
        <f>[2]หน้าผ้า!AS465</f>
        <v>0</v>
      </c>
      <c r="AD456" s="8">
        <f>[2]หน้าผ้า!AT465</f>
        <v>0</v>
      </c>
      <c r="AE456" s="8">
        <f>[2]หน้าผ้า!AU465</f>
        <v>0</v>
      </c>
      <c r="AF456" s="8">
        <f>[2]หน้าผ้า!AI465</f>
        <v>0</v>
      </c>
      <c r="AG456" s="1">
        <f>[3]หน้าผ้า!DC468</f>
        <v>0</v>
      </c>
      <c r="AH456" s="1">
        <f>[2]หน้าผ้า!DL465</f>
        <v>0</v>
      </c>
      <c r="AI456" s="1">
        <f>[2]หน้าผ้า!DM465</f>
        <v>0</v>
      </c>
      <c r="AJ456" s="3">
        <f>[2]หน้าผ้า!DN465</f>
        <v>0</v>
      </c>
      <c r="AK456" s="3">
        <f>[2]หน้าผ้า!DQ465</f>
        <v>0</v>
      </c>
      <c r="AL456" s="3">
        <f>[2]หน้าผ้า!DR465</f>
        <v>0</v>
      </c>
      <c r="AM456" s="3">
        <f>[2]หน้าผ้า!DS465</f>
        <v>0</v>
      </c>
      <c r="AN456" s="3">
        <f>[2]หน้าผ้า!DT465</f>
        <v>0</v>
      </c>
      <c r="AO456" s="3">
        <f>[2]หน้าผ้า!DU465</f>
        <v>0</v>
      </c>
      <c r="AP456" s="3">
        <f>[2]หน้าผ้า!DP465</f>
        <v>0</v>
      </c>
      <c r="AQ456" s="3">
        <f>[2]หน้าผ้า!DW465</f>
        <v>0</v>
      </c>
      <c r="AR456" s="3">
        <f>[2]หน้าผ้า!DX465</f>
        <v>0</v>
      </c>
      <c r="AS456" s="3">
        <f>[2]หน้าผ้า!DY465</f>
        <v>0</v>
      </c>
      <c r="AT456" s="3">
        <f>[2]หน้าผ้า!DZ465</f>
        <v>0</v>
      </c>
      <c r="AU456" s="3">
        <f>[2]หน้าผ้า!EA465</f>
        <v>0</v>
      </c>
      <c r="AV456" s="1">
        <f>[2]หน้าผ้า!EB465</f>
        <v>0</v>
      </c>
      <c r="AW456" s="2">
        <f>[2]หน้าผ้า!EC465</f>
        <v>0</v>
      </c>
      <c r="AX456" s="2">
        <f>[2]หน้าผ้า!ED465</f>
        <v>0</v>
      </c>
      <c r="AY456" s="2">
        <f>[2]หน้าผ้า!AG465</f>
        <v>0</v>
      </c>
      <c r="AZ456" s="2">
        <f>[2]หน้าผ้า!EG465</f>
        <v>0</v>
      </c>
      <c r="BA456" s="2">
        <f>[2]หน้าผ้า!EH465</f>
        <v>0</v>
      </c>
      <c r="BB456" s="2">
        <f>[2]หน้าผ้า!EI465</f>
        <v>0</v>
      </c>
      <c r="BC456" s="1">
        <f>[2]หน้าผ้า!BZ465</f>
        <v>0</v>
      </c>
      <c r="BD456" s="56">
        <f>[2]หน้าผ้า!CA465</f>
        <v>0</v>
      </c>
    </row>
    <row r="457" spans="1:56" ht="27.75" customHeight="1" x14ac:dyDescent="0.45">
      <c r="A457" s="3">
        <f>[2]หน้าผ้า!C466</f>
        <v>0</v>
      </c>
      <c r="B457" s="14">
        <f>[2]หน้าผ้า!B466</f>
        <v>0</v>
      </c>
      <c r="C457" s="9">
        <f>[2]หน้าผ้า!E466</f>
        <v>0</v>
      </c>
      <c r="D457" s="13">
        <f>[2]หน้าผ้า!F466</f>
        <v>0</v>
      </c>
      <c r="E457" s="9">
        <f>[2]หน้าผ้า!G466</f>
        <v>0</v>
      </c>
      <c r="F457" s="9">
        <f>[2]หน้าผ้า!H466</f>
        <v>0</v>
      </c>
      <c r="G457" s="9">
        <f>[2]หน้าผ้า!I466</f>
        <v>0</v>
      </c>
      <c r="H457" s="9">
        <f>[2]หน้าผ้า!J466</f>
        <v>0</v>
      </c>
      <c r="I457" s="9">
        <f>[2]หน้าผ้า!L466</f>
        <v>0</v>
      </c>
      <c r="J457" s="9">
        <f>[2]หน้าผ้า!M466</f>
        <v>0</v>
      </c>
      <c r="K457" s="9">
        <f>[2]หน้าผ้า!N466</f>
        <v>0</v>
      </c>
      <c r="L457" s="9">
        <f>[2]หน้าผ้า!R466</f>
        <v>0</v>
      </c>
      <c r="M457" s="10">
        <f>[2]หน้าผ้า!T466</f>
        <v>0</v>
      </c>
      <c r="N457" s="9">
        <f>[2]หน้าผ้า!U466</f>
        <v>0</v>
      </c>
      <c r="O457" s="9">
        <f>[2]หน้าผ้า!V466</f>
        <v>0</v>
      </c>
      <c r="P457" s="10">
        <f>[2]หน้าผ้า!AB466</f>
        <v>0</v>
      </c>
      <c r="Q457" s="10">
        <f>[2]หน้าผ้า!AC466</f>
        <v>0</v>
      </c>
      <c r="R457" s="10">
        <f>[2]หน้าผ้า!AD466</f>
        <v>0</v>
      </c>
      <c r="S457" s="9">
        <f>[2]หน้าผ้า!Z466</f>
        <v>0</v>
      </c>
      <c r="T457" s="12">
        <f>[2]หน้าผ้า!X466</f>
        <v>0</v>
      </c>
      <c r="U457" s="11">
        <f>[2]หน้าผ้า!AA466</f>
        <v>0</v>
      </c>
      <c r="V457" s="10">
        <f>[2]หน้าผ้า!AJ466</f>
        <v>0</v>
      </c>
      <c r="W457" s="10">
        <f>[2]หน้าผ้า!AL466</f>
        <v>0</v>
      </c>
      <c r="X457" s="10">
        <f>[2]หน้าผ้า!AM466</f>
        <v>0</v>
      </c>
      <c r="Y457" s="10">
        <f>[2]หน้าผ้า!AN466</f>
        <v>0</v>
      </c>
      <c r="Z457" s="9">
        <f>[2]หน้าผ้า!AO466</f>
        <v>0</v>
      </c>
      <c r="AA457" s="8">
        <f>[2]หน้าผ้า!AQ466</f>
        <v>0</v>
      </c>
      <c r="AB457" s="8">
        <f>[2]หน้าผ้า!AR466</f>
        <v>0</v>
      </c>
      <c r="AC457" s="8">
        <f>[2]หน้าผ้า!AS466</f>
        <v>0</v>
      </c>
      <c r="AD457" s="8">
        <f>[2]หน้าผ้า!AT466</f>
        <v>0</v>
      </c>
      <c r="AE457" s="8">
        <f>[2]หน้าผ้า!AU466</f>
        <v>0</v>
      </c>
      <c r="AF457" s="8">
        <f>[2]หน้าผ้า!AI466</f>
        <v>0</v>
      </c>
      <c r="AG457" s="1">
        <f>[3]หน้าผ้า!DC469</f>
        <v>0</v>
      </c>
      <c r="AH457" s="1">
        <f>[2]หน้าผ้า!DL466</f>
        <v>0</v>
      </c>
      <c r="AI457" s="1">
        <f>[2]หน้าผ้า!DM466</f>
        <v>0</v>
      </c>
      <c r="AJ457" s="3">
        <f>[2]หน้าผ้า!DN466</f>
        <v>0</v>
      </c>
      <c r="AK457" s="3">
        <f>[2]หน้าผ้า!DQ466</f>
        <v>0</v>
      </c>
      <c r="AL457" s="3">
        <f>[2]หน้าผ้า!DR466</f>
        <v>0</v>
      </c>
      <c r="AM457" s="3">
        <f>[2]หน้าผ้า!DS466</f>
        <v>0</v>
      </c>
      <c r="AN457" s="3">
        <f>[2]หน้าผ้า!DT466</f>
        <v>0</v>
      </c>
      <c r="AO457" s="3">
        <f>[2]หน้าผ้า!DU466</f>
        <v>0</v>
      </c>
      <c r="AP457" s="3">
        <f>[2]หน้าผ้า!DP466</f>
        <v>0</v>
      </c>
      <c r="AQ457" s="3">
        <f>[2]หน้าผ้า!DW466</f>
        <v>0</v>
      </c>
      <c r="AR457" s="3">
        <f>[2]หน้าผ้า!DX466</f>
        <v>0</v>
      </c>
      <c r="AS457" s="3">
        <f>[2]หน้าผ้า!DY466</f>
        <v>0</v>
      </c>
      <c r="AT457" s="3">
        <f>[2]หน้าผ้า!DZ466</f>
        <v>0</v>
      </c>
      <c r="AU457" s="3">
        <f>[2]หน้าผ้า!EA466</f>
        <v>0</v>
      </c>
      <c r="AV457" s="1">
        <f>[2]หน้าผ้า!EB466</f>
        <v>0</v>
      </c>
      <c r="AW457" s="2">
        <f>[2]หน้าผ้า!EC466</f>
        <v>0</v>
      </c>
      <c r="AX457" s="2">
        <f>[2]หน้าผ้า!ED466</f>
        <v>0</v>
      </c>
      <c r="AY457" s="2">
        <f>[2]หน้าผ้า!AG466</f>
        <v>0</v>
      </c>
      <c r="AZ457" s="2">
        <f>[2]หน้าผ้า!EG466</f>
        <v>0</v>
      </c>
      <c r="BA457" s="2">
        <f>[2]หน้าผ้า!EH466</f>
        <v>0</v>
      </c>
      <c r="BB457" s="2">
        <f>[2]หน้าผ้า!EI466</f>
        <v>0</v>
      </c>
      <c r="BC457" s="1">
        <f>[2]หน้าผ้า!BZ466</f>
        <v>0</v>
      </c>
      <c r="BD457" s="56">
        <f>[2]หน้าผ้า!CA466</f>
        <v>0</v>
      </c>
    </row>
    <row r="458" spans="1:56" ht="27.75" customHeight="1" x14ac:dyDescent="0.45">
      <c r="A458" s="3">
        <f>[2]หน้าผ้า!C467</f>
        <v>0</v>
      </c>
      <c r="B458" s="14">
        <f>[2]หน้าผ้า!B467</f>
        <v>0</v>
      </c>
      <c r="C458" s="9">
        <f>[2]หน้าผ้า!E467</f>
        <v>0</v>
      </c>
      <c r="D458" s="13">
        <f>[2]หน้าผ้า!F467</f>
        <v>0</v>
      </c>
      <c r="E458" s="9">
        <f>[2]หน้าผ้า!G467</f>
        <v>0</v>
      </c>
      <c r="F458" s="9">
        <f>[2]หน้าผ้า!H467</f>
        <v>0</v>
      </c>
      <c r="G458" s="9">
        <f>[2]หน้าผ้า!I467</f>
        <v>0</v>
      </c>
      <c r="H458" s="9">
        <f>[2]หน้าผ้า!J467</f>
        <v>0</v>
      </c>
      <c r="I458" s="9">
        <f>[2]หน้าผ้า!L467</f>
        <v>0</v>
      </c>
      <c r="J458" s="9">
        <f>[2]หน้าผ้า!M467</f>
        <v>0</v>
      </c>
      <c r="K458" s="9">
        <f>[2]หน้าผ้า!N467</f>
        <v>0</v>
      </c>
      <c r="L458" s="9">
        <f>[2]หน้าผ้า!R467</f>
        <v>0</v>
      </c>
      <c r="M458" s="10">
        <f>[2]หน้าผ้า!T467</f>
        <v>0</v>
      </c>
      <c r="N458" s="9">
        <f>[2]หน้าผ้า!U467</f>
        <v>0</v>
      </c>
      <c r="O458" s="9">
        <f>[2]หน้าผ้า!V467</f>
        <v>0</v>
      </c>
      <c r="P458" s="10">
        <f>[2]หน้าผ้า!AB467</f>
        <v>0</v>
      </c>
      <c r="Q458" s="10">
        <f>[2]หน้าผ้า!AC467</f>
        <v>0</v>
      </c>
      <c r="R458" s="10">
        <f>[2]หน้าผ้า!AD467</f>
        <v>0</v>
      </c>
      <c r="S458" s="9">
        <f>[2]หน้าผ้า!Z467</f>
        <v>0</v>
      </c>
      <c r="T458" s="12">
        <f>[2]หน้าผ้า!X467</f>
        <v>0</v>
      </c>
      <c r="U458" s="11">
        <f>[2]หน้าผ้า!AA467</f>
        <v>0</v>
      </c>
      <c r="V458" s="10">
        <f>[2]หน้าผ้า!AJ467</f>
        <v>0</v>
      </c>
      <c r="W458" s="10">
        <f>[2]หน้าผ้า!AL467</f>
        <v>0</v>
      </c>
      <c r="X458" s="10">
        <f>[2]หน้าผ้า!AM467</f>
        <v>0</v>
      </c>
      <c r="Y458" s="10">
        <f>[2]หน้าผ้า!AN467</f>
        <v>0</v>
      </c>
      <c r="Z458" s="9">
        <f>[2]หน้าผ้า!AO467</f>
        <v>0</v>
      </c>
      <c r="AA458" s="8">
        <f>[2]หน้าผ้า!AQ467</f>
        <v>0</v>
      </c>
      <c r="AB458" s="8">
        <f>[2]หน้าผ้า!AR467</f>
        <v>0</v>
      </c>
      <c r="AC458" s="8">
        <f>[2]หน้าผ้า!AS467</f>
        <v>0</v>
      </c>
      <c r="AD458" s="8">
        <f>[2]หน้าผ้า!AT467</f>
        <v>0</v>
      </c>
      <c r="AE458" s="8">
        <f>[2]หน้าผ้า!AU467</f>
        <v>0</v>
      </c>
      <c r="AF458" s="8">
        <f>[2]หน้าผ้า!AI467</f>
        <v>0</v>
      </c>
      <c r="AG458" s="1">
        <f>[3]หน้าผ้า!DC470</f>
        <v>0</v>
      </c>
      <c r="AH458" s="1">
        <f>[2]หน้าผ้า!DL467</f>
        <v>0</v>
      </c>
      <c r="AI458" s="1">
        <f>[2]หน้าผ้า!DM467</f>
        <v>0</v>
      </c>
      <c r="AJ458" s="3">
        <f>[2]หน้าผ้า!DN467</f>
        <v>0</v>
      </c>
      <c r="AK458" s="3">
        <f>[2]หน้าผ้า!DQ467</f>
        <v>0</v>
      </c>
      <c r="AL458" s="3">
        <f>[2]หน้าผ้า!DR467</f>
        <v>0</v>
      </c>
      <c r="AM458" s="3">
        <f>[2]หน้าผ้า!DS467</f>
        <v>0</v>
      </c>
      <c r="AN458" s="3">
        <f>[2]หน้าผ้า!DT467</f>
        <v>0</v>
      </c>
      <c r="AO458" s="3">
        <f>[2]หน้าผ้า!DU467</f>
        <v>0</v>
      </c>
      <c r="AP458" s="3">
        <f>[2]หน้าผ้า!DP467</f>
        <v>0</v>
      </c>
      <c r="AQ458" s="3">
        <f>[2]หน้าผ้า!DW467</f>
        <v>0</v>
      </c>
      <c r="AR458" s="3">
        <f>[2]หน้าผ้า!DX467</f>
        <v>0</v>
      </c>
      <c r="AS458" s="3">
        <f>[2]หน้าผ้า!DY467</f>
        <v>0</v>
      </c>
      <c r="AT458" s="3">
        <f>[2]หน้าผ้า!DZ467</f>
        <v>0</v>
      </c>
      <c r="AU458" s="3">
        <f>[2]หน้าผ้า!EA467</f>
        <v>0</v>
      </c>
      <c r="AV458" s="1">
        <f>[2]หน้าผ้า!EB467</f>
        <v>0</v>
      </c>
      <c r="AW458" s="2">
        <f>[2]หน้าผ้า!EC467</f>
        <v>0</v>
      </c>
      <c r="AX458" s="2">
        <f>[2]หน้าผ้า!ED467</f>
        <v>0</v>
      </c>
      <c r="AY458" s="2">
        <f>[2]หน้าผ้า!AG467</f>
        <v>0</v>
      </c>
      <c r="AZ458" s="2">
        <f>[2]หน้าผ้า!EG467</f>
        <v>0</v>
      </c>
      <c r="BA458" s="2">
        <f>[2]หน้าผ้า!EH467</f>
        <v>0</v>
      </c>
      <c r="BB458" s="2">
        <f>[2]หน้าผ้า!EI467</f>
        <v>0</v>
      </c>
      <c r="BC458" s="1">
        <f>[2]หน้าผ้า!BZ467</f>
        <v>0</v>
      </c>
      <c r="BD458" s="56">
        <f>[2]หน้าผ้า!CA467</f>
        <v>0</v>
      </c>
    </row>
    <row r="459" spans="1:56" ht="27.75" customHeight="1" x14ac:dyDescent="0.45">
      <c r="A459" s="3">
        <f>[2]หน้าผ้า!C468</f>
        <v>0</v>
      </c>
      <c r="B459" s="14">
        <f>[2]หน้าผ้า!B468</f>
        <v>0</v>
      </c>
      <c r="C459" s="9">
        <f>[2]หน้าผ้า!E468</f>
        <v>0</v>
      </c>
      <c r="D459" s="13">
        <f>[2]หน้าผ้า!F468</f>
        <v>0</v>
      </c>
      <c r="E459" s="9">
        <f>[2]หน้าผ้า!G468</f>
        <v>0</v>
      </c>
      <c r="F459" s="9">
        <f>[2]หน้าผ้า!H468</f>
        <v>0</v>
      </c>
      <c r="G459" s="9">
        <f>[2]หน้าผ้า!I468</f>
        <v>0</v>
      </c>
      <c r="H459" s="9">
        <f>[2]หน้าผ้า!J468</f>
        <v>0</v>
      </c>
      <c r="I459" s="9">
        <f>[2]หน้าผ้า!L468</f>
        <v>0</v>
      </c>
      <c r="J459" s="9">
        <f>[2]หน้าผ้า!M468</f>
        <v>0</v>
      </c>
      <c r="K459" s="9">
        <f>[2]หน้าผ้า!N468</f>
        <v>0</v>
      </c>
      <c r="L459" s="9">
        <f>[2]หน้าผ้า!R468</f>
        <v>0</v>
      </c>
      <c r="M459" s="10">
        <f>[2]หน้าผ้า!T468</f>
        <v>0</v>
      </c>
      <c r="N459" s="9">
        <f>[2]หน้าผ้า!U468</f>
        <v>0</v>
      </c>
      <c r="O459" s="9">
        <f>[2]หน้าผ้า!V468</f>
        <v>0</v>
      </c>
      <c r="P459" s="10">
        <f>[2]หน้าผ้า!AB468</f>
        <v>0</v>
      </c>
      <c r="Q459" s="10">
        <f>[2]หน้าผ้า!AC468</f>
        <v>0</v>
      </c>
      <c r="R459" s="10">
        <f>[2]หน้าผ้า!AD468</f>
        <v>0</v>
      </c>
      <c r="S459" s="9">
        <f>[2]หน้าผ้า!Z468</f>
        <v>0</v>
      </c>
      <c r="T459" s="12">
        <f>[2]หน้าผ้า!X468</f>
        <v>0</v>
      </c>
      <c r="U459" s="11">
        <f>[2]หน้าผ้า!AA468</f>
        <v>0</v>
      </c>
      <c r="V459" s="10">
        <f>[2]หน้าผ้า!AJ468</f>
        <v>0</v>
      </c>
      <c r="W459" s="10">
        <f>[2]หน้าผ้า!AL468</f>
        <v>0</v>
      </c>
      <c r="X459" s="10">
        <f>[2]หน้าผ้า!AM468</f>
        <v>0</v>
      </c>
      <c r="Y459" s="10">
        <f>[2]หน้าผ้า!AN468</f>
        <v>0</v>
      </c>
      <c r="Z459" s="9">
        <f>[2]หน้าผ้า!AO468</f>
        <v>0</v>
      </c>
      <c r="AA459" s="8">
        <f>[2]หน้าผ้า!AQ468</f>
        <v>0</v>
      </c>
      <c r="AB459" s="8">
        <f>[2]หน้าผ้า!AR468</f>
        <v>0</v>
      </c>
      <c r="AC459" s="8">
        <f>[2]หน้าผ้า!AS468</f>
        <v>0</v>
      </c>
      <c r="AD459" s="8">
        <f>[2]หน้าผ้า!AT468</f>
        <v>0</v>
      </c>
      <c r="AE459" s="8">
        <f>[2]หน้าผ้า!AU468</f>
        <v>0</v>
      </c>
      <c r="AF459" s="8">
        <f>[2]หน้าผ้า!AI468</f>
        <v>0</v>
      </c>
      <c r="AG459" s="1">
        <f>[3]หน้าผ้า!DC471</f>
        <v>0</v>
      </c>
      <c r="AH459" s="1">
        <f>[2]หน้าผ้า!DL468</f>
        <v>0</v>
      </c>
      <c r="AI459" s="1">
        <f>[2]หน้าผ้า!DM468</f>
        <v>0</v>
      </c>
      <c r="AJ459" s="3">
        <f>[2]หน้าผ้า!DN468</f>
        <v>0</v>
      </c>
      <c r="AK459" s="3">
        <f>[2]หน้าผ้า!DQ468</f>
        <v>0</v>
      </c>
      <c r="AL459" s="3">
        <f>[2]หน้าผ้า!DR468</f>
        <v>0</v>
      </c>
      <c r="AM459" s="3">
        <f>[2]หน้าผ้า!DS468</f>
        <v>0</v>
      </c>
      <c r="AN459" s="3">
        <f>[2]หน้าผ้า!DT468</f>
        <v>0</v>
      </c>
      <c r="AO459" s="3">
        <f>[2]หน้าผ้า!DU468</f>
        <v>0</v>
      </c>
      <c r="AP459" s="3">
        <f>[2]หน้าผ้า!DP468</f>
        <v>0</v>
      </c>
      <c r="AQ459" s="3">
        <f>[2]หน้าผ้า!DW468</f>
        <v>0</v>
      </c>
      <c r="AR459" s="3">
        <f>[2]หน้าผ้า!DX468</f>
        <v>0</v>
      </c>
      <c r="AS459" s="3">
        <f>[2]หน้าผ้า!DY468</f>
        <v>0</v>
      </c>
      <c r="AT459" s="3">
        <f>[2]หน้าผ้า!DZ468</f>
        <v>0</v>
      </c>
      <c r="AU459" s="3">
        <f>[2]หน้าผ้า!EA468</f>
        <v>0</v>
      </c>
      <c r="AV459" s="1">
        <f>[2]หน้าผ้า!EB468</f>
        <v>0</v>
      </c>
      <c r="AW459" s="2">
        <f>[2]หน้าผ้า!EC468</f>
        <v>0</v>
      </c>
      <c r="AX459" s="2">
        <f>[2]หน้าผ้า!ED468</f>
        <v>0</v>
      </c>
      <c r="AY459" s="2">
        <f>[2]หน้าผ้า!AG468</f>
        <v>0</v>
      </c>
      <c r="AZ459" s="2">
        <f>[2]หน้าผ้า!EG468</f>
        <v>0</v>
      </c>
      <c r="BA459" s="2">
        <f>[2]หน้าผ้า!EH468</f>
        <v>0</v>
      </c>
      <c r="BB459" s="2">
        <f>[2]หน้าผ้า!EI468</f>
        <v>0</v>
      </c>
      <c r="BC459" s="1">
        <f>[2]หน้าผ้า!BZ468</f>
        <v>0</v>
      </c>
      <c r="BD459" s="56">
        <f>[2]หน้าผ้า!CA468</f>
        <v>0</v>
      </c>
    </row>
    <row r="460" spans="1:56" ht="27.75" customHeight="1" x14ac:dyDescent="0.45">
      <c r="A460" s="3">
        <f>[2]หน้าผ้า!C469</f>
        <v>0</v>
      </c>
      <c r="B460" s="14">
        <f>[2]หน้าผ้า!B469</f>
        <v>0</v>
      </c>
      <c r="C460" s="9">
        <f>[2]หน้าผ้า!E469</f>
        <v>0</v>
      </c>
      <c r="D460" s="13">
        <f>[2]หน้าผ้า!F469</f>
        <v>0</v>
      </c>
      <c r="E460" s="9">
        <f>[2]หน้าผ้า!G469</f>
        <v>0</v>
      </c>
      <c r="F460" s="9">
        <f>[2]หน้าผ้า!H469</f>
        <v>0</v>
      </c>
      <c r="G460" s="9">
        <f>[2]หน้าผ้า!I469</f>
        <v>0</v>
      </c>
      <c r="H460" s="9">
        <f>[2]หน้าผ้า!J469</f>
        <v>0</v>
      </c>
      <c r="I460" s="9">
        <f>[2]หน้าผ้า!L469</f>
        <v>0</v>
      </c>
      <c r="J460" s="9">
        <f>[2]หน้าผ้า!M469</f>
        <v>0</v>
      </c>
      <c r="K460" s="9">
        <f>[2]หน้าผ้า!N469</f>
        <v>0</v>
      </c>
      <c r="L460" s="9">
        <f>[2]หน้าผ้า!R469</f>
        <v>0</v>
      </c>
      <c r="M460" s="10">
        <f>[2]หน้าผ้า!T469</f>
        <v>0</v>
      </c>
      <c r="N460" s="9">
        <f>[2]หน้าผ้า!U469</f>
        <v>0</v>
      </c>
      <c r="O460" s="9">
        <f>[2]หน้าผ้า!V469</f>
        <v>0</v>
      </c>
      <c r="P460" s="10">
        <f>[2]หน้าผ้า!AB469</f>
        <v>0</v>
      </c>
      <c r="Q460" s="10">
        <f>[2]หน้าผ้า!AC469</f>
        <v>0</v>
      </c>
      <c r="R460" s="10">
        <f>[2]หน้าผ้า!AD469</f>
        <v>0</v>
      </c>
      <c r="S460" s="9">
        <f>[2]หน้าผ้า!Z469</f>
        <v>0</v>
      </c>
      <c r="T460" s="12">
        <f>[2]หน้าผ้า!X469</f>
        <v>0</v>
      </c>
      <c r="U460" s="11">
        <f>[2]หน้าผ้า!AA469</f>
        <v>0</v>
      </c>
      <c r="V460" s="10">
        <f>[2]หน้าผ้า!AJ469</f>
        <v>0</v>
      </c>
      <c r="W460" s="10">
        <f>[2]หน้าผ้า!AL469</f>
        <v>0</v>
      </c>
      <c r="X460" s="10">
        <f>[2]หน้าผ้า!AM469</f>
        <v>0</v>
      </c>
      <c r="Y460" s="10">
        <f>[2]หน้าผ้า!AN469</f>
        <v>0</v>
      </c>
      <c r="Z460" s="9">
        <f>[2]หน้าผ้า!AO469</f>
        <v>0</v>
      </c>
      <c r="AA460" s="8">
        <f>[2]หน้าผ้า!AQ469</f>
        <v>0</v>
      </c>
      <c r="AB460" s="8">
        <f>[2]หน้าผ้า!AR469</f>
        <v>0</v>
      </c>
      <c r="AC460" s="8">
        <f>[2]หน้าผ้า!AS469</f>
        <v>0</v>
      </c>
      <c r="AD460" s="8">
        <f>[2]หน้าผ้า!AT469</f>
        <v>0</v>
      </c>
      <c r="AE460" s="8">
        <f>[2]หน้าผ้า!AU469</f>
        <v>0</v>
      </c>
      <c r="AF460" s="8">
        <f>[2]หน้าผ้า!AI469</f>
        <v>0</v>
      </c>
      <c r="AG460" s="1">
        <f>[3]หน้าผ้า!DC472</f>
        <v>0</v>
      </c>
      <c r="AH460" s="1">
        <f>[2]หน้าผ้า!DL469</f>
        <v>0</v>
      </c>
      <c r="AI460" s="1">
        <f>[2]หน้าผ้า!DM469</f>
        <v>0</v>
      </c>
      <c r="AJ460" s="3">
        <f>[2]หน้าผ้า!DN469</f>
        <v>0</v>
      </c>
      <c r="AK460" s="3">
        <f>[2]หน้าผ้า!DQ469</f>
        <v>0</v>
      </c>
      <c r="AL460" s="3">
        <f>[2]หน้าผ้า!DR469</f>
        <v>0</v>
      </c>
      <c r="AM460" s="3">
        <f>[2]หน้าผ้า!DS469</f>
        <v>0</v>
      </c>
      <c r="AN460" s="3">
        <f>[2]หน้าผ้า!DT469</f>
        <v>0</v>
      </c>
      <c r="AO460" s="3">
        <f>[2]หน้าผ้า!DU469</f>
        <v>0</v>
      </c>
      <c r="AP460" s="3">
        <f>[2]หน้าผ้า!DP469</f>
        <v>0</v>
      </c>
      <c r="AQ460" s="3">
        <f>[2]หน้าผ้า!DW469</f>
        <v>0</v>
      </c>
      <c r="AR460" s="3">
        <f>[2]หน้าผ้า!DX469</f>
        <v>0</v>
      </c>
      <c r="AS460" s="3">
        <f>[2]หน้าผ้า!DY469</f>
        <v>0</v>
      </c>
      <c r="AT460" s="3">
        <f>[2]หน้าผ้า!DZ469</f>
        <v>0</v>
      </c>
      <c r="AU460" s="3">
        <f>[2]หน้าผ้า!EA469</f>
        <v>0</v>
      </c>
      <c r="AV460" s="1">
        <f>[2]หน้าผ้า!EB469</f>
        <v>0</v>
      </c>
      <c r="AW460" s="2">
        <f>[2]หน้าผ้า!EC469</f>
        <v>0</v>
      </c>
      <c r="AX460" s="2">
        <f>[2]หน้าผ้า!ED469</f>
        <v>0</v>
      </c>
      <c r="AY460" s="2">
        <f>[2]หน้าผ้า!AG469</f>
        <v>0</v>
      </c>
      <c r="AZ460" s="2">
        <f>[2]หน้าผ้า!EG469</f>
        <v>0</v>
      </c>
      <c r="BA460" s="2">
        <f>[2]หน้าผ้า!EH469</f>
        <v>0</v>
      </c>
      <c r="BB460" s="2">
        <f>[2]หน้าผ้า!EI469</f>
        <v>0</v>
      </c>
      <c r="BC460" s="1">
        <f>[2]หน้าผ้า!BZ469</f>
        <v>0</v>
      </c>
      <c r="BD460" s="56">
        <f>[2]หน้าผ้า!CA469</f>
        <v>0</v>
      </c>
    </row>
    <row r="461" spans="1:56" ht="27.75" customHeight="1" x14ac:dyDescent="0.45">
      <c r="A461" s="3">
        <f>[2]หน้าผ้า!C470</f>
        <v>0</v>
      </c>
      <c r="B461" s="14">
        <f>[2]หน้าผ้า!B470</f>
        <v>0</v>
      </c>
      <c r="C461" s="9">
        <f>[2]หน้าผ้า!E470</f>
        <v>0</v>
      </c>
      <c r="D461" s="13">
        <f>[2]หน้าผ้า!F470</f>
        <v>0</v>
      </c>
      <c r="E461" s="9">
        <f>[2]หน้าผ้า!G470</f>
        <v>0</v>
      </c>
      <c r="F461" s="9">
        <f>[2]หน้าผ้า!H470</f>
        <v>0</v>
      </c>
      <c r="G461" s="9">
        <f>[2]หน้าผ้า!I470</f>
        <v>0</v>
      </c>
      <c r="H461" s="9">
        <f>[2]หน้าผ้า!J470</f>
        <v>0</v>
      </c>
      <c r="I461" s="9">
        <f>[2]หน้าผ้า!L470</f>
        <v>0</v>
      </c>
      <c r="J461" s="9">
        <f>[2]หน้าผ้า!M470</f>
        <v>0</v>
      </c>
      <c r="K461" s="9">
        <f>[2]หน้าผ้า!N470</f>
        <v>0</v>
      </c>
      <c r="L461" s="9">
        <f>[2]หน้าผ้า!R470</f>
        <v>0</v>
      </c>
      <c r="M461" s="10">
        <f>[2]หน้าผ้า!T470</f>
        <v>0</v>
      </c>
      <c r="N461" s="9">
        <f>[2]หน้าผ้า!U470</f>
        <v>0</v>
      </c>
      <c r="O461" s="9">
        <f>[2]หน้าผ้า!V470</f>
        <v>0</v>
      </c>
      <c r="P461" s="10">
        <f>[2]หน้าผ้า!AB470</f>
        <v>0</v>
      </c>
      <c r="Q461" s="10">
        <f>[2]หน้าผ้า!AC470</f>
        <v>0</v>
      </c>
      <c r="R461" s="10">
        <f>[2]หน้าผ้า!AD470</f>
        <v>0</v>
      </c>
      <c r="S461" s="9">
        <f>[2]หน้าผ้า!Z470</f>
        <v>0</v>
      </c>
      <c r="T461" s="12">
        <f>[2]หน้าผ้า!X470</f>
        <v>0</v>
      </c>
      <c r="U461" s="11">
        <f>[2]หน้าผ้า!AA470</f>
        <v>0</v>
      </c>
      <c r="V461" s="10">
        <f>[2]หน้าผ้า!AJ470</f>
        <v>0</v>
      </c>
      <c r="W461" s="10">
        <f>[2]หน้าผ้า!AL470</f>
        <v>0</v>
      </c>
      <c r="X461" s="10">
        <f>[2]หน้าผ้า!AM470</f>
        <v>0</v>
      </c>
      <c r="Y461" s="10">
        <f>[2]หน้าผ้า!AN470</f>
        <v>0</v>
      </c>
      <c r="Z461" s="9">
        <f>[2]หน้าผ้า!AO470</f>
        <v>0</v>
      </c>
      <c r="AA461" s="8">
        <f>[2]หน้าผ้า!AQ470</f>
        <v>0</v>
      </c>
      <c r="AB461" s="8">
        <f>[2]หน้าผ้า!AR470</f>
        <v>0</v>
      </c>
      <c r="AC461" s="8">
        <f>[2]หน้าผ้า!AS470</f>
        <v>0</v>
      </c>
      <c r="AD461" s="8">
        <f>[2]หน้าผ้า!AT470</f>
        <v>0</v>
      </c>
      <c r="AE461" s="8">
        <f>[2]หน้าผ้า!AU470</f>
        <v>0</v>
      </c>
      <c r="AF461" s="8">
        <f>[2]หน้าผ้า!AI470</f>
        <v>0</v>
      </c>
      <c r="AG461" s="1">
        <f>[3]หน้าผ้า!DC473</f>
        <v>0</v>
      </c>
      <c r="AH461" s="1">
        <f>[2]หน้าผ้า!DL470</f>
        <v>0</v>
      </c>
      <c r="AI461" s="1">
        <f>[2]หน้าผ้า!DM470</f>
        <v>0</v>
      </c>
      <c r="AJ461" s="3">
        <f>[2]หน้าผ้า!DN470</f>
        <v>0</v>
      </c>
      <c r="AK461" s="3">
        <f>[2]หน้าผ้า!DQ470</f>
        <v>0</v>
      </c>
      <c r="AL461" s="3">
        <f>[2]หน้าผ้า!DR470</f>
        <v>0</v>
      </c>
      <c r="AM461" s="3">
        <f>[2]หน้าผ้า!DS470</f>
        <v>0</v>
      </c>
      <c r="AN461" s="3">
        <f>[2]หน้าผ้า!DT470</f>
        <v>0</v>
      </c>
      <c r="AO461" s="3">
        <f>[2]หน้าผ้า!DU470</f>
        <v>0</v>
      </c>
      <c r="AP461" s="3">
        <f>[2]หน้าผ้า!DP470</f>
        <v>0</v>
      </c>
      <c r="AQ461" s="3">
        <f>[2]หน้าผ้า!DW470</f>
        <v>0</v>
      </c>
      <c r="AR461" s="3">
        <f>[2]หน้าผ้า!DX470</f>
        <v>0</v>
      </c>
      <c r="AS461" s="3">
        <f>[2]หน้าผ้า!DY470</f>
        <v>0</v>
      </c>
      <c r="AT461" s="3">
        <f>[2]หน้าผ้า!DZ470</f>
        <v>0</v>
      </c>
      <c r="AU461" s="3">
        <f>[2]หน้าผ้า!EA470</f>
        <v>0</v>
      </c>
      <c r="AV461" s="1">
        <f>[2]หน้าผ้า!EB470</f>
        <v>0</v>
      </c>
      <c r="AW461" s="2">
        <f>[2]หน้าผ้า!EC470</f>
        <v>0</v>
      </c>
      <c r="AX461" s="2">
        <f>[2]หน้าผ้า!ED470</f>
        <v>0</v>
      </c>
      <c r="AY461" s="2">
        <f>[2]หน้าผ้า!AG470</f>
        <v>0</v>
      </c>
      <c r="AZ461" s="2">
        <f>[2]หน้าผ้า!EG470</f>
        <v>0</v>
      </c>
      <c r="BA461" s="2">
        <f>[2]หน้าผ้า!EH470</f>
        <v>0</v>
      </c>
      <c r="BB461" s="2">
        <f>[2]หน้าผ้า!EI470</f>
        <v>0</v>
      </c>
      <c r="BC461" s="1">
        <f>[2]หน้าผ้า!BZ470</f>
        <v>0</v>
      </c>
      <c r="BD461" s="56">
        <f>[2]หน้าผ้า!CA470</f>
        <v>0</v>
      </c>
    </row>
    <row r="462" spans="1:56" ht="27.75" customHeight="1" x14ac:dyDescent="0.45">
      <c r="A462" s="3">
        <f>[2]หน้าผ้า!C471</f>
        <v>0</v>
      </c>
      <c r="B462" s="14">
        <f>[2]หน้าผ้า!B471</f>
        <v>0</v>
      </c>
      <c r="C462" s="9">
        <f>[2]หน้าผ้า!E471</f>
        <v>0</v>
      </c>
      <c r="D462" s="13">
        <f>[2]หน้าผ้า!F471</f>
        <v>0</v>
      </c>
      <c r="E462" s="9">
        <f>[2]หน้าผ้า!G471</f>
        <v>0</v>
      </c>
      <c r="F462" s="9">
        <f>[2]หน้าผ้า!H471</f>
        <v>0</v>
      </c>
      <c r="G462" s="9">
        <f>[2]หน้าผ้า!I471</f>
        <v>0</v>
      </c>
      <c r="H462" s="9">
        <f>[2]หน้าผ้า!J471</f>
        <v>0</v>
      </c>
      <c r="I462" s="9">
        <f>[2]หน้าผ้า!L471</f>
        <v>0</v>
      </c>
      <c r="J462" s="9">
        <f>[2]หน้าผ้า!M471</f>
        <v>0</v>
      </c>
      <c r="K462" s="9">
        <f>[2]หน้าผ้า!N471</f>
        <v>0</v>
      </c>
      <c r="L462" s="9">
        <f>[2]หน้าผ้า!R471</f>
        <v>0</v>
      </c>
      <c r="M462" s="10">
        <f>[2]หน้าผ้า!T471</f>
        <v>0</v>
      </c>
      <c r="N462" s="9">
        <f>[2]หน้าผ้า!U471</f>
        <v>0</v>
      </c>
      <c r="O462" s="9">
        <f>[2]หน้าผ้า!V471</f>
        <v>0</v>
      </c>
      <c r="P462" s="10">
        <f>[2]หน้าผ้า!AB471</f>
        <v>0</v>
      </c>
      <c r="Q462" s="10">
        <f>[2]หน้าผ้า!AC471</f>
        <v>0</v>
      </c>
      <c r="R462" s="10">
        <f>[2]หน้าผ้า!AD471</f>
        <v>0</v>
      </c>
      <c r="S462" s="9">
        <f>[2]หน้าผ้า!Z471</f>
        <v>0</v>
      </c>
      <c r="T462" s="12">
        <f>[2]หน้าผ้า!X471</f>
        <v>0</v>
      </c>
      <c r="U462" s="11">
        <f>[2]หน้าผ้า!AA471</f>
        <v>0</v>
      </c>
      <c r="V462" s="10">
        <f>[2]หน้าผ้า!AJ471</f>
        <v>0</v>
      </c>
      <c r="W462" s="10">
        <f>[2]หน้าผ้า!AL471</f>
        <v>0</v>
      </c>
      <c r="X462" s="10">
        <f>[2]หน้าผ้า!AM471</f>
        <v>0</v>
      </c>
      <c r="Y462" s="10">
        <f>[2]หน้าผ้า!AN471</f>
        <v>0</v>
      </c>
      <c r="Z462" s="9">
        <f>[2]หน้าผ้า!AO471</f>
        <v>0</v>
      </c>
      <c r="AA462" s="8">
        <f>[2]หน้าผ้า!AQ471</f>
        <v>0</v>
      </c>
      <c r="AB462" s="8">
        <f>[2]หน้าผ้า!AR471</f>
        <v>0</v>
      </c>
      <c r="AC462" s="8">
        <f>[2]หน้าผ้า!AS471</f>
        <v>0</v>
      </c>
      <c r="AD462" s="8">
        <f>[2]หน้าผ้า!AT471</f>
        <v>0</v>
      </c>
      <c r="AE462" s="8">
        <f>[2]หน้าผ้า!AU471</f>
        <v>0</v>
      </c>
      <c r="AF462" s="8">
        <f>[2]หน้าผ้า!AI471</f>
        <v>0</v>
      </c>
      <c r="AG462" s="1">
        <f>[3]หน้าผ้า!DC474</f>
        <v>0</v>
      </c>
      <c r="AH462" s="1">
        <f>[2]หน้าผ้า!DL471</f>
        <v>0</v>
      </c>
      <c r="AI462" s="1">
        <f>[2]หน้าผ้า!DM471</f>
        <v>0</v>
      </c>
      <c r="AJ462" s="3">
        <f>[2]หน้าผ้า!DN471</f>
        <v>0</v>
      </c>
      <c r="AK462" s="3">
        <f>[2]หน้าผ้า!DQ471</f>
        <v>0</v>
      </c>
      <c r="AL462" s="3">
        <f>[2]หน้าผ้า!DR471</f>
        <v>0</v>
      </c>
      <c r="AM462" s="3">
        <f>[2]หน้าผ้า!DS471</f>
        <v>0</v>
      </c>
      <c r="AN462" s="3">
        <f>[2]หน้าผ้า!DT471</f>
        <v>0</v>
      </c>
      <c r="AO462" s="3">
        <f>[2]หน้าผ้า!DU471</f>
        <v>0</v>
      </c>
      <c r="AP462" s="3">
        <f>[2]หน้าผ้า!DP471</f>
        <v>0</v>
      </c>
      <c r="AQ462" s="3">
        <f>[2]หน้าผ้า!DW471</f>
        <v>0</v>
      </c>
      <c r="AR462" s="3">
        <f>[2]หน้าผ้า!DX471</f>
        <v>0</v>
      </c>
      <c r="AS462" s="3">
        <f>[2]หน้าผ้า!DY471</f>
        <v>0</v>
      </c>
      <c r="AT462" s="3">
        <f>[2]หน้าผ้า!DZ471</f>
        <v>0</v>
      </c>
      <c r="AU462" s="3">
        <f>[2]หน้าผ้า!EA471</f>
        <v>0</v>
      </c>
      <c r="AV462" s="1">
        <f>[2]หน้าผ้า!EB471</f>
        <v>0</v>
      </c>
      <c r="AW462" s="2">
        <f>[2]หน้าผ้า!EC471</f>
        <v>0</v>
      </c>
      <c r="AX462" s="2">
        <f>[2]หน้าผ้า!ED471</f>
        <v>0</v>
      </c>
      <c r="AY462" s="2">
        <f>[2]หน้าผ้า!AG471</f>
        <v>0</v>
      </c>
      <c r="AZ462" s="2">
        <f>[2]หน้าผ้า!EG471</f>
        <v>0</v>
      </c>
      <c r="BA462" s="2">
        <f>[2]หน้าผ้า!EH471</f>
        <v>0</v>
      </c>
      <c r="BB462" s="2">
        <f>[2]หน้าผ้า!EI471</f>
        <v>0</v>
      </c>
      <c r="BC462" s="1">
        <f>[2]หน้าผ้า!BZ471</f>
        <v>0</v>
      </c>
      <c r="BD462" s="56">
        <f>[2]หน้าผ้า!CA471</f>
        <v>0</v>
      </c>
    </row>
    <row r="463" spans="1:56" ht="27.75" customHeight="1" x14ac:dyDescent="0.45">
      <c r="A463" s="3">
        <f>[2]หน้าผ้า!C472</f>
        <v>0</v>
      </c>
      <c r="B463" s="14">
        <f>[2]หน้าผ้า!B472</f>
        <v>0</v>
      </c>
      <c r="C463" s="9">
        <f>[2]หน้าผ้า!E472</f>
        <v>0</v>
      </c>
      <c r="D463" s="13">
        <f>[2]หน้าผ้า!F472</f>
        <v>0</v>
      </c>
      <c r="E463" s="9">
        <f>[2]หน้าผ้า!G472</f>
        <v>0</v>
      </c>
      <c r="F463" s="9">
        <f>[2]หน้าผ้า!H472</f>
        <v>0</v>
      </c>
      <c r="G463" s="9">
        <f>[2]หน้าผ้า!I472</f>
        <v>0</v>
      </c>
      <c r="H463" s="9">
        <f>[2]หน้าผ้า!J472</f>
        <v>0</v>
      </c>
      <c r="I463" s="9">
        <f>[2]หน้าผ้า!L472</f>
        <v>0</v>
      </c>
      <c r="J463" s="9">
        <f>[2]หน้าผ้า!M472</f>
        <v>0</v>
      </c>
      <c r="K463" s="9">
        <f>[2]หน้าผ้า!N472</f>
        <v>0</v>
      </c>
      <c r="L463" s="9">
        <f>[2]หน้าผ้า!R472</f>
        <v>0</v>
      </c>
      <c r="M463" s="10">
        <f>[2]หน้าผ้า!T472</f>
        <v>0</v>
      </c>
      <c r="N463" s="9">
        <f>[2]หน้าผ้า!U472</f>
        <v>0</v>
      </c>
      <c r="O463" s="9">
        <f>[2]หน้าผ้า!V472</f>
        <v>0</v>
      </c>
      <c r="P463" s="10">
        <f>[2]หน้าผ้า!AB472</f>
        <v>0</v>
      </c>
      <c r="Q463" s="10">
        <f>[2]หน้าผ้า!AC472</f>
        <v>0</v>
      </c>
      <c r="R463" s="10">
        <f>[2]หน้าผ้า!AD472</f>
        <v>0</v>
      </c>
      <c r="S463" s="9">
        <f>[2]หน้าผ้า!Z472</f>
        <v>0</v>
      </c>
      <c r="T463" s="12">
        <f>[2]หน้าผ้า!X472</f>
        <v>0</v>
      </c>
      <c r="U463" s="11">
        <f>[2]หน้าผ้า!AA472</f>
        <v>0</v>
      </c>
      <c r="V463" s="10">
        <f>[2]หน้าผ้า!AJ472</f>
        <v>0</v>
      </c>
      <c r="W463" s="10">
        <f>[2]หน้าผ้า!AL472</f>
        <v>0</v>
      </c>
      <c r="X463" s="10">
        <f>[2]หน้าผ้า!AM472</f>
        <v>0</v>
      </c>
      <c r="Y463" s="10">
        <f>[2]หน้าผ้า!AN472</f>
        <v>0</v>
      </c>
      <c r="Z463" s="9">
        <f>[2]หน้าผ้า!AO472</f>
        <v>0</v>
      </c>
      <c r="AA463" s="8">
        <f>[2]หน้าผ้า!AQ472</f>
        <v>0</v>
      </c>
      <c r="AB463" s="8">
        <f>[2]หน้าผ้า!AR472</f>
        <v>0</v>
      </c>
      <c r="AC463" s="8">
        <f>[2]หน้าผ้า!AS472</f>
        <v>0</v>
      </c>
      <c r="AD463" s="8">
        <f>[2]หน้าผ้า!AT472</f>
        <v>0</v>
      </c>
      <c r="AE463" s="8">
        <f>[2]หน้าผ้า!AU472</f>
        <v>0</v>
      </c>
      <c r="AF463" s="8">
        <f>[2]หน้าผ้า!AI472</f>
        <v>0</v>
      </c>
      <c r="AG463" s="1">
        <f>[3]หน้าผ้า!DC475</f>
        <v>0</v>
      </c>
      <c r="AH463" s="1">
        <f>[2]หน้าผ้า!DL472</f>
        <v>0</v>
      </c>
      <c r="AI463" s="1">
        <f>[2]หน้าผ้า!DM472</f>
        <v>0</v>
      </c>
      <c r="AJ463" s="3">
        <f>[2]หน้าผ้า!DN472</f>
        <v>0</v>
      </c>
      <c r="AK463" s="3">
        <f>[2]หน้าผ้า!DQ472</f>
        <v>0</v>
      </c>
      <c r="AL463" s="3">
        <f>[2]หน้าผ้า!DR472</f>
        <v>0</v>
      </c>
      <c r="AM463" s="3">
        <f>[2]หน้าผ้า!DS472</f>
        <v>0</v>
      </c>
      <c r="AN463" s="3">
        <f>[2]หน้าผ้า!DT472</f>
        <v>0</v>
      </c>
      <c r="AO463" s="3">
        <f>[2]หน้าผ้า!DU472</f>
        <v>0</v>
      </c>
      <c r="AP463" s="3">
        <f>[2]หน้าผ้า!DP472</f>
        <v>0</v>
      </c>
      <c r="AQ463" s="3">
        <f>[2]หน้าผ้า!DW472</f>
        <v>0</v>
      </c>
      <c r="AR463" s="3">
        <f>[2]หน้าผ้า!DX472</f>
        <v>0</v>
      </c>
      <c r="AS463" s="3">
        <f>[2]หน้าผ้า!DY472</f>
        <v>0</v>
      </c>
      <c r="AT463" s="3">
        <f>[2]หน้าผ้า!DZ472</f>
        <v>0</v>
      </c>
      <c r="AU463" s="3">
        <f>[2]หน้าผ้า!EA472</f>
        <v>0</v>
      </c>
      <c r="AV463" s="1">
        <f>[2]หน้าผ้า!EB472</f>
        <v>0</v>
      </c>
      <c r="AW463" s="2">
        <f>[2]หน้าผ้า!EC472</f>
        <v>0</v>
      </c>
      <c r="AX463" s="2">
        <f>[2]หน้าผ้า!ED472</f>
        <v>0</v>
      </c>
      <c r="AY463" s="2">
        <f>[2]หน้าผ้า!AG472</f>
        <v>0</v>
      </c>
      <c r="AZ463" s="2">
        <f>[2]หน้าผ้า!EG472</f>
        <v>0</v>
      </c>
      <c r="BA463" s="2">
        <f>[2]หน้าผ้า!EH472</f>
        <v>0</v>
      </c>
      <c r="BB463" s="2">
        <f>[2]หน้าผ้า!EI472</f>
        <v>0</v>
      </c>
      <c r="BC463" s="1">
        <f>[2]หน้าผ้า!BZ472</f>
        <v>0</v>
      </c>
      <c r="BD463" s="56">
        <f>[2]หน้าผ้า!CA472</f>
        <v>0</v>
      </c>
    </row>
    <row r="464" spans="1:56" ht="27.75" customHeight="1" x14ac:dyDescent="0.45">
      <c r="A464" s="3">
        <f>[2]หน้าผ้า!C473</f>
        <v>0</v>
      </c>
      <c r="B464" s="14">
        <f>[2]หน้าผ้า!B473</f>
        <v>0</v>
      </c>
      <c r="C464" s="9">
        <f>[2]หน้าผ้า!E473</f>
        <v>0</v>
      </c>
      <c r="D464" s="13">
        <f>[2]หน้าผ้า!F473</f>
        <v>0</v>
      </c>
      <c r="E464" s="9">
        <f>[2]หน้าผ้า!G473</f>
        <v>0</v>
      </c>
      <c r="F464" s="9">
        <f>[2]หน้าผ้า!H473</f>
        <v>0</v>
      </c>
      <c r="G464" s="9">
        <f>[2]หน้าผ้า!I473</f>
        <v>0</v>
      </c>
      <c r="H464" s="9">
        <f>[2]หน้าผ้า!J473</f>
        <v>0</v>
      </c>
      <c r="I464" s="9">
        <f>[2]หน้าผ้า!L473</f>
        <v>0</v>
      </c>
      <c r="J464" s="9">
        <f>[2]หน้าผ้า!M473</f>
        <v>0</v>
      </c>
      <c r="K464" s="9">
        <f>[2]หน้าผ้า!N473</f>
        <v>0</v>
      </c>
      <c r="L464" s="9">
        <f>[2]หน้าผ้า!R473</f>
        <v>0</v>
      </c>
      <c r="M464" s="10">
        <f>[2]หน้าผ้า!T473</f>
        <v>0</v>
      </c>
      <c r="N464" s="9">
        <f>[2]หน้าผ้า!U473</f>
        <v>0</v>
      </c>
      <c r="O464" s="9">
        <f>[2]หน้าผ้า!V473</f>
        <v>0</v>
      </c>
      <c r="P464" s="10">
        <f>[2]หน้าผ้า!AB473</f>
        <v>0</v>
      </c>
      <c r="Q464" s="10">
        <f>[2]หน้าผ้า!AC473</f>
        <v>0</v>
      </c>
      <c r="R464" s="10">
        <f>[2]หน้าผ้า!AD473</f>
        <v>0</v>
      </c>
      <c r="S464" s="9">
        <f>[2]หน้าผ้า!Z473</f>
        <v>0</v>
      </c>
      <c r="T464" s="12">
        <f>[2]หน้าผ้า!X473</f>
        <v>0</v>
      </c>
      <c r="U464" s="11">
        <f>[2]หน้าผ้า!AA473</f>
        <v>0</v>
      </c>
      <c r="V464" s="10">
        <f>[2]หน้าผ้า!AJ473</f>
        <v>0</v>
      </c>
      <c r="W464" s="10">
        <f>[2]หน้าผ้า!AL473</f>
        <v>0</v>
      </c>
      <c r="X464" s="10">
        <f>[2]หน้าผ้า!AM473</f>
        <v>0</v>
      </c>
      <c r="Y464" s="10">
        <f>[2]หน้าผ้า!AN473</f>
        <v>0</v>
      </c>
      <c r="Z464" s="9">
        <f>[2]หน้าผ้า!AO473</f>
        <v>0</v>
      </c>
      <c r="AA464" s="8">
        <f>[2]หน้าผ้า!AQ473</f>
        <v>0</v>
      </c>
      <c r="AB464" s="8">
        <f>[2]หน้าผ้า!AR473</f>
        <v>0</v>
      </c>
      <c r="AC464" s="8">
        <f>[2]หน้าผ้า!AS473</f>
        <v>0</v>
      </c>
      <c r="AD464" s="8">
        <f>[2]หน้าผ้า!AT473</f>
        <v>0</v>
      </c>
      <c r="AE464" s="8">
        <f>[2]หน้าผ้า!AU473</f>
        <v>0</v>
      </c>
      <c r="AF464" s="8">
        <f>[2]หน้าผ้า!AI473</f>
        <v>0</v>
      </c>
      <c r="AG464" s="1">
        <f>[3]หน้าผ้า!DC476</f>
        <v>0</v>
      </c>
      <c r="AH464" s="1">
        <f>[2]หน้าผ้า!DL473</f>
        <v>0</v>
      </c>
      <c r="AI464" s="1">
        <f>[2]หน้าผ้า!DM473</f>
        <v>0</v>
      </c>
      <c r="AJ464" s="3">
        <f>[2]หน้าผ้า!DN473</f>
        <v>0</v>
      </c>
      <c r="AK464" s="3">
        <f>[2]หน้าผ้า!DQ473</f>
        <v>0</v>
      </c>
      <c r="AL464" s="3">
        <f>[2]หน้าผ้า!DR473</f>
        <v>0</v>
      </c>
      <c r="AM464" s="3">
        <f>[2]หน้าผ้า!DS473</f>
        <v>0</v>
      </c>
      <c r="AN464" s="3">
        <f>[2]หน้าผ้า!DT473</f>
        <v>0</v>
      </c>
      <c r="AO464" s="3">
        <f>[2]หน้าผ้า!DU473</f>
        <v>0</v>
      </c>
      <c r="AP464" s="3">
        <f>[2]หน้าผ้า!DP473</f>
        <v>0</v>
      </c>
      <c r="AQ464" s="3">
        <f>[2]หน้าผ้า!DW473</f>
        <v>0</v>
      </c>
      <c r="AR464" s="3">
        <f>[2]หน้าผ้า!DX473</f>
        <v>0</v>
      </c>
      <c r="AS464" s="3">
        <f>[2]หน้าผ้า!DY473</f>
        <v>0</v>
      </c>
      <c r="AT464" s="3">
        <f>[2]หน้าผ้า!DZ473</f>
        <v>0</v>
      </c>
      <c r="AU464" s="3">
        <f>[2]หน้าผ้า!EA473</f>
        <v>0</v>
      </c>
      <c r="AV464" s="1">
        <f>[2]หน้าผ้า!EB473</f>
        <v>0</v>
      </c>
      <c r="AW464" s="2">
        <f>[2]หน้าผ้า!EC473</f>
        <v>0</v>
      </c>
      <c r="AX464" s="2">
        <f>[2]หน้าผ้า!ED473</f>
        <v>0</v>
      </c>
      <c r="AY464" s="2">
        <f>[2]หน้าผ้า!AG473</f>
        <v>0</v>
      </c>
      <c r="AZ464" s="2">
        <f>[2]หน้าผ้า!EG473</f>
        <v>0</v>
      </c>
      <c r="BA464" s="2">
        <f>[2]หน้าผ้า!EH473</f>
        <v>0</v>
      </c>
      <c r="BB464" s="2">
        <f>[2]หน้าผ้า!EI473</f>
        <v>0</v>
      </c>
      <c r="BC464" s="1">
        <f>[2]หน้าผ้า!BZ473</f>
        <v>0</v>
      </c>
      <c r="BD464" s="56">
        <f>[2]หน้าผ้า!CA473</f>
        <v>0</v>
      </c>
    </row>
    <row r="465" spans="1:56" ht="27.75" customHeight="1" x14ac:dyDescent="0.45">
      <c r="A465" s="3">
        <f>[2]หน้าผ้า!C474</f>
        <v>0</v>
      </c>
      <c r="B465" s="14">
        <f>[2]หน้าผ้า!B474</f>
        <v>0</v>
      </c>
      <c r="C465" s="9">
        <f>[2]หน้าผ้า!E474</f>
        <v>0</v>
      </c>
      <c r="D465" s="13">
        <f>[2]หน้าผ้า!F474</f>
        <v>0</v>
      </c>
      <c r="E465" s="9">
        <f>[2]หน้าผ้า!G474</f>
        <v>0</v>
      </c>
      <c r="F465" s="9">
        <f>[2]หน้าผ้า!H474</f>
        <v>0</v>
      </c>
      <c r="G465" s="9">
        <f>[2]หน้าผ้า!I474</f>
        <v>0</v>
      </c>
      <c r="H465" s="9">
        <f>[2]หน้าผ้า!J474</f>
        <v>0</v>
      </c>
      <c r="I465" s="9">
        <f>[2]หน้าผ้า!L474</f>
        <v>0</v>
      </c>
      <c r="J465" s="9">
        <f>[2]หน้าผ้า!M474</f>
        <v>0</v>
      </c>
      <c r="K465" s="9">
        <f>[2]หน้าผ้า!N474</f>
        <v>0</v>
      </c>
      <c r="L465" s="9">
        <f>[2]หน้าผ้า!R474</f>
        <v>0</v>
      </c>
      <c r="M465" s="10">
        <f>[2]หน้าผ้า!T474</f>
        <v>0</v>
      </c>
      <c r="N465" s="9">
        <f>[2]หน้าผ้า!U474</f>
        <v>0</v>
      </c>
      <c r="O465" s="9">
        <f>[2]หน้าผ้า!V474</f>
        <v>0</v>
      </c>
      <c r="P465" s="10">
        <f>[2]หน้าผ้า!AB474</f>
        <v>0</v>
      </c>
      <c r="Q465" s="10">
        <f>[2]หน้าผ้า!AC474</f>
        <v>0</v>
      </c>
      <c r="R465" s="10">
        <f>[2]หน้าผ้า!AD474</f>
        <v>0</v>
      </c>
      <c r="S465" s="9">
        <f>[2]หน้าผ้า!Z474</f>
        <v>0</v>
      </c>
      <c r="T465" s="12">
        <f>[2]หน้าผ้า!X474</f>
        <v>0</v>
      </c>
      <c r="U465" s="11">
        <f>[2]หน้าผ้า!AA474</f>
        <v>0</v>
      </c>
      <c r="V465" s="10">
        <f>[2]หน้าผ้า!AJ474</f>
        <v>0</v>
      </c>
      <c r="W465" s="10">
        <f>[2]หน้าผ้า!AL474</f>
        <v>0</v>
      </c>
      <c r="X465" s="10">
        <f>[2]หน้าผ้า!AM474</f>
        <v>0</v>
      </c>
      <c r="Y465" s="10">
        <f>[2]หน้าผ้า!AN474</f>
        <v>0</v>
      </c>
      <c r="Z465" s="9">
        <f>[2]หน้าผ้า!AO474</f>
        <v>0</v>
      </c>
      <c r="AA465" s="8">
        <f>[2]หน้าผ้า!AQ474</f>
        <v>0</v>
      </c>
      <c r="AB465" s="8">
        <f>[2]หน้าผ้า!AR474</f>
        <v>0</v>
      </c>
      <c r="AC465" s="8">
        <f>[2]หน้าผ้า!AS474</f>
        <v>0</v>
      </c>
      <c r="AD465" s="8">
        <f>[2]หน้าผ้า!AT474</f>
        <v>0</v>
      </c>
      <c r="AE465" s="8">
        <f>[2]หน้าผ้า!AU474</f>
        <v>0</v>
      </c>
      <c r="AF465" s="8">
        <f>[2]หน้าผ้า!AI474</f>
        <v>0</v>
      </c>
      <c r="AG465" s="1">
        <f>[3]หน้าผ้า!DC477</f>
        <v>0</v>
      </c>
      <c r="AH465" s="1">
        <f>[2]หน้าผ้า!DL474</f>
        <v>0</v>
      </c>
      <c r="AI465" s="1">
        <f>[2]หน้าผ้า!DM474</f>
        <v>0</v>
      </c>
      <c r="AJ465" s="3">
        <f>[2]หน้าผ้า!DN474</f>
        <v>0</v>
      </c>
      <c r="AK465" s="3">
        <f>[2]หน้าผ้า!DQ474</f>
        <v>0</v>
      </c>
      <c r="AL465" s="3">
        <f>[2]หน้าผ้า!DR474</f>
        <v>0</v>
      </c>
      <c r="AM465" s="3">
        <f>[2]หน้าผ้า!DS474</f>
        <v>0</v>
      </c>
      <c r="AN465" s="3">
        <f>[2]หน้าผ้า!DT474</f>
        <v>0</v>
      </c>
      <c r="AO465" s="3">
        <f>[2]หน้าผ้า!DU474</f>
        <v>0</v>
      </c>
      <c r="AP465" s="3">
        <f>[2]หน้าผ้า!DP474</f>
        <v>0</v>
      </c>
      <c r="AQ465" s="3">
        <f>[2]หน้าผ้า!DW474</f>
        <v>0</v>
      </c>
      <c r="AR465" s="3">
        <f>[2]หน้าผ้า!DX474</f>
        <v>0</v>
      </c>
      <c r="AS465" s="3">
        <f>[2]หน้าผ้า!DY474</f>
        <v>0</v>
      </c>
      <c r="AT465" s="3">
        <f>[2]หน้าผ้า!DZ474</f>
        <v>0</v>
      </c>
      <c r="AU465" s="3">
        <f>[2]หน้าผ้า!EA474</f>
        <v>0</v>
      </c>
      <c r="AV465" s="1">
        <f>[2]หน้าผ้า!EB474</f>
        <v>0</v>
      </c>
      <c r="AW465" s="2">
        <f>[2]หน้าผ้า!EC474</f>
        <v>0</v>
      </c>
      <c r="AX465" s="2">
        <f>[2]หน้าผ้า!ED474</f>
        <v>0</v>
      </c>
      <c r="AY465" s="2">
        <f>[2]หน้าผ้า!AG474</f>
        <v>0</v>
      </c>
      <c r="AZ465" s="2">
        <f>[2]หน้าผ้า!EG474</f>
        <v>0</v>
      </c>
      <c r="BA465" s="2">
        <f>[2]หน้าผ้า!EH474</f>
        <v>0</v>
      </c>
      <c r="BB465" s="2">
        <f>[2]หน้าผ้า!EI474</f>
        <v>0</v>
      </c>
      <c r="BC465" s="1">
        <f>[2]หน้าผ้า!BZ474</f>
        <v>0</v>
      </c>
      <c r="BD465" s="56">
        <f>[2]หน้าผ้า!CA474</f>
        <v>0</v>
      </c>
    </row>
    <row r="466" spans="1:56" ht="27.75" customHeight="1" x14ac:dyDescent="0.45">
      <c r="A466" s="3">
        <f>[2]หน้าผ้า!C475</f>
        <v>0</v>
      </c>
      <c r="B466" s="14">
        <f>[2]หน้าผ้า!B475</f>
        <v>0</v>
      </c>
      <c r="C466" s="9">
        <f>[2]หน้าผ้า!E475</f>
        <v>0</v>
      </c>
      <c r="D466" s="13">
        <f>[2]หน้าผ้า!F475</f>
        <v>0</v>
      </c>
      <c r="E466" s="9">
        <f>[2]หน้าผ้า!G475</f>
        <v>0</v>
      </c>
      <c r="F466" s="9">
        <f>[2]หน้าผ้า!H475</f>
        <v>0</v>
      </c>
      <c r="G466" s="9">
        <f>[2]หน้าผ้า!I475</f>
        <v>0</v>
      </c>
      <c r="H466" s="9">
        <f>[2]หน้าผ้า!J475</f>
        <v>0</v>
      </c>
      <c r="I466" s="9">
        <f>[2]หน้าผ้า!L475</f>
        <v>0</v>
      </c>
      <c r="J466" s="9">
        <f>[2]หน้าผ้า!M475</f>
        <v>0</v>
      </c>
      <c r="K466" s="9">
        <f>[2]หน้าผ้า!N475</f>
        <v>0</v>
      </c>
      <c r="L466" s="9">
        <f>[2]หน้าผ้า!R475</f>
        <v>0</v>
      </c>
      <c r="M466" s="10">
        <f>[2]หน้าผ้า!T475</f>
        <v>0</v>
      </c>
      <c r="N466" s="9">
        <f>[2]หน้าผ้า!U475</f>
        <v>0</v>
      </c>
      <c r="O466" s="9">
        <f>[2]หน้าผ้า!V475</f>
        <v>0</v>
      </c>
      <c r="P466" s="10">
        <f>[2]หน้าผ้า!AB475</f>
        <v>0</v>
      </c>
      <c r="Q466" s="10">
        <f>[2]หน้าผ้า!AC475</f>
        <v>0</v>
      </c>
      <c r="R466" s="10">
        <f>[2]หน้าผ้า!AD475</f>
        <v>0</v>
      </c>
      <c r="S466" s="9">
        <f>[2]หน้าผ้า!Z475</f>
        <v>0</v>
      </c>
      <c r="T466" s="12">
        <f>[2]หน้าผ้า!X475</f>
        <v>0</v>
      </c>
      <c r="U466" s="11">
        <f>[2]หน้าผ้า!AA475</f>
        <v>0</v>
      </c>
      <c r="V466" s="10">
        <f>[2]หน้าผ้า!AJ475</f>
        <v>0</v>
      </c>
      <c r="W466" s="10">
        <f>[2]หน้าผ้า!AL475</f>
        <v>0</v>
      </c>
      <c r="X466" s="10">
        <f>[2]หน้าผ้า!AM475</f>
        <v>0</v>
      </c>
      <c r="Y466" s="10">
        <f>[2]หน้าผ้า!AN475</f>
        <v>0</v>
      </c>
      <c r="Z466" s="9">
        <f>[2]หน้าผ้า!AO475</f>
        <v>0</v>
      </c>
      <c r="AA466" s="8">
        <f>[2]หน้าผ้า!AQ475</f>
        <v>0</v>
      </c>
      <c r="AB466" s="8">
        <f>[2]หน้าผ้า!AR475</f>
        <v>0</v>
      </c>
      <c r="AC466" s="8">
        <f>[2]หน้าผ้า!AS475</f>
        <v>0</v>
      </c>
      <c r="AD466" s="8">
        <f>[2]หน้าผ้า!AT475</f>
        <v>0</v>
      </c>
      <c r="AE466" s="8">
        <f>[2]หน้าผ้า!AU475</f>
        <v>0</v>
      </c>
      <c r="AF466" s="8">
        <f>[2]หน้าผ้า!AI475</f>
        <v>0</v>
      </c>
      <c r="AG466" s="1">
        <f>[3]หน้าผ้า!DC478</f>
        <v>0</v>
      </c>
      <c r="AH466" s="1">
        <f>[2]หน้าผ้า!DL475</f>
        <v>0</v>
      </c>
      <c r="AI466" s="1">
        <f>[2]หน้าผ้า!DM475</f>
        <v>0</v>
      </c>
      <c r="AJ466" s="3">
        <f>[2]หน้าผ้า!DN475</f>
        <v>0</v>
      </c>
      <c r="AK466" s="3">
        <f>[2]หน้าผ้า!DQ475</f>
        <v>0</v>
      </c>
      <c r="AL466" s="3">
        <f>[2]หน้าผ้า!DR475</f>
        <v>0</v>
      </c>
      <c r="AM466" s="3">
        <f>[2]หน้าผ้า!DS475</f>
        <v>0</v>
      </c>
      <c r="AN466" s="3">
        <f>[2]หน้าผ้า!DT475</f>
        <v>0</v>
      </c>
      <c r="AO466" s="3">
        <f>[2]หน้าผ้า!DU475</f>
        <v>0</v>
      </c>
      <c r="AP466" s="3">
        <f>[2]หน้าผ้า!DP475</f>
        <v>0</v>
      </c>
      <c r="AQ466" s="3">
        <f>[2]หน้าผ้า!DW475</f>
        <v>0</v>
      </c>
      <c r="AR466" s="3">
        <f>[2]หน้าผ้า!DX475</f>
        <v>0</v>
      </c>
      <c r="AS466" s="3">
        <f>[2]หน้าผ้า!DY475</f>
        <v>0</v>
      </c>
      <c r="AT466" s="3">
        <f>[2]หน้าผ้า!DZ475</f>
        <v>0</v>
      </c>
      <c r="AU466" s="3">
        <f>[2]หน้าผ้า!EA475</f>
        <v>0</v>
      </c>
      <c r="AV466" s="1">
        <f>[2]หน้าผ้า!EB475</f>
        <v>0</v>
      </c>
      <c r="AW466" s="2">
        <f>[2]หน้าผ้า!EC475</f>
        <v>0</v>
      </c>
      <c r="AX466" s="2">
        <f>[2]หน้าผ้า!ED475</f>
        <v>0</v>
      </c>
      <c r="AY466" s="2">
        <f>[2]หน้าผ้า!AG475</f>
        <v>0</v>
      </c>
      <c r="AZ466" s="2">
        <f>[2]หน้าผ้า!EG475</f>
        <v>0</v>
      </c>
      <c r="BA466" s="2">
        <f>[2]หน้าผ้า!EH475</f>
        <v>0</v>
      </c>
      <c r="BB466" s="2">
        <f>[2]หน้าผ้า!EI475</f>
        <v>0</v>
      </c>
      <c r="BC466" s="1">
        <f>[2]หน้าผ้า!BZ475</f>
        <v>0</v>
      </c>
      <c r="BD466" s="56">
        <f>[2]หน้าผ้า!CA475</f>
        <v>0</v>
      </c>
    </row>
    <row r="467" spans="1:56" ht="27.75" customHeight="1" x14ac:dyDescent="0.45">
      <c r="A467" s="3">
        <f>[2]หน้าผ้า!C476</f>
        <v>0</v>
      </c>
      <c r="B467" s="14">
        <f>[2]หน้าผ้า!B476</f>
        <v>0</v>
      </c>
      <c r="C467" s="9">
        <f>[2]หน้าผ้า!E476</f>
        <v>0</v>
      </c>
      <c r="D467" s="13">
        <f>[2]หน้าผ้า!F476</f>
        <v>0</v>
      </c>
      <c r="E467" s="9">
        <f>[2]หน้าผ้า!G476</f>
        <v>0</v>
      </c>
      <c r="F467" s="9">
        <f>[2]หน้าผ้า!H476</f>
        <v>0</v>
      </c>
      <c r="G467" s="9">
        <f>[2]หน้าผ้า!I476</f>
        <v>0</v>
      </c>
      <c r="H467" s="9">
        <f>[2]หน้าผ้า!J476</f>
        <v>0</v>
      </c>
      <c r="I467" s="9">
        <f>[2]หน้าผ้า!L476</f>
        <v>0</v>
      </c>
      <c r="J467" s="9">
        <f>[2]หน้าผ้า!M476</f>
        <v>0</v>
      </c>
      <c r="K467" s="9">
        <f>[2]หน้าผ้า!N476</f>
        <v>0</v>
      </c>
      <c r="L467" s="9">
        <f>[2]หน้าผ้า!R476</f>
        <v>0</v>
      </c>
      <c r="M467" s="10">
        <f>[2]หน้าผ้า!T476</f>
        <v>0</v>
      </c>
      <c r="N467" s="9">
        <f>[2]หน้าผ้า!U476</f>
        <v>0</v>
      </c>
      <c r="O467" s="9">
        <f>[2]หน้าผ้า!V476</f>
        <v>0</v>
      </c>
      <c r="P467" s="10">
        <f>[2]หน้าผ้า!AB476</f>
        <v>0</v>
      </c>
      <c r="Q467" s="10">
        <f>[2]หน้าผ้า!AC476</f>
        <v>0</v>
      </c>
      <c r="R467" s="10">
        <f>[2]หน้าผ้า!AD476</f>
        <v>0</v>
      </c>
      <c r="S467" s="9">
        <f>[2]หน้าผ้า!Z476</f>
        <v>0</v>
      </c>
      <c r="T467" s="12">
        <f>[2]หน้าผ้า!X476</f>
        <v>0</v>
      </c>
      <c r="U467" s="11">
        <f>[2]หน้าผ้า!AA476</f>
        <v>0</v>
      </c>
      <c r="V467" s="10">
        <f>[2]หน้าผ้า!AJ476</f>
        <v>0</v>
      </c>
      <c r="W467" s="10">
        <f>[2]หน้าผ้า!AL476</f>
        <v>0</v>
      </c>
      <c r="X467" s="10">
        <f>[2]หน้าผ้า!AM476</f>
        <v>0</v>
      </c>
      <c r="Y467" s="10">
        <f>[2]หน้าผ้า!AN476</f>
        <v>0</v>
      </c>
      <c r="Z467" s="9">
        <f>[2]หน้าผ้า!AO476</f>
        <v>0</v>
      </c>
      <c r="AA467" s="8">
        <f>[2]หน้าผ้า!AQ476</f>
        <v>0</v>
      </c>
      <c r="AB467" s="8">
        <f>[2]หน้าผ้า!AR476</f>
        <v>0</v>
      </c>
      <c r="AC467" s="8">
        <f>[2]หน้าผ้า!AS476</f>
        <v>0</v>
      </c>
      <c r="AD467" s="8">
        <f>[2]หน้าผ้า!AT476</f>
        <v>0</v>
      </c>
      <c r="AE467" s="8">
        <f>[2]หน้าผ้า!AU476</f>
        <v>0</v>
      </c>
      <c r="AF467" s="8">
        <f>[2]หน้าผ้า!AI476</f>
        <v>0</v>
      </c>
      <c r="AG467" s="1">
        <f>[3]หน้าผ้า!DC479</f>
        <v>0</v>
      </c>
      <c r="AH467" s="1">
        <f>[2]หน้าผ้า!DL476</f>
        <v>0</v>
      </c>
      <c r="AI467" s="1">
        <f>[2]หน้าผ้า!DM476</f>
        <v>0</v>
      </c>
      <c r="AJ467" s="3">
        <f>[2]หน้าผ้า!DN476</f>
        <v>0</v>
      </c>
      <c r="AK467" s="3">
        <f>[2]หน้าผ้า!DQ476</f>
        <v>0</v>
      </c>
      <c r="AL467" s="3">
        <f>[2]หน้าผ้า!DR476</f>
        <v>0</v>
      </c>
      <c r="AM467" s="3">
        <f>[2]หน้าผ้า!DS476</f>
        <v>0</v>
      </c>
      <c r="AN467" s="3">
        <f>[2]หน้าผ้า!DT476</f>
        <v>0</v>
      </c>
      <c r="AO467" s="3">
        <f>[2]หน้าผ้า!DU476</f>
        <v>0</v>
      </c>
      <c r="AP467" s="3">
        <f>[2]หน้าผ้า!DP476</f>
        <v>0</v>
      </c>
      <c r="AQ467" s="3">
        <f>[2]หน้าผ้า!DW476</f>
        <v>0</v>
      </c>
      <c r="AR467" s="3">
        <f>[2]หน้าผ้า!DX476</f>
        <v>0</v>
      </c>
      <c r="AS467" s="3">
        <f>[2]หน้าผ้า!DY476</f>
        <v>0</v>
      </c>
      <c r="AT467" s="3">
        <f>[2]หน้าผ้า!DZ476</f>
        <v>0</v>
      </c>
      <c r="AU467" s="3">
        <f>[2]หน้าผ้า!EA476</f>
        <v>0</v>
      </c>
      <c r="AV467" s="1">
        <f>[2]หน้าผ้า!EB476</f>
        <v>0</v>
      </c>
      <c r="AW467" s="2">
        <f>[2]หน้าผ้า!EC476</f>
        <v>0</v>
      </c>
      <c r="AX467" s="2">
        <f>[2]หน้าผ้า!ED476</f>
        <v>0</v>
      </c>
      <c r="AY467" s="2">
        <f>[2]หน้าผ้า!AG476</f>
        <v>0</v>
      </c>
      <c r="AZ467" s="2">
        <f>[2]หน้าผ้า!EG476</f>
        <v>0</v>
      </c>
      <c r="BA467" s="2">
        <f>[2]หน้าผ้า!EH476</f>
        <v>0</v>
      </c>
      <c r="BB467" s="2">
        <f>[2]หน้าผ้า!EI476</f>
        <v>0</v>
      </c>
      <c r="BC467" s="1">
        <f>[2]หน้าผ้า!BZ476</f>
        <v>0</v>
      </c>
      <c r="BD467" s="56">
        <f>[2]หน้าผ้า!CA476</f>
        <v>0</v>
      </c>
    </row>
    <row r="468" spans="1:56" ht="27.75" customHeight="1" x14ac:dyDescent="0.45">
      <c r="A468" s="3">
        <f>[2]หน้าผ้า!C477</f>
        <v>0</v>
      </c>
      <c r="B468" s="14">
        <f>[2]หน้าผ้า!B477</f>
        <v>0</v>
      </c>
      <c r="C468" s="9">
        <f>[2]หน้าผ้า!E477</f>
        <v>0</v>
      </c>
      <c r="D468" s="13">
        <f>[2]หน้าผ้า!F477</f>
        <v>0</v>
      </c>
      <c r="E468" s="9">
        <f>[2]หน้าผ้า!G477</f>
        <v>0</v>
      </c>
      <c r="F468" s="9">
        <f>[2]หน้าผ้า!H477</f>
        <v>0</v>
      </c>
      <c r="G468" s="9">
        <f>[2]หน้าผ้า!I477</f>
        <v>0</v>
      </c>
      <c r="H468" s="9">
        <f>[2]หน้าผ้า!J477</f>
        <v>0</v>
      </c>
      <c r="I468" s="9">
        <f>[2]หน้าผ้า!L477</f>
        <v>0</v>
      </c>
      <c r="J468" s="9">
        <f>[2]หน้าผ้า!M477</f>
        <v>0</v>
      </c>
      <c r="K468" s="9">
        <f>[2]หน้าผ้า!N477</f>
        <v>0</v>
      </c>
      <c r="L468" s="9">
        <f>[2]หน้าผ้า!R477</f>
        <v>0</v>
      </c>
      <c r="M468" s="10">
        <f>[2]หน้าผ้า!T477</f>
        <v>0</v>
      </c>
      <c r="N468" s="9">
        <f>[2]หน้าผ้า!U477</f>
        <v>0</v>
      </c>
      <c r="O468" s="9">
        <f>[2]หน้าผ้า!V477</f>
        <v>0</v>
      </c>
      <c r="P468" s="10">
        <f>[2]หน้าผ้า!AB477</f>
        <v>0</v>
      </c>
      <c r="Q468" s="10">
        <f>[2]หน้าผ้า!AC477</f>
        <v>0</v>
      </c>
      <c r="R468" s="10">
        <f>[2]หน้าผ้า!AD477</f>
        <v>0</v>
      </c>
      <c r="S468" s="9">
        <f>[2]หน้าผ้า!Z477</f>
        <v>0</v>
      </c>
      <c r="T468" s="12">
        <f>[2]หน้าผ้า!X477</f>
        <v>0</v>
      </c>
      <c r="U468" s="11">
        <f>[2]หน้าผ้า!AA477</f>
        <v>0</v>
      </c>
      <c r="V468" s="10">
        <f>[2]หน้าผ้า!AJ477</f>
        <v>0</v>
      </c>
      <c r="W468" s="10">
        <f>[2]หน้าผ้า!AL477</f>
        <v>0</v>
      </c>
      <c r="X468" s="10">
        <f>[2]หน้าผ้า!AM477</f>
        <v>0</v>
      </c>
      <c r="Y468" s="10">
        <f>[2]หน้าผ้า!AN477</f>
        <v>0</v>
      </c>
      <c r="Z468" s="9">
        <f>[2]หน้าผ้า!AO477</f>
        <v>0</v>
      </c>
      <c r="AA468" s="8">
        <f>[2]หน้าผ้า!AQ477</f>
        <v>0</v>
      </c>
      <c r="AB468" s="8">
        <f>[2]หน้าผ้า!AR477</f>
        <v>0</v>
      </c>
      <c r="AC468" s="8">
        <f>[2]หน้าผ้า!AS477</f>
        <v>0</v>
      </c>
      <c r="AD468" s="8">
        <f>[2]หน้าผ้า!AT477</f>
        <v>0</v>
      </c>
      <c r="AE468" s="8">
        <f>[2]หน้าผ้า!AU477</f>
        <v>0</v>
      </c>
      <c r="AF468" s="8">
        <f>[2]หน้าผ้า!AI477</f>
        <v>0</v>
      </c>
      <c r="AG468" s="1">
        <f>[3]หน้าผ้า!DC480</f>
        <v>0</v>
      </c>
      <c r="AH468" s="1">
        <f>[2]หน้าผ้า!DL477</f>
        <v>0</v>
      </c>
      <c r="AI468" s="1">
        <f>[2]หน้าผ้า!DM477</f>
        <v>0</v>
      </c>
      <c r="AJ468" s="3">
        <f>[2]หน้าผ้า!DN477</f>
        <v>0</v>
      </c>
      <c r="AK468" s="3">
        <f>[2]หน้าผ้า!DQ477</f>
        <v>0</v>
      </c>
      <c r="AL468" s="3">
        <f>[2]หน้าผ้า!DR477</f>
        <v>0</v>
      </c>
      <c r="AM468" s="3">
        <f>[2]หน้าผ้า!DS477</f>
        <v>0</v>
      </c>
      <c r="AN468" s="3">
        <f>[2]หน้าผ้า!DT477</f>
        <v>0</v>
      </c>
      <c r="AO468" s="3">
        <f>[2]หน้าผ้า!DU477</f>
        <v>0</v>
      </c>
      <c r="AP468" s="3">
        <f>[2]หน้าผ้า!DP477</f>
        <v>0</v>
      </c>
      <c r="AQ468" s="3">
        <f>[2]หน้าผ้า!DW477</f>
        <v>0</v>
      </c>
      <c r="AR468" s="3">
        <f>[2]หน้าผ้า!DX477</f>
        <v>0</v>
      </c>
      <c r="AS468" s="3">
        <f>[2]หน้าผ้า!DY477</f>
        <v>0</v>
      </c>
      <c r="AT468" s="3">
        <f>[2]หน้าผ้า!DZ477</f>
        <v>0</v>
      </c>
      <c r="AU468" s="3">
        <f>[2]หน้าผ้า!EA477</f>
        <v>0</v>
      </c>
      <c r="AV468" s="1">
        <f>[2]หน้าผ้า!EB477</f>
        <v>0</v>
      </c>
      <c r="AW468" s="2">
        <f>[2]หน้าผ้า!EC477</f>
        <v>0</v>
      </c>
      <c r="AX468" s="2">
        <f>[2]หน้าผ้า!ED477</f>
        <v>0</v>
      </c>
      <c r="AY468" s="2">
        <f>[2]หน้าผ้า!AG477</f>
        <v>0</v>
      </c>
      <c r="AZ468" s="2">
        <f>[2]หน้าผ้า!EG477</f>
        <v>0</v>
      </c>
      <c r="BA468" s="2">
        <f>[2]หน้าผ้า!EH477</f>
        <v>0</v>
      </c>
      <c r="BB468" s="2">
        <f>[2]หน้าผ้า!EI477</f>
        <v>0</v>
      </c>
      <c r="BC468" s="1">
        <f>[2]หน้าผ้า!BZ477</f>
        <v>0</v>
      </c>
      <c r="BD468" s="56">
        <f>[2]หน้าผ้า!CA477</f>
        <v>0</v>
      </c>
    </row>
    <row r="469" spans="1:56" ht="27.75" customHeight="1" x14ac:dyDescent="0.45">
      <c r="A469" s="3">
        <f>[2]หน้าผ้า!C478</f>
        <v>0</v>
      </c>
      <c r="B469" s="14">
        <f>[2]หน้าผ้า!B478</f>
        <v>0</v>
      </c>
      <c r="C469" s="9">
        <f>[2]หน้าผ้า!E478</f>
        <v>0</v>
      </c>
      <c r="D469" s="13">
        <f>[2]หน้าผ้า!F478</f>
        <v>0</v>
      </c>
      <c r="E469" s="9">
        <f>[2]หน้าผ้า!G478</f>
        <v>0</v>
      </c>
      <c r="F469" s="9">
        <f>[2]หน้าผ้า!H478</f>
        <v>0</v>
      </c>
      <c r="G469" s="9">
        <f>[2]หน้าผ้า!I478</f>
        <v>0</v>
      </c>
      <c r="H469" s="9">
        <f>[2]หน้าผ้า!J478</f>
        <v>0</v>
      </c>
      <c r="I469" s="9">
        <f>[2]หน้าผ้า!L478</f>
        <v>0</v>
      </c>
      <c r="J469" s="9">
        <f>[2]หน้าผ้า!M478</f>
        <v>0</v>
      </c>
      <c r="K469" s="9">
        <f>[2]หน้าผ้า!N478</f>
        <v>0</v>
      </c>
      <c r="L469" s="9">
        <f>[2]หน้าผ้า!R478</f>
        <v>0</v>
      </c>
      <c r="M469" s="10">
        <f>[2]หน้าผ้า!T478</f>
        <v>0</v>
      </c>
      <c r="N469" s="9">
        <f>[2]หน้าผ้า!U478</f>
        <v>0</v>
      </c>
      <c r="O469" s="9">
        <f>[2]หน้าผ้า!V478</f>
        <v>0</v>
      </c>
      <c r="P469" s="10">
        <f>[2]หน้าผ้า!AB478</f>
        <v>0</v>
      </c>
      <c r="Q469" s="10">
        <f>[2]หน้าผ้า!AC478</f>
        <v>0</v>
      </c>
      <c r="R469" s="10">
        <f>[2]หน้าผ้า!AD478</f>
        <v>0</v>
      </c>
      <c r="S469" s="9">
        <f>[2]หน้าผ้า!Z478</f>
        <v>0</v>
      </c>
      <c r="T469" s="12">
        <f>[2]หน้าผ้า!X478</f>
        <v>0</v>
      </c>
      <c r="U469" s="11">
        <f>[2]หน้าผ้า!AA478</f>
        <v>0</v>
      </c>
      <c r="V469" s="10">
        <f>[2]หน้าผ้า!AJ478</f>
        <v>0</v>
      </c>
      <c r="W469" s="10">
        <f>[2]หน้าผ้า!AL478</f>
        <v>0</v>
      </c>
      <c r="X469" s="10">
        <f>[2]หน้าผ้า!AM478</f>
        <v>0</v>
      </c>
      <c r="Y469" s="10">
        <f>[2]หน้าผ้า!AN478</f>
        <v>0</v>
      </c>
      <c r="Z469" s="9">
        <f>[2]หน้าผ้า!AO478</f>
        <v>0</v>
      </c>
      <c r="AA469" s="8">
        <f>[2]หน้าผ้า!AQ478</f>
        <v>0</v>
      </c>
      <c r="AB469" s="8">
        <f>[2]หน้าผ้า!AR478</f>
        <v>0</v>
      </c>
      <c r="AC469" s="8">
        <f>[2]หน้าผ้า!AS478</f>
        <v>0</v>
      </c>
      <c r="AD469" s="8">
        <f>[2]หน้าผ้า!AT478</f>
        <v>0</v>
      </c>
      <c r="AE469" s="8">
        <f>[2]หน้าผ้า!AU478</f>
        <v>0</v>
      </c>
      <c r="AF469" s="8">
        <f>[2]หน้าผ้า!AI478</f>
        <v>0</v>
      </c>
      <c r="AG469" s="1">
        <f>[3]หน้าผ้า!DC481</f>
        <v>0</v>
      </c>
      <c r="AH469" s="1">
        <f>[2]หน้าผ้า!DL478</f>
        <v>0</v>
      </c>
      <c r="AI469" s="1">
        <f>[2]หน้าผ้า!DM478</f>
        <v>0</v>
      </c>
      <c r="AJ469" s="3">
        <f>[2]หน้าผ้า!DN478</f>
        <v>0</v>
      </c>
      <c r="AK469" s="3">
        <f>[2]หน้าผ้า!DQ478</f>
        <v>0</v>
      </c>
      <c r="AL469" s="3">
        <f>[2]หน้าผ้า!DR478</f>
        <v>0</v>
      </c>
      <c r="AM469" s="3">
        <f>[2]หน้าผ้า!DS478</f>
        <v>0</v>
      </c>
      <c r="AN469" s="3">
        <f>[2]หน้าผ้า!DT478</f>
        <v>0</v>
      </c>
      <c r="AO469" s="3">
        <f>[2]หน้าผ้า!DU478</f>
        <v>0</v>
      </c>
      <c r="AP469" s="3">
        <f>[2]หน้าผ้า!DP478</f>
        <v>0</v>
      </c>
      <c r="AQ469" s="3">
        <f>[2]หน้าผ้า!DW478</f>
        <v>0</v>
      </c>
      <c r="AR469" s="3">
        <f>[2]หน้าผ้า!DX478</f>
        <v>0</v>
      </c>
      <c r="AS469" s="3">
        <f>[2]หน้าผ้า!DY478</f>
        <v>0</v>
      </c>
      <c r="AT469" s="3">
        <f>[2]หน้าผ้า!DZ478</f>
        <v>0</v>
      </c>
      <c r="AU469" s="3">
        <f>[2]หน้าผ้า!EA478</f>
        <v>0</v>
      </c>
      <c r="AV469" s="1">
        <f>[2]หน้าผ้า!EB478</f>
        <v>0</v>
      </c>
      <c r="AW469" s="2">
        <f>[2]หน้าผ้า!EC478</f>
        <v>0</v>
      </c>
      <c r="AX469" s="2">
        <f>[2]หน้าผ้า!ED478</f>
        <v>0</v>
      </c>
      <c r="AY469" s="2">
        <f>[2]หน้าผ้า!AG478</f>
        <v>0</v>
      </c>
      <c r="AZ469" s="2">
        <f>[2]หน้าผ้า!EG478</f>
        <v>0</v>
      </c>
      <c r="BA469" s="2">
        <f>[2]หน้าผ้า!EH478</f>
        <v>0</v>
      </c>
      <c r="BB469" s="2">
        <f>[2]หน้าผ้า!EI478</f>
        <v>0</v>
      </c>
      <c r="BC469" s="1">
        <f>[2]หน้าผ้า!BZ478</f>
        <v>0</v>
      </c>
      <c r="BD469" s="56">
        <f>[2]หน้าผ้า!CA478</f>
        <v>0</v>
      </c>
    </row>
    <row r="470" spans="1:56" ht="27.75" customHeight="1" x14ac:dyDescent="0.45">
      <c r="A470" s="3">
        <f>[2]หน้าผ้า!C479</f>
        <v>0</v>
      </c>
      <c r="B470" s="14">
        <f>[2]หน้าผ้า!B479</f>
        <v>0</v>
      </c>
      <c r="C470" s="9">
        <f>[2]หน้าผ้า!E479</f>
        <v>0</v>
      </c>
      <c r="D470" s="13">
        <f>[2]หน้าผ้า!F479</f>
        <v>0</v>
      </c>
      <c r="E470" s="9">
        <f>[2]หน้าผ้า!G479</f>
        <v>0</v>
      </c>
      <c r="F470" s="9">
        <f>[2]หน้าผ้า!H479</f>
        <v>0</v>
      </c>
      <c r="G470" s="9">
        <f>[2]หน้าผ้า!I479</f>
        <v>0</v>
      </c>
      <c r="H470" s="9">
        <f>[2]หน้าผ้า!J479</f>
        <v>0</v>
      </c>
      <c r="I470" s="9">
        <f>[2]หน้าผ้า!L479</f>
        <v>0</v>
      </c>
      <c r="J470" s="9">
        <f>[2]หน้าผ้า!M479</f>
        <v>0</v>
      </c>
      <c r="K470" s="9">
        <f>[2]หน้าผ้า!N479</f>
        <v>0</v>
      </c>
      <c r="L470" s="9">
        <f>[2]หน้าผ้า!R479</f>
        <v>0</v>
      </c>
      <c r="M470" s="10">
        <f>[2]หน้าผ้า!T479</f>
        <v>0</v>
      </c>
      <c r="N470" s="9">
        <f>[2]หน้าผ้า!U479</f>
        <v>0</v>
      </c>
      <c r="O470" s="9">
        <f>[2]หน้าผ้า!V479</f>
        <v>0</v>
      </c>
      <c r="P470" s="10">
        <f>[2]หน้าผ้า!AB479</f>
        <v>0</v>
      </c>
      <c r="Q470" s="10">
        <f>[2]หน้าผ้า!AC479</f>
        <v>0</v>
      </c>
      <c r="R470" s="10">
        <f>[2]หน้าผ้า!AD479</f>
        <v>0</v>
      </c>
      <c r="S470" s="9">
        <f>[2]หน้าผ้า!Z479</f>
        <v>0</v>
      </c>
      <c r="T470" s="12">
        <f>[2]หน้าผ้า!X479</f>
        <v>0</v>
      </c>
      <c r="U470" s="11">
        <f>[2]หน้าผ้า!AA479</f>
        <v>0</v>
      </c>
      <c r="V470" s="10">
        <f>[2]หน้าผ้า!AJ479</f>
        <v>0</v>
      </c>
      <c r="W470" s="10">
        <f>[2]หน้าผ้า!AL479</f>
        <v>0</v>
      </c>
      <c r="X470" s="10">
        <f>[2]หน้าผ้า!AM479</f>
        <v>0</v>
      </c>
      <c r="Y470" s="10">
        <f>[2]หน้าผ้า!AN479</f>
        <v>0</v>
      </c>
      <c r="Z470" s="9">
        <f>[2]หน้าผ้า!AO479</f>
        <v>0</v>
      </c>
      <c r="AA470" s="8">
        <f>[2]หน้าผ้า!AQ479</f>
        <v>0</v>
      </c>
      <c r="AB470" s="8">
        <f>[2]หน้าผ้า!AR479</f>
        <v>0</v>
      </c>
      <c r="AC470" s="8">
        <f>[2]หน้าผ้า!AS479</f>
        <v>0</v>
      </c>
      <c r="AD470" s="8">
        <f>[2]หน้าผ้า!AT479</f>
        <v>0</v>
      </c>
      <c r="AE470" s="8">
        <f>[2]หน้าผ้า!AU479</f>
        <v>0</v>
      </c>
      <c r="AF470" s="8">
        <f>[2]หน้าผ้า!AI479</f>
        <v>0</v>
      </c>
      <c r="AG470" s="1">
        <f>[3]หน้าผ้า!DC482</f>
        <v>0</v>
      </c>
      <c r="AH470" s="1">
        <f>[2]หน้าผ้า!DL479</f>
        <v>0</v>
      </c>
      <c r="AI470" s="1">
        <f>[2]หน้าผ้า!DM479</f>
        <v>0</v>
      </c>
      <c r="AJ470" s="3">
        <f>[2]หน้าผ้า!DN479</f>
        <v>0</v>
      </c>
      <c r="AK470" s="3">
        <f>[2]หน้าผ้า!DQ479</f>
        <v>0</v>
      </c>
      <c r="AL470" s="3">
        <f>[2]หน้าผ้า!DR479</f>
        <v>0</v>
      </c>
      <c r="AM470" s="3">
        <f>[2]หน้าผ้า!DS479</f>
        <v>0</v>
      </c>
      <c r="AN470" s="3">
        <f>[2]หน้าผ้า!DT479</f>
        <v>0</v>
      </c>
      <c r="AO470" s="3">
        <f>[2]หน้าผ้า!DU479</f>
        <v>0</v>
      </c>
      <c r="AP470" s="3">
        <f>[2]หน้าผ้า!DP479</f>
        <v>0</v>
      </c>
      <c r="AQ470" s="3">
        <f>[2]หน้าผ้า!DW479</f>
        <v>0</v>
      </c>
      <c r="AR470" s="3">
        <f>[2]หน้าผ้า!DX479</f>
        <v>0</v>
      </c>
      <c r="AS470" s="3">
        <f>[2]หน้าผ้า!DY479</f>
        <v>0</v>
      </c>
      <c r="AT470" s="3">
        <f>[2]หน้าผ้า!DZ479</f>
        <v>0</v>
      </c>
      <c r="AU470" s="3">
        <f>[2]หน้าผ้า!EA479</f>
        <v>0</v>
      </c>
      <c r="AV470" s="1">
        <f>[2]หน้าผ้า!EB479</f>
        <v>0</v>
      </c>
      <c r="AW470" s="2">
        <f>[2]หน้าผ้า!EC479</f>
        <v>0</v>
      </c>
      <c r="AX470" s="2">
        <f>[2]หน้าผ้า!ED479</f>
        <v>0</v>
      </c>
      <c r="AY470" s="2">
        <f>[2]หน้าผ้า!AG479</f>
        <v>0</v>
      </c>
      <c r="AZ470" s="2">
        <f>[2]หน้าผ้า!EG479</f>
        <v>0</v>
      </c>
      <c r="BA470" s="2">
        <f>[2]หน้าผ้า!EH479</f>
        <v>0</v>
      </c>
      <c r="BB470" s="2">
        <f>[2]หน้าผ้า!EI479</f>
        <v>0</v>
      </c>
      <c r="BC470" s="1">
        <f>[2]หน้าผ้า!BZ479</f>
        <v>0</v>
      </c>
      <c r="BD470" s="56">
        <f>[2]หน้าผ้า!CA479</f>
        <v>0</v>
      </c>
    </row>
    <row r="471" spans="1:56" ht="27.75" customHeight="1" x14ac:dyDescent="0.45">
      <c r="A471" s="3">
        <f>[2]หน้าผ้า!C480</f>
        <v>0</v>
      </c>
      <c r="B471" s="14">
        <f>[2]หน้าผ้า!B480</f>
        <v>0</v>
      </c>
      <c r="C471" s="9">
        <f>[2]หน้าผ้า!E480</f>
        <v>0</v>
      </c>
      <c r="D471" s="13">
        <f>[2]หน้าผ้า!F480</f>
        <v>0</v>
      </c>
      <c r="E471" s="9">
        <f>[2]หน้าผ้า!G480</f>
        <v>0</v>
      </c>
      <c r="F471" s="9">
        <f>[2]หน้าผ้า!H480</f>
        <v>0</v>
      </c>
      <c r="G471" s="9">
        <f>[2]หน้าผ้า!I480</f>
        <v>0</v>
      </c>
      <c r="H471" s="9">
        <f>[2]หน้าผ้า!J480</f>
        <v>0</v>
      </c>
      <c r="I471" s="9">
        <f>[2]หน้าผ้า!L480</f>
        <v>0</v>
      </c>
      <c r="J471" s="9">
        <f>[2]หน้าผ้า!M480</f>
        <v>0</v>
      </c>
      <c r="K471" s="9">
        <f>[2]หน้าผ้า!N480</f>
        <v>0</v>
      </c>
      <c r="L471" s="9">
        <f>[2]หน้าผ้า!R480</f>
        <v>0</v>
      </c>
      <c r="M471" s="10">
        <f>[2]หน้าผ้า!T480</f>
        <v>0</v>
      </c>
      <c r="N471" s="9">
        <f>[2]หน้าผ้า!U480</f>
        <v>0</v>
      </c>
      <c r="O471" s="9">
        <f>[2]หน้าผ้า!V480</f>
        <v>0</v>
      </c>
      <c r="P471" s="10">
        <f>[2]หน้าผ้า!AB480</f>
        <v>0</v>
      </c>
      <c r="Q471" s="10">
        <f>[2]หน้าผ้า!AC480</f>
        <v>0</v>
      </c>
      <c r="R471" s="10">
        <f>[2]หน้าผ้า!AD480</f>
        <v>0</v>
      </c>
      <c r="S471" s="9">
        <f>[2]หน้าผ้า!Z480</f>
        <v>0</v>
      </c>
      <c r="T471" s="12">
        <f>[2]หน้าผ้า!X480</f>
        <v>0</v>
      </c>
      <c r="U471" s="11">
        <f>[2]หน้าผ้า!AA480</f>
        <v>0</v>
      </c>
      <c r="V471" s="10">
        <f>[2]หน้าผ้า!AJ480</f>
        <v>0</v>
      </c>
      <c r="W471" s="10">
        <f>[2]หน้าผ้า!AL480</f>
        <v>0</v>
      </c>
      <c r="X471" s="10">
        <f>[2]หน้าผ้า!AM480</f>
        <v>0</v>
      </c>
      <c r="Y471" s="10">
        <f>[2]หน้าผ้า!AN480</f>
        <v>0</v>
      </c>
      <c r="Z471" s="9">
        <f>[2]หน้าผ้า!AO480</f>
        <v>0</v>
      </c>
      <c r="AA471" s="8">
        <f>[2]หน้าผ้า!AQ480</f>
        <v>0</v>
      </c>
      <c r="AB471" s="8">
        <f>[2]หน้าผ้า!AR480</f>
        <v>0</v>
      </c>
      <c r="AC471" s="8">
        <f>[2]หน้าผ้า!AS480</f>
        <v>0</v>
      </c>
      <c r="AD471" s="8">
        <f>[2]หน้าผ้า!AT480</f>
        <v>0</v>
      </c>
      <c r="AE471" s="8">
        <f>[2]หน้าผ้า!AU480</f>
        <v>0</v>
      </c>
      <c r="AF471" s="8">
        <f>[2]หน้าผ้า!AI480</f>
        <v>0</v>
      </c>
      <c r="AG471" s="1">
        <f>[3]หน้าผ้า!DC483</f>
        <v>0</v>
      </c>
      <c r="AH471" s="1">
        <f>[2]หน้าผ้า!DL480</f>
        <v>0</v>
      </c>
      <c r="AI471" s="1">
        <f>[2]หน้าผ้า!DM480</f>
        <v>0</v>
      </c>
      <c r="AJ471" s="3">
        <f>[2]หน้าผ้า!DN480</f>
        <v>0</v>
      </c>
      <c r="AK471" s="3">
        <f>[2]หน้าผ้า!DQ480</f>
        <v>0</v>
      </c>
      <c r="AL471" s="3">
        <f>[2]หน้าผ้า!DR480</f>
        <v>0</v>
      </c>
      <c r="AM471" s="3">
        <f>[2]หน้าผ้า!DS480</f>
        <v>0</v>
      </c>
      <c r="AN471" s="3">
        <f>[2]หน้าผ้า!DT480</f>
        <v>0</v>
      </c>
      <c r="AO471" s="3">
        <f>[2]หน้าผ้า!DU480</f>
        <v>0</v>
      </c>
      <c r="AP471" s="3">
        <f>[2]หน้าผ้า!DP480</f>
        <v>0</v>
      </c>
      <c r="AQ471" s="3">
        <f>[2]หน้าผ้า!DW480</f>
        <v>0</v>
      </c>
      <c r="AR471" s="3">
        <f>[2]หน้าผ้า!DX480</f>
        <v>0</v>
      </c>
      <c r="AS471" s="3">
        <f>[2]หน้าผ้า!DY480</f>
        <v>0</v>
      </c>
      <c r="AT471" s="3">
        <f>[2]หน้าผ้า!DZ480</f>
        <v>0</v>
      </c>
      <c r="AU471" s="3">
        <f>[2]หน้าผ้า!EA480</f>
        <v>0</v>
      </c>
      <c r="AV471" s="1">
        <f>[2]หน้าผ้า!EB480</f>
        <v>0</v>
      </c>
      <c r="AW471" s="2">
        <f>[2]หน้าผ้า!EC480</f>
        <v>0</v>
      </c>
      <c r="AX471" s="2">
        <f>[2]หน้าผ้า!ED480</f>
        <v>0</v>
      </c>
      <c r="AY471" s="2">
        <f>[2]หน้าผ้า!AG480</f>
        <v>0</v>
      </c>
      <c r="AZ471" s="2">
        <f>[2]หน้าผ้า!EG480</f>
        <v>0</v>
      </c>
      <c r="BA471" s="2">
        <f>[2]หน้าผ้า!EH480</f>
        <v>0</v>
      </c>
      <c r="BB471" s="2">
        <f>[2]หน้าผ้า!EI480</f>
        <v>0</v>
      </c>
      <c r="BC471" s="1">
        <f>[2]หน้าผ้า!BZ480</f>
        <v>0</v>
      </c>
      <c r="BD471" s="56">
        <f>[2]หน้าผ้า!CA480</f>
        <v>0</v>
      </c>
    </row>
    <row r="472" spans="1:56" ht="27.75" customHeight="1" x14ac:dyDescent="0.45">
      <c r="A472" s="3">
        <f>[2]หน้าผ้า!C481</f>
        <v>0</v>
      </c>
      <c r="B472" s="14">
        <f>[2]หน้าผ้า!B481</f>
        <v>0</v>
      </c>
      <c r="C472" s="9">
        <f>[2]หน้าผ้า!E481</f>
        <v>0</v>
      </c>
      <c r="D472" s="13">
        <f>[2]หน้าผ้า!F481</f>
        <v>0</v>
      </c>
      <c r="E472" s="9">
        <f>[2]หน้าผ้า!G481</f>
        <v>0</v>
      </c>
      <c r="F472" s="9">
        <f>[2]หน้าผ้า!H481</f>
        <v>0</v>
      </c>
      <c r="G472" s="9">
        <f>[2]หน้าผ้า!I481</f>
        <v>0</v>
      </c>
      <c r="H472" s="9">
        <f>[2]หน้าผ้า!J481</f>
        <v>0</v>
      </c>
      <c r="I472" s="9">
        <f>[2]หน้าผ้า!L481</f>
        <v>0</v>
      </c>
      <c r="J472" s="9">
        <f>[2]หน้าผ้า!M481</f>
        <v>0</v>
      </c>
      <c r="K472" s="9">
        <f>[2]หน้าผ้า!N481</f>
        <v>0</v>
      </c>
      <c r="L472" s="9">
        <f>[2]หน้าผ้า!R481</f>
        <v>0</v>
      </c>
      <c r="M472" s="10">
        <f>[2]หน้าผ้า!T481</f>
        <v>0</v>
      </c>
      <c r="N472" s="9">
        <f>[2]หน้าผ้า!U481</f>
        <v>0</v>
      </c>
      <c r="O472" s="9">
        <f>[2]หน้าผ้า!V481</f>
        <v>0</v>
      </c>
      <c r="P472" s="10">
        <f>[2]หน้าผ้า!AB481</f>
        <v>0</v>
      </c>
      <c r="Q472" s="10">
        <f>[2]หน้าผ้า!AC481</f>
        <v>0</v>
      </c>
      <c r="R472" s="10">
        <f>[2]หน้าผ้า!AD481</f>
        <v>0</v>
      </c>
      <c r="S472" s="9">
        <f>[2]หน้าผ้า!Z481</f>
        <v>0</v>
      </c>
      <c r="T472" s="12">
        <f>[2]หน้าผ้า!X481</f>
        <v>0</v>
      </c>
      <c r="U472" s="11">
        <f>[2]หน้าผ้า!AA481</f>
        <v>0</v>
      </c>
      <c r="V472" s="10">
        <f>[2]หน้าผ้า!AJ481</f>
        <v>0</v>
      </c>
      <c r="W472" s="10">
        <f>[2]หน้าผ้า!AL481</f>
        <v>0</v>
      </c>
      <c r="X472" s="10">
        <f>[2]หน้าผ้า!AM481</f>
        <v>0</v>
      </c>
      <c r="Y472" s="10">
        <f>[2]หน้าผ้า!AN481</f>
        <v>0</v>
      </c>
      <c r="Z472" s="9">
        <f>[2]หน้าผ้า!AO481</f>
        <v>0</v>
      </c>
      <c r="AA472" s="8">
        <f>[2]หน้าผ้า!AQ481</f>
        <v>0</v>
      </c>
      <c r="AB472" s="8">
        <f>[2]หน้าผ้า!AR481</f>
        <v>0</v>
      </c>
      <c r="AC472" s="8">
        <f>[2]หน้าผ้า!AS481</f>
        <v>0</v>
      </c>
      <c r="AD472" s="8">
        <f>[2]หน้าผ้า!AT481</f>
        <v>0</v>
      </c>
      <c r="AE472" s="8">
        <f>[2]หน้าผ้า!AU481</f>
        <v>0</v>
      </c>
      <c r="AF472" s="8">
        <f>[2]หน้าผ้า!AI481</f>
        <v>0</v>
      </c>
      <c r="AG472" s="1">
        <f>[3]หน้าผ้า!DC484</f>
        <v>0</v>
      </c>
      <c r="AH472" s="1">
        <f>[2]หน้าผ้า!DL481</f>
        <v>0</v>
      </c>
      <c r="AI472" s="1">
        <f>[2]หน้าผ้า!DM481</f>
        <v>0</v>
      </c>
      <c r="AJ472" s="3">
        <f>[2]หน้าผ้า!DN481</f>
        <v>0</v>
      </c>
      <c r="AK472" s="3">
        <f>[2]หน้าผ้า!DQ481</f>
        <v>0</v>
      </c>
      <c r="AL472" s="3">
        <f>[2]หน้าผ้า!DR481</f>
        <v>0</v>
      </c>
      <c r="AM472" s="3">
        <f>[2]หน้าผ้า!DS481</f>
        <v>0</v>
      </c>
      <c r="AN472" s="3">
        <f>[2]หน้าผ้า!DT481</f>
        <v>0</v>
      </c>
      <c r="AO472" s="3">
        <f>[2]หน้าผ้า!DU481</f>
        <v>0</v>
      </c>
      <c r="AP472" s="3">
        <f>[2]หน้าผ้า!DP481</f>
        <v>0</v>
      </c>
      <c r="AQ472" s="3">
        <f>[2]หน้าผ้า!DW481</f>
        <v>0</v>
      </c>
      <c r="AR472" s="3">
        <f>[2]หน้าผ้า!DX481</f>
        <v>0</v>
      </c>
      <c r="AS472" s="3">
        <f>[2]หน้าผ้า!DY481</f>
        <v>0</v>
      </c>
      <c r="AT472" s="3">
        <f>[2]หน้าผ้า!DZ481</f>
        <v>0</v>
      </c>
      <c r="AU472" s="3">
        <f>[2]หน้าผ้า!EA481</f>
        <v>0</v>
      </c>
      <c r="AV472" s="1">
        <f>[2]หน้าผ้า!EB481</f>
        <v>0</v>
      </c>
      <c r="AW472" s="2">
        <f>[2]หน้าผ้า!EC481</f>
        <v>0</v>
      </c>
      <c r="AX472" s="2">
        <f>[2]หน้าผ้า!ED481</f>
        <v>0</v>
      </c>
      <c r="AY472" s="2">
        <f>[2]หน้าผ้า!AG481</f>
        <v>0</v>
      </c>
      <c r="AZ472" s="2">
        <f>[2]หน้าผ้า!EG481</f>
        <v>0</v>
      </c>
      <c r="BA472" s="2">
        <f>[2]หน้าผ้า!EH481</f>
        <v>0</v>
      </c>
      <c r="BB472" s="2">
        <f>[2]หน้าผ้า!EI481</f>
        <v>0</v>
      </c>
      <c r="BC472" s="1">
        <f>[2]หน้าผ้า!BZ481</f>
        <v>0</v>
      </c>
      <c r="BD472" s="56">
        <f>[2]หน้าผ้า!CA481</f>
        <v>0</v>
      </c>
    </row>
    <row r="473" spans="1:56" ht="27.75" customHeight="1" x14ac:dyDescent="0.45">
      <c r="A473" s="3">
        <f>[2]หน้าผ้า!C482</f>
        <v>0</v>
      </c>
      <c r="B473" s="14">
        <f>[2]หน้าผ้า!B482</f>
        <v>0</v>
      </c>
      <c r="C473" s="9">
        <f>[2]หน้าผ้า!E482</f>
        <v>0</v>
      </c>
      <c r="D473" s="13">
        <f>[2]หน้าผ้า!F482</f>
        <v>0</v>
      </c>
      <c r="E473" s="9">
        <f>[2]หน้าผ้า!G482</f>
        <v>0</v>
      </c>
      <c r="F473" s="9">
        <f>[2]หน้าผ้า!H482</f>
        <v>0</v>
      </c>
      <c r="G473" s="9">
        <f>[2]หน้าผ้า!I482</f>
        <v>0</v>
      </c>
      <c r="H473" s="9">
        <f>[2]หน้าผ้า!J482</f>
        <v>0</v>
      </c>
      <c r="I473" s="9">
        <f>[2]หน้าผ้า!L482</f>
        <v>0</v>
      </c>
      <c r="J473" s="9">
        <f>[2]หน้าผ้า!M482</f>
        <v>0</v>
      </c>
      <c r="K473" s="9">
        <f>[2]หน้าผ้า!N482</f>
        <v>0</v>
      </c>
      <c r="L473" s="9">
        <f>[2]หน้าผ้า!R482</f>
        <v>0</v>
      </c>
      <c r="M473" s="10">
        <f>[2]หน้าผ้า!T482</f>
        <v>0</v>
      </c>
      <c r="N473" s="9">
        <f>[2]หน้าผ้า!U482</f>
        <v>0</v>
      </c>
      <c r="O473" s="9">
        <f>[2]หน้าผ้า!V482</f>
        <v>0</v>
      </c>
      <c r="P473" s="10">
        <f>[2]หน้าผ้า!AB482</f>
        <v>0</v>
      </c>
      <c r="Q473" s="10">
        <f>[2]หน้าผ้า!AC482</f>
        <v>0</v>
      </c>
      <c r="R473" s="10">
        <f>[2]หน้าผ้า!AD482</f>
        <v>0</v>
      </c>
      <c r="S473" s="9">
        <f>[2]หน้าผ้า!Z482</f>
        <v>0</v>
      </c>
      <c r="T473" s="12">
        <f>[2]หน้าผ้า!X482</f>
        <v>0</v>
      </c>
      <c r="U473" s="11">
        <f>[2]หน้าผ้า!AA482</f>
        <v>0</v>
      </c>
      <c r="V473" s="10">
        <f>[2]หน้าผ้า!AJ482</f>
        <v>0</v>
      </c>
      <c r="W473" s="10">
        <f>[2]หน้าผ้า!AL482</f>
        <v>0</v>
      </c>
      <c r="X473" s="10">
        <f>[2]หน้าผ้า!AM482</f>
        <v>0</v>
      </c>
      <c r="Y473" s="10">
        <f>[2]หน้าผ้า!AN482</f>
        <v>0</v>
      </c>
      <c r="Z473" s="9">
        <f>[2]หน้าผ้า!AO482</f>
        <v>0</v>
      </c>
      <c r="AA473" s="8">
        <f>[2]หน้าผ้า!AQ482</f>
        <v>0</v>
      </c>
      <c r="AB473" s="8">
        <f>[2]หน้าผ้า!AR482</f>
        <v>0</v>
      </c>
      <c r="AC473" s="8">
        <f>[2]หน้าผ้า!AS482</f>
        <v>0</v>
      </c>
      <c r="AD473" s="8">
        <f>[2]หน้าผ้า!AT482</f>
        <v>0</v>
      </c>
      <c r="AE473" s="8">
        <f>[2]หน้าผ้า!AU482</f>
        <v>0</v>
      </c>
      <c r="AF473" s="8">
        <f>[2]หน้าผ้า!AI482</f>
        <v>0</v>
      </c>
      <c r="AG473" s="1">
        <f>[3]หน้าผ้า!DC485</f>
        <v>0</v>
      </c>
      <c r="AH473" s="1">
        <f>[2]หน้าผ้า!DL482</f>
        <v>0</v>
      </c>
      <c r="AI473" s="1">
        <f>[2]หน้าผ้า!DM482</f>
        <v>0</v>
      </c>
      <c r="AJ473" s="3">
        <f>[2]หน้าผ้า!DN482</f>
        <v>0</v>
      </c>
      <c r="AK473" s="3">
        <f>[2]หน้าผ้า!DQ482</f>
        <v>0</v>
      </c>
      <c r="AL473" s="3">
        <f>[2]หน้าผ้า!DR482</f>
        <v>0</v>
      </c>
      <c r="AM473" s="3">
        <f>[2]หน้าผ้า!DS482</f>
        <v>0</v>
      </c>
      <c r="AN473" s="3">
        <f>[2]หน้าผ้า!DT482</f>
        <v>0</v>
      </c>
      <c r="AO473" s="3">
        <f>[2]หน้าผ้า!DU482</f>
        <v>0</v>
      </c>
      <c r="AP473" s="3">
        <f>[2]หน้าผ้า!DP482</f>
        <v>0</v>
      </c>
      <c r="AQ473" s="3">
        <f>[2]หน้าผ้า!DW482</f>
        <v>0</v>
      </c>
      <c r="AR473" s="3">
        <f>[2]หน้าผ้า!DX482</f>
        <v>0</v>
      </c>
      <c r="AS473" s="3">
        <f>[2]หน้าผ้า!DY482</f>
        <v>0</v>
      </c>
      <c r="AT473" s="3">
        <f>[2]หน้าผ้า!DZ482</f>
        <v>0</v>
      </c>
      <c r="AU473" s="3">
        <f>[2]หน้าผ้า!EA482</f>
        <v>0</v>
      </c>
      <c r="AV473" s="1">
        <f>[2]หน้าผ้า!EB482</f>
        <v>0</v>
      </c>
      <c r="AW473" s="2">
        <f>[2]หน้าผ้า!EC482</f>
        <v>0</v>
      </c>
      <c r="AX473" s="2">
        <f>[2]หน้าผ้า!ED482</f>
        <v>0</v>
      </c>
      <c r="AY473" s="2">
        <f>[2]หน้าผ้า!AG482</f>
        <v>0</v>
      </c>
      <c r="AZ473" s="2">
        <f>[2]หน้าผ้า!EG482</f>
        <v>0</v>
      </c>
      <c r="BA473" s="2">
        <f>[2]หน้าผ้า!EH482</f>
        <v>0</v>
      </c>
      <c r="BB473" s="2">
        <f>[2]หน้าผ้า!EI482</f>
        <v>0</v>
      </c>
      <c r="BC473" s="1">
        <f>[2]หน้าผ้า!BZ482</f>
        <v>0</v>
      </c>
      <c r="BD473" s="56">
        <f>[2]หน้าผ้า!CA482</f>
        <v>0</v>
      </c>
    </row>
    <row r="474" spans="1:56" ht="27.75" customHeight="1" x14ac:dyDescent="0.45">
      <c r="A474" s="3">
        <f>[2]หน้าผ้า!C483</f>
        <v>0</v>
      </c>
      <c r="B474" s="14">
        <f>[2]หน้าผ้า!B483</f>
        <v>0</v>
      </c>
      <c r="C474" s="9">
        <f>[2]หน้าผ้า!E483</f>
        <v>0</v>
      </c>
      <c r="D474" s="13">
        <f>[2]หน้าผ้า!F483</f>
        <v>0</v>
      </c>
      <c r="E474" s="9">
        <f>[2]หน้าผ้า!G483</f>
        <v>0</v>
      </c>
      <c r="F474" s="9">
        <f>[2]หน้าผ้า!H483</f>
        <v>0</v>
      </c>
      <c r="G474" s="9">
        <f>[2]หน้าผ้า!I483</f>
        <v>0</v>
      </c>
      <c r="H474" s="9">
        <f>[2]หน้าผ้า!J483</f>
        <v>0</v>
      </c>
      <c r="I474" s="9">
        <f>[2]หน้าผ้า!L483</f>
        <v>0</v>
      </c>
      <c r="J474" s="9">
        <f>[2]หน้าผ้า!M483</f>
        <v>0</v>
      </c>
      <c r="K474" s="9">
        <f>[2]หน้าผ้า!N483</f>
        <v>0</v>
      </c>
      <c r="L474" s="9">
        <f>[2]หน้าผ้า!R483</f>
        <v>0</v>
      </c>
      <c r="M474" s="10">
        <f>[2]หน้าผ้า!T483</f>
        <v>0</v>
      </c>
      <c r="N474" s="9">
        <f>[2]หน้าผ้า!U483</f>
        <v>0</v>
      </c>
      <c r="O474" s="9">
        <f>[2]หน้าผ้า!V483</f>
        <v>0</v>
      </c>
      <c r="P474" s="10">
        <f>[2]หน้าผ้า!AB483</f>
        <v>0</v>
      </c>
      <c r="Q474" s="10">
        <f>[2]หน้าผ้า!AC483</f>
        <v>0</v>
      </c>
      <c r="R474" s="10">
        <f>[2]หน้าผ้า!AD483</f>
        <v>0</v>
      </c>
      <c r="S474" s="9">
        <f>[2]หน้าผ้า!Z483</f>
        <v>0</v>
      </c>
      <c r="T474" s="12">
        <f>[2]หน้าผ้า!X483</f>
        <v>0</v>
      </c>
      <c r="U474" s="11">
        <f>[2]หน้าผ้า!AA483</f>
        <v>0</v>
      </c>
      <c r="V474" s="10">
        <f>[2]หน้าผ้า!AJ483</f>
        <v>0</v>
      </c>
      <c r="W474" s="10">
        <f>[2]หน้าผ้า!AL483</f>
        <v>0</v>
      </c>
      <c r="X474" s="10">
        <f>[2]หน้าผ้า!AM483</f>
        <v>0</v>
      </c>
      <c r="Y474" s="10">
        <f>[2]หน้าผ้า!AN483</f>
        <v>0</v>
      </c>
      <c r="Z474" s="9">
        <f>[2]หน้าผ้า!AO483</f>
        <v>0</v>
      </c>
      <c r="AA474" s="8">
        <f>[2]หน้าผ้า!AQ483</f>
        <v>0</v>
      </c>
      <c r="AB474" s="8">
        <f>[2]หน้าผ้า!AR483</f>
        <v>0</v>
      </c>
      <c r="AC474" s="8">
        <f>[2]หน้าผ้า!AS483</f>
        <v>0</v>
      </c>
      <c r="AD474" s="8">
        <f>[2]หน้าผ้า!AT483</f>
        <v>0</v>
      </c>
      <c r="AE474" s="8">
        <f>[2]หน้าผ้า!AU483</f>
        <v>0</v>
      </c>
      <c r="AF474" s="8">
        <f>[2]หน้าผ้า!AI483</f>
        <v>0</v>
      </c>
      <c r="AG474" s="1">
        <f>[3]หน้าผ้า!DC486</f>
        <v>0</v>
      </c>
      <c r="AH474" s="1">
        <f>[2]หน้าผ้า!DL483</f>
        <v>0</v>
      </c>
      <c r="AI474" s="1">
        <f>[2]หน้าผ้า!DM483</f>
        <v>0</v>
      </c>
      <c r="AJ474" s="3">
        <f>[2]หน้าผ้า!DN483</f>
        <v>0</v>
      </c>
      <c r="AK474" s="3">
        <f>[2]หน้าผ้า!DQ483</f>
        <v>0</v>
      </c>
      <c r="AL474" s="3">
        <f>[2]หน้าผ้า!DR483</f>
        <v>0</v>
      </c>
      <c r="AM474" s="3">
        <f>[2]หน้าผ้า!DS483</f>
        <v>0</v>
      </c>
      <c r="AN474" s="3">
        <f>[2]หน้าผ้า!DT483</f>
        <v>0</v>
      </c>
      <c r="AO474" s="3">
        <f>[2]หน้าผ้า!DU483</f>
        <v>0</v>
      </c>
      <c r="AP474" s="3">
        <f>[2]หน้าผ้า!DP483</f>
        <v>0</v>
      </c>
      <c r="AQ474" s="3">
        <f>[2]หน้าผ้า!DW483</f>
        <v>0</v>
      </c>
      <c r="AR474" s="3">
        <f>[2]หน้าผ้า!DX483</f>
        <v>0</v>
      </c>
      <c r="AS474" s="3">
        <f>[2]หน้าผ้า!DY483</f>
        <v>0</v>
      </c>
      <c r="AT474" s="3">
        <f>[2]หน้าผ้า!DZ483</f>
        <v>0</v>
      </c>
      <c r="AU474" s="3">
        <f>[2]หน้าผ้า!EA483</f>
        <v>0</v>
      </c>
      <c r="AV474" s="1">
        <f>[2]หน้าผ้า!EB483</f>
        <v>0</v>
      </c>
      <c r="AW474" s="2">
        <f>[2]หน้าผ้า!EC483</f>
        <v>0</v>
      </c>
      <c r="AX474" s="2">
        <f>[2]หน้าผ้า!ED483</f>
        <v>0</v>
      </c>
      <c r="AY474" s="2">
        <f>[2]หน้าผ้า!AG483</f>
        <v>0</v>
      </c>
      <c r="AZ474" s="2">
        <f>[2]หน้าผ้า!EG483</f>
        <v>0</v>
      </c>
      <c r="BA474" s="2">
        <f>[2]หน้าผ้า!EH483</f>
        <v>0</v>
      </c>
      <c r="BB474" s="2">
        <f>[2]หน้าผ้า!EI483</f>
        <v>0</v>
      </c>
      <c r="BC474" s="1">
        <f>[2]หน้าผ้า!BZ483</f>
        <v>0</v>
      </c>
      <c r="BD474" s="56">
        <f>[2]หน้าผ้า!CA483</f>
        <v>0</v>
      </c>
    </row>
    <row r="475" spans="1:56" ht="27.75" customHeight="1" x14ac:dyDescent="0.45">
      <c r="A475" s="3">
        <f>[2]หน้าผ้า!C484</f>
        <v>0</v>
      </c>
      <c r="B475" s="14">
        <f>[2]หน้าผ้า!B484</f>
        <v>0</v>
      </c>
      <c r="C475" s="9">
        <f>[2]หน้าผ้า!E484</f>
        <v>0</v>
      </c>
      <c r="D475" s="13">
        <f>[2]หน้าผ้า!F484</f>
        <v>0</v>
      </c>
      <c r="E475" s="9">
        <f>[2]หน้าผ้า!G484</f>
        <v>0</v>
      </c>
      <c r="F475" s="9">
        <f>[2]หน้าผ้า!H484</f>
        <v>0</v>
      </c>
      <c r="G475" s="9">
        <f>[2]หน้าผ้า!I484</f>
        <v>0</v>
      </c>
      <c r="H475" s="9">
        <f>[2]หน้าผ้า!J484</f>
        <v>0</v>
      </c>
      <c r="I475" s="9">
        <f>[2]หน้าผ้า!L484</f>
        <v>0</v>
      </c>
      <c r="J475" s="9">
        <f>[2]หน้าผ้า!M484</f>
        <v>0</v>
      </c>
      <c r="K475" s="9">
        <f>[2]หน้าผ้า!N484</f>
        <v>0</v>
      </c>
      <c r="L475" s="9">
        <f>[2]หน้าผ้า!R484</f>
        <v>0</v>
      </c>
      <c r="M475" s="10">
        <f>[2]หน้าผ้า!T484</f>
        <v>0</v>
      </c>
      <c r="N475" s="9">
        <f>[2]หน้าผ้า!U484</f>
        <v>0</v>
      </c>
      <c r="O475" s="9">
        <f>[2]หน้าผ้า!V484</f>
        <v>0</v>
      </c>
      <c r="P475" s="10">
        <f>[2]หน้าผ้า!AB484</f>
        <v>0</v>
      </c>
      <c r="Q475" s="10">
        <f>[2]หน้าผ้า!AC484</f>
        <v>0</v>
      </c>
      <c r="R475" s="10">
        <f>[2]หน้าผ้า!AD484</f>
        <v>0</v>
      </c>
      <c r="S475" s="9">
        <f>[2]หน้าผ้า!Z484</f>
        <v>0</v>
      </c>
      <c r="T475" s="12">
        <f>[2]หน้าผ้า!X484</f>
        <v>0</v>
      </c>
      <c r="U475" s="11">
        <f>[2]หน้าผ้า!AA484</f>
        <v>0</v>
      </c>
      <c r="V475" s="10">
        <f>[2]หน้าผ้า!AJ484</f>
        <v>0</v>
      </c>
      <c r="W475" s="10">
        <f>[2]หน้าผ้า!AL484</f>
        <v>0</v>
      </c>
      <c r="X475" s="10">
        <f>[2]หน้าผ้า!AM484</f>
        <v>0</v>
      </c>
      <c r="Y475" s="10">
        <f>[2]หน้าผ้า!AN484</f>
        <v>0</v>
      </c>
      <c r="Z475" s="9">
        <f>[2]หน้าผ้า!AO484</f>
        <v>0</v>
      </c>
      <c r="AA475" s="8">
        <f>[2]หน้าผ้า!AQ484</f>
        <v>0</v>
      </c>
      <c r="AB475" s="8">
        <f>[2]หน้าผ้า!AR484</f>
        <v>0</v>
      </c>
      <c r="AC475" s="8">
        <f>[2]หน้าผ้า!AS484</f>
        <v>0</v>
      </c>
      <c r="AD475" s="8">
        <f>[2]หน้าผ้า!AT484</f>
        <v>0</v>
      </c>
      <c r="AE475" s="8">
        <f>[2]หน้าผ้า!AU484</f>
        <v>0</v>
      </c>
      <c r="AF475" s="8">
        <f>[2]หน้าผ้า!AI484</f>
        <v>0</v>
      </c>
      <c r="AG475" s="1">
        <f>[3]หน้าผ้า!DC487</f>
        <v>0</v>
      </c>
      <c r="AH475" s="1">
        <f>[2]หน้าผ้า!DL484</f>
        <v>0</v>
      </c>
      <c r="AI475" s="1">
        <f>[2]หน้าผ้า!DM484</f>
        <v>0</v>
      </c>
      <c r="AJ475" s="3">
        <f>[2]หน้าผ้า!DN484</f>
        <v>0</v>
      </c>
      <c r="AK475" s="3">
        <f>[2]หน้าผ้า!DQ484</f>
        <v>0</v>
      </c>
      <c r="AL475" s="3">
        <f>[2]หน้าผ้า!DR484</f>
        <v>0</v>
      </c>
      <c r="AM475" s="3">
        <f>[2]หน้าผ้า!DS484</f>
        <v>0</v>
      </c>
      <c r="AN475" s="3">
        <f>[2]หน้าผ้า!DT484</f>
        <v>0</v>
      </c>
      <c r="AO475" s="3">
        <f>[2]หน้าผ้า!DU484</f>
        <v>0</v>
      </c>
      <c r="AP475" s="3">
        <f>[2]หน้าผ้า!DP484</f>
        <v>0</v>
      </c>
      <c r="AQ475" s="3">
        <f>[2]หน้าผ้า!DW484</f>
        <v>0</v>
      </c>
      <c r="AR475" s="3">
        <f>[2]หน้าผ้า!DX484</f>
        <v>0</v>
      </c>
      <c r="AS475" s="3">
        <f>[2]หน้าผ้า!DY484</f>
        <v>0</v>
      </c>
      <c r="AT475" s="3">
        <f>[2]หน้าผ้า!DZ484</f>
        <v>0</v>
      </c>
      <c r="AU475" s="3">
        <f>[2]หน้าผ้า!EA484</f>
        <v>0</v>
      </c>
      <c r="AV475" s="1">
        <f>[2]หน้าผ้า!EB484</f>
        <v>0</v>
      </c>
      <c r="AW475" s="2">
        <f>[2]หน้าผ้า!EC484</f>
        <v>0</v>
      </c>
      <c r="AX475" s="2">
        <f>[2]หน้าผ้า!ED484</f>
        <v>0</v>
      </c>
      <c r="AY475" s="2">
        <f>[2]หน้าผ้า!AG484</f>
        <v>0</v>
      </c>
      <c r="AZ475" s="2">
        <f>[2]หน้าผ้า!EG484</f>
        <v>0</v>
      </c>
      <c r="BA475" s="2">
        <f>[2]หน้าผ้า!EH484</f>
        <v>0</v>
      </c>
      <c r="BB475" s="2">
        <f>[2]หน้าผ้า!EI484</f>
        <v>0</v>
      </c>
      <c r="BC475" s="1">
        <f>[2]หน้าผ้า!BZ484</f>
        <v>0</v>
      </c>
      <c r="BD475" s="56">
        <f>[2]หน้าผ้า!CA484</f>
        <v>0</v>
      </c>
    </row>
    <row r="476" spans="1:56" ht="27.75" customHeight="1" x14ac:dyDescent="0.45">
      <c r="A476" s="3">
        <f>[2]หน้าผ้า!C485</f>
        <v>0</v>
      </c>
      <c r="B476" s="14">
        <f>[2]หน้าผ้า!B485</f>
        <v>0</v>
      </c>
      <c r="C476" s="9">
        <f>[2]หน้าผ้า!E485</f>
        <v>0</v>
      </c>
      <c r="D476" s="13">
        <f>[2]หน้าผ้า!F485</f>
        <v>0</v>
      </c>
      <c r="E476" s="9">
        <f>[2]หน้าผ้า!G485</f>
        <v>0</v>
      </c>
      <c r="F476" s="9">
        <f>[2]หน้าผ้า!H485</f>
        <v>0</v>
      </c>
      <c r="G476" s="9">
        <f>[2]หน้าผ้า!I485</f>
        <v>0</v>
      </c>
      <c r="H476" s="9">
        <f>[2]หน้าผ้า!J485</f>
        <v>0</v>
      </c>
      <c r="I476" s="9">
        <f>[2]หน้าผ้า!L485</f>
        <v>0</v>
      </c>
      <c r="J476" s="9">
        <f>[2]หน้าผ้า!M485</f>
        <v>0</v>
      </c>
      <c r="K476" s="9">
        <f>[2]หน้าผ้า!N485</f>
        <v>0</v>
      </c>
      <c r="L476" s="9">
        <f>[2]หน้าผ้า!R485</f>
        <v>0</v>
      </c>
      <c r="M476" s="10">
        <f>[2]หน้าผ้า!T485</f>
        <v>0</v>
      </c>
      <c r="N476" s="9">
        <f>[2]หน้าผ้า!U485</f>
        <v>0</v>
      </c>
      <c r="O476" s="9">
        <f>[2]หน้าผ้า!V485</f>
        <v>0</v>
      </c>
      <c r="P476" s="10">
        <f>[2]หน้าผ้า!AB485</f>
        <v>0</v>
      </c>
      <c r="Q476" s="10">
        <f>[2]หน้าผ้า!AC485</f>
        <v>0</v>
      </c>
      <c r="R476" s="10">
        <f>[2]หน้าผ้า!AD485</f>
        <v>0</v>
      </c>
      <c r="S476" s="9">
        <f>[2]หน้าผ้า!Z485</f>
        <v>0</v>
      </c>
      <c r="T476" s="12">
        <f>[2]หน้าผ้า!X485</f>
        <v>0</v>
      </c>
      <c r="U476" s="11">
        <f>[2]หน้าผ้า!AA485</f>
        <v>0</v>
      </c>
      <c r="V476" s="10">
        <f>[2]หน้าผ้า!AJ485</f>
        <v>0</v>
      </c>
      <c r="W476" s="10">
        <f>[2]หน้าผ้า!AL485</f>
        <v>0</v>
      </c>
      <c r="X476" s="10">
        <f>[2]หน้าผ้า!AM485</f>
        <v>0</v>
      </c>
      <c r="Y476" s="10">
        <f>[2]หน้าผ้า!AN485</f>
        <v>0</v>
      </c>
      <c r="Z476" s="9">
        <f>[2]หน้าผ้า!AO485</f>
        <v>0</v>
      </c>
      <c r="AA476" s="8">
        <f>[2]หน้าผ้า!AQ485</f>
        <v>0</v>
      </c>
      <c r="AB476" s="8">
        <f>[2]หน้าผ้า!AR485</f>
        <v>0</v>
      </c>
      <c r="AC476" s="8">
        <f>[2]หน้าผ้า!AS485</f>
        <v>0</v>
      </c>
      <c r="AD476" s="8">
        <f>[2]หน้าผ้า!AT485</f>
        <v>0</v>
      </c>
      <c r="AE476" s="8">
        <f>[2]หน้าผ้า!AU485</f>
        <v>0</v>
      </c>
      <c r="AF476" s="8">
        <f>[2]หน้าผ้า!AI485</f>
        <v>0</v>
      </c>
      <c r="AG476" s="1">
        <f>[3]หน้าผ้า!DC488</f>
        <v>0</v>
      </c>
      <c r="AH476" s="1">
        <f>[2]หน้าผ้า!DL485</f>
        <v>0</v>
      </c>
      <c r="AI476" s="1">
        <f>[2]หน้าผ้า!DM485</f>
        <v>0</v>
      </c>
      <c r="AJ476" s="3">
        <f>[2]หน้าผ้า!DN485</f>
        <v>0</v>
      </c>
      <c r="AK476" s="3">
        <f>[2]หน้าผ้า!DQ485</f>
        <v>0</v>
      </c>
      <c r="AL476" s="3">
        <f>[2]หน้าผ้า!DR485</f>
        <v>0</v>
      </c>
      <c r="AM476" s="3">
        <f>[2]หน้าผ้า!DS485</f>
        <v>0</v>
      </c>
      <c r="AN476" s="3">
        <f>[2]หน้าผ้า!DT485</f>
        <v>0</v>
      </c>
      <c r="AO476" s="3">
        <f>[2]หน้าผ้า!DU485</f>
        <v>0</v>
      </c>
      <c r="AP476" s="3">
        <f>[2]หน้าผ้า!DP485</f>
        <v>0</v>
      </c>
      <c r="AQ476" s="3">
        <f>[2]หน้าผ้า!DW485</f>
        <v>0</v>
      </c>
      <c r="AR476" s="3">
        <f>[2]หน้าผ้า!DX485</f>
        <v>0</v>
      </c>
      <c r="AS476" s="3">
        <f>[2]หน้าผ้า!DY485</f>
        <v>0</v>
      </c>
      <c r="AT476" s="3">
        <f>[2]หน้าผ้า!DZ485</f>
        <v>0</v>
      </c>
      <c r="AU476" s="3">
        <f>[2]หน้าผ้า!EA485</f>
        <v>0</v>
      </c>
      <c r="AV476" s="1">
        <f>[2]หน้าผ้า!EB485</f>
        <v>0</v>
      </c>
      <c r="AW476" s="2">
        <f>[2]หน้าผ้า!EC485</f>
        <v>0</v>
      </c>
      <c r="AX476" s="2">
        <f>[2]หน้าผ้า!ED485</f>
        <v>0</v>
      </c>
      <c r="AY476" s="2">
        <f>[2]หน้าผ้า!AG485</f>
        <v>0</v>
      </c>
      <c r="AZ476" s="2">
        <f>[2]หน้าผ้า!EG485</f>
        <v>0</v>
      </c>
      <c r="BA476" s="2">
        <f>[2]หน้าผ้า!EH485</f>
        <v>0</v>
      </c>
      <c r="BB476" s="2">
        <f>[2]หน้าผ้า!EI485</f>
        <v>0</v>
      </c>
      <c r="BC476" s="1">
        <f>[2]หน้าผ้า!BZ485</f>
        <v>0</v>
      </c>
      <c r="BD476" s="56">
        <f>[2]หน้าผ้า!CA485</f>
        <v>0</v>
      </c>
    </row>
    <row r="477" spans="1:56" ht="27.75" customHeight="1" x14ac:dyDescent="0.45">
      <c r="A477" s="3">
        <f>[2]หน้าผ้า!C486</f>
        <v>0</v>
      </c>
      <c r="B477" s="14">
        <f>[2]หน้าผ้า!B486</f>
        <v>0</v>
      </c>
      <c r="C477" s="9">
        <f>[2]หน้าผ้า!E486</f>
        <v>0</v>
      </c>
      <c r="D477" s="13">
        <f>[2]หน้าผ้า!F486</f>
        <v>0</v>
      </c>
      <c r="E477" s="9">
        <f>[2]หน้าผ้า!G486</f>
        <v>0</v>
      </c>
      <c r="F477" s="9">
        <f>[2]หน้าผ้า!H486</f>
        <v>0</v>
      </c>
      <c r="G477" s="9">
        <f>[2]หน้าผ้า!I486</f>
        <v>0</v>
      </c>
      <c r="H477" s="9">
        <f>[2]หน้าผ้า!J486</f>
        <v>0</v>
      </c>
      <c r="I477" s="9">
        <f>[2]หน้าผ้า!L486</f>
        <v>0</v>
      </c>
      <c r="J477" s="9">
        <f>[2]หน้าผ้า!M486</f>
        <v>0</v>
      </c>
      <c r="K477" s="9">
        <f>[2]หน้าผ้า!N486</f>
        <v>0</v>
      </c>
      <c r="L477" s="9">
        <f>[2]หน้าผ้า!R486</f>
        <v>0</v>
      </c>
      <c r="M477" s="10">
        <f>[2]หน้าผ้า!T486</f>
        <v>0</v>
      </c>
      <c r="N477" s="9">
        <f>[2]หน้าผ้า!U486</f>
        <v>0</v>
      </c>
      <c r="O477" s="9">
        <f>[2]หน้าผ้า!V486</f>
        <v>0</v>
      </c>
      <c r="P477" s="10">
        <f>[2]หน้าผ้า!AB486</f>
        <v>0</v>
      </c>
      <c r="Q477" s="10">
        <f>[2]หน้าผ้า!AC486</f>
        <v>0</v>
      </c>
      <c r="R477" s="10">
        <f>[2]หน้าผ้า!AD486</f>
        <v>0</v>
      </c>
      <c r="S477" s="9">
        <f>[2]หน้าผ้า!Z486</f>
        <v>0</v>
      </c>
      <c r="T477" s="12">
        <f>[2]หน้าผ้า!X486</f>
        <v>0</v>
      </c>
      <c r="U477" s="11">
        <f>[2]หน้าผ้า!AA486</f>
        <v>0</v>
      </c>
      <c r="V477" s="10">
        <f>[2]หน้าผ้า!AJ486</f>
        <v>0</v>
      </c>
      <c r="W477" s="10">
        <f>[2]หน้าผ้า!AL486</f>
        <v>0</v>
      </c>
      <c r="X477" s="10">
        <f>[2]หน้าผ้า!AM486</f>
        <v>0</v>
      </c>
      <c r="Y477" s="10">
        <f>[2]หน้าผ้า!AN486</f>
        <v>0</v>
      </c>
      <c r="Z477" s="9">
        <f>[2]หน้าผ้า!AO486</f>
        <v>0</v>
      </c>
      <c r="AA477" s="8">
        <f>[2]หน้าผ้า!AQ486</f>
        <v>0</v>
      </c>
      <c r="AB477" s="8">
        <f>[2]หน้าผ้า!AR486</f>
        <v>0</v>
      </c>
      <c r="AC477" s="8">
        <f>[2]หน้าผ้า!AS486</f>
        <v>0</v>
      </c>
      <c r="AD477" s="8">
        <f>[2]หน้าผ้า!AT486</f>
        <v>0</v>
      </c>
      <c r="AE477" s="8">
        <f>[2]หน้าผ้า!AU486</f>
        <v>0</v>
      </c>
      <c r="AF477" s="8">
        <f>[2]หน้าผ้า!AI486</f>
        <v>0</v>
      </c>
      <c r="AG477" s="1">
        <f>[3]หน้าผ้า!DC489</f>
        <v>0</v>
      </c>
      <c r="AH477" s="1">
        <f>[2]หน้าผ้า!DL486</f>
        <v>0</v>
      </c>
      <c r="AI477" s="1">
        <f>[2]หน้าผ้า!DM486</f>
        <v>0</v>
      </c>
      <c r="AJ477" s="3">
        <f>[2]หน้าผ้า!DN486</f>
        <v>0</v>
      </c>
      <c r="AK477" s="3">
        <f>[2]หน้าผ้า!DQ486</f>
        <v>0</v>
      </c>
      <c r="AL477" s="3">
        <f>[2]หน้าผ้า!DR486</f>
        <v>0</v>
      </c>
      <c r="AM477" s="3">
        <f>[2]หน้าผ้า!DS486</f>
        <v>0</v>
      </c>
      <c r="AN477" s="3">
        <f>[2]หน้าผ้า!DT486</f>
        <v>0</v>
      </c>
      <c r="AO477" s="3">
        <f>[2]หน้าผ้า!DU486</f>
        <v>0</v>
      </c>
      <c r="AP477" s="3">
        <f>[2]หน้าผ้า!DP486</f>
        <v>0</v>
      </c>
      <c r="AQ477" s="3">
        <f>[2]หน้าผ้า!DW486</f>
        <v>0</v>
      </c>
      <c r="AR477" s="3">
        <f>[2]หน้าผ้า!DX486</f>
        <v>0</v>
      </c>
      <c r="AS477" s="3">
        <f>[2]หน้าผ้า!DY486</f>
        <v>0</v>
      </c>
      <c r="AT477" s="3">
        <f>[2]หน้าผ้า!DZ486</f>
        <v>0</v>
      </c>
      <c r="AU477" s="3">
        <f>[2]หน้าผ้า!EA486</f>
        <v>0</v>
      </c>
      <c r="AV477" s="1">
        <f>[2]หน้าผ้า!EB486</f>
        <v>0</v>
      </c>
      <c r="AW477" s="2">
        <f>[2]หน้าผ้า!EC486</f>
        <v>0</v>
      </c>
      <c r="AX477" s="2">
        <f>[2]หน้าผ้า!ED486</f>
        <v>0</v>
      </c>
      <c r="AY477" s="2">
        <f>[2]หน้าผ้า!AG486</f>
        <v>0</v>
      </c>
      <c r="AZ477" s="2">
        <f>[2]หน้าผ้า!EG486</f>
        <v>0</v>
      </c>
      <c r="BA477" s="2">
        <f>[2]หน้าผ้า!EH486</f>
        <v>0</v>
      </c>
      <c r="BB477" s="2">
        <f>[2]หน้าผ้า!EI486</f>
        <v>0</v>
      </c>
      <c r="BC477" s="1">
        <f>[2]หน้าผ้า!BZ486</f>
        <v>0</v>
      </c>
      <c r="BD477" s="56">
        <f>[2]หน้าผ้า!CA486</f>
        <v>0</v>
      </c>
    </row>
    <row r="478" spans="1:56" ht="27.75" customHeight="1" x14ac:dyDescent="0.45">
      <c r="A478" s="3">
        <f>[2]หน้าผ้า!C487</f>
        <v>0</v>
      </c>
      <c r="B478" s="14">
        <f>[2]หน้าผ้า!B487</f>
        <v>0</v>
      </c>
      <c r="C478" s="9">
        <f>[2]หน้าผ้า!E487</f>
        <v>0</v>
      </c>
      <c r="D478" s="13">
        <f>[2]หน้าผ้า!F487</f>
        <v>0</v>
      </c>
      <c r="E478" s="9">
        <f>[2]หน้าผ้า!G487</f>
        <v>0</v>
      </c>
      <c r="F478" s="9">
        <f>[2]หน้าผ้า!H487</f>
        <v>0</v>
      </c>
      <c r="G478" s="9">
        <f>[2]หน้าผ้า!I487</f>
        <v>0</v>
      </c>
      <c r="H478" s="9">
        <f>[2]หน้าผ้า!J487</f>
        <v>0</v>
      </c>
      <c r="I478" s="9">
        <f>[2]หน้าผ้า!L487</f>
        <v>0</v>
      </c>
      <c r="J478" s="9">
        <f>[2]หน้าผ้า!M487</f>
        <v>0</v>
      </c>
      <c r="K478" s="9">
        <f>[2]หน้าผ้า!N487</f>
        <v>0</v>
      </c>
      <c r="L478" s="9">
        <f>[2]หน้าผ้า!R487</f>
        <v>0</v>
      </c>
      <c r="M478" s="10">
        <f>[2]หน้าผ้า!T487</f>
        <v>0</v>
      </c>
      <c r="N478" s="9">
        <f>[2]หน้าผ้า!U487</f>
        <v>0</v>
      </c>
      <c r="O478" s="9">
        <f>[2]หน้าผ้า!V487</f>
        <v>0</v>
      </c>
      <c r="P478" s="10">
        <f>[2]หน้าผ้า!AB487</f>
        <v>0</v>
      </c>
      <c r="Q478" s="10">
        <f>[2]หน้าผ้า!AC487</f>
        <v>0</v>
      </c>
      <c r="R478" s="10">
        <f>[2]หน้าผ้า!AD487</f>
        <v>0</v>
      </c>
      <c r="S478" s="9">
        <f>[2]หน้าผ้า!Z487</f>
        <v>0</v>
      </c>
      <c r="T478" s="12">
        <f>[2]หน้าผ้า!X487</f>
        <v>0</v>
      </c>
      <c r="U478" s="11">
        <f>[2]หน้าผ้า!AA487</f>
        <v>0</v>
      </c>
      <c r="V478" s="10">
        <f>[2]หน้าผ้า!AJ487</f>
        <v>0</v>
      </c>
      <c r="W478" s="10">
        <f>[2]หน้าผ้า!AL487</f>
        <v>0</v>
      </c>
      <c r="X478" s="10">
        <f>[2]หน้าผ้า!AM487</f>
        <v>0</v>
      </c>
      <c r="Y478" s="10">
        <f>[2]หน้าผ้า!AN487</f>
        <v>0</v>
      </c>
      <c r="Z478" s="9">
        <f>[2]หน้าผ้า!AO487</f>
        <v>0</v>
      </c>
      <c r="AA478" s="8">
        <f>[2]หน้าผ้า!AQ487</f>
        <v>0</v>
      </c>
      <c r="AB478" s="8">
        <f>[2]หน้าผ้า!AR487</f>
        <v>0</v>
      </c>
      <c r="AC478" s="8">
        <f>[2]หน้าผ้า!AS487</f>
        <v>0</v>
      </c>
      <c r="AD478" s="8">
        <f>[2]หน้าผ้า!AT487</f>
        <v>0</v>
      </c>
      <c r="AE478" s="8">
        <f>[2]หน้าผ้า!AU487</f>
        <v>0</v>
      </c>
      <c r="AF478" s="8">
        <f>[2]หน้าผ้า!AI487</f>
        <v>0</v>
      </c>
      <c r="AG478" s="1">
        <f>[3]หน้าผ้า!DC490</f>
        <v>0</v>
      </c>
      <c r="AH478" s="1">
        <f>[2]หน้าผ้า!DL487</f>
        <v>0</v>
      </c>
      <c r="AI478" s="1">
        <f>[2]หน้าผ้า!DM487</f>
        <v>0</v>
      </c>
      <c r="AJ478" s="3">
        <f>[2]หน้าผ้า!DN487</f>
        <v>0</v>
      </c>
      <c r="AK478" s="3">
        <f>[2]หน้าผ้า!DQ487</f>
        <v>0</v>
      </c>
      <c r="AL478" s="3">
        <f>[2]หน้าผ้า!DR487</f>
        <v>0</v>
      </c>
      <c r="AM478" s="3">
        <f>[2]หน้าผ้า!DS487</f>
        <v>0</v>
      </c>
      <c r="AN478" s="3">
        <f>[2]หน้าผ้า!DT487</f>
        <v>0</v>
      </c>
      <c r="AO478" s="3">
        <f>[2]หน้าผ้า!DU487</f>
        <v>0</v>
      </c>
      <c r="AP478" s="3">
        <f>[2]หน้าผ้า!DP487</f>
        <v>0</v>
      </c>
      <c r="AQ478" s="3">
        <f>[2]หน้าผ้า!DW487</f>
        <v>0</v>
      </c>
      <c r="AR478" s="3">
        <f>[2]หน้าผ้า!DX487</f>
        <v>0</v>
      </c>
      <c r="AS478" s="3">
        <f>[2]หน้าผ้า!DY487</f>
        <v>0</v>
      </c>
      <c r="AT478" s="3">
        <f>[2]หน้าผ้า!DZ487</f>
        <v>0</v>
      </c>
      <c r="AU478" s="3">
        <f>[2]หน้าผ้า!EA487</f>
        <v>0</v>
      </c>
      <c r="AV478" s="1">
        <f>[2]หน้าผ้า!EB487</f>
        <v>0</v>
      </c>
      <c r="AW478" s="2">
        <f>[2]หน้าผ้า!EC487</f>
        <v>0</v>
      </c>
      <c r="AX478" s="2">
        <f>[2]หน้าผ้า!ED487</f>
        <v>0</v>
      </c>
      <c r="AY478" s="2">
        <f>[2]หน้าผ้า!AG487</f>
        <v>0</v>
      </c>
      <c r="AZ478" s="2">
        <f>[2]หน้าผ้า!EG487</f>
        <v>0</v>
      </c>
      <c r="BA478" s="2">
        <f>[2]หน้าผ้า!EH487</f>
        <v>0</v>
      </c>
      <c r="BB478" s="2">
        <f>[2]หน้าผ้า!EI487</f>
        <v>0</v>
      </c>
      <c r="BC478" s="1">
        <f>[2]หน้าผ้า!BZ487</f>
        <v>0</v>
      </c>
      <c r="BD478" s="56">
        <f>[2]หน้าผ้า!CA487</f>
        <v>0</v>
      </c>
    </row>
    <row r="479" spans="1:56" ht="27.75" customHeight="1" x14ac:dyDescent="0.45">
      <c r="A479" s="3">
        <f>[2]หน้าผ้า!C488</f>
        <v>0</v>
      </c>
      <c r="B479" s="14">
        <f>[2]หน้าผ้า!B488</f>
        <v>0</v>
      </c>
      <c r="C479" s="9">
        <f>[2]หน้าผ้า!E488</f>
        <v>0</v>
      </c>
      <c r="D479" s="13">
        <f>[2]หน้าผ้า!F488</f>
        <v>0</v>
      </c>
      <c r="E479" s="9">
        <f>[2]หน้าผ้า!G488</f>
        <v>0</v>
      </c>
      <c r="F479" s="9">
        <f>[2]หน้าผ้า!H488</f>
        <v>0</v>
      </c>
      <c r="G479" s="9">
        <f>[2]หน้าผ้า!I488</f>
        <v>0</v>
      </c>
      <c r="H479" s="9">
        <f>[2]หน้าผ้า!J488</f>
        <v>0</v>
      </c>
      <c r="I479" s="9">
        <f>[2]หน้าผ้า!L488</f>
        <v>0</v>
      </c>
      <c r="J479" s="9">
        <f>[2]หน้าผ้า!M488</f>
        <v>0</v>
      </c>
      <c r="K479" s="9">
        <f>[2]หน้าผ้า!N488</f>
        <v>0</v>
      </c>
      <c r="L479" s="9">
        <f>[2]หน้าผ้า!R488</f>
        <v>0</v>
      </c>
      <c r="M479" s="10">
        <f>[2]หน้าผ้า!T488</f>
        <v>0</v>
      </c>
      <c r="N479" s="9">
        <f>[2]หน้าผ้า!U488</f>
        <v>0</v>
      </c>
      <c r="O479" s="9">
        <f>[2]หน้าผ้า!V488</f>
        <v>0</v>
      </c>
      <c r="P479" s="10">
        <f>[2]หน้าผ้า!AB488</f>
        <v>0</v>
      </c>
      <c r="Q479" s="10">
        <f>[2]หน้าผ้า!AC488</f>
        <v>0</v>
      </c>
      <c r="R479" s="10">
        <f>[2]หน้าผ้า!AD488</f>
        <v>0</v>
      </c>
      <c r="S479" s="9">
        <f>[2]หน้าผ้า!Z488</f>
        <v>0</v>
      </c>
      <c r="T479" s="12">
        <f>[2]หน้าผ้า!X488</f>
        <v>0</v>
      </c>
      <c r="U479" s="11">
        <f>[2]หน้าผ้า!AA488</f>
        <v>0</v>
      </c>
      <c r="V479" s="10">
        <f>[2]หน้าผ้า!AJ488</f>
        <v>0</v>
      </c>
      <c r="W479" s="10">
        <f>[2]หน้าผ้า!AL488</f>
        <v>0</v>
      </c>
      <c r="X479" s="10">
        <f>[2]หน้าผ้า!AM488</f>
        <v>0</v>
      </c>
      <c r="Y479" s="10">
        <f>[2]หน้าผ้า!AN488</f>
        <v>0</v>
      </c>
      <c r="Z479" s="9">
        <f>[2]หน้าผ้า!AO488</f>
        <v>0</v>
      </c>
      <c r="AA479" s="8">
        <f>[2]หน้าผ้า!AQ488</f>
        <v>0</v>
      </c>
      <c r="AB479" s="8">
        <f>[2]หน้าผ้า!AR488</f>
        <v>0</v>
      </c>
      <c r="AC479" s="8">
        <f>[2]หน้าผ้า!AS488</f>
        <v>0</v>
      </c>
      <c r="AD479" s="8">
        <f>[2]หน้าผ้า!AT488</f>
        <v>0</v>
      </c>
      <c r="AE479" s="8">
        <f>[2]หน้าผ้า!AU488</f>
        <v>0</v>
      </c>
      <c r="AF479" s="8">
        <f>[2]หน้าผ้า!AI488</f>
        <v>0</v>
      </c>
      <c r="AG479" s="1">
        <f>[3]หน้าผ้า!DC491</f>
        <v>0</v>
      </c>
      <c r="AH479" s="1">
        <f>[2]หน้าผ้า!DL488</f>
        <v>0</v>
      </c>
      <c r="AI479" s="1">
        <f>[2]หน้าผ้า!DM488</f>
        <v>0</v>
      </c>
      <c r="AJ479" s="3">
        <f>[2]หน้าผ้า!DN488</f>
        <v>0</v>
      </c>
      <c r="AK479" s="3">
        <f>[2]หน้าผ้า!DQ488</f>
        <v>0</v>
      </c>
      <c r="AL479" s="3">
        <f>[2]หน้าผ้า!DR488</f>
        <v>0</v>
      </c>
      <c r="AM479" s="3">
        <f>[2]หน้าผ้า!DS488</f>
        <v>0</v>
      </c>
      <c r="AN479" s="3">
        <f>[2]หน้าผ้า!DT488</f>
        <v>0</v>
      </c>
      <c r="AO479" s="3">
        <f>[2]หน้าผ้า!DU488</f>
        <v>0</v>
      </c>
      <c r="AP479" s="3">
        <f>[2]หน้าผ้า!DP488</f>
        <v>0</v>
      </c>
      <c r="AQ479" s="3">
        <f>[2]หน้าผ้า!DW488</f>
        <v>0</v>
      </c>
      <c r="AR479" s="3">
        <f>[2]หน้าผ้า!DX488</f>
        <v>0</v>
      </c>
      <c r="AS479" s="3">
        <f>[2]หน้าผ้า!DY488</f>
        <v>0</v>
      </c>
      <c r="AT479" s="3">
        <f>[2]หน้าผ้า!DZ488</f>
        <v>0</v>
      </c>
      <c r="AU479" s="3">
        <f>[2]หน้าผ้า!EA488</f>
        <v>0</v>
      </c>
      <c r="AV479" s="1">
        <f>[2]หน้าผ้า!EB488</f>
        <v>0</v>
      </c>
      <c r="AW479" s="2">
        <f>[2]หน้าผ้า!EC488</f>
        <v>0</v>
      </c>
      <c r="AX479" s="2">
        <f>[2]หน้าผ้า!ED488</f>
        <v>0</v>
      </c>
      <c r="AY479" s="2">
        <f>[2]หน้าผ้า!AG488</f>
        <v>0</v>
      </c>
      <c r="AZ479" s="2">
        <f>[2]หน้าผ้า!EG488</f>
        <v>0</v>
      </c>
      <c r="BA479" s="2">
        <f>[2]หน้าผ้า!EH488</f>
        <v>0</v>
      </c>
      <c r="BB479" s="2">
        <f>[2]หน้าผ้า!EI488</f>
        <v>0</v>
      </c>
      <c r="BC479" s="1">
        <f>[2]หน้าผ้า!BZ488</f>
        <v>0</v>
      </c>
      <c r="BD479" s="56">
        <f>[2]หน้าผ้า!CA488</f>
        <v>0</v>
      </c>
    </row>
    <row r="480" spans="1:56" ht="27.75" customHeight="1" x14ac:dyDescent="0.45">
      <c r="A480" s="3">
        <f>[2]หน้าผ้า!C489</f>
        <v>0</v>
      </c>
      <c r="B480" s="14">
        <f>[2]หน้าผ้า!B489</f>
        <v>0</v>
      </c>
      <c r="C480" s="9">
        <f>[2]หน้าผ้า!E489</f>
        <v>0</v>
      </c>
      <c r="D480" s="13">
        <f>[2]หน้าผ้า!F489</f>
        <v>0</v>
      </c>
      <c r="E480" s="9">
        <f>[2]หน้าผ้า!G489</f>
        <v>0</v>
      </c>
      <c r="F480" s="9">
        <f>[2]หน้าผ้า!H489</f>
        <v>0</v>
      </c>
      <c r="G480" s="9">
        <f>[2]หน้าผ้า!I489</f>
        <v>0</v>
      </c>
      <c r="H480" s="9">
        <f>[2]หน้าผ้า!J489</f>
        <v>0</v>
      </c>
      <c r="I480" s="9">
        <f>[2]หน้าผ้า!L489</f>
        <v>0</v>
      </c>
      <c r="J480" s="9">
        <f>[2]หน้าผ้า!M489</f>
        <v>0</v>
      </c>
      <c r="K480" s="9">
        <f>[2]หน้าผ้า!N489</f>
        <v>0</v>
      </c>
      <c r="L480" s="9">
        <f>[2]หน้าผ้า!R489</f>
        <v>0</v>
      </c>
      <c r="M480" s="10">
        <f>[2]หน้าผ้า!T489</f>
        <v>0</v>
      </c>
      <c r="N480" s="9">
        <f>[2]หน้าผ้า!U489</f>
        <v>0</v>
      </c>
      <c r="O480" s="9">
        <f>[2]หน้าผ้า!V489</f>
        <v>0</v>
      </c>
      <c r="P480" s="10">
        <f>[2]หน้าผ้า!AB489</f>
        <v>0</v>
      </c>
      <c r="Q480" s="10">
        <f>[2]หน้าผ้า!AC489</f>
        <v>0</v>
      </c>
      <c r="R480" s="10">
        <f>[2]หน้าผ้า!AD489</f>
        <v>0</v>
      </c>
      <c r="S480" s="9">
        <f>[2]หน้าผ้า!Z489</f>
        <v>0</v>
      </c>
      <c r="T480" s="12">
        <f>[2]หน้าผ้า!X489</f>
        <v>0</v>
      </c>
      <c r="U480" s="11">
        <f>[2]หน้าผ้า!AA489</f>
        <v>0</v>
      </c>
      <c r="V480" s="10">
        <f>[2]หน้าผ้า!AJ489</f>
        <v>0</v>
      </c>
      <c r="W480" s="10">
        <f>[2]หน้าผ้า!AL489</f>
        <v>0</v>
      </c>
      <c r="X480" s="10">
        <f>[2]หน้าผ้า!AM489</f>
        <v>0</v>
      </c>
      <c r="Y480" s="10">
        <f>[2]หน้าผ้า!AN489</f>
        <v>0</v>
      </c>
      <c r="Z480" s="9">
        <f>[2]หน้าผ้า!AO489</f>
        <v>0</v>
      </c>
      <c r="AA480" s="8">
        <f>[2]หน้าผ้า!AQ489</f>
        <v>0</v>
      </c>
      <c r="AB480" s="8">
        <f>[2]หน้าผ้า!AR489</f>
        <v>0</v>
      </c>
      <c r="AC480" s="8">
        <f>[2]หน้าผ้า!AS489</f>
        <v>0</v>
      </c>
      <c r="AD480" s="8">
        <f>[2]หน้าผ้า!AT489</f>
        <v>0</v>
      </c>
      <c r="AE480" s="8">
        <f>[2]หน้าผ้า!AU489</f>
        <v>0</v>
      </c>
      <c r="AF480" s="8">
        <f>[2]หน้าผ้า!AI489</f>
        <v>0</v>
      </c>
      <c r="AG480" s="1">
        <f>[3]หน้าผ้า!DC492</f>
        <v>0</v>
      </c>
      <c r="AH480" s="1">
        <f>[2]หน้าผ้า!DL489</f>
        <v>0</v>
      </c>
      <c r="AI480" s="1">
        <f>[2]หน้าผ้า!DM489</f>
        <v>0</v>
      </c>
      <c r="AJ480" s="3">
        <f>[2]หน้าผ้า!DN489</f>
        <v>0</v>
      </c>
      <c r="AK480" s="3">
        <f>[2]หน้าผ้า!DQ489</f>
        <v>0</v>
      </c>
      <c r="AL480" s="3">
        <f>[2]หน้าผ้า!DR489</f>
        <v>0</v>
      </c>
      <c r="AM480" s="3">
        <f>[2]หน้าผ้า!DS489</f>
        <v>0</v>
      </c>
      <c r="AN480" s="3">
        <f>[2]หน้าผ้า!DT489</f>
        <v>0</v>
      </c>
      <c r="AO480" s="3">
        <f>[2]หน้าผ้า!DU489</f>
        <v>0</v>
      </c>
      <c r="AP480" s="3">
        <f>[2]หน้าผ้า!DP489</f>
        <v>0</v>
      </c>
      <c r="AQ480" s="3">
        <f>[2]หน้าผ้า!DW489</f>
        <v>0</v>
      </c>
      <c r="AR480" s="3">
        <f>[2]หน้าผ้า!DX489</f>
        <v>0</v>
      </c>
      <c r="AS480" s="3">
        <f>[2]หน้าผ้า!DY489</f>
        <v>0</v>
      </c>
      <c r="AT480" s="3">
        <f>[2]หน้าผ้า!DZ489</f>
        <v>0</v>
      </c>
      <c r="AU480" s="3">
        <f>[2]หน้าผ้า!EA489</f>
        <v>0</v>
      </c>
      <c r="AV480" s="1">
        <f>[2]หน้าผ้า!EB489</f>
        <v>0</v>
      </c>
      <c r="AW480" s="2">
        <f>[2]หน้าผ้า!EC489</f>
        <v>0</v>
      </c>
      <c r="AX480" s="2">
        <f>[2]หน้าผ้า!ED489</f>
        <v>0</v>
      </c>
      <c r="AY480" s="2">
        <f>[2]หน้าผ้า!AG489</f>
        <v>0</v>
      </c>
      <c r="AZ480" s="2">
        <f>[2]หน้าผ้า!EG489</f>
        <v>0</v>
      </c>
      <c r="BA480" s="2">
        <f>[2]หน้าผ้า!EH489</f>
        <v>0</v>
      </c>
      <c r="BB480" s="2">
        <f>[2]หน้าผ้า!EI489</f>
        <v>0</v>
      </c>
      <c r="BC480" s="1">
        <f>[2]หน้าผ้า!BZ489</f>
        <v>0</v>
      </c>
      <c r="BD480" s="56">
        <f>[2]หน้าผ้า!CA489</f>
        <v>0</v>
      </c>
    </row>
    <row r="481" spans="1:56" ht="27.75" customHeight="1" x14ac:dyDescent="0.45">
      <c r="A481" s="3">
        <f>[2]หน้าผ้า!C490</f>
        <v>0</v>
      </c>
      <c r="B481" s="14">
        <f>[2]หน้าผ้า!B490</f>
        <v>0</v>
      </c>
      <c r="C481" s="9">
        <f>[2]หน้าผ้า!E490</f>
        <v>0</v>
      </c>
      <c r="D481" s="13">
        <f>[2]หน้าผ้า!F490</f>
        <v>0</v>
      </c>
      <c r="E481" s="9">
        <f>[2]หน้าผ้า!G490</f>
        <v>0</v>
      </c>
      <c r="F481" s="9">
        <f>[2]หน้าผ้า!H490</f>
        <v>0</v>
      </c>
      <c r="G481" s="9">
        <f>[2]หน้าผ้า!I490</f>
        <v>0</v>
      </c>
      <c r="H481" s="9">
        <f>[2]หน้าผ้า!J490</f>
        <v>0</v>
      </c>
      <c r="I481" s="9">
        <f>[2]หน้าผ้า!L490</f>
        <v>0</v>
      </c>
      <c r="J481" s="9">
        <f>[2]หน้าผ้า!M490</f>
        <v>0</v>
      </c>
      <c r="K481" s="9">
        <f>[2]หน้าผ้า!N490</f>
        <v>0</v>
      </c>
      <c r="L481" s="9">
        <f>[2]หน้าผ้า!R490</f>
        <v>0</v>
      </c>
      <c r="M481" s="10">
        <f>[2]หน้าผ้า!T490</f>
        <v>0</v>
      </c>
      <c r="N481" s="9">
        <f>[2]หน้าผ้า!U490</f>
        <v>0</v>
      </c>
      <c r="O481" s="9">
        <f>[2]หน้าผ้า!V490</f>
        <v>0</v>
      </c>
      <c r="P481" s="10">
        <f>[2]หน้าผ้า!AB490</f>
        <v>0</v>
      </c>
      <c r="Q481" s="10">
        <f>[2]หน้าผ้า!AC490</f>
        <v>0</v>
      </c>
      <c r="R481" s="10">
        <f>[2]หน้าผ้า!AD490</f>
        <v>0</v>
      </c>
      <c r="S481" s="9">
        <f>[2]หน้าผ้า!Z490</f>
        <v>0</v>
      </c>
      <c r="T481" s="12">
        <f>[2]หน้าผ้า!X490</f>
        <v>0</v>
      </c>
      <c r="U481" s="11">
        <f>[2]หน้าผ้า!AA490</f>
        <v>0</v>
      </c>
      <c r="V481" s="10">
        <f>[2]หน้าผ้า!AJ490</f>
        <v>0</v>
      </c>
      <c r="W481" s="10">
        <f>[2]หน้าผ้า!AL490</f>
        <v>0</v>
      </c>
      <c r="X481" s="10">
        <f>[2]หน้าผ้า!AM490</f>
        <v>0</v>
      </c>
      <c r="Y481" s="10">
        <f>[2]หน้าผ้า!AN490</f>
        <v>0</v>
      </c>
      <c r="Z481" s="9">
        <f>[2]หน้าผ้า!AO490</f>
        <v>0</v>
      </c>
      <c r="AA481" s="8">
        <f>[2]หน้าผ้า!AQ490</f>
        <v>0</v>
      </c>
      <c r="AB481" s="8">
        <f>[2]หน้าผ้า!AR490</f>
        <v>0</v>
      </c>
      <c r="AC481" s="8">
        <f>[2]หน้าผ้า!AS490</f>
        <v>0</v>
      </c>
      <c r="AD481" s="8">
        <f>[2]หน้าผ้า!AT490</f>
        <v>0</v>
      </c>
      <c r="AE481" s="8">
        <f>[2]หน้าผ้า!AU490</f>
        <v>0</v>
      </c>
      <c r="AF481" s="8">
        <f>[2]หน้าผ้า!AI490</f>
        <v>0</v>
      </c>
      <c r="AG481" s="1">
        <f>[3]หน้าผ้า!DC493</f>
        <v>0</v>
      </c>
      <c r="AH481" s="1">
        <f>[2]หน้าผ้า!DL490</f>
        <v>0</v>
      </c>
      <c r="AI481" s="1">
        <f>[2]หน้าผ้า!DM490</f>
        <v>0</v>
      </c>
      <c r="AJ481" s="3">
        <f>[2]หน้าผ้า!DN490</f>
        <v>0</v>
      </c>
      <c r="AK481" s="3">
        <f>[2]หน้าผ้า!DQ490</f>
        <v>0</v>
      </c>
      <c r="AL481" s="3">
        <f>[2]หน้าผ้า!DR490</f>
        <v>0</v>
      </c>
      <c r="AM481" s="3">
        <f>[2]หน้าผ้า!DS490</f>
        <v>0</v>
      </c>
      <c r="AN481" s="3">
        <f>[2]หน้าผ้า!DT490</f>
        <v>0</v>
      </c>
      <c r="AO481" s="3">
        <f>[2]หน้าผ้า!DU490</f>
        <v>0</v>
      </c>
      <c r="AP481" s="3">
        <f>[2]หน้าผ้า!DP490</f>
        <v>0</v>
      </c>
      <c r="AQ481" s="3">
        <f>[2]หน้าผ้า!DW490</f>
        <v>0</v>
      </c>
      <c r="AR481" s="3">
        <f>[2]หน้าผ้า!DX490</f>
        <v>0</v>
      </c>
      <c r="AS481" s="3">
        <f>[2]หน้าผ้า!DY490</f>
        <v>0</v>
      </c>
      <c r="AT481" s="3">
        <f>[2]หน้าผ้า!DZ490</f>
        <v>0</v>
      </c>
      <c r="AU481" s="3">
        <f>[2]หน้าผ้า!EA490</f>
        <v>0</v>
      </c>
      <c r="AV481" s="1">
        <f>[2]หน้าผ้า!EB490</f>
        <v>0</v>
      </c>
      <c r="AW481" s="2">
        <f>[2]หน้าผ้า!EC490</f>
        <v>0</v>
      </c>
      <c r="AX481" s="2">
        <f>[2]หน้าผ้า!ED490</f>
        <v>0</v>
      </c>
      <c r="AY481" s="2">
        <f>[2]หน้าผ้า!AG490</f>
        <v>0</v>
      </c>
      <c r="AZ481" s="2">
        <f>[2]หน้าผ้า!EG490</f>
        <v>0</v>
      </c>
      <c r="BA481" s="2">
        <f>[2]หน้าผ้า!EH490</f>
        <v>0</v>
      </c>
      <c r="BB481" s="2">
        <f>[2]หน้าผ้า!EI490</f>
        <v>0</v>
      </c>
      <c r="BC481" s="1">
        <f>[2]หน้าผ้า!BZ490</f>
        <v>0</v>
      </c>
      <c r="BD481" s="56">
        <f>[2]หน้าผ้า!CA490</f>
        <v>0</v>
      </c>
    </row>
    <row r="482" spans="1:56" ht="27.75" customHeight="1" x14ac:dyDescent="0.45">
      <c r="A482" s="3">
        <f>[2]หน้าผ้า!C491</f>
        <v>0</v>
      </c>
      <c r="B482" s="14">
        <f>[2]หน้าผ้า!B491</f>
        <v>0</v>
      </c>
      <c r="C482" s="9">
        <f>[2]หน้าผ้า!E491</f>
        <v>0</v>
      </c>
      <c r="D482" s="13">
        <f>[2]หน้าผ้า!F491</f>
        <v>0</v>
      </c>
      <c r="E482" s="9">
        <f>[2]หน้าผ้า!G491</f>
        <v>0</v>
      </c>
      <c r="F482" s="9">
        <f>[2]หน้าผ้า!H491</f>
        <v>0</v>
      </c>
      <c r="G482" s="9">
        <f>[2]หน้าผ้า!I491</f>
        <v>0</v>
      </c>
      <c r="H482" s="9">
        <f>[2]หน้าผ้า!J491</f>
        <v>0</v>
      </c>
      <c r="I482" s="9">
        <f>[2]หน้าผ้า!L491</f>
        <v>0</v>
      </c>
      <c r="J482" s="9">
        <f>[2]หน้าผ้า!M491</f>
        <v>0</v>
      </c>
      <c r="K482" s="9">
        <f>[2]หน้าผ้า!N491</f>
        <v>0</v>
      </c>
      <c r="L482" s="9">
        <f>[2]หน้าผ้า!R491</f>
        <v>0</v>
      </c>
      <c r="M482" s="10">
        <f>[2]หน้าผ้า!T491</f>
        <v>0</v>
      </c>
      <c r="N482" s="9">
        <f>[2]หน้าผ้า!U491</f>
        <v>0</v>
      </c>
      <c r="O482" s="9">
        <f>[2]หน้าผ้า!V491</f>
        <v>0</v>
      </c>
      <c r="P482" s="10">
        <f>[2]หน้าผ้า!AB491</f>
        <v>0</v>
      </c>
      <c r="Q482" s="10">
        <f>[2]หน้าผ้า!AC491</f>
        <v>0</v>
      </c>
      <c r="R482" s="10">
        <f>[2]หน้าผ้า!AD491</f>
        <v>0</v>
      </c>
      <c r="S482" s="9">
        <f>[2]หน้าผ้า!Z491</f>
        <v>0</v>
      </c>
      <c r="T482" s="12">
        <f>[2]หน้าผ้า!X491</f>
        <v>0</v>
      </c>
      <c r="U482" s="11">
        <f>[2]หน้าผ้า!AA491</f>
        <v>0</v>
      </c>
      <c r="V482" s="10">
        <f>[2]หน้าผ้า!AJ491</f>
        <v>0</v>
      </c>
      <c r="W482" s="10">
        <f>[2]หน้าผ้า!AL491</f>
        <v>0</v>
      </c>
      <c r="X482" s="10">
        <f>[2]หน้าผ้า!AM491</f>
        <v>0</v>
      </c>
      <c r="Y482" s="10">
        <f>[2]หน้าผ้า!AN491</f>
        <v>0</v>
      </c>
      <c r="Z482" s="9">
        <f>[2]หน้าผ้า!AO491</f>
        <v>0</v>
      </c>
      <c r="AA482" s="8">
        <f>[2]หน้าผ้า!AQ491</f>
        <v>0</v>
      </c>
      <c r="AB482" s="8">
        <f>[2]หน้าผ้า!AR491</f>
        <v>0</v>
      </c>
      <c r="AC482" s="8">
        <f>[2]หน้าผ้า!AS491</f>
        <v>0</v>
      </c>
      <c r="AD482" s="8">
        <f>[2]หน้าผ้า!AT491</f>
        <v>0</v>
      </c>
      <c r="AE482" s="8">
        <f>[2]หน้าผ้า!AU491</f>
        <v>0</v>
      </c>
      <c r="AF482" s="8">
        <f>[2]หน้าผ้า!AI491</f>
        <v>0</v>
      </c>
      <c r="AG482" s="1">
        <f>[3]หน้าผ้า!DC494</f>
        <v>0</v>
      </c>
      <c r="AH482" s="1">
        <f>[2]หน้าผ้า!DL491</f>
        <v>0</v>
      </c>
      <c r="AI482" s="1">
        <f>[2]หน้าผ้า!DM491</f>
        <v>0</v>
      </c>
      <c r="AJ482" s="3">
        <f>[2]หน้าผ้า!DN491</f>
        <v>0</v>
      </c>
      <c r="AK482" s="3">
        <f>[2]หน้าผ้า!DQ491</f>
        <v>0</v>
      </c>
      <c r="AL482" s="3">
        <f>[2]หน้าผ้า!DR491</f>
        <v>0</v>
      </c>
      <c r="AM482" s="3">
        <f>[2]หน้าผ้า!DS491</f>
        <v>0</v>
      </c>
      <c r="AN482" s="3">
        <f>[2]หน้าผ้า!DT491</f>
        <v>0</v>
      </c>
      <c r="AO482" s="3">
        <f>[2]หน้าผ้า!DU491</f>
        <v>0</v>
      </c>
      <c r="AP482" s="3">
        <f>[2]หน้าผ้า!DP491</f>
        <v>0</v>
      </c>
      <c r="AQ482" s="3">
        <f>[2]หน้าผ้า!DW491</f>
        <v>0</v>
      </c>
      <c r="AR482" s="3">
        <f>[2]หน้าผ้า!DX491</f>
        <v>0</v>
      </c>
      <c r="AS482" s="3">
        <f>[2]หน้าผ้า!DY491</f>
        <v>0</v>
      </c>
      <c r="AT482" s="3">
        <f>[2]หน้าผ้า!DZ491</f>
        <v>0</v>
      </c>
      <c r="AU482" s="3">
        <f>[2]หน้าผ้า!EA491</f>
        <v>0</v>
      </c>
      <c r="AV482" s="1">
        <f>[2]หน้าผ้า!EB491</f>
        <v>0</v>
      </c>
      <c r="AW482" s="2">
        <f>[2]หน้าผ้า!EC491</f>
        <v>0</v>
      </c>
      <c r="AX482" s="2">
        <f>[2]หน้าผ้า!ED491</f>
        <v>0</v>
      </c>
      <c r="AY482" s="2">
        <f>[2]หน้าผ้า!AG491</f>
        <v>0</v>
      </c>
      <c r="AZ482" s="2">
        <f>[2]หน้าผ้า!EG491</f>
        <v>0</v>
      </c>
      <c r="BA482" s="2">
        <f>[2]หน้าผ้า!EH491</f>
        <v>0</v>
      </c>
      <c r="BB482" s="2">
        <f>[2]หน้าผ้า!EI491</f>
        <v>0</v>
      </c>
      <c r="BC482" s="1">
        <f>[2]หน้าผ้า!BZ491</f>
        <v>0</v>
      </c>
      <c r="BD482" s="56">
        <f>[2]หน้าผ้า!CA491</f>
        <v>0</v>
      </c>
    </row>
    <row r="483" spans="1:56" ht="27.75" customHeight="1" x14ac:dyDescent="0.45">
      <c r="A483" s="3">
        <f>[2]หน้าผ้า!C492</f>
        <v>0</v>
      </c>
      <c r="B483" s="14">
        <f>[2]หน้าผ้า!B492</f>
        <v>0</v>
      </c>
      <c r="C483" s="9">
        <f>[2]หน้าผ้า!E492</f>
        <v>0</v>
      </c>
      <c r="D483" s="13">
        <f>[2]หน้าผ้า!F492</f>
        <v>0</v>
      </c>
      <c r="E483" s="9">
        <f>[2]หน้าผ้า!G492</f>
        <v>0</v>
      </c>
      <c r="F483" s="9">
        <f>[2]หน้าผ้า!H492</f>
        <v>0</v>
      </c>
      <c r="G483" s="9">
        <f>[2]หน้าผ้า!I492</f>
        <v>0</v>
      </c>
      <c r="H483" s="9">
        <f>[2]หน้าผ้า!J492</f>
        <v>0</v>
      </c>
      <c r="I483" s="9">
        <f>[2]หน้าผ้า!L492</f>
        <v>0</v>
      </c>
      <c r="J483" s="9">
        <f>[2]หน้าผ้า!M492</f>
        <v>0</v>
      </c>
      <c r="K483" s="9">
        <f>[2]หน้าผ้า!N492</f>
        <v>0</v>
      </c>
      <c r="L483" s="9">
        <f>[2]หน้าผ้า!R492</f>
        <v>0</v>
      </c>
      <c r="M483" s="10">
        <f>[2]หน้าผ้า!T492</f>
        <v>0</v>
      </c>
      <c r="N483" s="9">
        <f>[2]หน้าผ้า!U492</f>
        <v>0</v>
      </c>
      <c r="O483" s="9">
        <f>[2]หน้าผ้า!V492</f>
        <v>0</v>
      </c>
      <c r="P483" s="10">
        <f>[2]หน้าผ้า!AB492</f>
        <v>0</v>
      </c>
      <c r="Q483" s="10">
        <f>[2]หน้าผ้า!AC492</f>
        <v>0</v>
      </c>
      <c r="R483" s="10">
        <f>[2]หน้าผ้า!AD492</f>
        <v>0</v>
      </c>
      <c r="S483" s="9">
        <f>[2]หน้าผ้า!Z492</f>
        <v>0</v>
      </c>
      <c r="T483" s="12">
        <f>[2]หน้าผ้า!X492</f>
        <v>0</v>
      </c>
      <c r="U483" s="11">
        <f>[2]หน้าผ้า!AA492</f>
        <v>0</v>
      </c>
      <c r="V483" s="10">
        <f>[2]หน้าผ้า!AJ492</f>
        <v>0</v>
      </c>
      <c r="W483" s="10">
        <f>[2]หน้าผ้า!AL492</f>
        <v>0</v>
      </c>
      <c r="X483" s="10">
        <f>[2]หน้าผ้า!AM492</f>
        <v>0</v>
      </c>
      <c r="Y483" s="10">
        <f>[2]หน้าผ้า!AN492</f>
        <v>0</v>
      </c>
      <c r="Z483" s="9">
        <f>[2]หน้าผ้า!AO492</f>
        <v>0</v>
      </c>
      <c r="AA483" s="8">
        <f>[2]หน้าผ้า!AQ492</f>
        <v>0</v>
      </c>
      <c r="AB483" s="8">
        <f>[2]หน้าผ้า!AR492</f>
        <v>0</v>
      </c>
      <c r="AC483" s="8">
        <f>[2]หน้าผ้า!AS492</f>
        <v>0</v>
      </c>
      <c r="AD483" s="8">
        <f>[2]หน้าผ้า!AT492</f>
        <v>0</v>
      </c>
      <c r="AE483" s="8">
        <f>[2]หน้าผ้า!AU492</f>
        <v>0</v>
      </c>
      <c r="AF483" s="8">
        <f>[2]หน้าผ้า!AI492</f>
        <v>0</v>
      </c>
      <c r="AG483" s="1">
        <f>[3]หน้าผ้า!DC495</f>
        <v>0</v>
      </c>
      <c r="AH483" s="1">
        <f>[2]หน้าผ้า!DL492</f>
        <v>0</v>
      </c>
      <c r="AI483" s="1">
        <f>[2]หน้าผ้า!DM492</f>
        <v>0</v>
      </c>
      <c r="AJ483" s="3">
        <f>[2]หน้าผ้า!DN492</f>
        <v>0</v>
      </c>
      <c r="AK483" s="3">
        <f>[2]หน้าผ้า!DQ492</f>
        <v>0</v>
      </c>
      <c r="AL483" s="3">
        <f>[2]หน้าผ้า!DR492</f>
        <v>0</v>
      </c>
      <c r="AM483" s="3">
        <f>[2]หน้าผ้า!DS492</f>
        <v>0</v>
      </c>
      <c r="AN483" s="3">
        <f>[2]หน้าผ้า!DT492</f>
        <v>0</v>
      </c>
      <c r="AO483" s="3">
        <f>[2]หน้าผ้า!DU492</f>
        <v>0</v>
      </c>
      <c r="AP483" s="3">
        <f>[2]หน้าผ้า!DP492</f>
        <v>0</v>
      </c>
      <c r="AQ483" s="3">
        <f>[2]หน้าผ้า!DW492</f>
        <v>0</v>
      </c>
      <c r="AR483" s="3">
        <f>[2]หน้าผ้า!DX492</f>
        <v>0</v>
      </c>
      <c r="AS483" s="3">
        <f>[2]หน้าผ้า!DY492</f>
        <v>0</v>
      </c>
      <c r="AT483" s="3">
        <f>[2]หน้าผ้า!DZ492</f>
        <v>0</v>
      </c>
      <c r="AU483" s="3">
        <f>[2]หน้าผ้า!EA492</f>
        <v>0</v>
      </c>
      <c r="AV483" s="1">
        <f>[2]หน้าผ้า!EB492</f>
        <v>0</v>
      </c>
      <c r="AW483" s="2">
        <f>[2]หน้าผ้า!EC492</f>
        <v>0</v>
      </c>
      <c r="AX483" s="2">
        <f>[2]หน้าผ้า!ED492</f>
        <v>0</v>
      </c>
      <c r="AY483" s="2">
        <f>[2]หน้าผ้า!AG492</f>
        <v>0</v>
      </c>
      <c r="AZ483" s="2">
        <f>[2]หน้าผ้า!EG492</f>
        <v>0</v>
      </c>
      <c r="BA483" s="2">
        <f>[2]หน้าผ้า!EH492</f>
        <v>0</v>
      </c>
      <c r="BB483" s="2">
        <f>[2]หน้าผ้า!EI492</f>
        <v>0</v>
      </c>
      <c r="BC483" s="1">
        <f>[2]หน้าผ้า!BZ492</f>
        <v>0</v>
      </c>
      <c r="BD483" s="56">
        <f>[2]หน้าผ้า!CA492</f>
        <v>0</v>
      </c>
    </row>
    <row r="484" spans="1:56" ht="27.75" customHeight="1" x14ac:dyDescent="0.45">
      <c r="A484" s="3">
        <f>[2]หน้าผ้า!C493</f>
        <v>0</v>
      </c>
      <c r="B484" s="14">
        <f>[2]หน้าผ้า!B493</f>
        <v>0</v>
      </c>
      <c r="C484" s="9">
        <f>[2]หน้าผ้า!E493</f>
        <v>0</v>
      </c>
      <c r="D484" s="13">
        <f>[2]หน้าผ้า!F493</f>
        <v>0</v>
      </c>
      <c r="E484" s="9">
        <f>[2]หน้าผ้า!G493</f>
        <v>0</v>
      </c>
      <c r="F484" s="9">
        <f>[2]หน้าผ้า!H493</f>
        <v>0</v>
      </c>
      <c r="G484" s="9">
        <f>[2]หน้าผ้า!I493</f>
        <v>0</v>
      </c>
      <c r="H484" s="9">
        <f>[2]หน้าผ้า!J493</f>
        <v>0</v>
      </c>
      <c r="I484" s="9">
        <f>[2]หน้าผ้า!L493</f>
        <v>0</v>
      </c>
      <c r="J484" s="9">
        <f>[2]หน้าผ้า!M493</f>
        <v>0</v>
      </c>
      <c r="K484" s="9">
        <f>[2]หน้าผ้า!N493</f>
        <v>0</v>
      </c>
      <c r="L484" s="9">
        <f>[2]หน้าผ้า!R493</f>
        <v>0</v>
      </c>
      <c r="M484" s="10">
        <f>[2]หน้าผ้า!T493</f>
        <v>0</v>
      </c>
      <c r="N484" s="9">
        <f>[2]หน้าผ้า!U493</f>
        <v>0</v>
      </c>
      <c r="O484" s="9">
        <f>[2]หน้าผ้า!V493</f>
        <v>0</v>
      </c>
      <c r="P484" s="10">
        <f>[2]หน้าผ้า!AB493</f>
        <v>0</v>
      </c>
      <c r="Q484" s="10">
        <f>[2]หน้าผ้า!AC493</f>
        <v>0</v>
      </c>
      <c r="R484" s="10">
        <f>[2]หน้าผ้า!AD493</f>
        <v>0</v>
      </c>
      <c r="S484" s="9">
        <f>[2]หน้าผ้า!Z493</f>
        <v>0</v>
      </c>
      <c r="T484" s="12">
        <f>[2]หน้าผ้า!X493</f>
        <v>0</v>
      </c>
      <c r="U484" s="11">
        <f>[2]หน้าผ้า!AA493</f>
        <v>0</v>
      </c>
      <c r="V484" s="10">
        <f>[2]หน้าผ้า!AJ493</f>
        <v>0</v>
      </c>
      <c r="W484" s="10">
        <f>[2]หน้าผ้า!AL493</f>
        <v>0</v>
      </c>
      <c r="X484" s="10">
        <f>[2]หน้าผ้า!AM493</f>
        <v>0</v>
      </c>
      <c r="Y484" s="10">
        <f>[2]หน้าผ้า!AN493</f>
        <v>0</v>
      </c>
      <c r="Z484" s="9">
        <f>[2]หน้าผ้า!AO493</f>
        <v>0</v>
      </c>
      <c r="AA484" s="8">
        <f>[2]หน้าผ้า!AQ493</f>
        <v>0</v>
      </c>
      <c r="AB484" s="8">
        <f>[2]หน้าผ้า!AR493</f>
        <v>0</v>
      </c>
      <c r="AC484" s="8">
        <f>[2]หน้าผ้า!AS493</f>
        <v>0</v>
      </c>
      <c r="AD484" s="8">
        <f>[2]หน้าผ้า!AT493</f>
        <v>0</v>
      </c>
      <c r="AE484" s="8">
        <f>[2]หน้าผ้า!AU493</f>
        <v>0</v>
      </c>
      <c r="AF484" s="8">
        <f>[2]หน้าผ้า!AI493</f>
        <v>0</v>
      </c>
      <c r="AG484" s="1">
        <f>[3]หน้าผ้า!DC496</f>
        <v>0</v>
      </c>
      <c r="AH484" s="1">
        <f>[2]หน้าผ้า!DL493</f>
        <v>0</v>
      </c>
      <c r="AI484" s="1">
        <f>[2]หน้าผ้า!DM493</f>
        <v>0</v>
      </c>
      <c r="AJ484" s="3">
        <f>[2]หน้าผ้า!DN493</f>
        <v>0</v>
      </c>
      <c r="AK484" s="3">
        <f>[2]หน้าผ้า!DQ493</f>
        <v>0</v>
      </c>
      <c r="AL484" s="3">
        <f>[2]หน้าผ้า!DR493</f>
        <v>0</v>
      </c>
      <c r="AM484" s="3">
        <f>[2]หน้าผ้า!DS493</f>
        <v>0</v>
      </c>
      <c r="AN484" s="3">
        <f>[2]หน้าผ้า!DT493</f>
        <v>0</v>
      </c>
      <c r="AO484" s="3">
        <f>[2]หน้าผ้า!DU493</f>
        <v>0</v>
      </c>
      <c r="AP484" s="3">
        <f>[2]หน้าผ้า!DP493</f>
        <v>0</v>
      </c>
      <c r="AQ484" s="3">
        <f>[2]หน้าผ้า!DW493</f>
        <v>0</v>
      </c>
      <c r="AR484" s="3">
        <f>[2]หน้าผ้า!DX493</f>
        <v>0</v>
      </c>
      <c r="AS484" s="3">
        <f>[2]หน้าผ้า!DY493</f>
        <v>0</v>
      </c>
      <c r="AT484" s="3">
        <f>[2]หน้าผ้า!DZ493</f>
        <v>0</v>
      </c>
      <c r="AU484" s="3">
        <f>[2]หน้าผ้า!EA493</f>
        <v>0</v>
      </c>
      <c r="AV484" s="1">
        <f>[2]หน้าผ้า!EB493</f>
        <v>0</v>
      </c>
      <c r="AW484" s="2">
        <f>[2]หน้าผ้า!EC493</f>
        <v>0</v>
      </c>
      <c r="AX484" s="2">
        <f>[2]หน้าผ้า!ED493</f>
        <v>0</v>
      </c>
      <c r="AY484" s="2">
        <f>[2]หน้าผ้า!AG493</f>
        <v>0</v>
      </c>
      <c r="AZ484" s="2">
        <f>[2]หน้าผ้า!EG493</f>
        <v>0</v>
      </c>
      <c r="BA484" s="2">
        <f>[2]หน้าผ้า!EH493</f>
        <v>0</v>
      </c>
      <c r="BB484" s="2">
        <f>[2]หน้าผ้า!EI493</f>
        <v>0</v>
      </c>
      <c r="BC484" s="1">
        <f>[2]หน้าผ้า!BZ493</f>
        <v>0</v>
      </c>
      <c r="BD484" s="56">
        <f>[2]หน้าผ้า!CA493</f>
        <v>0</v>
      </c>
    </row>
    <row r="485" spans="1:56" ht="27.75" customHeight="1" x14ac:dyDescent="0.45">
      <c r="A485" s="3">
        <f>[2]หน้าผ้า!C494</f>
        <v>0</v>
      </c>
      <c r="B485" s="14">
        <f>[2]หน้าผ้า!B494</f>
        <v>0</v>
      </c>
      <c r="C485" s="9">
        <f>[2]หน้าผ้า!E494</f>
        <v>0</v>
      </c>
      <c r="D485" s="13">
        <f>[2]หน้าผ้า!F494</f>
        <v>0</v>
      </c>
      <c r="E485" s="9">
        <f>[2]หน้าผ้า!G494</f>
        <v>0</v>
      </c>
      <c r="F485" s="9">
        <f>[2]หน้าผ้า!H494</f>
        <v>0</v>
      </c>
      <c r="G485" s="9">
        <f>[2]หน้าผ้า!I494</f>
        <v>0</v>
      </c>
      <c r="H485" s="9">
        <f>[2]หน้าผ้า!J494</f>
        <v>0</v>
      </c>
      <c r="I485" s="9">
        <f>[2]หน้าผ้า!L494</f>
        <v>0</v>
      </c>
      <c r="J485" s="9">
        <f>[2]หน้าผ้า!M494</f>
        <v>0</v>
      </c>
      <c r="K485" s="9">
        <f>[2]หน้าผ้า!N494</f>
        <v>0</v>
      </c>
      <c r="L485" s="9">
        <f>[2]หน้าผ้า!R494</f>
        <v>0</v>
      </c>
      <c r="M485" s="10">
        <f>[2]หน้าผ้า!T494</f>
        <v>0</v>
      </c>
      <c r="N485" s="9">
        <f>[2]หน้าผ้า!U494</f>
        <v>0</v>
      </c>
      <c r="O485" s="9">
        <f>[2]หน้าผ้า!V494</f>
        <v>0</v>
      </c>
      <c r="P485" s="10">
        <f>[2]หน้าผ้า!AB494</f>
        <v>0</v>
      </c>
      <c r="Q485" s="10">
        <f>[2]หน้าผ้า!AC494</f>
        <v>0</v>
      </c>
      <c r="R485" s="10">
        <f>[2]หน้าผ้า!AD494</f>
        <v>0</v>
      </c>
      <c r="S485" s="9">
        <f>[2]หน้าผ้า!Z494</f>
        <v>0</v>
      </c>
      <c r="T485" s="12">
        <f>[2]หน้าผ้า!X494</f>
        <v>0</v>
      </c>
      <c r="U485" s="11">
        <f>[2]หน้าผ้า!AA494</f>
        <v>0</v>
      </c>
      <c r="V485" s="10">
        <f>[2]หน้าผ้า!AJ494</f>
        <v>0</v>
      </c>
      <c r="W485" s="10">
        <f>[2]หน้าผ้า!AL494</f>
        <v>0</v>
      </c>
      <c r="X485" s="10">
        <f>[2]หน้าผ้า!AM494</f>
        <v>0</v>
      </c>
      <c r="Y485" s="10">
        <f>[2]หน้าผ้า!AN494</f>
        <v>0</v>
      </c>
      <c r="Z485" s="9">
        <f>[2]หน้าผ้า!AO494</f>
        <v>0</v>
      </c>
      <c r="AA485" s="8">
        <f>[2]หน้าผ้า!AQ494</f>
        <v>0</v>
      </c>
      <c r="AB485" s="8">
        <f>[2]หน้าผ้า!AR494</f>
        <v>0</v>
      </c>
      <c r="AC485" s="8">
        <f>[2]หน้าผ้า!AS494</f>
        <v>0</v>
      </c>
      <c r="AD485" s="8">
        <f>[2]หน้าผ้า!AT494</f>
        <v>0</v>
      </c>
      <c r="AE485" s="8">
        <f>[2]หน้าผ้า!AU494</f>
        <v>0</v>
      </c>
      <c r="AF485" s="8">
        <f>[2]หน้าผ้า!AI494</f>
        <v>0</v>
      </c>
      <c r="AG485" s="1">
        <f>[3]หน้าผ้า!DC497</f>
        <v>0</v>
      </c>
      <c r="AH485" s="1">
        <f>[2]หน้าผ้า!DL494</f>
        <v>0</v>
      </c>
      <c r="AI485" s="1">
        <f>[2]หน้าผ้า!DM494</f>
        <v>0</v>
      </c>
      <c r="AJ485" s="3">
        <f>[2]หน้าผ้า!DN494</f>
        <v>0</v>
      </c>
      <c r="AK485" s="3">
        <f>[2]หน้าผ้า!DQ494</f>
        <v>0</v>
      </c>
      <c r="AL485" s="3">
        <f>[2]หน้าผ้า!DR494</f>
        <v>0</v>
      </c>
      <c r="AM485" s="3">
        <f>[2]หน้าผ้า!DS494</f>
        <v>0</v>
      </c>
      <c r="AN485" s="3">
        <f>[2]หน้าผ้า!DT494</f>
        <v>0</v>
      </c>
      <c r="AO485" s="3">
        <f>[2]หน้าผ้า!DU494</f>
        <v>0</v>
      </c>
      <c r="AP485" s="3">
        <f>[2]หน้าผ้า!DP494</f>
        <v>0</v>
      </c>
      <c r="AQ485" s="3">
        <f>[2]หน้าผ้า!DW494</f>
        <v>0</v>
      </c>
      <c r="AR485" s="3">
        <f>[2]หน้าผ้า!DX494</f>
        <v>0</v>
      </c>
      <c r="AS485" s="3">
        <f>[2]หน้าผ้า!DY494</f>
        <v>0</v>
      </c>
      <c r="AT485" s="3">
        <f>[2]หน้าผ้า!DZ494</f>
        <v>0</v>
      </c>
      <c r="AU485" s="3">
        <f>[2]หน้าผ้า!EA494</f>
        <v>0</v>
      </c>
      <c r="AV485" s="1">
        <f>[2]หน้าผ้า!EB494</f>
        <v>0</v>
      </c>
      <c r="AW485" s="2">
        <f>[2]หน้าผ้า!EC494</f>
        <v>0</v>
      </c>
      <c r="AX485" s="2">
        <f>[2]หน้าผ้า!ED494</f>
        <v>0</v>
      </c>
      <c r="AY485" s="2">
        <f>[2]หน้าผ้า!AG494</f>
        <v>0</v>
      </c>
      <c r="AZ485" s="2">
        <f>[2]หน้าผ้า!EG494</f>
        <v>0</v>
      </c>
      <c r="BA485" s="2">
        <f>[2]หน้าผ้า!EH494</f>
        <v>0</v>
      </c>
      <c r="BB485" s="2">
        <f>[2]หน้าผ้า!EI494</f>
        <v>0</v>
      </c>
      <c r="BC485" s="1">
        <f>[2]หน้าผ้า!BZ494</f>
        <v>0</v>
      </c>
      <c r="BD485" s="56">
        <f>[2]หน้าผ้า!CA494</f>
        <v>0</v>
      </c>
    </row>
    <row r="486" spans="1:56" ht="27.75" customHeight="1" x14ac:dyDescent="0.45">
      <c r="A486" s="3">
        <f>[2]หน้าผ้า!C495</f>
        <v>0</v>
      </c>
      <c r="B486" s="14">
        <f>[2]หน้าผ้า!B495</f>
        <v>0</v>
      </c>
      <c r="C486" s="9">
        <f>[2]หน้าผ้า!E495</f>
        <v>0</v>
      </c>
      <c r="D486" s="13">
        <f>[2]หน้าผ้า!F495</f>
        <v>0</v>
      </c>
      <c r="E486" s="9">
        <f>[2]หน้าผ้า!G495</f>
        <v>0</v>
      </c>
      <c r="F486" s="9">
        <f>[2]หน้าผ้า!H495</f>
        <v>0</v>
      </c>
      <c r="G486" s="9">
        <f>[2]หน้าผ้า!I495</f>
        <v>0</v>
      </c>
      <c r="H486" s="9">
        <f>[2]หน้าผ้า!J495</f>
        <v>0</v>
      </c>
      <c r="I486" s="9">
        <f>[2]หน้าผ้า!L495</f>
        <v>0</v>
      </c>
      <c r="J486" s="9">
        <f>[2]หน้าผ้า!M495</f>
        <v>0</v>
      </c>
      <c r="K486" s="9">
        <f>[2]หน้าผ้า!N495</f>
        <v>0</v>
      </c>
      <c r="L486" s="9">
        <f>[2]หน้าผ้า!R495</f>
        <v>0</v>
      </c>
      <c r="M486" s="10">
        <f>[2]หน้าผ้า!T495</f>
        <v>0</v>
      </c>
      <c r="N486" s="9">
        <f>[2]หน้าผ้า!U495</f>
        <v>0</v>
      </c>
      <c r="O486" s="9">
        <f>[2]หน้าผ้า!V495</f>
        <v>0</v>
      </c>
      <c r="P486" s="10">
        <f>[2]หน้าผ้า!AB495</f>
        <v>0</v>
      </c>
      <c r="Q486" s="10">
        <f>[2]หน้าผ้า!AC495</f>
        <v>0</v>
      </c>
      <c r="R486" s="10">
        <f>[2]หน้าผ้า!AD495</f>
        <v>0</v>
      </c>
      <c r="S486" s="9">
        <f>[2]หน้าผ้า!Z495</f>
        <v>0</v>
      </c>
      <c r="T486" s="12">
        <f>[2]หน้าผ้า!X495</f>
        <v>0</v>
      </c>
      <c r="U486" s="11">
        <f>[2]หน้าผ้า!AA495</f>
        <v>0</v>
      </c>
      <c r="V486" s="10">
        <f>[2]หน้าผ้า!AJ495</f>
        <v>0</v>
      </c>
      <c r="W486" s="10">
        <f>[2]หน้าผ้า!AL495</f>
        <v>0</v>
      </c>
      <c r="X486" s="10">
        <f>[2]หน้าผ้า!AM495</f>
        <v>0</v>
      </c>
      <c r="Y486" s="10">
        <f>[2]หน้าผ้า!AN495</f>
        <v>0</v>
      </c>
      <c r="Z486" s="9">
        <f>[2]หน้าผ้า!AO495</f>
        <v>0</v>
      </c>
      <c r="AA486" s="8">
        <f>[2]หน้าผ้า!AQ495</f>
        <v>0</v>
      </c>
      <c r="AB486" s="8">
        <f>[2]หน้าผ้า!AR495</f>
        <v>0</v>
      </c>
      <c r="AC486" s="8">
        <f>[2]หน้าผ้า!AS495</f>
        <v>0</v>
      </c>
      <c r="AD486" s="8">
        <f>[2]หน้าผ้า!AT495</f>
        <v>0</v>
      </c>
      <c r="AE486" s="8">
        <f>[2]หน้าผ้า!AU495</f>
        <v>0</v>
      </c>
      <c r="AF486" s="8">
        <f>[2]หน้าผ้า!AI495</f>
        <v>0</v>
      </c>
      <c r="AG486" s="1">
        <f>[3]หน้าผ้า!DC498</f>
        <v>0</v>
      </c>
      <c r="AH486" s="1">
        <f>[2]หน้าผ้า!DL495</f>
        <v>0</v>
      </c>
      <c r="AI486" s="1">
        <f>[2]หน้าผ้า!DM495</f>
        <v>0</v>
      </c>
      <c r="AJ486" s="3">
        <f>[2]หน้าผ้า!DN495</f>
        <v>0</v>
      </c>
      <c r="AK486" s="3">
        <f>[2]หน้าผ้า!DQ495</f>
        <v>0</v>
      </c>
      <c r="AL486" s="3">
        <f>[2]หน้าผ้า!DR495</f>
        <v>0</v>
      </c>
      <c r="AM486" s="3">
        <f>[2]หน้าผ้า!DS495</f>
        <v>0</v>
      </c>
      <c r="AN486" s="3">
        <f>[2]หน้าผ้า!DT495</f>
        <v>0</v>
      </c>
      <c r="AO486" s="3">
        <f>[2]หน้าผ้า!DU495</f>
        <v>0</v>
      </c>
      <c r="AP486" s="3">
        <f>[2]หน้าผ้า!DP495</f>
        <v>0</v>
      </c>
      <c r="AQ486" s="3">
        <f>[2]หน้าผ้า!DW495</f>
        <v>0</v>
      </c>
      <c r="AR486" s="3">
        <f>[2]หน้าผ้า!DX495</f>
        <v>0</v>
      </c>
      <c r="AS486" s="3">
        <f>[2]หน้าผ้า!DY495</f>
        <v>0</v>
      </c>
      <c r="AT486" s="3">
        <f>[2]หน้าผ้า!DZ495</f>
        <v>0</v>
      </c>
      <c r="AU486" s="3">
        <f>[2]หน้าผ้า!EA495</f>
        <v>0</v>
      </c>
      <c r="AV486" s="1">
        <f>[2]หน้าผ้า!EB495</f>
        <v>0</v>
      </c>
      <c r="AW486" s="2">
        <f>[2]หน้าผ้า!EC495</f>
        <v>0</v>
      </c>
      <c r="AX486" s="2">
        <f>[2]หน้าผ้า!ED495</f>
        <v>0</v>
      </c>
      <c r="AY486" s="2">
        <f>[2]หน้าผ้า!AG495</f>
        <v>0</v>
      </c>
      <c r="AZ486" s="2">
        <f>[2]หน้าผ้า!EG495</f>
        <v>0</v>
      </c>
      <c r="BA486" s="2">
        <f>[2]หน้าผ้า!EH495</f>
        <v>0</v>
      </c>
      <c r="BB486" s="2">
        <f>[2]หน้าผ้า!EI495</f>
        <v>0</v>
      </c>
      <c r="BC486" s="1">
        <f>[2]หน้าผ้า!BZ495</f>
        <v>0</v>
      </c>
      <c r="BD486" s="56">
        <f>[2]หน้าผ้า!CA495</f>
        <v>0</v>
      </c>
    </row>
    <row r="487" spans="1:56" ht="27.75" customHeight="1" x14ac:dyDescent="0.45">
      <c r="A487" s="3">
        <f>[2]หน้าผ้า!C496</f>
        <v>0</v>
      </c>
      <c r="B487" s="14">
        <f>[2]หน้าผ้า!B496</f>
        <v>0</v>
      </c>
      <c r="C487" s="9">
        <f>[2]หน้าผ้า!E496</f>
        <v>0</v>
      </c>
      <c r="D487" s="13">
        <f>[2]หน้าผ้า!F496</f>
        <v>0</v>
      </c>
      <c r="E487" s="9">
        <f>[2]หน้าผ้า!G496</f>
        <v>0</v>
      </c>
      <c r="F487" s="9">
        <f>[2]หน้าผ้า!H496</f>
        <v>0</v>
      </c>
      <c r="G487" s="9">
        <f>[2]หน้าผ้า!I496</f>
        <v>0</v>
      </c>
      <c r="H487" s="9">
        <f>[2]หน้าผ้า!J496</f>
        <v>0</v>
      </c>
      <c r="I487" s="9">
        <f>[2]หน้าผ้า!L496</f>
        <v>0</v>
      </c>
      <c r="J487" s="9">
        <f>[2]หน้าผ้า!M496</f>
        <v>0</v>
      </c>
      <c r="K487" s="9">
        <f>[2]หน้าผ้า!N496</f>
        <v>0</v>
      </c>
      <c r="L487" s="9">
        <f>[2]หน้าผ้า!R496</f>
        <v>0</v>
      </c>
      <c r="M487" s="10">
        <f>[2]หน้าผ้า!T496</f>
        <v>0</v>
      </c>
      <c r="N487" s="9">
        <f>[2]หน้าผ้า!U496</f>
        <v>0</v>
      </c>
      <c r="O487" s="9">
        <f>[2]หน้าผ้า!V496</f>
        <v>0</v>
      </c>
      <c r="P487" s="10">
        <f>[2]หน้าผ้า!AB496</f>
        <v>0</v>
      </c>
      <c r="Q487" s="10">
        <f>[2]หน้าผ้า!AC496</f>
        <v>0</v>
      </c>
      <c r="R487" s="10">
        <f>[2]หน้าผ้า!AD496</f>
        <v>0</v>
      </c>
      <c r="S487" s="9">
        <f>[2]หน้าผ้า!Z496</f>
        <v>0</v>
      </c>
      <c r="T487" s="12">
        <f>[2]หน้าผ้า!X496</f>
        <v>0</v>
      </c>
      <c r="U487" s="11">
        <f>[2]หน้าผ้า!AA496</f>
        <v>0</v>
      </c>
      <c r="V487" s="10">
        <f>[2]หน้าผ้า!AJ496</f>
        <v>0</v>
      </c>
      <c r="W487" s="10">
        <f>[2]หน้าผ้า!AL496</f>
        <v>0</v>
      </c>
      <c r="X487" s="10">
        <f>[2]หน้าผ้า!AM496</f>
        <v>0</v>
      </c>
      <c r="Y487" s="10">
        <f>[2]หน้าผ้า!AN496</f>
        <v>0</v>
      </c>
      <c r="Z487" s="9">
        <f>[2]หน้าผ้า!AO496</f>
        <v>0</v>
      </c>
      <c r="AA487" s="8">
        <f>[2]หน้าผ้า!AQ496</f>
        <v>0</v>
      </c>
      <c r="AB487" s="8">
        <f>[2]หน้าผ้า!AR496</f>
        <v>0</v>
      </c>
      <c r="AC487" s="8">
        <f>[2]หน้าผ้า!AS496</f>
        <v>0</v>
      </c>
      <c r="AD487" s="8">
        <f>[2]หน้าผ้า!AT496</f>
        <v>0</v>
      </c>
      <c r="AE487" s="8">
        <f>[2]หน้าผ้า!AU496</f>
        <v>0</v>
      </c>
      <c r="AF487" s="8">
        <f>[2]หน้าผ้า!AI496</f>
        <v>0</v>
      </c>
      <c r="AG487" s="1">
        <f>[3]หน้าผ้า!DC499</f>
        <v>0</v>
      </c>
      <c r="AH487" s="1">
        <f>[2]หน้าผ้า!DL496</f>
        <v>0</v>
      </c>
      <c r="AI487" s="1">
        <f>[2]หน้าผ้า!DM496</f>
        <v>0</v>
      </c>
      <c r="AJ487" s="3">
        <f>[2]หน้าผ้า!DN496</f>
        <v>0</v>
      </c>
      <c r="AK487" s="3">
        <f>[2]หน้าผ้า!DQ496</f>
        <v>0</v>
      </c>
      <c r="AL487" s="3">
        <f>[2]หน้าผ้า!DR496</f>
        <v>0</v>
      </c>
      <c r="AM487" s="3">
        <f>[2]หน้าผ้า!DS496</f>
        <v>0</v>
      </c>
      <c r="AN487" s="3">
        <f>[2]หน้าผ้า!DT496</f>
        <v>0</v>
      </c>
      <c r="AO487" s="3">
        <f>[2]หน้าผ้า!DU496</f>
        <v>0</v>
      </c>
      <c r="AP487" s="3">
        <f>[2]หน้าผ้า!DP496</f>
        <v>0</v>
      </c>
      <c r="AQ487" s="3">
        <f>[2]หน้าผ้า!DW496</f>
        <v>0</v>
      </c>
      <c r="AR487" s="3">
        <f>[2]หน้าผ้า!DX496</f>
        <v>0</v>
      </c>
      <c r="AS487" s="3">
        <f>[2]หน้าผ้า!DY496</f>
        <v>0</v>
      </c>
      <c r="AT487" s="3">
        <f>[2]หน้าผ้า!DZ496</f>
        <v>0</v>
      </c>
      <c r="AU487" s="3">
        <f>[2]หน้าผ้า!EA496</f>
        <v>0</v>
      </c>
      <c r="AV487" s="1">
        <f>[2]หน้าผ้า!EB496</f>
        <v>0</v>
      </c>
      <c r="AW487" s="2">
        <f>[2]หน้าผ้า!EC496</f>
        <v>0</v>
      </c>
      <c r="AX487" s="2">
        <f>[2]หน้าผ้า!ED496</f>
        <v>0</v>
      </c>
      <c r="AY487" s="2">
        <f>[2]หน้าผ้า!AG496</f>
        <v>0</v>
      </c>
      <c r="AZ487" s="2">
        <f>[2]หน้าผ้า!EG496</f>
        <v>0</v>
      </c>
      <c r="BA487" s="2">
        <f>[2]หน้าผ้า!EH496</f>
        <v>0</v>
      </c>
      <c r="BB487" s="2">
        <f>[2]หน้าผ้า!EI496</f>
        <v>0</v>
      </c>
      <c r="BC487" s="1">
        <f>[2]หน้าผ้า!BZ496</f>
        <v>0</v>
      </c>
      <c r="BD487" s="56">
        <f>[2]หน้าผ้า!CA496</f>
        <v>0</v>
      </c>
    </row>
    <row r="488" spans="1:56" ht="27.75" customHeight="1" x14ac:dyDescent="0.45">
      <c r="A488" s="3">
        <f>[2]หน้าผ้า!C497</f>
        <v>0</v>
      </c>
      <c r="B488" s="14">
        <f>[2]หน้าผ้า!B497</f>
        <v>0</v>
      </c>
      <c r="C488" s="9">
        <f>[2]หน้าผ้า!E497</f>
        <v>0</v>
      </c>
      <c r="D488" s="13">
        <f>[2]หน้าผ้า!F497</f>
        <v>0</v>
      </c>
      <c r="E488" s="9">
        <f>[2]หน้าผ้า!G497</f>
        <v>0</v>
      </c>
      <c r="F488" s="9">
        <f>[2]หน้าผ้า!H497</f>
        <v>0</v>
      </c>
      <c r="G488" s="9">
        <f>[2]หน้าผ้า!I497</f>
        <v>0</v>
      </c>
      <c r="H488" s="9">
        <f>[2]หน้าผ้า!J497</f>
        <v>0</v>
      </c>
      <c r="I488" s="9">
        <f>[2]หน้าผ้า!L497</f>
        <v>0</v>
      </c>
      <c r="J488" s="9">
        <f>[2]หน้าผ้า!M497</f>
        <v>0</v>
      </c>
      <c r="K488" s="9">
        <f>[2]หน้าผ้า!N497</f>
        <v>0</v>
      </c>
      <c r="L488" s="9">
        <f>[2]หน้าผ้า!R497</f>
        <v>0</v>
      </c>
      <c r="M488" s="10">
        <f>[2]หน้าผ้า!T497</f>
        <v>0</v>
      </c>
      <c r="N488" s="9">
        <f>[2]หน้าผ้า!U497</f>
        <v>0</v>
      </c>
      <c r="O488" s="9">
        <f>[2]หน้าผ้า!V497</f>
        <v>0</v>
      </c>
      <c r="P488" s="10">
        <f>[2]หน้าผ้า!AB497</f>
        <v>0</v>
      </c>
      <c r="Q488" s="10">
        <f>[2]หน้าผ้า!AC497</f>
        <v>0</v>
      </c>
      <c r="R488" s="10">
        <f>[2]หน้าผ้า!AD497</f>
        <v>0</v>
      </c>
      <c r="S488" s="9">
        <f>[2]หน้าผ้า!Z497</f>
        <v>0</v>
      </c>
      <c r="T488" s="12">
        <f>[2]หน้าผ้า!X497</f>
        <v>0</v>
      </c>
      <c r="U488" s="11">
        <f>[2]หน้าผ้า!AA497</f>
        <v>0</v>
      </c>
      <c r="V488" s="10">
        <f>[2]หน้าผ้า!AJ497</f>
        <v>0</v>
      </c>
      <c r="W488" s="10">
        <f>[2]หน้าผ้า!AL497</f>
        <v>0</v>
      </c>
      <c r="X488" s="10">
        <f>[2]หน้าผ้า!AM497</f>
        <v>0</v>
      </c>
      <c r="Y488" s="10">
        <f>[2]หน้าผ้า!AN497</f>
        <v>0</v>
      </c>
      <c r="Z488" s="9">
        <f>[2]หน้าผ้า!AO497</f>
        <v>0</v>
      </c>
      <c r="AA488" s="8">
        <f>[2]หน้าผ้า!AQ497</f>
        <v>0</v>
      </c>
      <c r="AB488" s="8">
        <f>[2]หน้าผ้า!AR497</f>
        <v>0</v>
      </c>
      <c r="AC488" s="8">
        <f>[2]หน้าผ้า!AS497</f>
        <v>0</v>
      </c>
      <c r="AD488" s="8">
        <f>[2]หน้าผ้า!AT497</f>
        <v>0</v>
      </c>
      <c r="AE488" s="8">
        <f>[2]หน้าผ้า!AU497</f>
        <v>0</v>
      </c>
      <c r="AF488" s="8">
        <f>[2]หน้าผ้า!AI497</f>
        <v>0</v>
      </c>
      <c r="AG488" s="1">
        <f>[3]หน้าผ้า!DC500</f>
        <v>0</v>
      </c>
      <c r="AH488" s="1">
        <f>[2]หน้าผ้า!DL497</f>
        <v>0</v>
      </c>
      <c r="AI488" s="1">
        <f>[2]หน้าผ้า!DM497</f>
        <v>0</v>
      </c>
      <c r="AJ488" s="3">
        <f>[2]หน้าผ้า!DN497</f>
        <v>0</v>
      </c>
      <c r="AK488" s="3">
        <f>[2]หน้าผ้า!DQ497</f>
        <v>0</v>
      </c>
      <c r="AL488" s="3">
        <f>[2]หน้าผ้า!DR497</f>
        <v>0</v>
      </c>
      <c r="AM488" s="3">
        <f>[2]หน้าผ้า!DS497</f>
        <v>0</v>
      </c>
      <c r="AN488" s="3">
        <f>[2]หน้าผ้า!DT497</f>
        <v>0</v>
      </c>
      <c r="AO488" s="3">
        <f>[2]หน้าผ้า!DU497</f>
        <v>0</v>
      </c>
      <c r="AP488" s="3">
        <f>[2]หน้าผ้า!DP497</f>
        <v>0</v>
      </c>
      <c r="AQ488" s="3">
        <f>[2]หน้าผ้า!DW497</f>
        <v>0</v>
      </c>
      <c r="AR488" s="3">
        <f>[2]หน้าผ้า!DX497</f>
        <v>0</v>
      </c>
      <c r="AS488" s="3">
        <f>[2]หน้าผ้า!DY497</f>
        <v>0</v>
      </c>
      <c r="AT488" s="3">
        <f>[2]หน้าผ้า!DZ497</f>
        <v>0</v>
      </c>
      <c r="AU488" s="3">
        <f>[2]หน้าผ้า!EA497</f>
        <v>0</v>
      </c>
      <c r="AV488" s="1">
        <f>[2]หน้าผ้า!EB497</f>
        <v>0</v>
      </c>
      <c r="AW488" s="2">
        <f>[2]หน้าผ้า!EC497</f>
        <v>0</v>
      </c>
      <c r="AX488" s="2">
        <f>[2]หน้าผ้า!ED497</f>
        <v>0</v>
      </c>
      <c r="AY488" s="2">
        <f>[2]หน้าผ้า!AG497</f>
        <v>0</v>
      </c>
      <c r="AZ488" s="2">
        <f>[2]หน้าผ้า!EG497</f>
        <v>0</v>
      </c>
      <c r="BA488" s="2">
        <f>[2]หน้าผ้า!EH497</f>
        <v>0</v>
      </c>
      <c r="BB488" s="2">
        <f>[2]หน้าผ้า!EI497</f>
        <v>0</v>
      </c>
      <c r="BC488" s="1">
        <f>[2]หน้าผ้า!BZ497</f>
        <v>0</v>
      </c>
      <c r="BD488" s="56">
        <f>[2]หน้าผ้า!CA497</f>
        <v>0</v>
      </c>
    </row>
    <row r="489" spans="1:56" ht="27.75" customHeight="1" x14ac:dyDescent="0.45">
      <c r="A489" s="3">
        <f>[2]หน้าผ้า!C498</f>
        <v>0</v>
      </c>
      <c r="B489" s="14">
        <f>[2]หน้าผ้า!B498</f>
        <v>0</v>
      </c>
      <c r="C489" s="9">
        <f>[2]หน้าผ้า!E498</f>
        <v>0</v>
      </c>
      <c r="D489" s="13">
        <f>[2]หน้าผ้า!F498</f>
        <v>0</v>
      </c>
      <c r="E489" s="9">
        <f>[2]หน้าผ้า!G498</f>
        <v>0</v>
      </c>
      <c r="F489" s="9">
        <f>[2]หน้าผ้า!H498</f>
        <v>0</v>
      </c>
      <c r="G489" s="9">
        <f>[2]หน้าผ้า!I498</f>
        <v>0</v>
      </c>
      <c r="H489" s="9">
        <f>[2]หน้าผ้า!J498</f>
        <v>0</v>
      </c>
      <c r="I489" s="9">
        <f>[2]หน้าผ้า!L498</f>
        <v>0</v>
      </c>
      <c r="J489" s="9">
        <f>[2]หน้าผ้า!M498</f>
        <v>0</v>
      </c>
      <c r="K489" s="9">
        <f>[2]หน้าผ้า!N498</f>
        <v>0</v>
      </c>
      <c r="L489" s="9">
        <f>[2]หน้าผ้า!R498</f>
        <v>0</v>
      </c>
      <c r="M489" s="10">
        <f>[2]หน้าผ้า!T498</f>
        <v>0</v>
      </c>
      <c r="N489" s="9">
        <f>[2]หน้าผ้า!U498</f>
        <v>0</v>
      </c>
      <c r="O489" s="9">
        <f>[2]หน้าผ้า!V498</f>
        <v>0</v>
      </c>
      <c r="P489" s="10">
        <f>[2]หน้าผ้า!AB498</f>
        <v>0</v>
      </c>
      <c r="Q489" s="10">
        <f>[2]หน้าผ้า!AC498</f>
        <v>0</v>
      </c>
      <c r="R489" s="10">
        <f>[2]หน้าผ้า!AD498</f>
        <v>0</v>
      </c>
      <c r="S489" s="9">
        <f>[2]หน้าผ้า!Z498</f>
        <v>0</v>
      </c>
      <c r="T489" s="12">
        <f>[2]หน้าผ้า!X498</f>
        <v>0</v>
      </c>
      <c r="U489" s="11">
        <f>[2]หน้าผ้า!AA498</f>
        <v>0</v>
      </c>
      <c r="V489" s="10">
        <f>[2]หน้าผ้า!AJ498</f>
        <v>0</v>
      </c>
      <c r="W489" s="10">
        <f>[2]หน้าผ้า!AL498</f>
        <v>0</v>
      </c>
      <c r="X489" s="10">
        <f>[2]หน้าผ้า!AM498</f>
        <v>0</v>
      </c>
      <c r="Y489" s="10">
        <f>[2]หน้าผ้า!AN498</f>
        <v>0</v>
      </c>
      <c r="Z489" s="9">
        <f>[2]หน้าผ้า!AO498</f>
        <v>0</v>
      </c>
      <c r="AA489" s="8">
        <f>[2]หน้าผ้า!AQ498</f>
        <v>0</v>
      </c>
      <c r="AB489" s="8">
        <f>[2]หน้าผ้า!AR498</f>
        <v>0</v>
      </c>
      <c r="AC489" s="8">
        <f>[2]หน้าผ้า!AS498</f>
        <v>0</v>
      </c>
      <c r="AD489" s="8">
        <f>[2]หน้าผ้า!AT498</f>
        <v>0</v>
      </c>
      <c r="AE489" s="8">
        <f>[2]หน้าผ้า!AU498</f>
        <v>0</v>
      </c>
      <c r="AF489" s="8">
        <f>[2]หน้าผ้า!AI498</f>
        <v>0</v>
      </c>
      <c r="AG489" s="1">
        <f>[3]หน้าผ้า!DC501</f>
        <v>0</v>
      </c>
      <c r="AH489" s="1">
        <f>[2]หน้าผ้า!DL498</f>
        <v>0</v>
      </c>
      <c r="AI489" s="1">
        <f>[2]หน้าผ้า!DM498</f>
        <v>0</v>
      </c>
      <c r="AJ489" s="3">
        <f>[2]หน้าผ้า!DN498</f>
        <v>0</v>
      </c>
      <c r="AK489" s="3">
        <f>[2]หน้าผ้า!DQ498</f>
        <v>0</v>
      </c>
      <c r="AL489" s="3">
        <f>[2]หน้าผ้า!DR498</f>
        <v>0</v>
      </c>
      <c r="AM489" s="3">
        <f>[2]หน้าผ้า!DS498</f>
        <v>0</v>
      </c>
      <c r="AN489" s="3">
        <f>[2]หน้าผ้า!DT498</f>
        <v>0</v>
      </c>
      <c r="AO489" s="3">
        <f>[2]หน้าผ้า!DU498</f>
        <v>0</v>
      </c>
      <c r="AP489" s="3">
        <f>[2]หน้าผ้า!DP498</f>
        <v>0</v>
      </c>
      <c r="AQ489" s="3">
        <f>[2]หน้าผ้า!DW498</f>
        <v>0</v>
      </c>
      <c r="AR489" s="3">
        <f>[2]หน้าผ้า!DX498</f>
        <v>0</v>
      </c>
      <c r="AS489" s="3">
        <f>[2]หน้าผ้า!DY498</f>
        <v>0</v>
      </c>
      <c r="AT489" s="3">
        <f>[2]หน้าผ้า!DZ498</f>
        <v>0</v>
      </c>
      <c r="AU489" s="3">
        <f>[2]หน้าผ้า!EA498</f>
        <v>0</v>
      </c>
      <c r="AV489" s="1">
        <f>[2]หน้าผ้า!EB498</f>
        <v>0</v>
      </c>
      <c r="AW489" s="2">
        <f>[2]หน้าผ้า!EC498</f>
        <v>0</v>
      </c>
      <c r="AX489" s="2">
        <f>[2]หน้าผ้า!ED498</f>
        <v>0</v>
      </c>
      <c r="AY489" s="2">
        <f>[2]หน้าผ้า!AG498</f>
        <v>0</v>
      </c>
      <c r="AZ489" s="2">
        <f>[2]หน้าผ้า!EG498</f>
        <v>0</v>
      </c>
      <c r="BA489" s="2">
        <f>[2]หน้าผ้า!EH498</f>
        <v>0</v>
      </c>
      <c r="BB489" s="2">
        <f>[2]หน้าผ้า!EI498</f>
        <v>0</v>
      </c>
      <c r="BC489" s="1">
        <f>[2]หน้าผ้า!BZ498</f>
        <v>0</v>
      </c>
      <c r="BD489" s="56">
        <f>[2]หน้าผ้า!CA498</f>
        <v>0</v>
      </c>
    </row>
    <row r="490" spans="1:56" ht="27.75" customHeight="1" x14ac:dyDescent="0.45">
      <c r="A490" s="3">
        <f>[2]หน้าผ้า!C499</f>
        <v>0</v>
      </c>
      <c r="B490" s="14">
        <f>[2]หน้าผ้า!B499</f>
        <v>0</v>
      </c>
      <c r="C490" s="9">
        <f>[2]หน้าผ้า!E499</f>
        <v>0</v>
      </c>
      <c r="D490" s="13">
        <f>[2]หน้าผ้า!F499</f>
        <v>0</v>
      </c>
      <c r="E490" s="9">
        <f>[2]หน้าผ้า!G499</f>
        <v>0</v>
      </c>
      <c r="F490" s="9">
        <f>[2]หน้าผ้า!H499</f>
        <v>0</v>
      </c>
      <c r="G490" s="9">
        <f>[2]หน้าผ้า!I499</f>
        <v>0</v>
      </c>
      <c r="H490" s="9">
        <f>[2]หน้าผ้า!J499</f>
        <v>0</v>
      </c>
      <c r="I490" s="9">
        <f>[2]หน้าผ้า!L499</f>
        <v>0</v>
      </c>
      <c r="J490" s="9">
        <f>[2]หน้าผ้า!M499</f>
        <v>0</v>
      </c>
      <c r="K490" s="9">
        <f>[2]หน้าผ้า!N499</f>
        <v>0</v>
      </c>
      <c r="L490" s="9">
        <f>[2]หน้าผ้า!R499</f>
        <v>0</v>
      </c>
      <c r="M490" s="10">
        <f>[2]หน้าผ้า!T499</f>
        <v>0</v>
      </c>
      <c r="N490" s="9">
        <f>[2]หน้าผ้า!U499</f>
        <v>0</v>
      </c>
      <c r="O490" s="9">
        <f>[2]หน้าผ้า!V499</f>
        <v>0</v>
      </c>
      <c r="P490" s="10">
        <f>[2]หน้าผ้า!AB499</f>
        <v>0</v>
      </c>
      <c r="Q490" s="10">
        <f>[2]หน้าผ้า!AC499</f>
        <v>0</v>
      </c>
      <c r="R490" s="10">
        <f>[2]หน้าผ้า!AD499</f>
        <v>0</v>
      </c>
      <c r="S490" s="9">
        <f>[2]หน้าผ้า!Z499</f>
        <v>0</v>
      </c>
      <c r="T490" s="12">
        <f>[2]หน้าผ้า!X499</f>
        <v>0</v>
      </c>
      <c r="U490" s="11">
        <f>[2]หน้าผ้า!AA499</f>
        <v>0</v>
      </c>
      <c r="V490" s="10">
        <f>[2]หน้าผ้า!AJ499</f>
        <v>0</v>
      </c>
      <c r="W490" s="10">
        <f>[2]หน้าผ้า!AL499</f>
        <v>0</v>
      </c>
      <c r="X490" s="10">
        <f>[2]หน้าผ้า!AM499</f>
        <v>0</v>
      </c>
      <c r="Y490" s="10">
        <f>[2]หน้าผ้า!AN499</f>
        <v>0</v>
      </c>
      <c r="Z490" s="9">
        <f>[2]หน้าผ้า!AO499</f>
        <v>0</v>
      </c>
      <c r="AA490" s="8">
        <f>[2]หน้าผ้า!AQ499</f>
        <v>0</v>
      </c>
      <c r="AB490" s="8">
        <f>[2]หน้าผ้า!AR499</f>
        <v>0</v>
      </c>
      <c r="AC490" s="8">
        <f>[2]หน้าผ้า!AS499</f>
        <v>0</v>
      </c>
      <c r="AD490" s="8">
        <f>[2]หน้าผ้า!AT499</f>
        <v>0</v>
      </c>
      <c r="AE490" s="8">
        <f>[2]หน้าผ้า!AU499</f>
        <v>0</v>
      </c>
      <c r="AF490" s="8">
        <f>[2]หน้าผ้า!AI499</f>
        <v>0</v>
      </c>
      <c r="AG490" s="1">
        <f>[3]หน้าผ้า!DC502</f>
        <v>0</v>
      </c>
      <c r="AH490" s="1">
        <f>[2]หน้าผ้า!DL499</f>
        <v>0</v>
      </c>
      <c r="AI490" s="1">
        <f>[2]หน้าผ้า!DM499</f>
        <v>0</v>
      </c>
      <c r="AJ490" s="3">
        <f>[2]หน้าผ้า!DN499</f>
        <v>0</v>
      </c>
      <c r="AK490" s="3">
        <f>[2]หน้าผ้า!DQ499</f>
        <v>0</v>
      </c>
      <c r="AL490" s="3">
        <f>[2]หน้าผ้า!DR499</f>
        <v>0</v>
      </c>
      <c r="AM490" s="3">
        <f>[2]หน้าผ้า!DS499</f>
        <v>0</v>
      </c>
      <c r="AN490" s="3">
        <f>[2]หน้าผ้า!DT499</f>
        <v>0</v>
      </c>
      <c r="AO490" s="3">
        <f>[2]หน้าผ้า!DU499</f>
        <v>0</v>
      </c>
      <c r="AP490" s="3">
        <f>[2]หน้าผ้า!DP499</f>
        <v>0</v>
      </c>
      <c r="AQ490" s="3">
        <f>[2]หน้าผ้า!DW499</f>
        <v>0</v>
      </c>
      <c r="AR490" s="3">
        <f>[2]หน้าผ้า!DX499</f>
        <v>0</v>
      </c>
      <c r="AS490" s="3">
        <f>[2]หน้าผ้า!DY499</f>
        <v>0</v>
      </c>
      <c r="AT490" s="3">
        <f>[2]หน้าผ้า!DZ499</f>
        <v>0</v>
      </c>
      <c r="AU490" s="3">
        <f>[2]หน้าผ้า!EA499</f>
        <v>0</v>
      </c>
      <c r="AV490" s="1">
        <f>[2]หน้าผ้า!EB499</f>
        <v>0</v>
      </c>
      <c r="AW490" s="2">
        <f>[2]หน้าผ้า!EC499</f>
        <v>0</v>
      </c>
      <c r="AX490" s="2">
        <f>[2]หน้าผ้า!ED499</f>
        <v>0</v>
      </c>
      <c r="AY490" s="2">
        <f>[2]หน้าผ้า!AG499</f>
        <v>0</v>
      </c>
      <c r="AZ490" s="2">
        <f>[2]หน้าผ้า!EG499</f>
        <v>0</v>
      </c>
      <c r="BA490" s="2">
        <f>[2]หน้าผ้า!EH499</f>
        <v>0</v>
      </c>
      <c r="BB490" s="2">
        <f>[2]หน้าผ้า!EI499</f>
        <v>0</v>
      </c>
      <c r="BC490" s="1">
        <f>[2]หน้าผ้า!BZ499</f>
        <v>0</v>
      </c>
      <c r="BD490" s="56">
        <f>[2]หน้าผ้า!CA499</f>
        <v>0</v>
      </c>
    </row>
    <row r="491" spans="1:56" ht="27.75" customHeight="1" x14ac:dyDescent="0.45">
      <c r="A491" s="3">
        <f>[2]หน้าผ้า!C500</f>
        <v>0</v>
      </c>
      <c r="B491" s="14">
        <f>[2]หน้าผ้า!B500</f>
        <v>0</v>
      </c>
      <c r="C491" s="9">
        <f>[2]หน้าผ้า!E500</f>
        <v>0</v>
      </c>
      <c r="D491" s="13">
        <f>[2]หน้าผ้า!F500</f>
        <v>0</v>
      </c>
      <c r="E491" s="9">
        <f>[2]หน้าผ้า!G500</f>
        <v>0</v>
      </c>
      <c r="F491" s="9">
        <f>[2]หน้าผ้า!H500</f>
        <v>0</v>
      </c>
      <c r="G491" s="9">
        <f>[2]หน้าผ้า!I500</f>
        <v>0</v>
      </c>
      <c r="H491" s="9">
        <f>[2]หน้าผ้า!J500</f>
        <v>0</v>
      </c>
      <c r="I491" s="9">
        <f>[2]หน้าผ้า!L500</f>
        <v>0</v>
      </c>
      <c r="J491" s="9">
        <f>[2]หน้าผ้า!M500</f>
        <v>0</v>
      </c>
      <c r="K491" s="9">
        <f>[2]หน้าผ้า!N500</f>
        <v>0</v>
      </c>
      <c r="L491" s="9">
        <f>[2]หน้าผ้า!R500</f>
        <v>0</v>
      </c>
      <c r="M491" s="10">
        <f>[2]หน้าผ้า!T500</f>
        <v>0</v>
      </c>
      <c r="N491" s="9">
        <f>[2]หน้าผ้า!U500</f>
        <v>0</v>
      </c>
      <c r="O491" s="9">
        <f>[2]หน้าผ้า!V500</f>
        <v>0</v>
      </c>
      <c r="P491" s="10">
        <f>[2]หน้าผ้า!AB500</f>
        <v>0</v>
      </c>
      <c r="Q491" s="10">
        <f>[2]หน้าผ้า!AC500</f>
        <v>0</v>
      </c>
      <c r="R491" s="10">
        <f>[2]หน้าผ้า!AD500</f>
        <v>0</v>
      </c>
      <c r="S491" s="9">
        <f>[2]หน้าผ้า!Z500</f>
        <v>0</v>
      </c>
      <c r="T491" s="12">
        <f>[2]หน้าผ้า!X500</f>
        <v>0</v>
      </c>
      <c r="U491" s="11">
        <f>[2]หน้าผ้า!AA500</f>
        <v>0</v>
      </c>
      <c r="V491" s="10">
        <f>[2]หน้าผ้า!AJ500</f>
        <v>0</v>
      </c>
      <c r="W491" s="10">
        <f>[2]หน้าผ้า!AL500</f>
        <v>0</v>
      </c>
      <c r="X491" s="10">
        <f>[2]หน้าผ้า!AM500</f>
        <v>0</v>
      </c>
      <c r="Y491" s="10">
        <f>[2]หน้าผ้า!AN500</f>
        <v>0</v>
      </c>
      <c r="Z491" s="9">
        <f>[2]หน้าผ้า!AO500</f>
        <v>0</v>
      </c>
      <c r="AA491" s="8">
        <f>[2]หน้าผ้า!AQ500</f>
        <v>0</v>
      </c>
      <c r="AB491" s="8">
        <f>[2]หน้าผ้า!AR500</f>
        <v>0</v>
      </c>
      <c r="AC491" s="8">
        <f>[2]หน้าผ้า!AS500</f>
        <v>0</v>
      </c>
      <c r="AD491" s="8">
        <f>[2]หน้าผ้า!AT500</f>
        <v>0</v>
      </c>
      <c r="AE491" s="8">
        <f>[2]หน้าผ้า!AU500</f>
        <v>0</v>
      </c>
      <c r="AF491" s="8">
        <f>[2]หน้าผ้า!AI500</f>
        <v>0</v>
      </c>
      <c r="AG491" s="1">
        <f>[3]หน้าผ้า!DC503</f>
        <v>0</v>
      </c>
      <c r="AH491" s="1">
        <f>[2]หน้าผ้า!DL500</f>
        <v>0</v>
      </c>
      <c r="AI491" s="1">
        <f>[2]หน้าผ้า!DM500</f>
        <v>0</v>
      </c>
      <c r="AJ491" s="3">
        <f>[2]หน้าผ้า!DN500</f>
        <v>0</v>
      </c>
      <c r="AK491" s="3">
        <f>[2]หน้าผ้า!DQ500</f>
        <v>0</v>
      </c>
      <c r="AL491" s="3">
        <f>[2]หน้าผ้า!DR500</f>
        <v>0</v>
      </c>
      <c r="AM491" s="3">
        <f>[2]หน้าผ้า!DS500</f>
        <v>0</v>
      </c>
      <c r="AN491" s="3">
        <f>[2]หน้าผ้า!DT500</f>
        <v>0</v>
      </c>
      <c r="AO491" s="3">
        <f>[2]หน้าผ้า!DU500</f>
        <v>0</v>
      </c>
      <c r="AP491" s="3">
        <f>[2]หน้าผ้า!DP500</f>
        <v>0</v>
      </c>
      <c r="AQ491" s="3">
        <f>[2]หน้าผ้า!DW500</f>
        <v>0</v>
      </c>
      <c r="AR491" s="3">
        <f>[2]หน้าผ้า!DX500</f>
        <v>0</v>
      </c>
      <c r="AS491" s="3">
        <f>[2]หน้าผ้า!DY500</f>
        <v>0</v>
      </c>
      <c r="AT491" s="3">
        <f>[2]หน้าผ้า!DZ500</f>
        <v>0</v>
      </c>
      <c r="AU491" s="3">
        <f>[2]หน้าผ้า!EA500</f>
        <v>0</v>
      </c>
      <c r="AV491" s="1">
        <f>[2]หน้าผ้า!EB500</f>
        <v>0</v>
      </c>
      <c r="AW491" s="2">
        <f>[2]หน้าผ้า!EC500</f>
        <v>0</v>
      </c>
      <c r="AX491" s="2">
        <f>[2]หน้าผ้า!ED500</f>
        <v>0</v>
      </c>
      <c r="AY491" s="2">
        <f>[2]หน้าผ้า!AG500</f>
        <v>0</v>
      </c>
      <c r="AZ491" s="2">
        <f>[2]หน้าผ้า!EG500</f>
        <v>0</v>
      </c>
      <c r="BA491" s="2">
        <f>[2]หน้าผ้า!EH500</f>
        <v>0</v>
      </c>
      <c r="BB491" s="2">
        <f>[2]หน้าผ้า!EI500</f>
        <v>0</v>
      </c>
      <c r="BC491" s="1">
        <f>[2]หน้าผ้า!BZ500</f>
        <v>0</v>
      </c>
      <c r="BD491" s="56">
        <f>[2]หน้าผ้า!CA500</f>
        <v>0</v>
      </c>
    </row>
    <row r="492" spans="1:56" ht="27.75" customHeight="1" x14ac:dyDescent="0.45">
      <c r="A492" s="3">
        <f>[2]หน้าผ้า!C501</f>
        <v>0</v>
      </c>
      <c r="B492" s="14">
        <f>[2]หน้าผ้า!B501</f>
        <v>0</v>
      </c>
      <c r="C492" s="9">
        <f>[2]หน้าผ้า!E501</f>
        <v>0</v>
      </c>
      <c r="D492" s="13">
        <f>[2]หน้าผ้า!F501</f>
        <v>0</v>
      </c>
      <c r="E492" s="9">
        <f>[2]หน้าผ้า!G501</f>
        <v>0</v>
      </c>
      <c r="F492" s="9">
        <f>[2]หน้าผ้า!H501</f>
        <v>0</v>
      </c>
      <c r="G492" s="9">
        <f>[2]หน้าผ้า!I501</f>
        <v>0</v>
      </c>
      <c r="H492" s="9">
        <f>[2]หน้าผ้า!J501</f>
        <v>0</v>
      </c>
      <c r="I492" s="9">
        <f>[2]หน้าผ้า!L501</f>
        <v>0</v>
      </c>
      <c r="J492" s="9">
        <f>[2]หน้าผ้า!M501</f>
        <v>0</v>
      </c>
      <c r="K492" s="9">
        <f>[2]หน้าผ้า!N501</f>
        <v>0</v>
      </c>
      <c r="L492" s="9">
        <f>[2]หน้าผ้า!R501</f>
        <v>0</v>
      </c>
      <c r="M492" s="10">
        <f>[2]หน้าผ้า!T501</f>
        <v>0</v>
      </c>
      <c r="N492" s="9">
        <f>[2]หน้าผ้า!U501</f>
        <v>0</v>
      </c>
      <c r="O492" s="9">
        <f>[2]หน้าผ้า!V501</f>
        <v>0</v>
      </c>
      <c r="P492" s="10">
        <f>[2]หน้าผ้า!AB501</f>
        <v>0</v>
      </c>
      <c r="Q492" s="10">
        <f>[2]หน้าผ้า!AC501</f>
        <v>0</v>
      </c>
      <c r="R492" s="10">
        <f>[2]หน้าผ้า!AD501</f>
        <v>0</v>
      </c>
      <c r="S492" s="9">
        <f>[2]หน้าผ้า!Z501</f>
        <v>0</v>
      </c>
      <c r="T492" s="12">
        <f>[2]หน้าผ้า!X501</f>
        <v>0</v>
      </c>
      <c r="U492" s="11">
        <f>[2]หน้าผ้า!AA501</f>
        <v>0</v>
      </c>
      <c r="V492" s="10">
        <f>[2]หน้าผ้า!AJ501</f>
        <v>0</v>
      </c>
      <c r="W492" s="10">
        <f>[2]หน้าผ้า!AL501</f>
        <v>0</v>
      </c>
      <c r="X492" s="10">
        <f>[2]หน้าผ้า!AM501</f>
        <v>0</v>
      </c>
      <c r="Y492" s="10">
        <f>[2]หน้าผ้า!AN501</f>
        <v>0</v>
      </c>
      <c r="Z492" s="9">
        <f>[2]หน้าผ้า!AO501</f>
        <v>0</v>
      </c>
      <c r="AA492" s="8">
        <f>[2]หน้าผ้า!AQ501</f>
        <v>0</v>
      </c>
      <c r="AB492" s="8">
        <f>[2]หน้าผ้า!AR501</f>
        <v>0</v>
      </c>
      <c r="AC492" s="8">
        <f>[2]หน้าผ้า!AS501</f>
        <v>0</v>
      </c>
      <c r="AD492" s="8">
        <f>[2]หน้าผ้า!AT501</f>
        <v>0</v>
      </c>
      <c r="AE492" s="8">
        <f>[2]หน้าผ้า!AU501</f>
        <v>0</v>
      </c>
      <c r="AF492" s="8">
        <f>[2]หน้าผ้า!AI501</f>
        <v>0</v>
      </c>
      <c r="AG492" s="1">
        <f>[3]หน้าผ้า!DC504</f>
        <v>0</v>
      </c>
      <c r="AH492" s="1">
        <f>[2]หน้าผ้า!DL501</f>
        <v>0</v>
      </c>
      <c r="AI492" s="1">
        <f>[2]หน้าผ้า!DM501</f>
        <v>0</v>
      </c>
      <c r="AJ492" s="3">
        <f>[2]หน้าผ้า!DN501</f>
        <v>0</v>
      </c>
      <c r="AK492" s="3">
        <f>[2]หน้าผ้า!DQ501</f>
        <v>0</v>
      </c>
      <c r="AL492" s="3">
        <f>[2]หน้าผ้า!DR501</f>
        <v>0</v>
      </c>
      <c r="AM492" s="3">
        <f>[2]หน้าผ้า!DS501</f>
        <v>0</v>
      </c>
      <c r="AN492" s="3">
        <f>[2]หน้าผ้า!DT501</f>
        <v>0</v>
      </c>
      <c r="AO492" s="3">
        <f>[2]หน้าผ้า!DU501</f>
        <v>0</v>
      </c>
      <c r="AP492" s="3">
        <f>[2]หน้าผ้า!DP501</f>
        <v>0</v>
      </c>
      <c r="AQ492" s="3">
        <f>[2]หน้าผ้า!DW501</f>
        <v>0</v>
      </c>
      <c r="AR492" s="3">
        <f>[2]หน้าผ้า!DX501</f>
        <v>0</v>
      </c>
      <c r="AS492" s="3">
        <f>[2]หน้าผ้า!DY501</f>
        <v>0</v>
      </c>
      <c r="AT492" s="3">
        <f>[2]หน้าผ้า!DZ501</f>
        <v>0</v>
      </c>
      <c r="AU492" s="3">
        <f>[2]หน้าผ้า!EA501</f>
        <v>0</v>
      </c>
      <c r="AV492" s="1">
        <f>[2]หน้าผ้า!EB501</f>
        <v>0</v>
      </c>
      <c r="AW492" s="2">
        <f>[2]หน้าผ้า!EC501</f>
        <v>0</v>
      </c>
      <c r="AX492" s="2">
        <f>[2]หน้าผ้า!ED501</f>
        <v>0</v>
      </c>
      <c r="AY492" s="2">
        <f>[2]หน้าผ้า!AG501</f>
        <v>0</v>
      </c>
      <c r="AZ492" s="2">
        <f>[2]หน้าผ้า!EG501</f>
        <v>0</v>
      </c>
      <c r="BA492" s="2">
        <f>[2]หน้าผ้า!EH501</f>
        <v>0</v>
      </c>
      <c r="BB492" s="2">
        <f>[2]หน้าผ้า!EI501</f>
        <v>0</v>
      </c>
      <c r="BC492" s="1">
        <f>[2]หน้าผ้า!BZ501</f>
        <v>0</v>
      </c>
      <c r="BD492" s="56">
        <f>[2]หน้าผ้า!CA501</f>
        <v>0</v>
      </c>
    </row>
    <row r="493" spans="1:56" ht="27.75" customHeight="1" x14ac:dyDescent="0.45">
      <c r="A493" s="3">
        <f>[2]หน้าผ้า!C502</f>
        <v>0</v>
      </c>
      <c r="B493" s="14">
        <f>[2]หน้าผ้า!B502</f>
        <v>0</v>
      </c>
      <c r="C493" s="9">
        <f>[2]หน้าผ้า!E502</f>
        <v>0</v>
      </c>
      <c r="D493" s="13">
        <f>[2]หน้าผ้า!F502</f>
        <v>0</v>
      </c>
      <c r="E493" s="9">
        <f>[2]หน้าผ้า!G502</f>
        <v>0</v>
      </c>
      <c r="F493" s="9">
        <f>[2]หน้าผ้า!H502</f>
        <v>0</v>
      </c>
      <c r="G493" s="9">
        <f>[2]หน้าผ้า!I502</f>
        <v>0</v>
      </c>
      <c r="H493" s="9">
        <f>[2]หน้าผ้า!J502</f>
        <v>0</v>
      </c>
      <c r="I493" s="9">
        <f>[2]หน้าผ้า!L502</f>
        <v>0</v>
      </c>
      <c r="J493" s="9">
        <f>[2]หน้าผ้า!M502</f>
        <v>0</v>
      </c>
      <c r="K493" s="9">
        <f>[2]หน้าผ้า!N502</f>
        <v>0</v>
      </c>
      <c r="L493" s="9">
        <f>[2]หน้าผ้า!R502</f>
        <v>0</v>
      </c>
      <c r="M493" s="10">
        <f>[2]หน้าผ้า!T502</f>
        <v>0</v>
      </c>
      <c r="N493" s="9">
        <f>[2]หน้าผ้า!U502</f>
        <v>0</v>
      </c>
      <c r="O493" s="9">
        <f>[2]หน้าผ้า!V502</f>
        <v>0</v>
      </c>
      <c r="P493" s="10">
        <f>[2]หน้าผ้า!AB502</f>
        <v>0</v>
      </c>
      <c r="Q493" s="10">
        <f>[2]หน้าผ้า!AC502</f>
        <v>0</v>
      </c>
      <c r="R493" s="10">
        <f>[2]หน้าผ้า!AD502</f>
        <v>0</v>
      </c>
      <c r="S493" s="9">
        <f>[2]หน้าผ้า!Z502</f>
        <v>0</v>
      </c>
      <c r="T493" s="12">
        <f>[2]หน้าผ้า!X502</f>
        <v>0</v>
      </c>
      <c r="U493" s="11">
        <f>[2]หน้าผ้า!AA502</f>
        <v>0</v>
      </c>
      <c r="V493" s="10">
        <f>[2]หน้าผ้า!AJ502</f>
        <v>0</v>
      </c>
      <c r="W493" s="10">
        <f>[2]หน้าผ้า!AL502</f>
        <v>0</v>
      </c>
      <c r="X493" s="10">
        <f>[2]หน้าผ้า!AM502</f>
        <v>0</v>
      </c>
      <c r="Y493" s="10">
        <f>[2]หน้าผ้า!AN502</f>
        <v>0</v>
      </c>
      <c r="Z493" s="9">
        <f>[2]หน้าผ้า!AO502</f>
        <v>0</v>
      </c>
      <c r="AA493" s="8">
        <f>[2]หน้าผ้า!AQ502</f>
        <v>0</v>
      </c>
      <c r="AB493" s="8">
        <f>[2]หน้าผ้า!AR502</f>
        <v>0</v>
      </c>
      <c r="AC493" s="8">
        <f>[2]หน้าผ้า!AS502</f>
        <v>0</v>
      </c>
      <c r="AD493" s="8">
        <f>[2]หน้าผ้า!AT502</f>
        <v>0</v>
      </c>
      <c r="AE493" s="8">
        <f>[2]หน้าผ้า!AU502</f>
        <v>0</v>
      </c>
      <c r="AF493" s="8">
        <f>[2]หน้าผ้า!AI502</f>
        <v>0</v>
      </c>
      <c r="AG493" s="1">
        <f>[3]หน้าผ้า!DC505</f>
        <v>0</v>
      </c>
      <c r="AH493" s="1">
        <f>[2]หน้าผ้า!DL502</f>
        <v>0</v>
      </c>
      <c r="AI493" s="1">
        <f>[2]หน้าผ้า!DM502</f>
        <v>0</v>
      </c>
      <c r="AJ493" s="3">
        <f>[2]หน้าผ้า!DN502</f>
        <v>0</v>
      </c>
      <c r="AK493" s="3">
        <f>[2]หน้าผ้า!DQ502</f>
        <v>0</v>
      </c>
      <c r="AL493" s="3">
        <f>[2]หน้าผ้า!DR502</f>
        <v>0</v>
      </c>
      <c r="AM493" s="3">
        <f>[2]หน้าผ้า!DS502</f>
        <v>0</v>
      </c>
      <c r="AN493" s="3">
        <f>[2]หน้าผ้า!DT502</f>
        <v>0</v>
      </c>
      <c r="AO493" s="3">
        <f>[2]หน้าผ้า!DU502</f>
        <v>0</v>
      </c>
      <c r="AP493" s="3">
        <f>[2]หน้าผ้า!DP502</f>
        <v>0</v>
      </c>
      <c r="AQ493" s="3">
        <f>[2]หน้าผ้า!DW502</f>
        <v>0</v>
      </c>
      <c r="AR493" s="3">
        <f>[2]หน้าผ้า!DX502</f>
        <v>0</v>
      </c>
      <c r="AS493" s="3">
        <f>[2]หน้าผ้า!DY502</f>
        <v>0</v>
      </c>
      <c r="AT493" s="3">
        <f>[2]หน้าผ้า!DZ502</f>
        <v>0</v>
      </c>
      <c r="AU493" s="3">
        <f>[2]หน้าผ้า!EA502</f>
        <v>0</v>
      </c>
      <c r="AV493" s="1">
        <f>[2]หน้าผ้า!EB502</f>
        <v>0</v>
      </c>
      <c r="AW493" s="2">
        <f>[2]หน้าผ้า!EC502</f>
        <v>0</v>
      </c>
      <c r="AX493" s="2">
        <f>[2]หน้าผ้า!ED502</f>
        <v>0</v>
      </c>
      <c r="AY493" s="2">
        <f>[2]หน้าผ้า!AG502</f>
        <v>0</v>
      </c>
      <c r="AZ493" s="2">
        <f>[2]หน้าผ้า!EG502</f>
        <v>0</v>
      </c>
      <c r="BA493" s="2">
        <f>[2]หน้าผ้า!EH502</f>
        <v>0</v>
      </c>
      <c r="BB493" s="2">
        <f>[2]หน้าผ้า!EI502</f>
        <v>0</v>
      </c>
      <c r="BC493" s="1">
        <f>[2]หน้าผ้า!BZ502</f>
        <v>0</v>
      </c>
      <c r="BD493" s="56">
        <f>[2]หน้าผ้า!CA502</f>
        <v>0</v>
      </c>
    </row>
    <row r="494" spans="1:56" ht="27.75" customHeight="1" x14ac:dyDescent="0.45">
      <c r="A494" s="3">
        <f>[2]หน้าผ้า!C503</f>
        <v>0</v>
      </c>
      <c r="B494" s="14">
        <f>[2]หน้าผ้า!B503</f>
        <v>0</v>
      </c>
      <c r="C494" s="9">
        <f>[2]หน้าผ้า!E503</f>
        <v>0</v>
      </c>
      <c r="D494" s="13">
        <f>[2]หน้าผ้า!F503</f>
        <v>0</v>
      </c>
      <c r="E494" s="9">
        <f>[2]หน้าผ้า!G503</f>
        <v>0</v>
      </c>
      <c r="F494" s="9">
        <f>[2]หน้าผ้า!H503</f>
        <v>0</v>
      </c>
      <c r="G494" s="9">
        <f>[2]หน้าผ้า!I503</f>
        <v>0</v>
      </c>
      <c r="H494" s="9">
        <f>[2]หน้าผ้า!J503</f>
        <v>0</v>
      </c>
      <c r="I494" s="9">
        <f>[2]หน้าผ้า!L503</f>
        <v>0</v>
      </c>
      <c r="J494" s="9">
        <f>[2]หน้าผ้า!M503</f>
        <v>0</v>
      </c>
      <c r="K494" s="9">
        <f>[2]หน้าผ้า!N503</f>
        <v>0</v>
      </c>
      <c r="L494" s="9">
        <f>[2]หน้าผ้า!R503</f>
        <v>0</v>
      </c>
      <c r="M494" s="10">
        <f>[2]หน้าผ้า!T503</f>
        <v>0</v>
      </c>
      <c r="N494" s="9">
        <f>[2]หน้าผ้า!U503</f>
        <v>0</v>
      </c>
      <c r="O494" s="9">
        <f>[2]หน้าผ้า!V503</f>
        <v>0</v>
      </c>
      <c r="P494" s="10">
        <f>[2]หน้าผ้า!AB503</f>
        <v>0</v>
      </c>
      <c r="Q494" s="10">
        <f>[2]หน้าผ้า!AC503</f>
        <v>0</v>
      </c>
      <c r="R494" s="10">
        <f>[2]หน้าผ้า!AD503</f>
        <v>0</v>
      </c>
      <c r="S494" s="9">
        <f>[2]หน้าผ้า!Z503</f>
        <v>0</v>
      </c>
      <c r="T494" s="12">
        <f>[2]หน้าผ้า!X503</f>
        <v>0</v>
      </c>
      <c r="U494" s="11">
        <f>[2]หน้าผ้า!AA503</f>
        <v>0</v>
      </c>
      <c r="V494" s="10">
        <f>[2]หน้าผ้า!AJ503</f>
        <v>0</v>
      </c>
      <c r="W494" s="10">
        <f>[2]หน้าผ้า!AL503</f>
        <v>0</v>
      </c>
      <c r="X494" s="10">
        <f>[2]หน้าผ้า!AM503</f>
        <v>0</v>
      </c>
      <c r="Y494" s="10">
        <f>[2]หน้าผ้า!AN503</f>
        <v>0</v>
      </c>
      <c r="Z494" s="9">
        <f>[2]หน้าผ้า!AO503</f>
        <v>0</v>
      </c>
      <c r="AA494" s="8">
        <f>[2]หน้าผ้า!AQ503</f>
        <v>0</v>
      </c>
      <c r="AB494" s="8">
        <f>[2]หน้าผ้า!AR503</f>
        <v>0</v>
      </c>
      <c r="AC494" s="8">
        <f>[2]หน้าผ้า!AS503</f>
        <v>0</v>
      </c>
      <c r="AD494" s="8">
        <f>[2]หน้าผ้า!AT503</f>
        <v>0</v>
      </c>
      <c r="AE494" s="8">
        <f>[2]หน้าผ้า!AU503</f>
        <v>0</v>
      </c>
      <c r="AF494" s="8">
        <f>[2]หน้าผ้า!AI503</f>
        <v>0</v>
      </c>
      <c r="AG494" s="1">
        <f>[3]หน้าผ้า!DC506</f>
        <v>0</v>
      </c>
      <c r="AH494" s="1">
        <f>[2]หน้าผ้า!DL503</f>
        <v>0</v>
      </c>
      <c r="AI494" s="1">
        <f>[2]หน้าผ้า!DM503</f>
        <v>0</v>
      </c>
      <c r="AJ494" s="3">
        <f>[2]หน้าผ้า!DN503</f>
        <v>0</v>
      </c>
      <c r="AK494" s="3">
        <f>[2]หน้าผ้า!DQ503</f>
        <v>0</v>
      </c>
      <c r="AL494" s="3">
        <f>[2]หน้าผ้า!DR503</f>
        <v>0</v>
      </c>
      <c r="AM494" s="3">
        <f>[2]หน้าผ้า!DS503</f>
        <v>0</v>
      </c>
      <c r="AN494" s="3">
        <f>[2]หน้าผ้า!DT503</f>
        <v>0</v>
      </c>
      <c r="AO494" s="3">
        <f>[2]หน้าผ้า!DU503</f>
        <v>0</v>
      </c>
      <c r="AP494" s="3">
        <f>[2]หน้าผ้า!DP503</f>
        <v>0</v>
      </c>
      <c r="AQ494" s="3">
        <f>[2]หน้าผ้า!DW503</f>
        <v>0</v>
      </c>
      <c r="AR494" s="3">
        <f>[2]หน้าผ้า!DX503</f>
        <v>0</v>
      </c>
      <c r="AS494" s="3">
        <f>[2]หน้าผ้า!DY503</f>
        <v>0</v>
      </c>
      <c r="AT494" s="3">
        <f>[2]หน้าผ้า!DZ503</f>
        <v>0</v>
      </c>
      <c r="AU494" s="3">
        <f>[2]หน้าผ้า!EA503</f>
        <v>0</v>
      </c>
      <c r="AV494" s="1">
        <f>[2]หน้าผ้า!EB503</f>
        <v>0</v>
      </c>
      <c r="AW494" s="2">
        <f>[2]หน้าผ้า!EC503</f>
        <v>0</v>
      </c>
      <c r="AX494" s="2">
        <f>[2]หน้าผ้า!ED503</f>
        <v>0</v>
      </c>
      <c r="AY494" s="2">
        <f>[2]หน้าผ้า!AG503</f>
        <v>0</v>
      </c>
      <c r="AZ494" s="2">
        <f>[2]หน้าผ้า!EG503</f>
        <v>0</v>
      </c>
      <c r="BA494" s="2">
        <f>[2]หน้าผ้า!EH503</f>
        <v>0</v>
      </c>
      <c r="BB494" s="2">
        <f>[2]หน้าผ้า!EI503</f>
        <v>0</v>
      </c>
      <c r="BC494" s="1">
        <f>[2]หน้าผ้า!BZ503</f>
        <v>0</v>
      </c>
      <c r="BD494" s="56">
        <f>[2]หน้าผ้า!CA503</f>
        <v>0</v>
      </c>
    </row>
    <row r="495" spans="1:56" ht="27.75" customHeight="1" x14ac:dyDescent="0.45">
      <c r="A495" s="3">
        <f>[2]หน้าผ้า!C504</f>
        <v>0</v>
      </c>
      <c r="B495" s="14">
        <f>[2]หน้าผ้า!B504</f>
        <v>0</v>
      </c>
      <c r="C495" s="9">
        <f>[2]หน้าผ้า!E504</f>
        <v>0</v>
      </c>
      <c r="D495" s="13">
        <f>[2]หน้าผ้า!F504</f>
        <v>0</v>
      </c>
      <c r="E495" s="9">
        <f>[2]หน้าผ้า!G504</f>
        <v>0</v>
      </c>
      <c r="F495" s="9">
        <f>[2]หน้าผ้า!H504</f>
        <v>0</v>
      </c>
      <c r="G495" s="9">
        <f>[2]หน้าผ้า!I504</f>
        <v>0</v>
      </c>
      <c r="H495" s="9">
        <f>[2]หน้าผ้า!J504</f>
        <v>0</v>
      </c>
      <c r="I495" s="9">
        <f>[2]หน้าผ้า!L504</f>
        <v>0</v>
      </c>
      <c r="J495" s="9">
        <f>[2]หน้าผ้า!M504</f>
        <v>0</v>
      </c>
      <c r="K495" s="9">
        <f>[2]หน้าผ้า!N504</f>
        <v>0</v>
      </c>
      <c r="L495" s="9">
        <f>[2]หน้าผ้า!R504</f>
        <v>0</v>
      </c>
      <c r="M495" s="10">
        <f>[2]หน้าผ้า!T504</f>
        <v>0</v>
      </c>
      <c r="N495" s="9">
        <f>[2]หน้าผ้า!U504</f>
        <v>0</v>
      </c>
      <c r="O495" s="9">
        <f>[2]หน้าผ้า!V504</f>
        <v>0</v>
      </c>
      <c r="P495" s="10">
        <f>[2]หน้าผ้า!AB504</f>
        <v>0</v>
      </c>
      <c r="Q495" s="10">
        <f>[2]หน้าผ้า!AC504</f>
        <v>0</v>
      </c>
      <c r="R495" s="10">
        <f>[2]หน้าผ้า!AD504</f>
        <v>0</v>
      </c>
      <c r="S495" s="9">
        <f>[2]หน้าผ้า!Z504</f>
        <v>0</v>
      </c>
      <c r="T495" s="12">
        <f>[2]หน้าผ้า!X504</f>
        <v>0</v>
      </c>
      <c r="U495" s="11">
        <f>[2]หน้าผ้า!AA504</f>
        <v>0</v>
      </c>
      <c r="V495" s="10">
        <f>[2]หน้าผ้า!AJ504</f>
        <v>0</v>
      </c>
      <c r="W495" s="10">
        <f>[2]หน้าผ้า!AL504</f>
        <v>0</v>
      </c>
      <c r="X495" s="10">
        <f>[2]หน้าผ้า!AM504</f>
        <v>0</v>
      </c>
      <c r="Y495" s="10">
        <f>[2]หน้าผ้า!AN504</f>
        <v>0</v>
      </c>
      <c r="Z495" s="9">
        <f>[2]หน้าผ้า!AO504</f>
        <v>0</v>
      </c>
      <c r="AA495" s="8">
        <f>[2]หน้าผ้า!AQ504</f>
        <v>0</v>
      </c>
      <c r="AB495" s="8">
        <f>[2]หน้าผ้า!AR504</f>
        <v>0</v>
      </c>
      <c r="AC495" s="8">
        <f>[2]หน้าผ้า!AS504</f>
        <v>0</v>
      </c>
      <c r="AD495" s="8">
        <f>[2]หน้าผ้า!AT504</f>
        <v>0</v>
      </c>
      <c r="AE495" s="8">
        <f>[2]หน้าผ้า!AU504</f>
        <v>0</v>
      </c>
      <c r="AF495" s="8">
        <f>[2]หน้าผ้า!AI504</f>
        <v>0</v>
      </c>
      <c r="AG495" s="1">
        <f>[3]หน้าผ้า!DC507</f>
        <v>0</v>
      </c>
      <c r="AH495" s="1">
        <f>[2]หน้าผ้า!DL504</f>
        <v>0</v>
      </c>
      <c r="AI495" s="1">
        <f>[2]หน้าผ้า!DM504</f>
        <v>0</v>
      </c>
      <c r="AJ495" s="3">
        <f>[2]หน้าผ้า!DN504</f>
        <v>0</v>
      </c>
      <c r="AK495" s="3">
        <f>[2]หน้าผ้า!DQ504</f>
        <v>0</v>
      </c>
      <c r="AL495" s="3">
        <f>[2]หน้าผ้า!DR504</f>
        <v>0</v>
      </c>
      <c r="AM495" s="3">
        <f>[2]หน้าผ้า!DS504</f>
        <v>0</v>
      </c>
      <c r="AN495" s="3">
        <f>[2]หน้าผ้า!DT504</f>
        <v>0</v>
      </c>
      <c r="AO495" s="3">
        <f>[2]หน้าผ้า!DU504</f>
        <v>0</v>
      </c>
      <c r="AP495" s="3">
        <f>[2]หน้าผ้า!DP504</f>
        <v>0</v>
      </c>
      <c r="AQ495" s="3">
        <f>[2]หน้าผ้า!DW504</f>
        <v>0</v>
      </c>
      <c r="AR495" s="3">
        <f>[2]หน้าผ้า!DX504</f>
        <v>0</v>
      </c>
      <c r="AS495" s="3">
        <f>[2]หน้าผ้า!DY504</f>
        <v>0</v>
      </c>
      <c r="AT495" s="3">
        <f>[2]หน้าผ้า!DZ504</f>
        <v>0</v>
      </c>
      <c r="AU495" s="3">
        <f>[2]หน้าผ้า!EA504</f>
        <v>0</v>
      </c>
      <c r="AV495" s="1">
        <f>[2]หน้าผ้า!EB504</f>
        <v>0</v>
      </c>
      <c r="AW495" s="2">
        <f>[2]หน้าผ้า!EC504</f>
        <v>0</v>
      </c>
      <c r="AX495" s="2">
        <f>[2]หน้าผ้า!ED504</f>
        <v>0</v>
      </c>
      <c r="AY495" s="2">
        <f>[2]หน้าผ้า!AG504</f>
        <v>0</v>
      </c>
      <c r="AZ495" s="2">
        <f>[2]หน้าผ้า!EG504</f>
        <v>0</v>
      </c>
      <c r="BA495" s="2">
        <f>[2]หน้าผ้า!EH504</f>
        <v>0</v>
      </c>
      <c r="BB495" s="2">
        <f>[2]หน้าผ้า!EI504</f>
        <v>0</v>
      </c>
      <c r="BC495" s="1">
        <f>[2]หน้าผ้า!BZ504</f>
        <v>0</v>
      </c>
      <c r="BD495" s="56">
        <f>[2]หน้าผ้า!CA504</f>
        <v>0</v>
      </c>
    </row>
    <row r="496" spans="1:56" ht="27.75" customHeight="1" x14ac:dyDescent="0.45">
      <c r="A496" s="3">
        <f>[2]หน้าผ้า!C505</f>
        <v>0</v>
      </c>
      <c r="B496" s="14">
        <f>[2]หน้าผ้า!B505</f>
        <v>0</v>
      </c>
      <c r="C496" s="9">
        <f>[2]หน้าผ้า!E505</f>
        <v>0</v>
      </c>
      <c r="D496" s="13">
        <f>[2]หน้าผ้า!F505</f>
        <v>0</v>
      </c>
      <c r="E496" s="9">
        <f>[2]หน้าผ้า!G505</f>
        <v>0</v>
      </c>
      <c r="F496" s="9">
        <f>[2]หน้าผ้า!H505</f>
        <v>0</v>
      </c>
      <c r="G496" s="9">
        <f>[2]หน้าผ้า!I505</f>
        <v>0</v>
      </c>
      <c r="H496" s="9">
        <f>[2]หน้าผ้า!J505</f>
        <v>0</v>
      </c>
      <c r="I496" s="9">
        <f>[2]หน้าผ้า!L505</f>
        <v>0</v>
      </c>
      <c r="J496" s="9">
        <f>[2]หน้าผ้า!M505</f>
        <v>0</v>
      </c>
      <c r="K496" s="9">
        <f>[2]หน้าผ้า!N505</f>
        <v>0</v>
      </c>
      <c r="L496" s="9">
        <f>[2]หน้าผ้า!R505</f>
        <v>0</v>
      </c>
      <c r="M496" s="10">
        <f>[2]หน้าผ้า!T505</f>
        <v>0</v>
      </c>
      <c r="N496" s="9">
        <f>[2]หน้าผ้า!U505</f>
        <v>0</v>
      </c>
      <c r="O496" s="9">
        <f>[2]หน้าผ้า!V505</f>
        <v>0</v>
      </c>
      <c r="P496" s="10">
        <f>[2]หน้าผ้า!AB505</f>
        <v>0</v>
      </c>
      <c r="Q496" s="10">
        <f>[2]หน้าผ้า!AC505</f>
        <v>0</v>
      </c>
      <c r="R496" s="10">
        <f>[2]หน้าผ้า!AD505</f>
        <v>0</v>
      </c>
      <c r="S496" s="9">
        <f>[2]หน้าผ้า!Z505</f>
        <v>0</v>
      </c>
      <c r="T496" s="12">
        <f>[2]หน้าผ้า!X505</f>
        <v>0</v>
      </c>
      <c r="U496" s="11">
        <f>[2]หน้าผ้า!AA505</f>
        <v>0</v>
      </c>
      <c r="V496" s="10">
        <f>[2]หน้าผ้า!AJ505</f>
        <v>0</v>
      </c>
      <c r="W496" s="10">
        <f>[2]หน้าผ้า!AL505</f>
        <v>0</v>
      </c>
      <c r="X496" s="10">
        <f>[2]หน้าผ้า!AM505</f>
        <v>0</v>
      </c>
      <c r="Y496" s="10">
        <f>[2]หน้าผ้า!AN505</f>
        <v>0</v>
      </c>
      <c r="Z496" s="9">
        <f>[2]หน้าผ้า!AO505</f>
        <v>0</v>
      </c>
      <c r="AA496" s="8">
        <f>[2]หน้าผ้า!AQ505</f>
        <v>0</v>
      </c>
      <c r="AB496" s="8">
        <f>[2]หน้าผ้า!AR505</f>
        <v>0</v>
      </c>
      <c r="AC496" s="8">
        <f>[2]หน้าผ้า!AS505</f>
        <v>0</v>
      </c>
      <c r="AD496" s="8">
        <f>[2]หน้าผ้า!AT505</f>
        <v>0</v>
      </c>
      <c r="AE496" s="8">
        <f>[2]หน้าผ้า!AU505</f>
        <v>0</v>
      </c>
      <c r="AF496" s="8">
        <f>[2]หน้าผ้า!AI505</f>
        <v>0</v>
      </c>
      <c r="AG496" s="1">
        <f>[3]หน้าผ้า!DC508</f>
        <v>0</v>
      </c>
      <c r="AH496" s="1">
        <f>[2]หน้าผ้า!DL505</f>
        <v>0</v>
      </c>
      <c r="AI496" s="1">
        <f>[2]หน้าผ้า!DM505</f>
        <v>0</v>
      </c>
      <c r="AJ496" s="3">
        <f>[2]หน้าผ้า!DN505</f>
        <v>0</v>
      </c>
      <c r="AK496" s="3">
        <f>[2]หน้าผ้า!DQ505</f>
        <v>0</v>
      </c>
      <c r="AL496" s="3">
        <f>[2]หน้าผ้า!DR505</f>
        <v>0</v>
      </c>
      <c r="AM496" s="3">
        <f>[2]หน้าผ้า!DS505</f>
        <v>0</v>
      </c>
      <c r="AN496" s="3">
        <f>[2]หน้าผ้า!DT505</f>
        <v>0</v>
      </c>
      <c r="AO496" s="3">
        <f>[2]หน้าผ้า!DU505</f>
        <v>0</v>
      </c>
      <c r="AP496" s="3">
        <f>[2]หน้าผ้า!DP505</f>
        <v>0</v>
      </c>
      <c r="AQ496" s="3">
        <f>[2]หน้าผ้า!DW505</f>
        <v>0</v>
      </c>
      <c r="AR496" s="3">
        <f>[2]หน้าผ้า!DX505</f>
        <v>0</v>
      </c>
      <c r="AS496" s="3">
        <f>[2]หน้าผ้า!DY505</f>
        <v>0</v>
      </c>
      <c r="AT496" s="3">
        <f>[2]หน้าผ้า!DZ505</f>
        <v>0</v>
      </c>
      <c r="AU496" s="3">
        <f>[2]หน้าผ้า!EA505</f>
        <v>0</v>
      </c>
      <c r="AV496" s="1">
        <f>[2]หน้าผ้า!EB505</f>
        <v>0</v>
      </c>
      <c r="AW496" s="2">
        <f>[2]หน้าผ้า!EC505</f>
        <v>0</v>
      </c>
      <c r="AX496" s="2">
        <f>[2]หน้าผ้า!ED505</f>
        <v>0</v>
      </c>
      <c r="AY496" s="2">
        <f>[2]หน้าผ้า!AG505</f>
        <v>0</v>
      </c>
      <c r="AZ496" s="2">
        <f>[2]หน้าผ้า!EG505</f>
        <v>0</v>
      </c>
      <c r="BA496" s="2">
        <f>[2]หน้าผ้า!EH505</f>
        <v>0</v>
      </c>
      <c r="BB496" s="2">
        <f>[2]หน้าผ้า!EI505</f>
        <v>0</v>
      </c>
      <c r="BC496" s="1">
        <f>[2]หน้าผ้า!BZ505</f>
        <v>0</v>
      </c>
      <c r="BD496" s="56">
        <f>[2]หน้าผ้า!CA505</f>
        <v>0</v>
      </c>
    </row>
    <row r="497" spans="1:56" ht="27.75" customHeight="1" x14ac:dyDescent="0.45">
      <c r="A497" s="3">
        <f>[2]หน้าผ้า!C506</f>
        <v>0</v>
      </c>
      <c r="B497" s="14">
        <f>[2]หน้าผ้า!B506</f>
        <v>0</v>
      </c>
      <c r="C497" s="9">
        <f>[2]หน้าผ้า!E506</f>
        <v>0</v>
      </c>
      <c r="D497" s="13">
        <f>[2]หน้าผ้า!F506</f>
        <v>0</v>
      </c>
      <c r="E497" s="9">
        <f>[2]หน้าผ้า!G506</f>
        <v>0</v>
      </c>
      <c r="F497" s="9">
        <f>[2]หน้าผ้า!H506</f>
        <v>0</v>
      </c>
      <c r="G497" s="9">
        <f>[2]หน้าผ้า!I506</f>
        <v>0</v>
      </c>
      <c r="H497" s="9">
        <f>[2]หน้าผ้า!J506</f>
        <v>0</v>
      </c>
      <c r="I497" s="9">
        <f>[2]หน้าผ้า!L506</f>
        <v>0</v>
      </c>
      <c r="J497" s="9">
        <f>[2]หน้าผ้า!M506</f>
        <v>0</v>
      </c>
      <c r="K497" s="9">
        <f>[2]หน้าผ้า!N506</f>
        <v>0</v>
      </c>
      <c r="L497" s="9">
        <f>[2]หน้าผ้า!R506</f>
        <v>0</v>
      </c>
      <c r="M497" s="10">
        <f>[2]หน้าผ้า!T506</f>
        <v>0</v>
      </c>
      <c r="N497" s="9">
        <f>[2]หน้าผ้า!U506</f>
        <v>0</v>
      </c>
      <c r="O497" s="9">
        <f>[2]หน้าผ้า!V506</f>
        <v>0</v>
      </c>
      <c r="P497" s="10">
        <f>[2]หน้าผ้า!AB506</f>
        <v>0</v>
      </c>
      <c r="Q497" s="10">
        <f>[2]หน้าผ้า!AC506</f>
        <v>0</v>
      </c>
      <c r="R497" s="10">
        <f>[2]หน้าผ้า!AD506</f>
        <v>0</v>
      </c>
      <c r="S497" s="9">
        <f>[2]หน้าผ้า!Z506</f>
        <v>0</v>
      </c>
      <c r="T497" s="12">
        <f>[2]หน้าผ้า!X506</f>
        <v>0</v>
      </c>
      <c r="U497" s="11">
        <f>[2]หน้าผ้า!AA506</f>
        <v>0</v>
      </c>
      <c r="V497" s="10">
        <f>[2]หน้าผ้า!AJ506</f>
        <v>0</v>
      </c>
      <c r="W497" s="10">
        <f>[2]หน้าผ้า!AL506</f>
        <v>0</v>
      </c>
      <c r="X497" s="10">
        <f>[2]หน้าผ้า!AM506</f>
        <v>0</v>
      </c>
      <c r="Y497" s="10">
        <f>[2]หน้าผ้า!AN506</f>
        <v>0</v>
      </c>
      <c r="Z497" s="9">
        <f>[2]หน้าผ้า!AO506</f>
        <v>0</v>
      </c>
      <c r="AA497" s="8">
        <f>[2]หน้าผ้า!AQ506</f>
        <v>0</v>
      </c>
      <c r="AB497" s="8">
        <f>[2]หน้าผ้า!AR506</f>
        <v>0</v>
      </c>
      <c r="AC497" s="8">
        <f>[2]หน้าผ้า!AS506</f>
        <v>0</v>
      </c>
      <c r="AD497" s="8">
        <f>[2]หน้าผ้า!AT506</f>
        <v>0</v>
      </c>
      <c r="AE497" s="8">
        <f>[2]หน้าผ้า!AU506</f>
        <v>0</v>
      </c>
      <c r="AF497" s="8">
        <f>[2]หน้าผ้า!AI506</f>
        <v>0</v>
      </c>
      <c r="AG497" s="1">
        <f>[3]หน้าผ้า!DC509</f>
        <v>0</v>
      </c>
      <c r="AH497" s="1">
        <f>[2]หน้าผ้า!DL506</f>
        <v>0</v>
      </c>
      <c r="AI497" s="1">
        <f>[2]หน้าผ้า!DM506</f>
        <v>0</v>
      </c>
      <c r="AJ497" s="3">
        <f>[2]หน้าผ้า!DN506</f>
        <v>0</v>
      </c>
      <c r="AK497" s="3">
        <f>[2]หน้าผ้า!DQ506</f>
        <v>0</v>
      </c>
      <c r="AL497" s="3">
        <f>[2]หน้าผ้า!DR506</f>
        <v>0</v>
      </c>
      <c r="AM497" s="3">
        <f>[2]หน้าผ้า!DS506</f>
        <v>0</v>
      </c>
      <c r="AN497" s="3">
        <f>[2]หน้าผ้า!DT506</f>
        <v>0</v>
      </c>
      <c r="AO497" s="3">
        <f>[2]หน้าผ้า!DU506</f>
        <v>0</v>
      </c>
      <c r="AP497" s="3">
        <f>[2]หน้าผ้า!DP506</f>
        <v>0</v>
      </c>
      <c r="AQ497" s="3">
        <f>[2]หน้าผ้า!DW506</f>
        <v>0</v>
      </c>
      <c r="AR497" s="3">
        <f>[2]หน้าผ้า!DX506</f>
        <v>0</v>
      </c>
      <c r="AS497" s="3">
        <f>[2]หน้าผ้า!DY506</f>
        <v>0</v>
      </c>
      <c r="AT497" s="3">
        <f>[2]หน้าผ้า!DZ506</f>
        <v>0</v>
      </c>
      <c r="AU497" s="3">
        <f>[2]หน้าผ้า!EA506</f>
        <v>0</v>
      </c>
      <c r="AV497" s="1">
        <f>[2]หน้าผ้า!EB506</f>
        <v>0</v>
      </c>
      <c r="AW497" s="2">
        <f>[2]หน้าผ้า!EC506</f>
        <v>0</v>
      </c>
      <c r="AX497" s="2">
        <f>[2]หน้าผ้า!ED506</f>
        <v>0</v>
      </c>
      <c r="AY497" s="2">
        <f>[2]หน้าผ้า!AG506</f>
        <v>0</v>
      </c>
      <c r="AZ497" s="2">
        <f>[2]หน้าผ้า!EG506</f>
        <v>0</v>
      </c>
      <c r="BA497" s="2">
        <f>[2]หน้าผ้า!EH506</f>
        <v>0</v>
      </c>
      <c r="BB497" s="2">
        <f>[2]หน้าผ้า!EI506</f>
        <v>0</v>
      </c>
      <c r="BC497" s="1">
        <f>[2]หน้าผ้า!BZ506</f>
        <v>0</v>
      </c>
      <c r="BD497" s="56">
        <f>[2]หน้าผ้า!CA506</f>
        <v>0</v>
      </c>
    </row>
    <row r="498" spans="1:56" ht="27.75" customHeight="1" x14ac:dyDescent="0.45">
      <c r="A498" s="3">
        <f>[2]หน้าผ้า!C507</f>
        <v>0</v>
      </c>
      <c r="B498" s="14">
        <f>[2]หน้าผ้า!B507</f>
        <v>0</v>
      </c>
      <c r="C498" s="9">
        <f>[2]หน้าผ้า!E507</f>
        <v>0</v>
      </c>
      <c r="D498" s="13">
        <f>[2]หน้าผ้า!F507</f>
        <v>0</v>
      </c>
      <c r="E498" s="9">
        <f>[2]หน้าผ้า!G507</f>
        <v>0</v>
      </c>
      <c r="F498" s="9">
        <f>[2]หน้าผ้า!H507</f>
        <v>0</v>
      </c>
      <c r="G498" s="9">
        <f>[2]หน้าผ้า!I507</f>
        <v>0</v>
      </c>
      <c r="H498" s="9">
        <f>[2]หน้าผ้า!J507</f>
        <v>0</v>
      </c>
      <c r="I498" s="9">
        <f>[2]หน้าผ้า!L507</f>
        <v>0</v>
      </c>
      <c r="J498" s="9">
        <f>[2]หน้าผ้า!M507</f>
        <v>0</v>
      </c>
      <c r="K498" s="9">
        <f>[2]หน้าผ้า!N507</f>
        <v>0</v>
      </c>
      <c r="L498" s="9">
        <f>[2]หน้าผ้า!R507</f>
        <v>0</v>
      </c>
      <c r="M498" s="10">
        <f>[2]หน้าผ้า!T507</f>
        <v>0</v>
      </c>
      <c r="N498" s="9">
        <f>[2]หน้าผ้า!U507</f>
        <v>0</v>
      </c>
      <c r="O498" s="9">
        <f>[2]หน้าผ้า!V507</f>
        <v>0</v>
      </c>
      <c r="P498" s="10">
        <f>[2]หน้าผ้า!AB507</f>
        <v>0</v>
      </c>
      <c r="Q498" s="10">
        <f>[2]หน้าผ้า!AC507</f>
        <v>0</v>
      </c>
      <c r="R498" s="10">
        <f>[2]หน้าผ้า!AD507</f>
        <v>0</v>
      </c>
      <c r="S498" s="9">
        <f>[2]หน้าผ้า!Z507</f>
        <v>0</v>
      </c>
      <c r="T498" s="12">
        <f>[2]หน้าผ้า!X507</f>
        <v>0</v>
      </c>
      <c r="U498" s="11">
        <f>[2]หน้าผ้า!AA507</f>
        <v>0</v>
      </c>
      <c r="V498" s="10">
        <f>[2]หน้าผ้า!AJ507</f>
        <v>0</v>
      </c>
      <c r="W498" s="10">
        <f>[2]หน้าผ้า!AL507</f>
        <v>0</v>
      </c>
      <c r="X498" s="10">
        <f>[2]หน้าผ้า!AM507</f>
        <v>0</v>
      </c>
      <c r="Y498" s="10">
        <f>[2]หน้าผ้า!AN507</f>
        <v>0</v>
      </c>
      <c r="Z498" s="9">
        <f>[2]หน้าผ้า!AO507</f>
        <v>0</v>
      </c>
      <c r="AA498" s="8">
        <f>[2]หน้าผ้า!AQ507</f>
        <v>0</v>
      </c>
      <c r="AB498" s="8">
        <f>[2]หน้าผ้า!AR507</f>
        <v>0</v>
      </c>
      <c r="AC498" s="8">
        <f>[2]หน้าผ้า!AS507</f>
        <v>0</v>
      </c>
      <c r="AD498" s="8">
        <f>[2]หน้าผ้า!AT507</f>
        <v>0</v>
      </c>
      <c r="AE498" s="8">
        <f>[2]หน้าผ้า!AU507</f>
        <v>0</v>
      </c>
      <c r="AF498" s="8">
        <f>[2]หน้าผ้า!AI507</f>
        <v>0</v>
      </c>
      <c r="AG498" s="1">
        <f>[3]หน้าผ้า!DC510</f>
        <v>0</v>
      </c>
      <c r="AH498" s="1">
        <f>[2]หน้าผ้า!DL507</f>
        <v>0</v>
      </c>
      <c r="AI498" s="1">
        <f>[2]หน้าผ้า!DM507</f>
        <v>0</v>
      </c>
      <c r="AJ498" s="3">
        <f>[2]หน้าผ้า!DN507</f>
        <v>0</v>
      </c>
      <c r="AK498" s="3">
        <f>[2]หน้าผ้า!DQ507</f>
        <v>0</v>
      </c>
      <c r="AL498" s="3">
        <f>[2]หน้าผ้า!DR507</f>
        <v>0</v>
      </c>
      <c r="AM498" s="3">
        <f>[2]หน้าผ้า!DS507</f>
        <v>0</v>
      </c>
      <c r="AN498" s="3">
        <f>[2]หน้าผ้า!DT507</f>
        <v>0</v>
      </c>
      <c r="AO498" s="3">
        <f>[2]หน้าผ้า!DU507</f>
        <v>0</v>
      </c>
      <c r="AP498" s="3">
        <f>[2]หน้าผ้า!DP507</f>
        <v>0</v>
      </c>
      <c r="AQ498" s="3">
        <f>[2]หน้าผ้า!DW507</f>
        <v>0</v>
      </c>
      <c r="AR498" s="3">
        <f>[2]หน้าผ้า!DX507</f>
        <v>0</v>
      </c>
      <c r="AS498" s="3">
        <f>[2]หน้าผ้า!DY507</f>
        <v>0</v>
      </c>
      <c r="AT498" s="3">
        <f>[2]หน้าผ้า!DZ507</f>
        <v>0</v>
      </c>
      <c r="AU498" s="3">
        <f>[2]หน้าผ้า!EA507</f>
        <v>0</v>
      </c>
      <c r="AV498" s="1">
        <f>[2]หน้าผ้า!EB507</f>
        <v>0</v>
      </c>
      <c r="AW498" s="2">
        <f>[2]หน้าผ้า!EC507</f>
        <v>0</v>
      </c>
      <c r="AX498" s="2">
        <f>[2]หน้าผ้า!ED507</f>
        <v>0</v>
      </c>
      <c r="AY498" s="2">
        <f>[2]หน้าผ้า!AG507</f>
        <v>0</v>
      </c>
      <c r="AZ498" s="2">
        <f>[2]หน้าผ้า!EG507</f>
        <v>0</v>
      </c>
      <c r="BA498" s="2">
        <f>[2]หน้าผ้า!EH507</f>
        <v>0</v>
      </c>
      <c r="BB498" s="2">
        <f>[2]หน้าผ้า!EI507</f>
        <v>0</v>
      </c>
      <c r="BC498" s="1">
        <f>[2]หน้าผ้า!BZ507</f>
        <v>0</v>
      </c>
      <c r="BD498" s="56">
        <f>[2]หน้าผ้า!CA507</f>
        <v>0</v>
      </c>
    </row>
    <row r="499" spans="1:56" ht="27.75" customHeight="1" x14ac:dyDescent="0.45">
      <c r="A499" s="3">
        <f>[2]หน้าผ้า!C508</f>
        <v>0</v>
      </c>
      <c r="B499" s="14">
        <f>[2]หน้าผ้า!B508</f>
        <v>0</v>
      </c>
      <c r="C499" s="9">
        <f>[2]หน้าผ้า!E508</f>
        <v>0</v>
      </c>
      <c r="D499" s="13">
        <f>[2]หน้าผ้า!F508</f>
        <v>0</v>
      </c>
      <c r="E499" s="9">
        <f>[2]หน้าผ้า!G508</f>
        <v>0</v>
      </c>
      <c r="F499" s="9">
        <f>[2]หน้าผ้า!H508</f>
        <v>0</v>
      </c>
      <c r="G499" s="9">
        <f>[2]หน้าผ้า!I508</f>
        <v>0</v>
      </c>
      <c r="H499" s="9">
        <f>[2]หน้าผ้า!J508</f>
        <v>0</v>
      </c>
      <c r="I499" s="9">
        <f>[2]หน้าผ้า!L508</f>
        <v>0</v>
      </c>
      <c r="J499" s="9">
        <f>[2]หน้าผ้า!M508</f>
        <v>0</v>
      </c>
      <c r="K499" s="9">
        <f>[2]หน้าผ้า!N508</f>
        <v>0</v>
      </c>
      <c r="L499" s="9">
        <f>[2]หน้าผ้า!R508</f>
        <v>0</v>
      </c>
      <c r="M499" s="10">
        <f>[2]หน้าผ้า!T508</f>
        <v>0</v>
      </c>
      <c r="N499" s="9">
        <f>[2]หน้าผ้า!U508</f>
        <v>0</v>
      </c>
      <c r="O499" s="9">
        <f>[2]หน้าผ้า!V508</f>
        <v>0</v>
      </c>
      <c r="P499" s="10">
        <f>[2]หน้าผ้า!AB508</f>
        <v>0</v>
      </c>
      <c r="Q499" s="10">
        <f>[2]หน้าผ้า!AC508</f>
        <v>0</v>
      </c>
      <c r="R499" s="10">
        <f>[2]หน้าผ้า!AD508</f>
        <v>0</v>
      </c>
      <c r="S499" s="9">
        <f>[2]หน้าผ้า!Z508</f>
        <v>0</v>
      </c>
      <c r="T499" s="12">
        <f>[2]หน้าผ้า!X508</f>
        <v>0</v>
      </c>
      <c r="U499" s="11">
        <f>[2]หน้าผ้า!AA508</f>
        <v>0</v>
      </c>
      <c r="V499" s="10">
        <f>[2]หน้าผ้า!AJ508</f>
        <v>0</v>
      </c>
      <c r="W499" s="10">
        <f>[2]หน้าผ้า!AL508</f>
        <v>0</v>
      </c>
      <c r="X499" s="10">
        <f>[2]หน้าผ้า!AM508</f>
        <v>0</v>
      </c>
      <c r="Y499" s="10">
        <f>[2]หน้าผ้า!AN508</f>
        <v>0</v>
      </c>
      <c r="Z499" s="9">
        <f>[2]หน้าผ้า!AO508</f>
        <v>0</v>
      </c>
      <c r="AA499" s="8">
        <f>[2]หน้าผ้า!AQ508</f>
        <v>0</v>
      </c>
      <c r="AB499" s="8">
        <f>[2]หน้าผ้า!AR508</f>
        <v>0</v>
      </c>
      <c r="AC499" s="8">
        <f>[2]หน้าผ้า!AS508</f>
        <v>0</v>
      </c>
      <c r="AD499" s="8">
        <f>[2]หน้าผ้า!AT508</f>
        <v>0</v>
      </c>
      <c r="AE499" s="8">
        <f>[2]หน้าผ้า!AU508</f>
        <v>0</v>
      </c>
      <c r="AF499" s="8">
        <f>[2]หน้าผ้า!AI508</f>
        <v>0</v>
      </c>
      <c r="AG499" s="1">
        <f>[3]หน้าผ้า!DC511</f>
        <v>0</v>
      </c>
      <c r="AH499" s="1">
        <f>[2]หน้าผ้า!DL508</f>
        <v>0</v>
      </c>
      <c r="AI499" s="1">
        <f>[2]หน้าผ้า!DM508</f>
        <v>0</v>
      </c>
      <c r="AJ499" s="3">
        <f>[2]หน้าผ้า!DN508</f>
        <v>0</v>
      </c>
      <c r="AK499" s="3">
        <f>[2]หน้าผ้า!DQ508</f>
        <v>0</v>
      </c>
      <c r="AL499" s="3">
        <f>[2]หน้าผ้า!DR508</f>
        <v>0</v>
      </c>
      <c r="AM499" s="3">
        <f>[2]หน้าผ้า!DS508</f>
        <v>0</v>
      </c>
      <c r="AN499" s="3">
        <f>[2]หน้าผ้า!DT508</f>
        <v>0</v>
      </c>
      <c r="AO499" s="3">
        <f>[2]หน้าผ้า!DU508</f>
        <v>0</v>
      </c>
      <c r="AP499" s="3">
        <f>[2]หน้าผ้า!DP508</f>
        <v>0</v>
      </c>
      <c r="AQ499" s="3">
        <f>[2]หน้าผ้า!DW508</f>
        <v>0</v>
      </c>
      <c r="AR499" s="3">
        <f>[2]หน้าผ้า!DX508</f>
        <v>0</v>
      </c>
      <c r="AS499" s="3">
        <f>[2]หน้าผ้า!DY508</f>
        <v>0</v>
      </c>
      <c r="AT499" s="3">
        <f>[2]หน้าผ้า!DZ508</f>
        <v>0</v>
      </c>
      <c r="AU499" s="3">
        <f>[2]หน้าผ้า!EA508</f>
        <v>0</v>
      </c>
      <c r="AV499" s="1">
        <f>[2]หน้าผ้า!EB508</f>
        <v>0</v>
      </c>
      <c r="AW499" s="2">
        <f>[2]หน้าผ้า!EC508</f>
        <v>0</v>
      </c>
      <c r="AX499" s="2">
        <f>[2]หน้าผ้า!ED508</f>
        <v>0</v>
      </c>
      <c r="AY499" s="2">
        <f>[2]หน้าผ้า!AG508</f>
        <v>0</v>
      </c>
      <c r="AZ499" s="2">
        <f>[2]หน้าผ้า!EG508</f>
        <v>0</v>
      </c>
      <c r="BA499" s="2">
        <f>[2]หน้าผ้า!EH508</f>
        <v>0</v>
      </c>
      <c r="BB499" s="2">
        <f>[2]หน้าผ้า!EI508</f>
        <v>0</v>
      </c>
      <c r="BC499" s="1">
        <f>[2]หน้าผ้า!BZ508</f>
        <v>0</v>
      </c>
      <c r="BD499" s="56">
        <f>[2]หน้าผ้า!CA508</f>
        <v>0</v>
      </c>
    </row>
    <row r="500" spans="1:56" ht="27.75" customHeight="1" x14ac:dyDescent="0.45">
      <c r="A500" s="3">
        <f>[2]หน้าผ้า!C509</f>
        <v>0</v>
      </c>
      <c r="B500" s="14">
        <f>[2]หน้าผ้า!B509</f>
        <v>0</v>
      </c>
      <c r="C500" s="9">
        <f>[2]หน้าผ้า!E509</f>
        <v>0</v>
      </c>
      <c r="D500" s="13">
        <f>[2]หน้าผ้า!F509</f>
        <v>0</v>
      </c>
      <c r="E500" s="9">
        <f>[2]หน้าผ้า!G509</f>
        <v>0</v>
      </c>
      <c r="F500" s="9">
        <f>[2]หน้าผ้า!H509</f>
        <v>0</v>
      </c>
      <c r="G500" s="9">
        <f>[2]หน้าผ้า!I509</f>
        <v>0</v>
      </c>
      <c r="H500" s="9">
        <f>[2]หน้าผ้า!J509</f>
        <v>0</v>
      </c>
      <c r="I500" s="9">
        <f>[2]หน้าผ้า!L509</f>
        <v>0</v>
      </c>
      <c r="J500" s="9">
        <f>[2]หน้าผ้า!M509</f>
        <v>0</v>
      </c>
      <c r="K500" s="9">
        <f>[2]หน้าผ้า!N509</f>
        <v>0</v>
      </c>
      <c r="L500" s="9">
        <f>[2]หน้าผ้า!R509</f>
        <v>0</v>
      </c>
      <c r="M500" s="10">
        <f>[2]หน้าผ้า!T509</f>
        <v>0</v>
      </c>
      <c r="N500" s="9">
        <f>[2]หน้าผ้า!U509</f>
        <v>0</v>
      </c>
      <c r="O500" s="9">
        <f>[2]หน้าผ้า!V509</f>
        <v>0</v>
      </c>
      <c r="P500" s="10">
        <f>[2]หน้าผ้า!AB509</f>
        <v>0</v>
      </c>
      <c r="Q500" s="10">
        <f>[2]หน้าผ้า!AC509</f>
        <v>0</v>
      </c>
      <c r="R500" s="10">
        <f>[2]หน้าผ้า!AD509</f>
        <v>0</v>
      </c>
      <c r="S500" s="9">
        <f>[2]หน้าผ้า!Z509</f>
        <v>0</v>
      </c>
      <c r="T500" s="12">
        <f>[2]หน้าผ้า!X509</f>
        <v>0</v>
      </c>
      <c r="U500" s="11">
        <f>[2]หน้าผ้า!AA509</f>
        <v>0</v>
      </c>
      <c r="V500" s="10">
        <f>[2]หน้าผ้า!AJ509</f>
        <v>0</v>
      </c>
      <c r="W500" s="10">
        <f>[2]หน้าผ้า!AL509</f>
        <v>0</v>
      </c>
      <c r="X500" s="10">
        <f>[2]หน้าผ้า!AM509</f>
        <v>0</v>
      </c>
      <c r="Y500" s="10">
        <f>[2]หน้าผ้า!AN509</f>
        <v>0</v>
      </c>
      <c r="Z500" s="9">
        <f>[2]หน้าผ้า!AO509</f>
        <v>0</v>
      </c>
      <c r="AA500" s="8">
        <f>[2]หน้าผ้า!AQ509</f>
        <v>0</v>
      </c>
      <c r="AB500" s="8">
        <f>[2]หน้าผ้า!AR509</f>
        <v>0</v>
      </c>
      <c r="AC500" s="8">
        <f>[2]หน้าผ้า!AS509</f>
        <v>0</v>
      </c>
      <c r="AD500" s="8">
        <f>[2]หน้าผ้า!AT509</f>
        <v>0</v>
      </c>
      <c r="AE500" s="8">
        <f>[2]หน้าผ้า!AU509</f>
        <v>0</v>
      </c>
      <c r="AF500" s="8">
        <f>[2]หน้าผ้า!AI509</f>
        <v>0</v>
      </c>
      <c r="AG500" s="1">
        <f>[3]หน้าผ้า!DC512</f>
        <v>0</v>
      </c>
      <c r="AH500" s="1">
        <f>[2]หน้าผ้า!DL509</f>
        <v>0</v>
      </c>
      <c r="AI500" s="1">
        <f>[2]หน้าผ้า!DM509</f>
        <v>0</v>
      </c>
      <c r="AJ500" s="3">
        <f>[2]หน้าผ้า!DN509</f>
        <v>0</v>
      </c>
      <c r="AK500" s="3">
        <f>[2]หน้าผ้า!DQ509</f>
        <v>0</v>
      </c>
      <c r="AL500" s="3">
        <f>[2]หน้าผ้า!DR509</f>
        <v>0</v>
      </c>
      <c r="AM500" s="3">
        <f>[2]หน้าผ้า!DS509</f>
        <v>0</v>
      </c>
      <c r="AN500" s="3">
        <f>[2]หน้าผ้า!DT509</f>
        <v>0</v>
      </c>
      <c r="AO500" s="3">
        <f>[2]หน้าผ้า!DU509</f>
        <v>0</v>
      </c>
      <c r="AP500" s="3">
        <f>[2]หน้าผ้า!DP509</f>
        <v>0</v>
      </c>
      <c r="AQ500" s="3">
        <f>[2]หน้าผ้า!DW509</f>
        <v>0</v>
      </c>
      <c r="AR500" s="3">
        <f>[2]หน้าผ้า!DX509</f>
        <v>0</v>
      </c>
      <c r="AS500" s="3">
        <f>[2]หน้าผ้า!DY509</f>
        <v>0</v>
      </c>
      <c r="AT500" s="3">
        <f>[2]หน้าผ้า!DZ509</f>
        <v>0</v>
      </c>
      <c r="AU500" s="3">
        <f>[2]หน้าผ้า!EA509</f>
        <v>0</v>
      </c>
      <c r="AV500" s="1">
        <f>[2]หน้าผ้า!EB509</f>
        <v>0</v>
      </c>
      <c r="AW500" s="2">
        <f>[2]หน้าผ้า!EC509</f>
        <v>0</v>
      </c>
      <c r="AX500" s="2">
        <f>[2]หน้าผ้า!ED509</f>
        <v>0</v>
      </c>
      <c r="AY500" s="2">
        <f>[2]หน้าผ้า!AG509</f>
        <v>0</v>
      </c>
      <c r="AZ500" s="2">
        <f>[2]หน้าผ้า!EG509</f>
        <v>0</v>
      </c>
      <c r="BA500" s="2">
        <f>[2]หน้าผ้า!EH509</f>
        <v>0</v>
      </c>
      <c r="BB500" s="2">
        <f>[2]หน้าผ้า!EI509</f>
        <v>0</v>
      </c>
      <c r="BC500" s="1">
        <f>[2]หน้าผ้า!BZ509</f>
        <v>0</v>
      </c>
      <c r="BD500" s="56">
        <f>[2]หน้าผ้า!CA509</f>
        <v>0</v>
      </c>
    </row>
    <row r="501" spans="1:56" ht="27.75" customHeight="1" x14ac:dyDescent="0.45">
      <c r="A501" s="3">
        <f>[2]หน้าผ้า!C510</f>
        <v>0</v>
      </c>
      <c r="B501" s="14">
        <f>[2]หน้าผ้า!B510</f>
        <v>0</v>
      </c>
      <c r="C501" s="9">
        <f>[2]หน้าผ้า!E510</f>
        <v>0</v>
      </c>
      <c r="D501" s="13">
        <f>[2]หน้าผ้า!F510</f>
        <v>0</v>
      </c>
      <c r="E501" s="9">
        <f>[2]หน้าผ้า!G510</f>
        <v>0</v>
      </c>
      <c r="F501" s="9">
        <f>[2]หน้าผ้า!H510</f>
        <v>0</v>
      </c>
      <c r="G501" s="9">
        <f>[2]หน้าผ้า!I510</f>
        <v>0</v>
      </c>
      <c r="H501" s="9">
        <f>[2]หน้าผ้า!J510</f>
        <v>0</v>
      </c>
      <c r="I501" s="9">
        <f>[2]หน้าผ้า!L510</f>
        <v>0</v>
      </c>
      <c r="J501" s="9">
        <f>[2]หน้าผ้า!M510</f>
        <v>0</v>
      </c>
      <c r="K501" s="9">
        <f>[2]หน้าผ้า!N510</f>
        <v>0</v>
      </c>
      <c r="L501" s="9">
        <f>[2]หน้าผ้า!R510</f>
        <v>0</v>
      </c>
      <c r="M501" s="10">
        <f>[2]หน้าผ้า!T510</f>
        <v>0</v>
      </c>
      <c r="N501" s="9">
        <f>[2]หน้าผ้า!U510</f>
        <v>0</v>
      </c>
      <c r="O501" s="9">
        <f>[2]หน้าผ้า!V510</f>
        <v>0</v>
      </c>
      <c r="P501" s="10">
        <f>[2]หน้าผ้า!AB510</f>
        <v>0</v>
      </c>
      <c r="Q501" s="10">
        <f>[2]หน้าผ้า!AC510</f>
        <v>0</v>
      </c>
      <c r="R501" s="10">
        <f>[2]หน้าผ้า!AD510</f>
        <v>0</v>
      </c>
      <c r="S501" s="9">
        <f>[2]หน้าผ้า!Z510</f>
        <v>0</v>
      </c>
      <c r="T501" s="12">
        <f>[2]หน้าผ้า!X510</f>
        <v>0</v>
      </c>
      <c r="U501" s="11">
        <f>[2]หน้าผ้า!AA510</f>
        <v>0</v>
      </c>
      <c r="V501" s="10">
        <f>[2]หน้าผ้า!AJ510</f>
        <v>0</v>
      </c>
      <c r="W501" s="10">
        <f>[2]หน้าผ้า!AL510</f>
        <v>0</v>
      </c>
      <c r="X501" s="10">
        <f>[2]หน้าผ้า!AM510</f>
        <v>0</v>
      </c>
      <c r="Y501" s="10">
        <f>[2]หน้าผ้า!AN510</f>
        <v>0</v>
      </c>
      <c r="Z501" s="9">
        <f>[2]หน้าผ้า!AO510</f>
        <v>0</v>
      </c>
      <c r="AA501" s="8">
        <f>[2]หน้าผ้า!AQ510</f>
        <v>0</v>
      </c>
      <c r="AB501" s="8">
        <f>[2]หน้าผ้า!AR510</f>
        <v>0</v>
      </c>
      <c r="AC501" s="8">
        <f>[2]หน้าผ้า!AS510</f>
        <v>0</v>
      </c>
      <c r="AD501" s="8">
        <f>[2]หน้าผ้า!AT510</f>
        <v>0</v>
      </c>
      <c r="AE501" s="8">
        <f>[2]หน้าผ้า!AU510</f>
        <v>0</v>
      </c>
      <c r="AF501" s="8">
        <f>[2]หน้าผ้า!AI510</f>
        <v>0</v>
      </c>
      <c r="AG501" s="1">
        <f>[3]หน้าผ้า!DC513</f>
        <v>0</v>
      </c>
      <c r="AH501" s="1">
        <f>[2]หน้าผ้า!DL510</f>
        <v>0</v>
      </c>
      <c r="AI501" s="1">
        <f>[2]หน้าผ้า!DM510</f>
        <v>0</v>
      </c>
      <c r="AJ501" s="3">
        <f>[2]หน้าผ้า!DN510</f>
        <v>0</v>
      </c>
      <c r="AK501" s="3">
        <f>[2]หน้าผ้า!DQ510</f>
        <v>0</v>
      </c>
      <c r="AL501" s="3">
        <f>[2]หน้าผ้า!DR510</f>
        <v>0</v>
      </c>
      <c r="AM501" s="3">
        <f>[2]หน้าผ้า!DS510</f>
        <v>0</v>
      </c>
      <c r="AN501" s="3">
        <f>[2]หน้าผ้า!DT510</f>
        <v>0</v>
      </c>
      <c r="AO501" s="3">
        <f>[2]หน้าผ้า!DU510</f>
        <v>0</v>
      </c>
      <c r="AP501" s="3">
        <f>[2]หน้าผ้า!DP510</f>
        <v>0</v>
      </c>
      <c r="AQ501" s="3">
        <f>[2]หน้าผ้า!DW510</f>
        <v>0</v>
      </c>
      <c r="AR501" s="3">
        <f>[2]หน้าผ้า!DX510</f>
        <v>0</v>
      </c>
      <c r="AS501" s="3">
        <f>[2]หน้าผ้า!DY510</f>
        <v>0</v>
      </c>
      <c r="AT501" s="3">
        <f>[2]หน้าผ้า!DZ510</f>
        <v>0</v>
      </c>
      <c r="AU501" s="3">
        <f>[2]หน้าผ้า!EA510</f>
        <v>0</v>
      </c>
      <c r="AV501" s="1">
        <f>[2]หน้าผ้า!EB510</f>
        <v>0</v>
      </c>
      <c r="AW501" s="2">
        <f>[2]หน้าผ้า!EC510</f>
        <v>0</v>
      </c>
      <c r="AX501" s="2">
        <f>[2]หน้าผ้า!ED510</f>
        <v>0</v>
      </c>
      <c r="AY501" s="2">
        <f>[2]หน้าผ้า!AG510</f>
        <v>0</v>
      </c>
      <c r="AZ501" s="2">
        <f>[2]หน้าผ้า!EG510</f>
        <v>0</v>
      </c>
      <c r="BA501" s="2">
        <f>[2]หน้าผ้า!EH510</f>
        <v>0</v>
      </c>
      <c r="BB501" s="2">
        <f>[2]หน้าผ้า!EI510</f>
        <v>0</v>
      </c>
      <c r="BC501" s="1">
        <f>[2]หน้าผ้า!BZ510</f>
        <v>0</v>
      </c>
      <c r="BD501" s="56">
        <f>[2]หน้าผ้า!CA510</f>
        <v>0</v>
      </c>
    </row>
    <row r="502" spans="1:56" ht="27.75" customHeight="1" x14ac:dyDescent="0.45">
      <c r="A502" s="3">
        <f>[2]หน้าผ้า!C511</f>
        <v>0</v>
      </c>
      <c r="B502" s="14">
        <f>[2]หน้าผ้า!B511</f>
        <v>0</v>
      </c>
      <c r="C502" s="9">
        <f>[2]หน้าผ้า!E511</f>
        <v>0</v>
      </c>
      <c r="D502" s="13">
        <f>[2]หน้าผ้า!F511</f>
        <v>0</v>
      </c>
      <c r="E502" s="9">
        <f>[2]หน้าผ้า!G511</f>
        <v>0</v>
      </c>
      <c r="F502" s="9">
        <f>[2]หน้าผ้า!H511</f>
        <v>0</v>
      </c>
      <c r="G502" s="9">
        <f>[2]หน้าผ้า!I511</f>
        <v>0</v>
      </c>
      <c r="H502" s="9">
        <f>[2]หน้าผ้า!J511</f>
        <v>0</v>
      </c>
      <c r="I502" s="9">
        <f>[2]หน้าผ้า!L511</f>
        <v>0</v>
      </c>
      <c r="J502" s="9">
        <f>[2]หน้าผ้า!M511</f>
        <v>0</v>
      </c>
      <c r="K502" s="9">
        <f>[2]หน้าผ้า!N511</f>
        <v>0</v>
      </c>
      <c r="L502" s="9">
        <f>[2]หน้าผ้า!R511</f>
        <v>0</v>
      </c>
      <c r="M502" s="10">
        <f>[2]หน้าผ้า!T511</f>
        <v>0</v>
      </c>
      <c r="N502" s="9">
        <f>[2]หน้าผ้า!U511</f>
        <v>0</v>
      </c>
      <c r="O502" s="9">
        <f>[2]หน้าผ้า!V511</f>
        <v>0</v>
      </c>
      <c r="P502" s="10">
        <f>[2]หน้าผ้า!AB511</f>
        <v>0</v>
      </c>
      <c r="Q502" s="10">
        <f>[2]หน้าผ้า!AC511</f>
        <v>0</v>
      </c>
      <c r="R502" s="10">
        <f>[2]หน้าผ้า!AD511</f>
        <v>0</v>
      </c>
      <c r="S502" s="9">
        <f>[2]หน้าผ้า!Z511</f>
        <v>0</v>
      </c>
      <c r="T502" s="12">
        <f>[2]หน้าผ้า!X511</f>
        <v>0</v>
      </c>
      <c r="U502" s="11">
        <f>[2]หน้าผ้า!AA511</f>
        <v>0</v>
      </c>
      <c r="V502" s="10">
        <f>[2]หน้าผ้า!AJ511</f>
        <v>0</v>
      </c>
      <c r="W502" s="10">
        <f>[2]หน้าผ้า!AL511</f>
        <v>0</v>
      </c>
      <c r="X502" s="10">
        <f>[2]หน้าผ้า!AM511</f>
        <v>0</v>
      </c>
      <c r="Y502" s="10">
        <f>[2]หน้าผ้า!AN511</f>
        <v>0</v>
      </c>
      <c r="Z502" s="9">
        <f>[2]หน้าผ้า!AO511</f>
        <v>0</v>
      </c>
      <c r="AA502" s="8">
        <f>[2]หน้าผ้า!AQ511</f>
        <v>0</v>
      </c>
      <c r="AB502" s="8">
        <f>[2]หน้าผ้า!AR511</f>
        <v>0</v>
      </c>
      <c r="AC502" s="8">
        <f>[2]หน้าผ้า!AS511</f>
        <v>0</v>
      </c>
      <c r="AD502" s="8">
        <f>[2]หน้าผ้า!AT511</f>
        <v>0</v>
      </c>
      <c r="AE502" s="8">
        <f>[2]หน้าผ้า!AU511</f>
        <v>0</v>
      </c>
      <c r="AF502" s="8">
        <f>[2]หน้าผ้า!AI511</f>
        <v>0</v>
      </c>
      <c r="AG502" s="1">
        <f>[3]หน้าผ้า!DC514</f>
        <v>0</v>
      </c>
      <c r="AH502" s="1">
        <f>[2]หน้าผ้า!DL511</f>
        <v>0</v>
      </c>
      <c r="AI502" s="1">
        <f>[2]หน้าผ้า!DM511</f>
        <v>0</v>
      </c>
      <c r="AJ502" s="3">
        <f>[2]หน้าผ้า!DN511</f>
        <v>0</v>
      </c>
      <c r="AK502" s="3">
        <f>[2]หน้าผ้า!DQ511</f>
        <v>0</v>
      </c>
      <c r="AL502" s="3">
        <f>[2]หน้าผ้า!DR511</f>
        <v>0</v>
      </c>
      <c r="AM502" s="3">
        <f>[2]หน้าผ้า!DS511</f>
        <v>0</v>
      </c>
      <c r="AN502" s="3">
        <f>[2]หน้าผ้า!DT511</f>
        <v>0</v>
      </c>
      <c r="AO502" s="3">
        <f>[2]หน้าผ้า!DU511</f>
        <v>0</v>
      </c>
      <c r="AP502" s="3">
        <f>[2]หน้าผ้า!DP511</f>
        <v>0</v>
      </c>
      <c r="AQ502" s="3">
        <f>[2]หน้าผ้า!DW511</f>
        <v>0</v>
      </c>
      <c r="AR502" s="3">
        <f>[2]หน้าผ้า!DX511</f>
        <v>0</v>
      </c>
      <c r="AS502" s="3">
        <f>[2]หน้าผ้า!DY511</f>
        <v>0</v>
      </c>
      <c r="AT502" s="3">
        <f>[2]หน้าผ้า!DZ511</f>
        <v>0</v>
      </c>
      <c r="AU502" s="3">
        <f>[2]หน้าผ้า!EA511</f>
        <v>0</v>
      </c>
      <c r="AV502" s="1">
        <f>[2]หน้าผ้า!EB511</f>
        <v>0</v>
      </c>
      <c r="AW502" s="2">
        <f>[2]หน้าผ้า!EC511</f>
        <v>0</v>
      </c>
      <c r="AX502" s="2">
        <f>[2]หน้าผ้า!ED511</f>
        <v>0</v>
      </c>
      <c r="AY502" s="2">
        <f>[2]หน้าผ้า!AG511</f>
        <v>0</v>
      </c>
      <c r="AZ502" s="2">
        <f>[2]หน้าผ้า!EG511</f>
        <v>0</v>
      </c>
      <c r="BA502" s="2">
        <f>[2]หน้าผ้า!EH511</f>
        <v>0</v>
      </c>
      <c r="BB502" s="2">
        <f>[2]หน้าผ้า!EI511</f>
        <v>0</v>
      </c>
      <c r="BC502" s="1">
        <f>[2]หน้าผ้า!BZ511</f>
        <v>0</v>
      </c>
      <c r="BD502" s="56">
        <f>[2]หน้าผ้า!CA511</f>
        <v>0</v>
      </c>
    </row>
    <row r="503" spans="1:56" ht="27.75" customHeight="1" x14ac:dyDescent="0.45">
      <c r="A503" s="3">
        <f>[2]หน้าผ้า!C512</f>
        <v>0</v>
      </c>
      <c r="B503" s="14">
        <f>[2]หน้าผ้า!B512</f>
        <v>0</v>
      </c>
      <c r="C503" s="9">
        <f>[2]หน้าผ้า!E512</f>
        <v>0</v>
      </c>
      <c r="D503" s="13">
        <f>[2]หน้าผ้า!F512</f>
        <v>0</v>
      </c>
      <c r="E503" s="9">
        <f>[2]หน้าผ้า!G512</f>
        <v>0</v>
      </c>
      <c r="F503" s="9">
        <f>[2]หน้าผ้า!H512</f>
        <v>0</v>
      </c>
      <c r="G503" s="9">
        <f>[2]หน้าผ้า!I512</f>
        <v>0</v>
      </c>
      <c r="H503" s="9">
        <f>[2]หน้าผ้า!J512</f>
        <v>0</v>
      </c>
      <c r="I503" s="9">
        <f>[2]หน้าผ้า!L512</f>
        <v>0</v>
      </c>
      <c r="J503" s="9">
        <f>[2]หน้าผ้า!M512</f>
        <v>0</v>
      </c>
      <c r="K503" s="9">
        <f>[2]หน้าผ้า!N512</f>
        <v>0</v>
      </c>
      <c r="L503" s="9">
        <f>[2]หน้าผ้า!R512</f>
        <v>0</v>
      </c>
      <c r="M503" s="10">
        <f>[2]หน้าผ้า!T512</f>
        <v>0</v>
      </c>
      <c r="N503" s="9">
        <f>[2]หน้าผ้า!U512</f>
        <v>0</v>
      </c>
      <c r="O503" s="9">
        <f>[2]หน้าผ้า!V512</f>
        <v>0</v>
      </c>
      <c r="P503" s="10">
        <f>[2]หน้าผ้า!AB512</f>
        <v>0</v>
      </c>
      <c r="Q503" s="10">
        <f>[2]หน้าผ้า!AC512</f>
        <v>0</v>
      </c>
      <c r="R503" s="10">
        <f>[2]หน้าผ้า!AD512</f>
        <v>0</v>
      </c>
      <c r="S503" s="9">
        <f>[2]หน้าผ้า!Z512</f>
        <v>0</v>
      </c>
      <c r="T503" s="12">
        <f>[2]หน้าผ้า!X512</f>
        <v>0</v>
      </c>
      <c r="U503" s="11">
        <f>[2]หน้าผ้า!AA512</f>
        <v>0</v>
      </c>
      <c r="V503" s="10">
        <f>[2]หน้าผ้า!AJ512</f>
        <v>0</v>
      </c>
      <c r="W503" s="10">
        <f>[2]หน้าผ้า!AL512</f>
        <v>0</v>
      </c>
      <c r="X503" s="10">
        <f>[2]หน้าผ้า!AM512</f>
        <v>0</v>
      </c>
      <c r="Y503" s="10">
        <f>[2]หน้าผ้า!AN512</f>
        <v>0</v>
      </c>
      <c r="Z503" s="9">
        <f>[2]หน้าผ้า!AO512</f>
        <v>0</v>
      </c>
      <c r="AA503" s="8">
        <f>[2]หน้าผ้า!AQ512</f>
        <v>0</v>
      </c>
      <c r="AB503" s="8">
        <f>[2]หน้าผ้า!AR512</f>
        <v>0</v>
      </c>
      <c r="AC503" s="8">
        <f>[2]หน้าผ้า!AS512</f>
        <v>0</v>
      </c>
      <c r="AD503" s="8">
        <f>[2]หน้าผ้า!AT512</f>
        <v>0</v>
      </c>
      <c r="AE503" s="8">
        <f>[2]หน้าผ้า!AU512</f>
        <v>0</v>
      </c>
      <c r="AF503" s="8">
        <f>[2]หน้าผ้า!AI512</f>
        <v>0</v>
      </c>
      <c r="AG503" s="1">
        <f>[3]หน้าผ้า!DC515</f>
        <v>0</v>
      </c>
      <c r="AH503" s="1">
        <f>[2]หน้าผ้า!DL512</f>
        <v>0</v>
      </c>
      <c r="AI503" s="1">
        <f>[2]หน้าผ้า!DM512</f>
        <v>0</v>
      </c>
      <c r="AJ503" s="3">
        <f>[2]หน้าผ้า!DN512</f>
        <v>0</v>
      </c>
      <c r="AK503" s="3">
        <f>[2]หน้าผ้า!DQ512</f>
        <v>0</v>
      </c>
      <c r="AL503" s="3">
        <f>[2]หน้าผ้า!DR512</f>
        <v>0</v>
      </c>
      <c r="AM503" s="3">
        <f>[2]หน้าผ้า!DS512</f>
        <v>0</v>
      </c>
      <c r="AN503" s="3">
        <f>[2]หน้าผ้า!DT512</f>
        <v>0</v>
      </c>
      <c r="AO503" s="3">
        <f>[2]หน้าผ้า!DU512</f>
        <v>0</v>
      </c>
      <c r="AP503" s="3">
        <f>[2]หน้าผ้า!DP512</f>
        <v>0</v>
      </c>
      <c r="AQ503" s="3">
        <f>[2]หน้าผ้า!DW512</f>
        <v>0</v>
      </c>
      <c r="AR503" s="3">
        <f>[2]หน้าผ้า!DX512</f>
        <v>0</v>
      </c>
      <c r="AS503" s="3">
        <f>[2]หน้าผ้า!DY512</f>
        <v>0</v>
      </c>
      <c r="AT503" s="3">
        <f>[2]หน้าผ้า!DZ512</f>
        <v>0</v>
      </c>
      <c r="AU503" s="3">
        <f>[2]หน้าผ้า!EA512</f>
        <v>0</v>
      </c>
      <c r="AV503" s="1">
        <f>[2]หน้าผ้า!EB512</f>
        <v>0</v>
      </c>
      <c r="AW503" s="2">
        <f>[2]หน้าผ้า!EC512</f>
        <v>0</v>
      </c>
      <c r="AX503" s="2">
        <f>[2]หน้าผ้า!ED512</f>
        <v>0</v>
      </c>
      <c r="AY503" s="2">
        <f>[2]หน้าผ้า!AG512</f>
        <v>0</v>
      </c>
      <c r="AZ503" s="2">
        <f>[2]หน้าผ้า!EG512</f>
        <v>0</v>
      </c>
      <c r="BA503" s="2">
        <f>[2]หน้าผ้า!EH512</f>
        <v>0</v>
      </c>
      <c r="BB503" s="2">
        <f>[2]หน้าผ้า!EI512</f>
        <v>0</v>
      </c>
      <c r="BC503" s="1">
        <f>[2]หน้าผ้า!BZ512</f>
        <v>0</v>
      </c>
      <c r="BD503" s="56">
        <f>[2]หน้าผ้า!CA512</f>
        <v>0</v>
      </c>
    </row>
    <row r="504" spans="1:56" ht="27.75" customHeight="1" x14ac:dyDescent="0.45">
      <c r="A504" s="3">
        <f>[2]หน้าผ้า!C513</f>
        <v>0</v>
      </c>
      <c r="B504" s="14">
        <f>[2]หน้าผ้า!B513</f>
        <v>0</v>
      </c>
      <c r="C504" s="9">
        <f>[2]หน้าผ้า!E513</f>
        <v>0</v>
      </c>
      <c r="D504" s="13">
        <f>[2]หน้าผ้า!F513</f>
        <v>0</v>
      </c>
      <c r="E504" s="9">
        <f>[2]หน้าผ้า!G513</f>
        <v>0</v>
      </c>
      <c r="F504" s="9">
        <f>[2]หน้าผ้า!H513</f>
        <v>0</v>
      </c>
      <c r="G504" s="9">
        <f>[2]หน้าผ้า!I513</f>
        <v>0</v>
      </c>
      <c r="H504" s="9">
        <f>[2]หน้าผ้า!J513</f>
        <v>0</v>
      </c>
      <c r="I504" s="9">
        <f>[2]หน้าผ้า!L513</f>
        <v>0</v>
      </c>
      <c r="J504" s="9">
        <f>[2]หน้าผ้า!M513</f>
        <v>0</v>
      </c>
      <c r="K504" s="9">
        <f>[2]หน้าผ้า!N513</f>
        <v>0</v>
      </c>
      <c r="L504" s="9">
        <f>[2]หน้าผ้า!R513</f>
        <v>0</v>
      </c>
      <c r="M504" s="10">
        <f>[2]หน้าผ้า!T513</f>
        <v>0</v>
      </c>
      <c r="N504" s="9">
        <f>[2]หน้าผ้า!U513</f>
        <v>0</v>
      </c>
      <c r="O504" s="9">
        <f>[2]หน้าผ้า!V513</f>
        <v>0</v>
      </c>
      <c r="P504" s="10">
        <f>[2]หน้าผ้า!AB513</f>
        <v>0</v>
      </c>
      <c r="Q504" s="10">
        <f>[2]หน้าผ้า!AC513</f>
        <v>0</v>
      </c>
      <c r="R504" s="10">
        <f>[2]หน้าผ้า!AD513</f>
        <v>0</v>
      </c>
      <c r="S504" s="9">
        <f>[2]หน้าผ้า!Z513</f>
        <v>0</v>
      </c>
      <c r="T504" s="12">
        <f>[2]หน้าผ้า!X513</f>
        <v>0</v>
      </c>
      <c r="U504" s="11">
        <f>[2]หน้าผ้า!AA513</f>
        <v>0</v>
      </c>
      <c r="V504" s="10">
        <f>[2]หน้าผ้า!AJ513</f>
        <v>0</v>
      </c>
      <c r="W504" s="10">
        <f>[2]หน้าผ้า!AL513</f>
        <v>0</v>
      </c>
      <c r="X504" s="10">
        <f>[2]หน้าผ้า!AM513</f>
        <v>0</v>
      </c>
      <c r="Y504" s="10">
        <f>[2]หน้าผ้า!AN513</f>
        <v>0</v>
      </c>
      <c r="Z504" s="9">
        <f>[2]หน้าผ้า!AO513</f>
        <v>0</v>
      </c>
      <c r="AA504" s="8">
        <f>[2]หน้าผ้า!AQ513</f>
        <v>0</v>
      </c>
      <c r="AB504" s="8">
        <f>[2]หน้าผ้า!AR513</f>
        <v>0</v>
      </c>
      <c r="AC504" s="8">
        <f>[2]หน้าผ้า!AS513</f>
        <v>0</v>
      </c>
      <c r="AD504" s="8">
        <f>[2]หน้าผ้า!AT513</f>
        <v>0</v>
      </c>
      <c r="AE504" s="8">
        <f>[2]หน้าผ้า!AU513</f>
        <v>0</v>
      </c>
      <c r="AF504" s="8">
        <f>[2]หน้าผ้า!AI513</f>
        <v>0</v>
      </c>
      <c r="AG504" s="1">
        <f>[3]หน้าผ้า!DC516</f>
        <v>0</v>
      </c>
      <c r="AH504" s="1">
        <f>[2]หน้าผ้า!DL513</f>
        <v>0</v>
      </c>
      <c r="AI504" s="1">
        <f>[2]หน้าผ้า!DM513</f>
        <v>0</v>
      </c>
      <c r="AJ504" s="3">
        <f>[2]หน้าผ้า!DN513</f>
        <v>0</v>
      </c>
      <c r="AK504" s="3">
        <f>[2]หน้าผ้า!DQ513</f>
        <v>0</v>
      </c>
      <c r="AL504" s="3">
        <f>[2]หน้าผ้า!DR513</f>
        <v>0</v>
      </c>
      <c r="AM504" s="3">
        <f>[2]หน้าผ้า!DS513</f>
        <v>0</v>
      </c>
      <c r="AN504" s="3">
        <f>[2]หน้าผ้า!DT513</f>
        <v>0</v>
      </c>
      <c r="AO504" s="3">
        <f>[2]หน้าผ้า!DU513</f>
        <v>0</v>
      </c>
      <c r="AP504" s="3">
        <f>[2]หน้าผ้า!DP513</f>
        <v>0</v>
      </c>
      <c r="AQ504" s="3">
        <f>[2]หน้าผ้า!DW513</f>
        <v>0</v>
      </c>
      <c r="AR504" s="3">
        <f>[2]หน้าผ้า!DX513</f>
        <v>0</v>
      </c>
      <c r="AS504" s="3">
        <f>[2]หน้าผ้า!DY513</f>
        <v>0</v>
      </c>
      <c r="AT504" s="3">
        <f>[2]หน้าผ้า!DZ513</f>
        <v>0</v>
      </c>
      <c r="AU504" s="3">
        <f>[2]หน้าผ้า!EA513</f>
        <v>0</v>
      </c>
      <c r="AV504" s="1">
        <f>[2]หน้าผ้า!EB513</f>
        <v>0</v>
      </c>
      <c r="AW504" s="2">
        <f>[2]หน้าผ้า!EC513</f>
        <v>0</v>
      </c>
      <c r="AX504" s="2">
        <f>[2]หน้าผ้า!ED513</f>
        <v>0</v>
      </c>
      <c r="AY504" s="2">
        <f>[2]หน้าผ้า!AG513</f>
        <v>0</v>
      </c>
      <c r="AZ504" s="2">
        <f>[2]หน้าผ้า!EG513</f>
        <v>0</v>
      </c>
      <c r="BA504" s="2">
        <f>[2]หน้าผ้า!EH513</f>
        <v>0</v>
      </c>
      <c r="BB504" s="2">
        <f>[2]หน้าผ้า!EI513</f>
        <v>0</v>
      </c>
      <c r="BC504" s="1">
        <f>[2]หน้าผ้า!BZ513</f>
        <v>0</v>
      </c>
      <c r="BD504" s="56">
        <f>[2]หน้าผ้า!CA513</f>
        <v>0</v>
      </c>
    </row>
    <row r="505" spans="1:56" ht="27.75" customHeight="1" x14ac:dyDescent="0.45">
      <c r="A505" s="3">
        <f>[2]หน้าผ้า!C514</f>
        <v>0</v>
      </c>
      <c r="B505" s="14">
        <f>[2]หน้าผ้า!B514</f>
        <v>0</v>
      </c>
      <c r="C505" s="9">
        <f>[2]หน้าผ้า!E514</f>
        <v>0</v>
      </c>
      <c r="D505" s="13">
        <f>[2]หน้าผ้า!F514</f>
        <v>0</v>
      </c>
      <c r="E505" s="9">
        <f>[2]หน้าผ้า!G514</f>
        <v>0</v>
      </c>
      <c r="F505" s="9">
        <f>[2]หน้าผ้า!H514</f>
        <v>0</v>
      </c>
      <c r="G505" s="9">
        <f>[2]หน้าผ้า!I514</f>
        <v>0</v>
      </c>
      <c r="H505" s="9">
        <f>[2]หน้าผ้า!J514</f>
        <v>0</v>
      </c>
      <c r="I505" s="9">
        <f>[2]หน้าผ้า!L514</f>
        <v>0</v>
      </c>
      <c r="J505" s="9">
        <f>[2]หน้าผ้า!M514</f>
        <v>0</v>
      </c>
      <c r="K505" s="9">
        <f>[2]หน้าผ้า!N514</f>
        <v>0</v>
      </c>
      <c r="L505" s="9">
        <f>[2]หน้าผ้า!R514</f>
        <v>0</v>
      </c>
      <c r="M505" s="10">
        <f>[2]หน้าผ้า!T514</f>
        <v>0</v>
      </c>
      <c r="N505" s="9">
        <f>[2]หน้าผ้า!U514</f>
        <v>0</v>
      </c>
      <c r="O505" s="9">
        <f>[2]หน้าผ้า!V514</f>
        <v>0</v>
      </c>
      <c r="P505" s="10">
        <f>[2]หน้าผ้า!AB514</f>
        <v>0</v>
      </c>
      <c r="Q505" s="10">
        <f>[2]หน้าผ้า!AC514</f>
        <v>0</v>
      </c>
      <c r="R505" s="10">
        <f>[2]หน้าผ้า!AD514</f>
        <v>0</v>
      </c>
      <c r="S505" s="9">
        <f>[2]หน้าผ้า!Z514</f>
        <v>0</v>
      </c>
      <c r="T505" s="12">
        <f>[2]หน้าผ้า!X514</f>
        <v>0</v>
      </c>
      <c r="U505" s="11">
        <f>[2]หน้าผ้า!AA514</f>
        <v>0</v>
      </c>
      <c r="V505" s="10">
        <f>[2]หน้าผ้า!AJ514</f>
        <v>0</v>
      </c>
      <c r="W505" s="10">
        <f>[2]หน้าผ้า!AL514</f>
        <v>0</v>
      </c>
      <c r="X505" s="10">
        <f>[2]หน้าผ้า!AM514</f>
        <v>0</v>
      </c>
      <c r="Y505" s="10">
        <f>[2]หน้าผ้า!AN514</f>
        <v>0</v>
      </c>
      <c r="Z505" s="9">
        <f>[2]หน้าผ้า!AO514</f>
        <v>0</v>
      </c>
      <c r="AA505" s="8">
        <f>[2]หน้าผ้า!AQ514</f>
        <v>0</v>
      </c>
      <c r="AB505" s="8">
        <f>[2]หน้าผ้า!AR514</f>
        <v>0</v>
      </c>
      <c r="AC505" s="8">
        <f>[2]หน้าผ้า!AS514</f>
        <v>0</v>
      </c>
      <c r="AD505" s="8">
        <f>[2]หน้าผ้า!AT514</f>
        <v>0</v>
      </c>
      <c r="AE505" s="8">
        <f>[2]หน้าผ้า!AU514</f>
        <v>0</v>
      </c>
      <c r="AF505" s="8">
        <f>[2]หน้าผ้า!AI514</f>
        <v>0</v>
      </c>
      <c r="AG505" s="1">
        <f>[3]หน้าผ้า!DC517</f>
        <v>0</v>
      </c>
      <c r="AH505" s="1">
        <f>[2]หน้าผ้า!DL514</f>
        <v>0</v>
      </c>
      <c r="AI505" s="1">
        <f>[2]หน้าผ้า!DM514</f>
        <v>0</v>
      </c>
      <c r="AJ505" s="3">
        <f>[2]หน้าผ้า!DN514</f>
        <v>0</v>
      </c>
      <c r="AK505" s="3">
        <f>[2]หน้าผ้า!DQ514</f>
        <v>0</v>
      </c>
      <c r="AL505" s="3">
        <f>[2]หน้าผ้า!DR514</f>
        <v>0</v>
      </c>
      <c r="AM505" s="3">
        <f>[2]หน้าผ้า!DS514</f>
        <v>0</v>
      </c>
      <c r="AN505" s="3">
        <f>[2]หน้าผ้า!DT514</f>
        <v>0</v>
      </c>
      <c r="AO505" s="3">
        <f>[2]หน้าผ้า!DU514</f>
        <v>0</v>
      </c>
      <c r="AP505" s="3">
        <f>[2]หน้าผ้า!DP514</f>
        <v>0</v>
      </c>
      <c r="AQ505" s="3">
        <f>[2]หน้าผ้า!DW514</f>
        <v>0</v>
      </c>
      <c r="AR505" s="3">
        <f>[2]หน้าผ้า!DX514</f>
        <v>0</v>
      </c>
      <c r="AS505" s="3">
        <f>[2]หน้าผ้า!DY514</f>
        <v>0</v>
      </c>
      <c r="AT505" s="3">
        <f>[2]หน้าผ้า!DZ514</f>
        <v>0</v>
      </c>
      <c r="AU505" s="3">
        <f>[2]หน้าผ้า!EA514</f>
        <v>0</v>
      </c>
      <c r="AV505" s="1">
        <f>[2]หน้าผ้า!EB514</f>
        <v>0</v>
      </c>
      <c r="AW505" s="2">
        <f>[2]หน้าผ้า!EC514</f>
        <v>0</v>
      </c>
      <c r="AX505" s="2">
        <f>[2]หน้าผ้า!ED514</f>
        <v>0</v>
      </c>
      <c r="AY505" s="2">
        <f>[2]หน้าผ้า!AG514</f>
        <v>0</v>
      </c>
      <c r="AZ505" s="2">
        <f>[2]หน้าผ้า!EG514</f>
        <v>0</v>
      </c>
      <c r="BA505" s="2">
        <f>[2]หน้าผ้า!EH514</f>
        <v>0</v>
      </c>
      <c r="BB505" s="2">
        <f>[2]หน้าผ้า!EI514</f>
        <v>0</v>
      </c>
      <c r="BC505" s="1">
        <f>[2]หน้าผ้า!BZ514</f>
        <v>0</v>
      </c>
      <c r="BD505" s="56">
        <f>[2]หน้าผ้า!CA514</f>
        <v>0</v>
      </c>
    </row>
    <row r="506" spans="1:56" ht="27.75" customHeight="1" x14ac:dyDescent="0.45">
      <c r="A506" s="3">
        <f>[2]หน้าผ้า!C515</f>
        <v>0</v>
      </c>
      <c r="B506" s="14">
        <f>[2]หน้าผ้า!B515</f>
        <v>0</v>
      </c>
      <c r="C506" s="9">
        <f>[2]หน้าผ้า!E515</f>
        <v>0</v>
      </c>
      <c r="D506" s="13">
        <f>[2]หน้าผ้า!F515</f>
        <v>0</v>
      </c>
      <c r="E506" s="9">
        <f>[2]หน้าผ้า!G515</f>
        <v>0</v>
      </c>
      <c r="F506" s="9">
        <f>[2]หน้าผ้า!H515</f>
        <v>0</v>
      </c>
      <c r="G506" s="9">
        <f>[2]หน้าผ้า!I515</f>
        <v>0</v>
      </c>
      <c r="H506" s="9">
        <f>[2]หน้าผ้า!J515</f>
        <v>0</v>
      </c>
      <c r="I506" s="9">
        <f>[2]หน้าผ้า!L515</f>
        <v>0</v>
      </c>
      <c r="J506" s="9">
        <f>[2]หน้าผ้า!M515</f>
        <v>0</v>
      </c>
      <c r="K506" s="9">
        <f>[2]หน้าผ้า!N515</f>
        <v>0</v>
      </c>
      <c r="L506" s="9">
        <f>[2]หน้าผ้า!R515</f>
        <v>0</v>
      </c>
      <c r="M506" s="10">
        <f>[2]หน้าผ้า!T515</f>
        <v>0</v>
      </c>
      <c r="N506" s="9">
        <f>[2]หน้าผ้า!U515</f>
        <v>0</v>
      </c>
      <c r="O506" s="9">
        <f>[2]หน้าผ้า!V515</f>
        <v>0</v>
      </c>
      <c r="P506" s="10">
        <f>[2]หน้าผ้า!AB515</f>
        <v>0</v>
      </c>
      <c r="Q506" s="10">
        <f>[2]หน้าผ้า!AC515</f>
        <v>0</v>
      </c>
      <c r="R506" s="10">
        <f>[2]หน้าผ้า!AD515</f>
        <v>0</v>
      </c>
      <c r="S506" s="9">
        <f>[2]หน้าผ้า!Z515</f>
        <v>0</v>
      </c>
      <c r="T506" s="12">
        <f>[2]หน้าผ้า!X515</f>
        <v>0</v>
      </c>
      <c r="U506" s="11">
        <f>[2]หน้าผ้า!AA515</f>
        <v>0</v>
      </c>
      <c r="V506" s="10">
        <f>[2]หน้าผ้า!AJ515</f>
        <v>0</v>
      </c>
      <c r="W506" s="10">
        <f>[2]หน้าผ้า!AL515</f>
        <v>0</v>
      </c>
      <c r="X506" s="10">
        <f>[2]หน้าผ้า!AM515</f>
        <v>0</v>
      </c>
      <c r="Y506" s="10">
        <f>[2]หน้าผ้า!AN515</f>
        <v>0</v>
      </c>
      <c r="Z506" s="9">
        <f>[2]หน้าผ้า!AO515</f>
        <v>0</v>
      </c>
      <c r="AA506" s="8">
        <f>[2]หน้าผ้า!AQ515</f>
        <v>0</v>
      </c>
      <c r="AB506" s="8">
        <f>[2]หน้าผ้า!AR515</f>
        <v>0</v>
      </c>
      <c r="AC506" s="8">
        <f>[2]หน้าผ้า!AS515</f>
        <v>0</v>
      </c>
      <c r="AD506" s="8">
        <f>[2]หน้าผ้า!AT515</f>
        <v>0</v>
      </c>
      <c r="AE506" s="8">
        <f>[2]หน้าผ้า!AU515</f>
        <v>0</v>
      </c>
      <c r="AF506" s="8">
        <f>[2]หน้าผ้า!AI515</f>
        <v>0</v>
      </c>
      <c r="AG506" s="1">
        <f>[3]หน้าผ้า!DC518</f>
        <v>0</v>
      </c>
      <c r="AH506" s="1">
        <f>[2]หน้าผ้า!DL515</f>
        <v>0</v>
      </c>
      <c r="AI506" s="1">
        <f>[2]หน้าผ้า!DM515</f>
        <v>0</v>
      </c>
      <c r="AJ506" s="3">
        <f>[2]หน้าผ้า!DN515</f>
        <v>0</v>
      </c>
      <c r="AK506" s="3">
        <f>[2]หน้าผ้า!DQ515</f>
        <v>0</v>
      </c>
      <c r="AL506" s="3">
        <f>[2]หน้าผ้า!DR515</f>
        <v>0</v>
      </c>
      <c r="AM506" s="3">
        <f>[2]หน้าผ้า!DS515</f>
        <v>0</v>
      </c>
      <c r="AN506" s="3">
        <f>[2]หน้าผ้า!DT515</f>
        <v>0</v>
      </c>
      <c r="AO506" s="3">
        <f>[2]หน้าผ้า!DU515</f>
        <v>0</v>
      </c>
      <c r="AP506" s="3">
        <f>[2]หน้าผ้า!DP515</f>
        <v>0</v>
      </c>
      <c r="AQ506" s="3">
        <f>[2]หน้าผ้า!DW515</f>
        <v>0</v>
      </c>
      <c r="AR506" s="3">
        <f>[2]หน้าผ้า!DX515</f>
        <v>0</v>
      </c>
      <c r="AS506" s="3">
        <f>[2]หน้าผ้า!DY515</f>
        <v>0</v>
      </c>
      <c r="AT506" s="3">
        <f>[2]หน้าผ้า!DZ515</f>
        <v>0</v>
      </c>
      <c r="AU506" s="3">
        <f>[2]หน้าผ้า!EA515</f>
        <v>0</v>
      </c>
      <c r="AV506" s="1">
        <f>[2]หน้าผ้า!EB515</f>
        <v>0</v>
      </c>
      <c r="AW506" s="2">
        <f>[2]หน้าผ้า!EC515</f>
        <v>0</v>
      </c>
      <c r="AX506" s="2">
        <f>[2]หน้าผ้า!ED515</f>
        <v>0</v>
      </c>
      <c r="AY506" s="2">
        <f>[2]หน้าผ้า!AG515</f>
        <v>0</v>
      </c>
      <c r="AZ506" s="2">
        <f>[2]หน้าผ้า!EG515</f>
        <v>0</v>
      </c>
      <c r="BA506" s="2">
        <f>[2]หน้าผ้า!EH515</f>
        <v>0</v>
      </c>
      <c r="BB506" s="2">
        <f>[2]หน้าผ้า!EI515</f>
        <v>0</v>
      </c>
      <c r="BC506" s="1">
        <f>[2]หน้าผ้า!BZ515</f>
        <v>0</v>
      </c>
      <c r="BD506" s="56">
        <f>[2]หน้าผ้า!CA515</f>
        <v>0</v>
      </c>
    </row>
    <row r="507" spans="1:56" ht="27.75" customHeight="1" x14ac:dyDescent="0.45">
      <c r="A507" s="3">
        <f>[2]หน้าผ้า!C516</f>
        <v>0</v>
      </c>
      <c r="B507" s="14">
        <f>[2]หน้าผ้า!B516</f>
        <v>0</v>
      </c>
      <c r="C507" s="9">
        <f>[2]หน้าผ้า!E516</f>
        <v>0</v>
      </c>
      <c r="D507" s="13">
        <f>[2]หน้าผ้า!F516</f>
        <v>0</v>
      </c>
      <c r="E507" s="9">
        <f>[2]หน้าผ้า!G516</f>
        <v>0</v>
      </c>
      <c r="F507" s="9">
        <f>[2]หน้าผ้า!H516</f>
        <v>0</v>
      </c>
      <c r="G507" s="9">
        <f>[2]หน้าผ้า!I516</f>
        <v>0</v>
      </c>
      <c r="H507" s="9">
        <f>[2]หน้าผ้า!J516</f>
        <v>0</v>
      </c>
      <c r="I507" s="9">
        <f>[2]หน้าผ้า!L516</f>
        <v>0</v>
      </c>
      <c r="J507" s="9">
        <f>[2]หน้าผ้า!M516</f>
        <v>0</v>
      </c>
      <c r="K507" s="9">
        <f>[2]หน้าผ้า!N516</f>
        <v>0</v>
      </c>
      <c r="L507" s="9">
        <f>[2]หน้าผ้า!R516</f>
        <v>0</v>
      </c>
      <c r="M507" s="10">
        <f>[2]หน้าผ้า!T516</f>
        <v>0</v>
      </c>
      <c r="N507" s="9">
        <f>[2]หน้าผ้า!U516</f>
        <v>0</v>
      </c>
      <c r="O507" s="9">
        <f>[2]หน้าผ้า!V516</f>
        <v>0</v>
      </c>
      <c r="P507" s="10">
        <f>[2]หน้าผ้า!AB516</f>
        <v>0</v>
      </c>
      <c r="Q507" s="10">
        <f>[2]หน้าผ้า!AC516</f>
        <v>0</v>
      </c>
      <c r="R507" s="10">
        <f>[2]หน้าผ้า!AD516</f>
        <v>0</v>
      </c>
      <c r="S507" s="9">
        <f>[2]หน้าผ้า!Z516</f>
        <v>0</v>
      </c>
      <c r="T507" s="12">
        <f>[2]หน้าผ้า!X516</f>
        <v>0</v>
      </c>
      <c r="U507" s="11">
        <f>[2]หน้าผ้า!AA516</f>
        <v>0</v>
      </c>
      <c r="V507" s="10">
        <f>[2]หน้าผ้า!AJ516</f>
        <v>0</v>
      </c>
      <c r="W507" s="10">
        <f>[2]หน้าผ้า!AL516</f>
        <v>0</v>
      </c>
      <c r="X507" s="10">
        <f>[2]หน้าผ้า!AM516</f>
        <v>0</v>
      </c>
      <c r="Y507" s="10">
        <f>[2]หน้าผ้า!AN516</f>
        <v>0</v>
      </c>
      <c r="Z507" s="9">
        <f>[2]หน้าผ้า!AO516</f>
        <v>0</v>
      </c>
      <c r="AA507" s="8">
        <f>[2]หน้าผ้า!AQ516</f>
        <v>0</v>
      </c>
      <c r="AB507" s="8">
        <f>[2]หน้าผ้า!AR516</f>
        <v>0</v>
      </c>
      <c r="AC507" s="8">
        <f>[2]หน้าผ้า!AS516</f>
        <v>0</v>
      </c>
      <c r="AD507" s="8">
        <f>[2]หน้าผ้า!AT516</f>
        <v>0</v>
      </c>
      <c r="AE507" s="8">
        <f>[2]หน้าผ้า!AU516</f>
        <v>0</v>
      </c>
      <c r="AF507" s="8">
        <f>[2]หน้าผ้า!AI516</f>
        <v>0</v>
      </c>
      <c r="AG507" s="1">
        <f>[3]หน้าผ้า!DC519</f>
        <v>0</v>
      </c>
      <c r="AH507" s="1">
        <f>[2]หน้าผ้า!DL516</f>
        <v>0</v>
      </c>
      <c r="AI507" s="1">
        <f>[2]หน้าผ้า!DM516</f>
        <v>0</v>
      </c>
      <c r="AJ507" s="3">
        <f>[2]หน้าผ้า!DN516</f>
        <v>0</v>
      </c>
      <c r="AK507" s="3">
        <f>[2]หน้าผ้า!DQ516</f>
        <v>0</v>
      </c>
      <c r="AL507" s="3">
        <f>[2]หน้าผ้า!DR516</f>
        <v>0</v>
      </c>
      <c r="AM507" s="3">
        <f>[2]หน้าผ้า!DS516</f>
        <v>0</v>
      </c>
      <c r="AN507" s="3">
        <f>[2]หน้าผ้า!DT516</f>
        <v>0</v>
      </c>
      <c r="AO507" s="3">
        <f>[2]หน้าผ้า!DU516</f>
        <v>0</v>
      </c>
      <c r="AP507" s="3">
        <f>[2]หน้าผ้า!DP516</f>
        <v>0</v>
      </c>
      <c r="AQ507" s="3">
        <f>[2]หน้าผ้า!DW516</f>
        <v>0</v>
      </c>
      <c r="AR507" s="3">
        <f>[2]หน้าผ้า!DX516</f>
        <v>0</v>
      </c>
      <c r="AS507" s="3">
        <f>[2]หน้าผ้า!DY516</f>
        <v>0</v>
      </c>
      <c r="AT507" s="3">
        <f>[2]หน้าผ้า!DZ516</f>
        <v>0</v>
      </c>
      <c r="AU507" s="3">
        <f>[2]หน้าผ้า!EA516</f>
        <v>0</v>
      </c>
      <c r="AV507" s="1">
        <f>[2]หน้าผ้า!EB516</f>
        <v>0</v>
      </c>
      <c r="AW507" s="2">
        <f>[2]หน้าผ้า!EC516</f>
        <v>0</v>
      </c>
      <c r="AX507" s="2">
        <f>[2]หน้าผ้า!ED516</f>
        <v>0</v>
      </c>
      <c r="AY507" s="2">
        <f>[2]หน้าผ้า!AG516</f>
        <v>0</v>
      </c>
      <c r="AZ507" s="2">
        <f>[2]หน้าผ้า!EG516</f>
        <v>0</v>
      </c>
      <c r="BA507" s="2">
        <f>[2]หน้าผ้า!EH516</f>
        <v>0</v>
      </c>
      <c r="BB507" s="2">
        <f>[2]หน้าผ้า!EI516</f>
        <v>0</v>
      </c>
      <c r="BC507" s="1">
        <f>[2]หน้าผ้า!BZ516</f>
        <v>0</v>
      </c>
      <c r="BD507" s="56">
        <f>[2]หน้าผ้า!CA516</f>
        <v>0</v>
      </c>
    </row>
    <row r="508" spans="1:56" ht="27.75" customHeight="1" x14ac:dyDescent="0.45">
      <c r="A508" s="3">
        <f>[2]หน้าผ้า!C517</f>
        <v>0</v>
      </c>
      <c r="B508" s="14">
        <f>[2]หน้าผ้า!B517</f>
        <v>0</v>
      </c>
      <c r="C508" s="9">
        <f>[2]หน้าผ้า!E517</f>
        <v>0</v>
      </c>
      <c r="D508" s="13">
        <f>[2]หน้าผ้า!F517</f>
        <v>0</v>
      </c>
      <c r="E508" s="9">
        <f>[2]หน้าผ้า!G517</f>
        <v>0</v>
      </c>
      <c r="F508" s="9">
        <f>[2]หน้าผ้า!H517</f>
        <v>0</v>
      </c>
      <c r="G508" s="9">
        <f>[2]หน้าผ้า!I517</f>
        <v>0</v>
      </c>
      <c r="H508" s="9">
        <f>[2]หน้าผ้า!J517</f>
        <v>0</v>
      </c>
      <c r="I508" s="9">
        <f>[2]หน้าผ้า!L517</f>
        <v>0</v>
      </c>
      <c r="J508" s="9">
        <f>[2]หน้าผ้า!M517</f>
        <v>0</v>
      </c>
      <c r="K508" s="9">
        <f>[2]หน้าผ้า!N517</f>
        <v>0</v>
      </c>
      <c r="L508" s="9">
        <f>[2]หน้าผ้า!R517</f>
        <v>0</v>
      </c>
      <c r="M508" s="10">
        <f>[2]หน้าผ้า!T517</f>
        <v>0</v>
      </c>
      <c r="N508" s="9">
        <f>[2]หน้าผ้า!U517</f>
        <v>0</v>
      </c>
      <c r="O508" s="9">
        <f>[2]หน้าผ้า!V517</f>
        <v>0</v>
      </c>
      <c r="P508" s="10">
        <f>[2]หน้าผ้า!AB517</f>
        <v>0</v>
      </c>
      <c r="Q508" s="10">
        <f>[2]หน้าผ้า!AC517</f>
        <v>0</v>
      </c>
      <c r="R508" s="10">
        <f>[2]หน้าผ้า!AD517</f>
        <v>0</v>
      </c>
      <c r="S508" s="9">
        <f>[2]หน้าผ้า!Z517</f>
        <v>0</v>
      </c>
      <c r="T508" s="12">
        <f>[2]หน้าผ้า!X517</f>
        <v>0</v>
      </c>
      <c r="U508" s="11">
        <f>[2]หน้าผ้า!AA517</f>
        <v>0</v>
      </c>
      <c r="V508" s="10">
        <f>[2]หน้าผ้า!AJ517</f>
        <v>0</v>
      </c>
      <c r="W508" s="10">
        <f>[2]หน้าผ้า!AL517</f>
        <v>0</v>
      </c>
      <c r="X508" s="10">
        <f>[2]หน้าผ้า!AM517</f>
        <v>0</v>
      </c>
      <c r="Y508" s="10">
        <f>[2]หน้าผ้า!AN517</f>
        <v>0</v>
      </c>
      <c r="Z508" s="9">
        <f>[2]หน้าผ้า!AO517</f>
        <v>0</v>
      </c>
      <c r="AA508" s="8">
        <f>[2]หน้าผ้า!AQ517</f>
        <v>0</v>
      </c>
      <c r="AB508" s="8">
        <f>[2]หน้าผ้า!AR517</f>
        <v>0</v>
      </c>
      <c r="AC508" s="8">
        <f>[2]หน้าผ้า!AS517</f>
        <v>0</v>
      </c>
      <c r="AD508" s="8">
        <f>[2]หน้าผ้า!AT517</f>
        <v>0</v>
      </c>
      <c r="AE508" s="8">
        <f>[2]หน้าผ้า!AU517</f>
        <v>0</v>
      </c>
      <c r="AF508" s="8">
        <f>[2]หน้าผ้า!AI517</f>
        <v>0</v>
      </c>
      <c r="AG508" s="1">
        <f>[3]หน้าผ้า!DC520</f>
        <v>0</v>
      </c>
      <c r="AH508" s="1">
        <f>[2]หน้าผ้า!DL517</f>
        <v>0</v>
      </c>
      <c r="AI508" s="1">
        <f>[2]หน้าผ้า!DM517</f>
        <v>0</v>
      </c>
      <c r="AJ508" s="3">
        <f>[2]หน้าผ้า!DN517</f>
        <v>0</v>
      </c>
      <c r="AK508" s="3">
        <f>[2]หน้าผ้า!DQ517</f>
        <v>0</v>
      </c>
      <c r="AL508" s="3">
        <f>[2]หน้าผ้า!DR517</f>
        <v>0</v>
      </c>
      <c r="AM508" s="3">
        <f>[2]หน้าผ้า!DS517</f>
        <v>0</v>
      </c>
      <c r="AN508" s="3">
        <f>[2]หน้าผ้า!DT517</f>
        <v>0</v>
      </c>
      <c r="AO508" s="3">
        <f>[2]หน้าผ้า!DU517</f>
        <v>0</v>
      </c>
      <c r="AP508" s="3">
        <f>[2]หน้าผ้า!DP517</f>
        <v>0</v>
      </c>
      <c r="AQ508" s="3">
        <f>[2]หน้าผ้า!DW517</f>
        <v>0</v>
      </c>
      <c r="AR508" s="3">
        <f>[2]หน้าผ้า!DX517</f>
        <v>0</v>
      </c>
      <c r="AS508" s="3">
        <f>[2]หน้าผ้า!DY517</f>
        <v>0</v>
      </c>
      <c r="AT508" s="3">
        <f>[2]หน้าผ้า!DZ517</f>
        <v>0</v>
      </c>
      <c r="AU508" s="3">
        <f>[2]หน้าผ้า!EA517</f>
        <v>0</v>
      </c>
      <c r="AV508" s="1">
        <f>[2]หน้าผ้า!EB517</f>
        <v>0</v>
      </c>
      <c r="AW508" s="2">
        <f>[2]หน้าผ้า!EC517</f>
        <v>0</v>
      </c>
      <c r="AX508" s="2">
        <f>[2]หน้าผ้า!ED517</f>
        <v>0</v>
      </c>
      <c r="AY508" s="2">
        <f>[2]หน้าผ้า!AG517</f>
        <v>0</v>
      </c>
      <c r="AZ508" s="2">
        <f>[2]หน้าผ้า!EG517</f>
        <v>0</v>
      </c>
      <c r="BA508" s="2">
        <f>[2]หน้าผ้า!EH517</f>
        <v>0</v>
      </c>
      <c r="BB508" s="2">
        <f>[2]หน้าผ้า!EI517</f>
        <v>0</v>
      </c>
      <c r="BC508" s="1">
        <f>[2]หน้าผ้า!BZ517</f>
        <v>0</v>
      </c>
      <c r="BD508" s="56">
        <f>[2]หน้าผ้า!CA517</f>
        <v>0</v>
      </c>
    </row>
    <row r="509" spans="1:56" ht="27.75" customHeight="1" x14ac:dyDescent="0.45">
      <c r="A509" s="3">
        <f>[2]หน้าผ้า!C518</f>
        <v>0</v>
      </c>
      <c r="B509" s="14">
        <f>[2]หน้าผ้า!B518</f>
        <v>0</v>
      </c>
      <c r="C509" s="9">
        <f>[2]หน้าผ้า!E518</f>
        <v>0</v>
      </c>
      <c r="D509" s="13">
        <f>[2]หน้าผ้า!F518</f>
        <v>0</v>
      </c>
      <c r="E509" s="9">
        <f>[2]หน้าผ้า!G518</f>
        <v>0</v>
      </c>
      <c r="F509" s="9">
        <f>[2]หน้าผ้า!H518</f>
        <v>0</v>
      </c>
      <c r="G509" s="9">
        <f>[2]หน้าผ้า!I518</f>
        <v>0</v>
      </c>
      <c r="H509" s="9">
        <f>[2]หน้าผ้า!J518</f>
        <v>0</v>
      </c>
      <c r="I509" s="9">
        <f>[2]หน้าผ้า!L518</f>
        <v>0</v>
      </c>
      <c r="J509" s="9">
        <f>[2]หน้าผ้า!M518</f>
        <v>0</v>
      </c>
      <c r="K509" s="9">
        <f>[2]หน้าผ้า!N518</f>
        <v>0</v>
      </c>
      <c r="L509" s="9">
        <f>[2]หน้าผ้า!R518</f>
        <v>0</v>
      </c>
      <c r="M509" s="10">
        <f>[2]หน้าผ้า!T518</f>
        <v>0</v>
      </c>
      <c r="N509" s="9">
        <f>[2]หน้าผ้า!U518</f>
        <v>0</v>
      </c>
      <c r="O509" s="9">
        <f>[2]หน้าผ้า!V518</f>
        <v>0</v>
      </c>
      <c r="P509" s="10">
        <f>[2]หน้าผ้า!AB518</f>
        <v>0</v>
      </c>
      <c r="Q509" s="10">
        <f>[2]หน้าผ้า!AC518</f>
        <v>0</v>
      </c>
      <c r="R509" s="10">
        <f>[2]หน้าผ้า!AD518</f>
        <v>0</v>
      </c>
      <c r="S509" s="9">
        <f>[2]หน้าผ้า!Z518</f>
        <v>0</v>
      </c>
      <c r="T509" s="12">
        <f>[2]หน้าผ้า!X518</f>
        <v>0</v>
      </c>
      <c r="U509" s="11">
        <f>[2]หน้าผ้า!AA518</f>
        <v>0</v>
      </c>
      <c r="V509" s="10">
        <f>[2]หน้าผ้า!AJ518</f>
        <v>0</v>
      </c>
      <c r="W509" s="10">
        <f>[2]หน้าผ้า!AL518</f>
        <v>0</v>
      </c>
      <c r="X509" s="10">
        <f>[2]หน้าผ้า!AM518</f>
        <v>0</v>
      </c>
      <c r="Y509" s="10">
        <f>[2]หน้าผ้า!AN518</f>
        <v>0</v>
      </c>
      <c r="Z509" s="9">
        <f>[2]หน้าผ้า!AO518</f>
        <v>0</v>
      </c>
      <c r="AA509" s="8">
        <f>[2]หน้าผ้า!AQ518</f>
        <v>0</v>
      </c>
      <c r="AB509" s="8">
        <f>[2]หน้าผ้า!AR518</f>
        <v>0</v>
      </c>
      <c r="AC509" s="8">
        <f>[2]หน้าผ้า!AS518</f>
        <v>0</v>
      </c>
      <c r="AD509" s="8">
        <f>[2]หน้าผ้า!AT518</f>
        <v>0</v>
      </c>
      <c r="AE509" s="8">
        <f>[2]หน้าผ้า!AU518</f>
        <v>0</v>
      </c>
      <c r="AF509" s="8">
        <f>[2]หน้าผ้า!AI518</f>
        <v>0</v>
      </c>
      <c r="AG509" s="1">
        <f>[3]หน้าผ้า!DC521</f>
        <v>0</v>
      </c>
      <c r="AH509" s="1">
        <f>[2]หน้าผ้า!DL518</f>
        <v>0</v>
      </c>
      <c r="AI509" s="1">
        <f>[2]หน้าผ้า!DM518</f>
        <v>0</v>
      </c>
      <c r="AJ509" s="3">
        <f>[2]หน้าผ้า!DN518</f>
        <v>0</v>
      </c>
      <c r="AK509" s="3">
        <f>[2]หน้าผ้า!DQ518</f>
        <v>0</v>
      </c>
      <c r="AL509" s="3">
        <f>[2]หน้าผ้า!DR518</f>
        <v>0</v>
      </c>
      <c r="AM509" s="3">
        <f>[2]หน้าผ้า!DS518</f>
        <v>0</v>
      </c>
      <c r="AN509" s="3">
        <f>[2]หน้าผ้า!DT518</f>
        <v>0</v>
      </c>
      <c r="AO509" s="3">
        <f>[2]หน้าผ้า!DU518</f>
        <v>0</v>
      </c>
      <c r="AP509" s="3">
        <f>[2]หน้าผ้า!DP518</f>
        <v>0</v>
      </c>
      <c r="AQ509" s="3">
        <f>[2]หน้าผ้า!DW518</f>
        <v>0</v>
      </c>
      <c r="AR509" s="3">
        <f>[2]หน้าผ้า!DX518</f>
        <v>0</v>
      </c>
      <c r="AS509" s="3">
        <f>[2]หน้าผ้า!DY518</f>
        <v>0</v>
      </c>
      <c r="AT509" s="3">
        <f>[2]หน้าผ้า!DZ518</f>
        <v>0</v>
      </c>
      <c r="AU509" s="3">
        <f>[2]หน้าผ้า!EA518</f>
        <v>0</v>
      </c>
      <c r="AV509" s="1">
        <f>[2]หน้าผ้า!EB518</f>
        <v>0</v>
      </c>
      <c r="AW509" s="2">
        <f>[2]หน้าผ้า!EC518</f>
        <v>0</v>
      </c>
      <c r="AX509" s="2">
        <f>[2]หน้าผ้า!ED518</f>
        <v>0</v>
      </c>
      <c r="AY509" s="2">
        <f>[2]หน้าผ้า!AG518</f>
        <v>0</v>
      </c>
      <c r="AZ509" s="2">
        <f>[2]หน้าผ้า!EG518</f>
        <v>0</v>
      </c>
      <c r="BA509" s="2">
        <f>[2]หน้าผ้า!EH518</f>
        <v>0</v>
      </c>
      <c r="BB509" s="2">
        <f>[2]หน้าผ้า!EI518</f>
        <v>0</v>
      </c>
      <c r="BC509" s="1">
        <f>[2]หน้าผ้า!BZ518</f>
        <v>0</v>
      </c>
      <c r="BD509" s="56">
        <f>[2]หน้าผ้า!CA518</f>
        <v>0</v>
      </c>
    </row>
    <row r="510" spans="1:56" ht="27.75" customHeight="1" x14ac:dyDescent="0.45">
      <c r="A510" s="3">
        <f>[2]หน้าผ้า!C519</f>
        <v>0</v>
      </c>
      <c r="B510" s="14">
        <f>[2]หน้าผ้า!B519</f>
        <v>0</v>
      </c>
      <c r="C510" s="9">
        <f>[2]หน้าผ้า!E519</f>
        <v>0</v>
      </c>
      <c r="D510" s="13">
        <f>[2]หน้าผ้า!F519</f>
        <v>0</v>
      </c>
      <c r="E510" s="9">
        <f>[2]หน้าผ้า!G519</f>
        <v>0</v>
      </c>
      <c r="F510" s="9">
        <f>[2]หน้าผ้า!H519</f>
        <v>0</v>
      </c>
      <c r="G510" s="9">
        <f>[2]หน้าผ้า!I519</f>
        <v>0</v>
      </c>
      <c r="H510" s="9">
        <f>[2]หน้าผ้า!J519</f>
        <v>0</v>
      </c>
      <c r="I510" s="9">
        <f>[2]หน้าผ้า!L519</f>
        <v>0</v>
      </c>
      <c r="J510" s="9">
        <f>[2]หน้าผ้า!M519</f>
        <v>0</v>
      </c>
      <c r="K510" s="9">
        <f>[2]หน้าผ้า!N519</f>
        <v>0</v>
      </c>
      <c r="L510" s="9">
        <f>[2]หน้าผ้า!R519</f>
        <v>0</v>
      </c>
      <c r="M510" s="10">
        <f>[2]หน้าผ้า!T519</f>
        <v>0</v>
      </c>
      <c r="N510" s="9">
        <f>[2]หน้าผ้า!U519</f>
        <v>0</v>
      </c>
      <c r="O510" s="9">
        <f>[2]หน้าผ้า!V519</f>
        <v>0</v>
      </c>
      <c r="P510" s="10">
        <f>[2]หน้าผ้า!AB519</f>
        <v>0</v>
      </c>
      <c r="Q510" s="10">
        <f>[2]หน้าผ้า!AC519</f>
        <v>0</v>
      </c>
      <c r="R510" s="10">
        <f>[2]หน้าผ้า!AD519</f>
        <v>0</v>
      </c>
      <c r="S510" s="9">
        <f>[2]หน้าผ้า!Z519</f>
        <v>0</v>
      </c>
      <c r="T510" s="12">
        <f>[2]หน้าผ้า!X519</f>
        <v>0</v>
      </c>
      <c r="U510" s="11">
        <f>[2]หน้าผ้า!AA519</f>
        <v>0</v>
      </c>
      <c r="V510" s="10">
        <f>[2]หน้าผ้า!AJ519</f>
        <v>0</v>
      </c>
      <c r="W510" s="10">
        <f>[2]หน้าผ้า!AL519</f>
        <v>0</v>
      </c>
      <c r="X510" s="10">
        <f>[2]หน้าผ้า!AM519</f>
        <v>0</v>
      </c>
      <c r="Y510" s="10">
        <f>[2]หน้าผ้า!AN519</f>
        <v>0</v>
      </c>
      <c r="Z510" s="9">
        <f>[2]หน้าผ้า!AO519</f>
        <v>0</v>
      </c>
      <c r="AA510" s="8">
        <f>[2]หน้าผ้า!AQ519</f>
        <v>0</v>
      </c>
      <c r="AB510" s="8">
        <f>[2]หน้าผ้า!AR519</f>
        <v>0</v>
      </c>
      <c r="AC510" s="8">
        <f>[2]หน้าผ้า!AS519</f>
        <v>0</v>
      </c>
      <c r="AD510" s="8">
        <f>[2]หน้าผ้า!AT519</f>
        <v>0</v>
      </c>
      <c r="AE510" s="8">
        <f>[2]หน้าผ้า!AU519</f>
        <v>0</v>
      </c>
      <c r="AF510" s="8">
        <f>[2]หน้าผ้า!AI519</f>
        <v>0</v>
      </c>
      <c r="AG510" s="1">
        <f>[3]หน้าผ้า!DC522</f>
        <v>0</v>
      </c>
      <c r="AH510" s="1">
        <f>[2]หน้าผ้า!DL519</f>
        <v>0</v>
      </c>
      <c r="AI510" s="1">
        <f>[2]หน้าผ้า!DM519</f>
        <v>0</v>
      </c>
      <c r="AJ510" s="3">
        <f>[2]หน้าผ้า!DN519</f>
        <v>0</v>
      </c>
      <c r="AK510" s="3">
        <f>[2]หน้าผ้า!DQ519</f>
        <v>0</v>
      </c>
      <c r="AL510" s="3">
        <f>[2]หน้าผ้า!DR519</f>
        <v>0</v>
      </c>
      <c r="AM510" s="3">
        <f>[2]หน้าผ้า!DS519</f>
        <v>0</v>
      </c>
      <c r="AN510" s="3">
        <f>[2]หน้าผ้า!DT519</f>
        <v>0</v>
      </c>
      <c r="AO510" s="3">
        <f>[2]หน้าผ้า!DU519</f>
        <v>0</v>
      </c>
      <c r="AP510" s="3">
        <f>[2]หน้าผ้า!DP519</f>
        <v>0</v>
      </c>
      <c r="AQ510" s="3">
        <f>[2]หน้าผ้า!DW519</f>
        <v>0</v>
      </c>
      <c r="AR510" s="3">
        <f>[2]หน้าผ้า!DX519</f>
        <v>0</v>
      </c>
      <c r="AS510" s="3">
        <f>[2]หน้าผ้า!DY519</f>
        <v>0</v>
      </c>
      <c r="AT510" s="3">
        <f>[2]หน้าผ้า!DZ519</f>
        <v>0</v>
      </c>
      <c r="AU510" s="3">
        <f>[2]หน้าผ้า!EA519</f>
        <v>0</v>
      </c>
      <c r="AV510" s="1">
        <f>[2]หน้าผ้า!EB519</f>
        <v>0</v>
      </c>
      <c r="AW510" s="2">
        <f>[2]หน้าผ้า!EC519</f>
        <v>0</v>
      </c>
      <c r="AX510" s="2">
        <f>[2]หน้าผ้า!ED519</f>
        <v>0</v>
      </c>
      <c r="AY510" s="2">
        <f>[2]หน้าผ้า!AG519</f>
        <v>0</v>
      </c>
      <c r="AZ510" s="2">
        <f>[2]หน้าผ้า!EG519</f>
        <v>0</v>
      </c>
      <c r="BA510" s="2">
        <f>[2]หน้าผ้า!EH519</f>
        <v>0</v>
      </c>
      <c r="BB510" s="2">
        <f>[2]หน้าผ้า!EI519</f>
        <v>0</v>
      </c>
      <c r="BC510" s="1">
        <f>[2]หน้าผ้า!BZ519</f>
        <v>0</v>
      </c>
      <c r="BD510" s="56">
        <f>[2]หน้าผ้า!CA519</f>
        <v>0</v>
      </c>
    </row>
    <row r="511" spans="1:56" ht="27.75" customHeight="1" x14ac:dyDescent="0.45">
      <c r="A511" s="3">
        <f>[2]หน้าผ้า!C520</f>
        <v>0</v>
      </c>
      <c r="B511" s="14">
        <f>[2]หน้าผ้า!B520</f>
        <v>0</v>
      </c>
      <c r="C511" s="9">
        <f>[2]หน้าผ้า!E520</f>
        <v>0</v>
      </c>
      <c r="D511" s="13">
        <f>[2]หน้าผ้า!F520</f>
        <v>0</v>
      </c>
      <c r="E511" s="9">
        <f>[2]หน้าผ้า!G520</f>
        <v>0</v>
      </c>
      <c r="F511" s="9">
        <f>[2]หน้าผ้า!H520</f>
        <v>0</v>
      </c>
      <c r="G511" s="9">
        <f>[2]หน้าผ้า!I520</f>
        <v>0</v>
      </c>
      <c r="H511" s="9">
        <f>[2]หน้าผ้า!J520</f>
        <v>0</v>
      </c>
      <c r="I511" s="9">
        <f>[2]หน้าผ้า!L520</f>
        <v>0</v>
      </c>
      <c r="J511" s="9">
        <f>[2]หน้าผ้า!M520</f>
        <v>0</v>
      </c>
      <c r="K511" s="9">
        <f>[2]หน้าผ้า!N520</f>
        <v>0</v>
      </c>
      <c r="L511" s="9">
        <f>[2]หน้าผ้า!R520</f>
        <v>0</v>
      </c>
      <c r="M511" s="10">
        <f>[2]หน้าผ้า!T520</f>
        <v>0</v>
      </c>
      <c r="N511" s="9">
        <f>[2]หน้าผ้า!U520</f>
        <v>0</v>
      </c>
      <c r="O511" s="9">
        <f>[2]หน้าผ้า!V520</f>
        <v>0</v>
      </c>
      <c r="P511" s="10">
        <f>[2]หน้าผ้า!AB520</f>
        <v>0</v>
      </c>
      <c r="Q511" s="10">
        <f>[2]หน้าผ้า!AC520</f>
        <v>0</v>
      </c>
      <c r="R511" s="10">
        <f>[2]หน้าผ้า!AD520</f>
        <v>0</v>
      </c>
      <c r="S511" s="9">
        <f>[2]หน้าผ้า!Z520</f>
        <v>0</v>
      </c>
      <c r="T511" s="12">
        <f>[2]หน้าผ้า!X520</f>
        <v>0</v>
      </c>
      <c r="U511" s="11">
        <f>[2]หน้าผ้า!AA520</f>
        <v>0</v>
      </c>
      <c r="V511" s="10">
        <f>[2]หน้าผ้า!AJ520</f>
        <v>0</v>
      </c>
      <c r="W511" s="10">
        <f>[2]หน้าผ้า!AL520</f>
        <v>0</v>
      </c>
      <c r="X511" s="10">
        <f>[2]หน้าผ้า!AM520</f>
        <v>0</v>
      </c>
      <c r="Y511" s="10">
        <f>[2]หน้าผ้า!AN520</f>
        <v>0</v>
      </c>
      <c r="Z511" s="9">
        <f>[2]หน้าผ้า!AO520</f>
        <v>0</v>
      </c>
      <c r="AA511" s="8">
        <f>[2]หน้าผ้า!AQ520</f>
        <v>0</v>
      </c>
      <c r="AB511" s="8">
        <f>[2]หน้าผ้า!AR520</f>
        <v>0</v>
      </c>
      <c r="AC511" s="8">
        <f>[2]หน้าผ้า!AS520</f>
        <v>0</v>
      </c>
      <c r="AD511" s="8">
        <f>[2]หน้าผ้า!AT520</f>
        <v>0</v>
      </c>
      <c r="AE511" s="8">
        <f>[2]หน้าผ้า!AU520</f>
        <v>0</v>
      </c>
      <c r="AF511" s="8">
        <f>[2]หน้าผ้า!AI520</f>
        <v>0</v>
      </c>
      <c r="AG511" s="1">
        <f>[3]หน้าผ้า!DC523</f>
        <v>0</v>
      </c>
      <c r="AH511" s="1">
        <f>[2]หน้าผ้า!DL520</f>
        <v>0</v>
      </c>
      <c r="AI511" s="1">
        <f>[2]หน้าผ้า!DM520</f>
        <v>0</v>
      </c>
      <c r="AJ511" s="3">
        <f>[2]หน้าผ้า!DN520</f>
        <v>0</v>
      </c>
      <c r="AK511" s="3">
        <f>[2]หน้าผ้า!DQ520</f>
        <v>0</v>
      </c>
      <c r="AL511" s="3">
        <f>[2]หน้าผ้า!DR520</f>
        <v>0</v>
      </c>
      <c r="AM511" s="3">
        <f>[2]หน้าผ้า!DS520</f>
        <v>0</v>
      </c>
      <c r="AN511" s="3">
        <f>[2]หน้าผ้า!DT520</f>
        <v>0</v>
      </c>
      <c r="AO511" s="3">
        <f>[2]หน้าผ้า!DU520</f>
        <v>0</v>
      </c>
      <c r="AP511" s="3">
        <f>[2]หน้าผ้า!DP520</f>
        <v>0</v>
      </c>
      <c r="AQ511" s="3">
        <f>[2]หน้าผ้า!DW520</f>
        <v>0</v>
      </c>
      <c r="AR511" s="3">
        <f>[2]หน้าผ้า!DX520</f>
        <v>0</v>
      </c>
      <c r="AS511" s="3">
        <f>[2]หน้าผ้า!DY520</f>
        <v>0</v>
      </c>
      <c r="AT511" s="3">
        <f>[2]หน้าผ้า!DZ520</f>
        <v>0</v>
      </c>
      <c r="AU511" s="3">
        <f>[2]หน้าผ้า!EA520</f>
        <v>0</v>
      </c>
      <c r="AV511" s="1">
        <f>[2]หน้าผ้า!EB520</f>
        <v>0</v>
      </c>
      <c r="AW511" s="2">
        <f>[2]หน้าผ้า!EC520</f>
        <v>0</v>
      </c>
      <c r="AX511" s="2">
        <f>[2]หน้าผ้า!ED520</f>
        <v>0</v>
      </c>
      <c r="AY511" s="2">
        <f>[2]หน้าผ้า!AG520</f>
        <v>0</v>
      </c>
      <c r="AZ511" s="2">
        <f>[2]หน้าผ้า!EG520</f>
        <v>0</v>
      </c>
      <c r="BA511" s="2">
        <f>[2]หน้าผ้า!EH520</f>
        <v>0</v>
      </c>
      <c r="BB511" s="2">
        <f>[2]หน้าผ้า!EI520</f>
        <v>0</v>
      </c>
      <c r="BC511" s="1">
        <f>[2]หน้าผ้า!BZ520</f>
        <v>0</v>
      </c>
      <c r="BD511" s="56">
        <f>[2]หน้าผ้า!CA520</f>
        <v>0</v>
      </c>
    </row>
    <row r="512" spans="1:56" ht="27.75" customHeight="1" x14ac:dyDescent="0.45">
      <c r="A512" s="3">
        <f>[2]หน้าผ้า!C521</f>
        <v>0</v>
      </c>
      <c r="B512" s="14">
        <f>[2]หน้าผ้า!B521</f>
        <v>0</v>
      </c>
      <c r="C512" s="9">
        <f>[2]หน้าผ้า!E521</f>
        <v>0</v>
      </c>
      <c r="D512" s="13">
        <f>[2]หน้าผ้า!F521</f>
        <v>0</v>
      </c>
      <c r="E512" s="9">
        <f>[2]หน้าผ้า!G521</f>
        <v>0</v>
      </c>
      <c r="F512" s="9">
        <f>[2]หน้าผ้า!H521</f>
        <v>0</v>
      </c>
      <c r="G512" s="9">
        <f>[2]หน้าผ้า!I521</f>
        <v>0</v>
      </c>
      <c r="H512" s="9">
        <f>[2]หน้าผ้า!J521</f>
        <v>0</v>
      </c>
      <c r="I512" s="9">
        <f>[2]หน้าผ้า!L521</f>
        <v>0</v>
      </c>
      <c r="J512" s="9">
        <f>[2]หน้าผ้า!M521</f>
        <v>0</v>
      </c>
      <c r="K512" s="9">
        <f>[2]หน้าผ้า!N521</f>
        <v>0</v>
      </c>
      <c r="L512" s="9">
        <f>[2]หน้าผ้า!R521</f>
        <v>0</v>
      </c>
      <c r="M512" s="10">
        <f>[2]หน้าผ้า!T521</f>
        <v>0</v>
      </c>
      <c r="N512" s="9">
        <f>[2]หน้าผ้า!U521</f>
        <v>0</v>
      </c>
      <c r="O512" s="9">
        <f>[2]หน้าผ้า!V521</f>
        <v>0</v>
      </c>
      <c r="P512" s="10">
        <f>[2]หน้าผ้า!AB521</f>
        <v>0</v>
      </c>
      <c r="Q512" s="10">
        <f>[2]หน้าผ้า!AC521</f>
        <v>0</v>
      </c>
      <c r="R512" s="10">
        <f>[2]หน้าผ้า!AD521</f>
        <v>0</v>
      </c>
      <c r="S512" s="9">
        <f>[2]หน้าผ้า!Z521</f>
        <v>0</v>
      </c>
      <c r="T512" s="12">
        <f>[2]หน้าผ้า!X521</f>
        <v>0</v>
      </c>
      <c r="U512" s="11">
        <f>[2]หน้าผ้า!AA521</f>
        <v>0</v>
      </c>
      <c r="V512" s="10">
        <f>[2]หน้าผ้า!AJ521</f>
        <v>0</v>
      </c>
      <c r="W512" s="10">
        <f>[2]หน้าผ้า!AL521</f>
        <v>0</v>
      </c>
      <c r="X512" s="10">
        <f>[2]หน้าผ้า!AM521</f>
        <v>0</v>
      </c>
      <c r="Y512" s="10">
        <f>[2]หน้าผ้า!AN521</f>
        <v>0</v>
      </c>
      <c r="Z512" s="9">
        <f>[2]หน้าผ้า!AO521</f>
        <v>0</v>
      </c>
      <c r="AA512" s="8">
        <f>[2]หน้าผ้า!AQ521</f>
        <v>0</v>
      </c>
      <c r="AB512" s="8">
        <f>[2]หน้าผ้า!AR521</f>
        <v>0</v>
      </c>
      <c r="AC512" s="8">
        <f>[2]หน้าผ้า!AS521</f>
        <v>0</v>
      </c>
      <c r="AD512" s="8">
        <f>[2]หน้าผ้า!AT521</f>
        <v>0</v>
      </c>
      <c r="AE512" s="8">
        <f>[2]หน้าผ้า!AU521</f>
        <v>0</v>
      </c>
      <c r="AF512" s="8">
        <f>[2]หน้าผ้า!AI521</f>
        <v>0</v>
      </c>
      <c r="AG512" s="1">
        <f>[3]หน้าผ้า!DC524</f>
        <v>0</v>
      </c>
      <c r="AH512" s="1">
        <f>[2]หน้าผ้า!DL521</f>
        <v>0</v>
      </c>
      <c r="AI512" s="1">
        <f>[2]หน้าผ้า!DM521</f>
        <v>0</v>
      </c>
      <c r="AJ512" s="3">
        <f>[2]หน้าผ้า!DN521</f>
        <v>0</v>
      </c>
      <c r="AK512" s="3">
        <f>[2]หน้าผ้า!DQ521</f>
        <v>0</v>
      </c>
      <c r="AL512" s="3">
        <f>[2]หน้าผ้า!DR521</f>
        <v>0</v>
      </c>
      <c r="AM512" s="3">
        <f>[2]หน้าผ้า!DS521</f>
        <v>0</v>
      </c>
      <c r="AN512" s="3">
        <f>[2]หน้าผ้า!DT521</f>
        <v>0</v>
      </c>
      <c r="AO512" s="3">
        <f>[2]หน้าผ้า!DU521</f>
        <v>0</v>
      </c>
      <c r="AP512" s="3">
        <f>[2]หน้าผ้า!DP521</f>
        <v>0</v>
      </c>
      <c r="AQ512" s="3">
        <f>[2]หน้าผ้า!DW521</f>
        <v>0</v>
      </c>
      <c r="AR512" s="3">
        <f>[2]หน้าผ้า!DX521</f>
        <v>0</v>
      </c>
      <c r="AS512" s="3">
        <f>[2]หน้าผ้า!DY521</f>
        <v>0</v>
      </c>
      <c r="AT512" s="3">
        <f>[2]หน้าผ้า!DZ521</f>
        <v>0</v>
      </c>
      <c r="AU512" s="3">
        <f>[2]หน้าผ้า!EA521</f>
        <v>0</v>
      </c>
      <c r="AV512" s="1">
        <f>[2]หน้าผ้า!EB521</f>
        <v>0</v>
      </c>
      <c r="AW512" s="2">
        <f>[2]หน้าผ้า!EC521</f>
        <v>0</v>
      </c>
      <c r="AX512" s="2">
        <f>[2]หน้าผ้า!ED521</f>
        <v>0</v>
      </c>
      <c r="AY512" s="2">
        <f>[2]หน้าผ้า!AG521</f>
        <v>0</v>
      </c>
      <c r="AZ512" s="2">
        <f>[2]หน้าผ้า!EG521</f>
        <v>0</v>
      </c>
      <c r="BA512" s="2">
        <f>[2]หน้าผ้า!EH521</f>
        <v>0</v>
      </c>
      <c r="BB512" s="2">
        <f>[2]หน้าผ้า!EI521</f>
        <v>0</v>
      </c>
      <c r="BC512" s="1">
        <f>[2]หน้าผ้า!BZ521</f>
        <v>0</v>
      </c>
      <c r="BD512" s="56">
        <f>[2]หน้าผ้า!CA521</f>
        <v>0</v>
      </c>
    </row>
    <row r="513" spans="1:56" ht="27.75" customHeight="1" x14ac:dyDescent="0.45">
      <c r="A513" s="3">
        <f>[2]หน้าผ้า!C522</f>
        <v>0</v>
      </c>
      <c r="B513" s="14">
        <f>[2]หน้าผ้า!B522</f>
        <v>0</v>
      </c>
      <c r="C513" s="9">
        <f>[2]หน้าผ้า!E522</f>
        <v>0</v>
      </c>
      <c r="D513" s="13">
        <f>[2]หน้าผ้า!F522</f>
        <v>0</v>
      </c>
      <c r="E513" s="9">
        <f>[2]หน้าผ้า!G522</f>
        <v>0</v>
      </c>
      <c r="F513" s="9">
        <f>[2]หน้าผ้า!H522</f>
        <v>0</v>
      </c>
      <c r="G513" s="9">
        <f>[2]หน้าผ้า!I522</f>
        <v>0</v>
      </c>
      <c r="H513" s="9">
        <f>[2]หน้าผ้า!J522</f>
        <v>0</v>
      </c>
      <c r="I513" s="9">
        <f>[2]หน้าผ้า!L522</f>
        <v>0</v>
      </c>
      <c r="J513" s="9">
        <f>[2]หน้าผ้า!M522</f>
        <v>0</v>
      </c>
      <c r="K513" s="9">
        <f>[2]หน้าผ้า!N522</f>
        <v>0</v>
      </c>
      <c r="L513" s="9">
        <f>[2]หน้าผ้า!R522</f>
        <v>0</v>
      </c>
      <c r="M513" s="10">
        <f>[2]หน้าผ้า!T522</f>
        <v>0</v>
      </c>
      <c r="N513" s="9">
        <f>[2]หน้าผ้า!U522</f>
        <v>0</v>
      </c>
      <c r="O513" s="9">
        <f>[2]หน้าผ้า!V522</f>
        <v>0</v>
      </c>
      <c r="P513" s="10">
        <f>[2]หน้าผ้า!AB522</f>
        <v>0</v>
      </c>
      <c r="Q513" s="10">
        <f>[2]หน้าผ้า!AC522</f>
        <v>0</v>
      </c>
      <c r="R513" s="10">
        <f>[2]หน้าผ้า!AD522</f>
        <v>0</v>
      </c>
      <c r="S513" s="9">
        <f>[2]หน้าผ้า!Z522</f>
        <v>0</v>
      </c>
      <c r="T513" s="12">
        <f>[2]หน้าผ้า!X522</f>
        <v>0</v>
      </c>
      <c r="U513" s="11">
        <f>[2]หน้าผ้า!AA522</f>
        <v>0</v>
      </c>
      <c r="V513" s="10">
        <f>[2]หน้าผ้า!AJ522</f>
        <v>0</v>
      </c>
      <c r="W513" s="10">
        <f>[2]หน้าผ้า!AL522</f>
        <v>0</v>
      </c>
      <c r="X513" s="10">
        <f>[2]หน้าผ้า!AM522</f>
        <v>0</v>
      </c>
      <c r="Y513" s="10">
        <f>[2]หน้าผ้า!AN522</f>
        <v>0</v>
      </c>
      <c r="Z513" s="9">
        <f>[2]หน้าผ้า!AO522</f>
        <v>0</v>
      </c>
      <c r="AA513" s="8">
        <f>[2]หน้าผ้า!AQ522</f>
        <v>0</v>
      </c>
      <c r="AB513" s="8">
        <f>[2]หน้าผ้า!AR522</f>
        <v>0</v>
      </c>
      <c r="AC513" s="8">
        <f>[2]หน้าผ้า!AS522</f>
        <v>0</v>
      </c>
      <c r="AD513" s="8">
        <f>[2]หน้าผ้า!AT522</f>
        <v>0</v>
      </c>
      <c r="AE513" s="8">
        <f>[2]หน้าผ้า!AU522</f>
        <v>0</v>
      </c>
      <c r="AF513" s="8">
        <f>[2]หน้าผ้า!AI522</f>
        <v>0</v>
      </c>
      <c r="AG513" s="1">
        <f>[3]หน้าผ้า!DC525</f>
        <v>0</v>
      </c>
      <c r="AH513" s="1">
        <f>[2]หน้าผ้า!DL522</f>
        <v>0</v>
      </c>
      <c r="AI513" s="1">
        <f>[2]หน้าผ้า!DM522</f>
        <v>0</v>
      </c>
      <c r="AJ513" s="3">
        <f>[2]หน้าผ้า!DN522</f>
        <v>0</v>
      </c>
      <c r="AK513" s="3">
        <f>[2]หน้าผ้า!DQ522</f>
        <v>0</v>
      </c>
      <c r="AL513" s="3">
        <f>[2]หน้าผ้า!DR522</f>
        <v>0</v>
      </c>
      <c r="AM513" s="3">
        <f>[2]หน้าผ้า!DS522</f>
        <v>0</v>
      </c>
      <c r="AN513" s="3">
        <f>[2]หน้าผ้า!DT522</f>
        <v>0</v>
      </c>
      <c r="AO513" s="3">
        <f>[2]หน้าผ้า!DU522</f>
        <v>0</v>
      </c>
      <c r="AP513" s="3">
        <f>[2]หน้าผ้า!DP522</f>
        <v>0</v>
      </c>
      <c r="AQ513" s="3">
        <f>[2]หน้าผ้า!DW522</f>
        <v>0</v>
      </c>
      <c r="AR513" s="3">
        <f>[2]หน้าผ้า!DX522</f>
        <v>0</v>
      </c>
      <c r="AS513" s="3">
        <f>[2]หน้าผ้า!DY522</f>
        <v>0</v>
      </c>
      <c r="AT513" s="3">
        <f>[2]หน้าผ้า!DZ522</f>
        <v>0</v>
      </c>
      <c r="AU513" s="3">
        <f>[2]หน้าผ้า!EA522</f>
        <v>0</v>
      </c>
      <c r="AV513" s="1">
        <f>[2]หน้าผ้า!EB522</f>
        <v>0</v>
      </c>
      <c r="AW513" s="2">
        <f>[2]หน้าผ้า!EC522</f>
        <v>0</v>
      </c>
      <c r="AX513" s="2">
        <f>[2]หน้าผ้า!ED522</f>
        <v>0</v>
      </c>
      <c r="AY513" s="2">
        <f>[2]หน้าผ้า!AG522</f>
        <v>0</v>
      </c>
      <c r="AZ513" s="2">
        <f>[2]หน้าผ้า!EG522</f>
        <v>0</v>
      </c>
      <c r="BA513" s="2">
        <f>[2]หน้าผ้า!EH522</f>
        <v>0</v>
      </c>
      <c r="BB513" s="2">
        <f>[2]หน้าผ้า!EI522</f>
        <v>0</v>
      </c>
      <c r="BC513" s="1">
        <f>[2]หน้าผ้า!BZ522</f>
        <v>0</v>
      </c>
      <c r="BD513" s="56">
        <f>[2]หน้าผ้า!CA522</f>
        <v>0</v>
      </c>
    </row>
    <row r="514" spans="1:56" ht="27.75" customHeight="1" x14ac:dyDescent="0.45">
      <c r="A514" s="3">
        <f>[2]หน้าผ้า!C523</f>
        <v>0</v>
      </c>
      <c r="B514" s="14">
        <f>[2]หน้าผ้า!B523</f>
        <v>0</v>
      </c>
      <c r="C514" s="9">
        <f>[2]หน้าผ้า!E523</f>
        <v>0</v>
      </c>
      <c r="D514" s="13">
        <f>[2]หน้าผ้า!F523</f>
        <v>0</v>
      </c>
      <c r="E514" s="9">
        <f>[2]หน้าผ้า!G523</f>
        <v>0</v>
      </c>
      <c r="F514" s="9">
        <f>[2]หน้าผ้า!H523</f>
        <v>0</v>
      </c>
      <c r="G514" s="9">
        <f>[2]หน้าผ้า!I523</f>
        <v>0</v>
      </c>
      <c r="H514" s="9">
        <f>[2]หน้าผ้า!J523</f>
        <v>0</v>
      </c>
      <c r="I514" s="9">
        <f>[2]หน้าผ้า!L523</f>
        <v>0</v>
      </c>
      <c r="J514" s="9">
        <f>[2]หน้าผ้า!M523</f>
        <v>0</v>
      </c>
      <c r="K514" s="9">
        <f>[2]หน้าผ้า!N523</f>
        <v>0</v>
      </c>
      <c r="L514" s="9">
        <f>[2]หน้าผ้า!R523</f>
        <v>0</v>
      </c>
      <c r="M514" s="10">
        <f>[2]หน้าผ้า!T523</f>
        <v>0</v>
      </c>
      <c r="N514" s="9">
        <f>[2]หน้าผ้า!U523</f>
        <v>0</v>
      </c>
      <c r="O514" s="9">
        <f>[2]หน้าผ้า!V523</f>
        <v>0</v>
      </c>
      <c r="P514" s="10">
        <f>[2]หน้าผ้า!AB523</f>
        <v>0</v>
      </c>
      <c r="Q514" s="10">
        <f>[2]หน้าผ้า!AC523</f>
        <v>0</v>
      </c>
      <c r="R514" s="10">
        <f>[2]หน้าผ้า!AD523</f>
        <v>0</v>
      </c>
      <c r="S514" s="9">
        <f>[2]หน้าผ้า!Z523</f>
        <v>0</v>
      </c>
      <c r="T514" s="12">
        <f>[2]หน้าผ้า!X523</f>
        <v>0</v>
      </c>
      <c r="U514" s="11">
        <f>[2]หน้าผ้า!AA523</f>
        <v>0</v>
      </c>
      <c r="V514" s="10">
        <f>[2]หน้าผ้า!AJ523</f>
        <v>0</v>
      </c>
      <c r="W514" s="10">
        <f>[2]หน้าผ้า!AL523</f>
        <v>0</v>
      </c>
      <c r="X514" s="10">
        <f>[2]หน้าผ้า!AM523</f>
        <v>0</v>
      </c>
      <c r="Y514" s="10">
        <f>[2]หน้าผ้า!AN523</f>
        <v>0</v>
      </c>
      <c r="Z514" s="9">
        <f>[2]หน้าผ้า!AO523</f>
        <v>0</v>
      </c>
      <c r="AA514" s="8">
        <f>[2]หน้าผ้า!AQ523</f>
        <v>0</v>
      </c>
      <c r="AB514" s="8">
        <f>[2]หน้าผ้า!AR523</f>
        <v>0</v>
      </c>
      <c r="AC514" s="8">
        <f>[2]หน้าผ้า!AS523</f>
        <v>0</v>
      </c>
      <c r="AD514" s="8">
        <f>[2]หน้าผ้า!AT523</f>
        <v>0</v>
      </c>
      <c r="AE514" s="8">
        <f>[2]หน้าผ้า!AU523</f>
        <v>0</v>
      </c>
      <c r="AF514" s="8">
        <f>[2]หน้าผ้า!AI523</f>
        <v>0</v>
      </c>
      <c r="AG514" s="1">
        <f>[3]หน้าผ้า!DC526</f>
        <v>0</v>
      </c>
      <c r="AH514" s="1">
        <f>[2]หน้าผ้า!DL523</f>
        <v>0</v>
      </c>
      <c r="AI514" s="1">
        <f>[2]หน้าผ้า!DM523</f>
        <v>0</v>
      </c>
      <c r="AJ514" s="3">
        <f>[2]หน้าผ้า!DN523</f>
        <v>0</v>
      </c>
      <c r="AK514" s="3">
        <f>[2]หน้าผ้า!DQ523</f>
        <v>0</v>
      </c>
      <c r="AL514" s="3">
        <f>[2]หน้าผ้า!DR523</f>
        <v>0</v>
      </c>
      <c r="AM514" s="3">
        <f>[2]หน้าผ้า!DS523</f>
        <v>0</v>
      </c>
      <c r="AN514" s="3">
        <f>[2]หน้าผ้า!DT523</f>
        <v>0</v>
      </c>
      <c r="AO514" s="3">
        <f>[2]หน้าผ้า!DU523</f>
        <v>0</v>
      </c>
      <c r="AP514" s="3">
        <f>[2]หน้าผ้า!DP523</f>
        <v>0</v>
      </c>
      <c r="AQ514" s="3">
        <f>[2]หน้าผ้า!DW523</f>
        <v>0</v>
      </c>
      <c r="AR514" s="3">
        <f>[2]หน้าผ้า!DX523</f>
        <v>0</v>
      </c>
      <c r="AS514" s="3">
        <f>[2]หน้าผ้า!DY523</f>
        <v>0</v>
      </c>
      <c r="AT514" s="3">
        <f>[2]หน้าผ้า!DZ523</f>
        <v>0</v>
      </c>
      <c r="AU514" s="3">
        <f>[2]หน้าผ้า!EA523</f>
        <v>0</v>
      </c>
      <c r="AV514" s="1">
        <f>[2]หน้าผ้า!EB523</f>
        <v>0</v>
      </c>
      <c r="AW514" s="2">
        <f>[2]หน้าผ้า!EC523</f>
        <v>0</v>
      </c>
      <c r="AX514" s="2">
        <f>[2]หน้าผ้า!ED523</f>
        <v>0</v>
      </c>
      <c r="AY514" s="2">
        <f>[2]หน้าผ้า!AG523</f>
        <v>0</v>
      </c>
      <c r="AZ514" s="2">
        <f>[2]หน้าผ้า!EG523</f>
        <v>0</v>
      </c>
      <c r="BA514" s="2">
        <f>[2]หน้าผ้า!EH523</f>
        <v>0</v>
      </c>
      <c r="BB514" s="2">
        <f>[2]หน้าผ้า!EI523</f>
        <v>0</v>
      </c>
      <c r="BC514" s="1">
        <f>[2]หน้าผ้า!BZ523</f>
        <v>0</v>
      </c>
      <c r="BD514" s="56">
        <f>[2]หน้าผ้า!CA523</f>
        <v>0</v>
      </c>
    </row>
    <row r="515" spans="1:56" ht="27.75" customHeight="1" x14ac:dyDescent="0.45">
      <c r="A515" s="3">
        <f>[2]หน้าผ้า!C524</f>
        <v>0</v>
      </c>
      <c r="B515" s="14">
        <f>[2]หน้าผ้า!B524</f>
        <v>0</v>
      </c>
      <c r="C515" s="9">
        <f>[2]หน้าผ้า!E524</f>
        <v>0</v>
      </c>
      <c r="D515" s="13">
        <f>[2]หน้าผ้า!F524</f>
        <v>0</v>
      </c>
      <c r="E515" s="9">
        <f>[2]หน้าผ้า!G524</f>
        <v>0</v>
      </c>
      <c r="F515" s="9">
        <f>[2]หน้าผ้า!H524</f>
        <v>0</v>
      </c>
      <c r="G515" s="9">
        <f>[2]หน้าผ้า!I524</f>
        <v>0</v>
      </c>
      <c r="H515" s="9">
        <f>[2]หน้าผ้า!J524</f>
        <v>0</v>
      </c>
      <c r="I515" s="9">
        <f>[2]หน้าผ้า!L524</f>
        <v>0</v>
      </c>
      <c r="J515" s="9">
        <f>[2]หน้าผ้า!M524</f>
        <v>0</v>
      </c>
      <c r="K515" s="9">
        <f>[2]หน้าผ้า!N524</f>
        <v>0</v>
      </c>
      <c r="L515" s="9">
        <f>[2]หน้าผ้า!R524</f>
        <v>0</v>
      </c>
      <c r="M515" s="10">
        <f>[2]หน้าผ้า!T524</f>
        <v>0</v>
      </c>
      <c r="N515" s="9">
        <f>[2]หน้าผ้า!U524</f>
        <v>0</v>
      </c>
      <c r="O515" s="9">
        <f>[2]หน้าผ้า!V524</f>
        <v>0</v>
      </c>
      <c r="P515" s="10">
        <f>[2]หน้าผ้า!AB524</f>
        <v>0</v>
      </c>
      <c r="Q515" s="10">
        <f>[2]หน้าผ้า!AC524</f>
        <v>0</v>
      </c>
      <c r="R515" s="10">
        <f>[2]หน้าผ้า!AD524</f>
        <v>0</v>
      </c>
      <c r="S515" s="9">
        <f>[2]หน้าผ้า!Z524</f>
        <v>0</v>
      </c>
      <c r="T515" s="12">
        <f>[2]หน้าผ้า!X524</f>
        <v>0</v>
      </c>
      <c r="U515" s="11">
        <f>[2]หน้าผ้า!AA524</f>
        <v>0</v>
      </c>
      <c r="V515" s="10">
        <f>[2]หน้าผ้า!AJ524</f>
        <v>0</v>
      </c>
      <c r="W515" s="10">
        <f>[2]หน้าผ้า!AL524</f>
        <v>0</v>
      </c>
      <c r="X515" s="10">
        <f>[2]หน้าผ้า!AM524</f>
        <v>0</v>
      </c>
      <c r="Y515" s="10">
        <f>[2]หน้าผ้า!AN524</f>
        <v>0</v>
      </c>
      <c r="Z515" s="9">
        <f>[2]หน้าผ้า!AO524</f>
        <v>0</v>
      </c>
      <c r="AA515" s="8">
        <f>[2]หน้าผ้า!AQ524</f>
        <v>0</v>
      </c>
      <c r="AB515" s="8">
        <f>[2]หน้าผ้า!AR524</f>
        <v>0</v>
      </c>
      <c r="AC515" s="8">
        <f>[2]หน้าผ้า!AS524</f>
        <v>0</v>
      </c>
      <c r="AD515" s="8">
        <f>[2]หน้าผ้า!AT524</f>
        <v>0</v>
      </c>
      <c r="AE515" s="8">
        <f>[2]หน้าผ้า!AU524</f>
        <v>0</v>
      </c>
      <c r="AF515" s="8">
        <f>[2]หน้าผ้า!AI524</f>
        <v>0</v>
      </c>
      <c r="AG515" s="1">
        <f>[3]หน้าผ้า!DC527</f>
        <v>0</v>
      </c>
      <c r="AH515" s="1">
        <f>[2]หน้าผ้า!DL524</f>
        <v>0</v>
      </c>
      <c r="AI515" s="1">
        <f>[2]หน้าผ้า!DM524</f>
        <v>0</v>
      </c>
      <c r="AJ515" s="3">
        <f>[2]หน้าผ้า!DN524</f>
        <v>0</v>
      </c>
      <c r="AK515" s="3">
        <f>[2]หน้าผ้า!DQ524</f>
        <v>0</v>
      </c>
      <c r="AL515" s="3">
        <f>[2]หน้าผ้า!DR524</f>
        <v>0</v>
      </c>
      <c r="AM515" s="3">
        <f>[2]หน้าผ้า!DS524</f>
        <v>0</v>
      </c>
      <c r="AN515" s="3">
        <f>[2]หน้าผ้า!DT524</f>
        <v>0</v>
      </c>
      <c r="AO515" s="3">
        <f>[2]หน้าผ้า!DU524</f>
        <v>0</v>
      </c>
      <c r="AP515" s="3">
        <f>[2]หน้าผ้า!DP524</f>
        <v>0</v>
      </c>
      <c r="AQ515" s="3">
        <f>[2]หน้าผ้า!DW524</f>
        <v>0</v>
      </c>
      <c r="AR515" s="3">
        <f>[2]หน้าผ้า!DX524</f>
        <v>0</v>
      </c>
      <c r="AS515" s="3">
        <f>[2]หน้าผ้า!DY524</f>
        <v>0</v>
      </c>
      <c r="AT515" s="3">
        <f>[2]หน้าผ้า!DZ524</f>
        <v>0</v>
      </c>
      <c r="AU515" s="3">
        <f>[2]หน้าผ้า!EA524</f>
        <v>0</v>
      </c>
      <c r="AV515" s="1">
        <f>[2]หน้าผ้า!EB524</f>
        <v>0</v>
      </c>
      <c r="AW515" s="2">
        <f>[2]หน้าผ้า!EC524</f>
        <v>0</v>
      </c>
      <c r="AX515" s="2">
        <f>[2]หน้าผ้า!ED524</f>
        <v>0</v>
      </c>
      <c r="AY515" s="2">
        <f>[2]หน้าผ้า!AG524</f>
        <v>0</v>
      </c>
      <c r="AZ515" s="2">
        <f>[2]หน้าผ้า!EG524</f>
        <v>0</v>
      </c>
      <c r="BA515" s="2">
        <f>[2]หน้าผ้า!EH524</f>
        <v>0</v>
      </c>
      <c r="BB515" s="2">
        <f>[2]หน้าผ้า!EI524</f>
        <v>0</v>
      </c>
      <c r="BC515" s="1">
        <f>[2]หน้าผ้า!BZ524</f>
        <v>0</v>
      </c>
      <c r="BD515" s="56">
        <f>[2]หน้าผ้า!CA524</f>
        <v>0</v>
      </c>
    </row>
    <row r="516" spans="1:56" ht="27.75" customHeight="1" x14ac:dyDescent="0.45">
      <c r="A516" s="3">
        <f>[2]หน้าผ้า!C525</f>
        <v>0</v>
      </c>
      <c r="B516" s="14">
        <f>[2]หน้าผ้า!B525</f>
        <v>0</v>
      </c>
      <c r="C516" s="9">
        <f>[2]หน้าผ้า!E525</f>
        <v>0</v>
      </c>
      <c r="D516" s="13">
        <f>[2]หน้าผ้า!F525</f>
        <v>0</v>
      </c>
      <c r="E516" s="9">
        <f>[2]หน้าผ้า!G525</f>
        <v>0</v>
      </c>
      <c r="F516" s="9">
        <f>[2]หน้าผ้า!H525</f>
        <v>0</v>
      </c>
      <c r="G516" s="9">
        <f>[2]หน้าผ้า!I525</f>
        <v>0</v>
      </c>
      <c r="H516" s="9">
        <f>[2]หน้าผ้า!J525</f>
        <v>0</v>
      </c>
      <c r="I516" s="9">
        <f>[2]หน้าผ้า!L525</f>
        <v>0</v>
      </c>
      <c r="J516" s="9">
        <f>[2]หน้าผ้า!M525</f>
        <v>0</v>
      </c>
      <c r="K516" s="9">
        <f>[2]หน้าผ้า!N525</f>
        <v>0</v>
      </c>
      <c r="L516" s="9">
        <f>[2]หน้าผ้า!R525</f>
        <v>0</v>
      </c>
      <c r="M516" s="10">
        <f>[2]หน้าผ้า!T525</f>
        <v>0</v>
      </c>
      <c r="N516" s="9">
        <f>[2]หน้าผ้า!U525</f>
        <v>0</v>
      </c>
      <c r="O516" s="9">
        <f>[2]หน้าผ้า!V525</f>
        <v>0</v>
      </c>
      <c r="P516" s="10">
        <f>[2]หน้าผ้า!AB525</f>
        <v>0</v>
      </c>
      <c r="Q516" s="10">
        <f>[2]หน้าผ้า!AC525</f>
        <v>0</v>
      </c>
      <c r="R516" s="10">
        <f>[2]หน้าผ้า!AD525</f>
        <v>0</v>
      </c>
      <c r="S516" s="9">
        <f>[2]หน้าผ้า!Z525</f>
        <v>0</v>
      </c>
      <c r="T516" s="12">
        <f>[2]หน้าผ้า!X525</f>
        <v>0</v>
      </c>
      <c r="U516" s="11">
        <f>[2]หน้าผ้า!AA525</f>
        <v>0</v>
      </c>
      <c r="V516" s="10">
        <f>[2]หน้าผ้า!AJ525</f>
        <v>0</v>
      </c>
      <c r="W516" s="10">
        <f>[2]หน้าผ้า!AL525</f>
        <v>0</v>
      </c>
      <c r="X516" s="10">
        <f>[2]หน้าผ้า!AM525</f>
        <v>0</v>
      </c>
      <c r="Y516" s="10">
        <f>[2]หน้าผ้า!AN525</f>
        <v>0</v>
      </c>
      <c r="Z516" s="9">
        <f>[2]หน้าผ้า!AO525</f>
        <v>0</v>
      </c>
      <c r="AA516" s="8">
        <f>[2]หน้าผ้า!AQ525</f>
        <v>0</v>
      </c>
      <c r="AB516" s="8">
        <f>[2]หน้าผ้า!AR525</f>
        <v>0</v>
      </c>
      <c r="AC516" s="8">
        <f>[2]หน้าผ้า!AS525</f>
        <v>0</v>
      </c>
      <c r="AD516" s="8">
        <f>[2]หน้าผ้า!AT525</f>
        <v>0</v>
      </c>
      <c r="AE516" s="8">
        <f>[2]หน้าผ้า!AU525</f>
        <v>0</v>
      </c>
      <c r="AF516" s="8">
        <f>[2]หน้าผ้า!AI525</f>
        <v>0</v>
      </c>
      <c r="AG516" s="1">
        <f>[3]หน้าผ้า!DC528</f>
        <v>0</v>
      </c>
      <c r="AH516" s="1">
        <f>[2]หน้าผ้า!DL525</f>
        <v>0</v>
      </c>
      <c r="AI516" s="1">
        <f>[2]หน้าผ้า!DM525</f>
        <v>0</v>
      </c>
      <c r="AJ516" s="3">
        <f>[2]หน้าผ้า!DN525</f>
        <v>0</v>
      </c>
      <c r="AK516" s="3">
        <f>[2]หน้าผ้า!DQ525</f>
        <v>0</v>
      </c>
      <c r="AL516" s="3">
        <f>[2]หน้าผ้า!DR525</f>
        <v>0</v>
      </c>
      <c r="AM516" s="3">
        <f>[2]หน้าผ้า!DS525</f>
        <v>0</v>
      </c>
      <c r="AN516" s="3">
        <f>[2]หน้าผ้า!DT525</f>
        <v>0</v>
      </c>
      <c r="AO516" s="3">
        <f>[2]หน้าผ้า!DU525</f>
        <v>0</v>
      </c>
      <c r="AP516" s="3">
        <f>[2]หน้าผ้า!DP525</f>
        <v>0</v>
      </c>
      <c r="AQ516" s="3">
        <f>[2]หน้าผ้า!DW525</f>
        <v>0</v>
      </c>
      <c r="AR516" s="3">
        <f>[2]หน้าผ้า!DX525</f>
        <v>0</v>
      </c>
      <c r="AS516" s="3">
        <f>[2]หน้าผ้า!DY525</f>
        <v>0</v>
      </c>
      <c r="AT516" s="3">
        <f>[2]หน้าผ้า!DZ525</f>
        <v>0</v>
      </c>
      <c r="AU516" s="3">
        <f>[2]หน้าผ้า!EA525</f>
        <v>0</v>
      </c>
      <c r="AV516" s="1">
        <f>[2]หน้าผ้า!EB525</f>
        <v>0</v>
      </c>
      <c r="AW516" s="2">
        <f>[2]หน้าผ้า!EC525</f>
        <v>0</v>
      </c>
      <c r="AX516" s="2">
        <f>[2]หน้าผ้า!ED525</f>
        <v>0</v>
      </c>
      <c r="AY516" s="2">
        <f>[2]หน้าผ้า!AG525</f>
        <v>0</v>
      </c>
      <c r="AZ516" s="2">
        <f>[2]หน้าผ้า!EG525</f>
        <v>0</v>
      </c>
      <c r="BA516" s="2">
        <f>[2]หน้าผ้า!EH525</f>
        <v>0</v>
      </c>
      <c r="BB516" s="2">
        <f>[2]หน้าผ้า!EI525</f>
        <v>0</v>
      </c>
      <c r="BC516" s="1">
        <f>[2]หน้าผ้า!BZ525</f>
        <v>0</v>
      </c>
      <c r="BD516" s="56">
        <f>[2]หน้าผ้า!CA525</f>
        <v>0</v>
      </c>
    </row>
    <row r="517" spans="1:56" ht="27.75" customHeight="1" x14ac:dyDescent="0.45">
      <c r="A517" s="3">
        <f>[2]หน้าผ้า!C526</f>
        <v>0</v>
      </c>
      <c r="B517" s="14">
        <f>[2]หน้าผ้า!B526</f>
        <v>0</v>
      </c>
      <c r="C517" s="9">
        <f>[2]หน้าผ้า!E526</f>
        <v>0</v>
      </c>
      <c r="D517" s="13">
        <f>[2]หน้าผ้า!F526</f>
        <v>0</v>
      </c>
      <c r="E517" s="9">
        <f>[2]หน้าผ้า!G526</f>
        <v>0</v>
      </c>
      <c r="F517" s="9">
        <f>[2]หน้าผ้า!H526</f>
        <v>0</v>
      </c>
      <c r="G517" s="9">
        <f>[2]หน้าผ้า!I526</f>
        <v>0</v>
      </c>
      <c r="H517" s="9">
        <f>[2]หน้าผ้า!J526</f>
        <v>0</v>
      </c>
      <c r="I517" s="9">
        <f>[2]หน้าผ้า!L526</f>
        <v>0</v>
      </c>
      <c r="J517" s="9">
        <f>[2]หน้าผ้า!M526</f>
        <v>0</v>
      </c>
      <c r="K517" s="9">
        <f>[2]หน้าผ้า!N526</f>
        <v>0</v>
      </c>
      <c r="L517" s="9">
        <f>[2]หน้าผ้า!R526</f>
        <v>0</v>
      </c>
      <c r="M517" s="10">
        <f>[2]หน้าผ้า!T526</f>
        <v>0</v>
      </c>
      <c r="N517" s="9">
        <f>[2]หน้าผ้า!U526</f>
        <v>0</v>
      </c>
      <c r="O517" s="9">
        <f>[2]หน้าผ้า!V526</f>
        <v>0</v>
      </c>
      <c r="P517" s="10">
        <f>[2]หน้าผ้า!AB526</f>
        <v>0</v>
      </c>
      <c r="Q517" s="10">
        <f>[2]หน้าผ้า!AC526</f>
        <v>0</v>
      </c>
      <c r="R517" s="10">
        <f>[2]หน้าผ้า!AD526</f>
        <v>0</v>
      </c>
      <c r="S517" s="9">
        <f>[2]หน้าผ้า!Z526</f>
        <v>0</v>
      </c>
      <c r="T517" s="12">
        <f>[2]หน้าผ้า!X526</f>
        <v>0</v>
      </c>
      <c r="U517" s="11">
        <f>[2]หน้าผ้า!AA526</f>
        <v>0</v>
      </c>
      <c r="V517" s="10">
        <f>[2]หน้าผ้า!AJ526</f>
        <v>0</v>
      </c>
      <c r="W517" s="10">
        <f>[2]หน้าผ้า!AL526</f>
        <v>0</v>
      </c>
      <c r="X517" s="10">
        <f>[2]หน้าผ้า!AM526</f>
        <v>0</v>
      </c>
      <c r="Y517" s="10">
        <f>[2]หน้าผ้า!AN526</f>
        <v>0</v>
      </c>
      <c r="Z517" s="9">
        <f>[2]หน้าผ้า!AO526</f>
        <v>0</v>
      </c>
      <c r="AA517" s="8">
        <f>[2]หน้าผ้า!AQ526</f>
        <v>0</v>
      </c>
      <c r="AB517" s="8">
        <f>[2]หน้าผ้า!AR526</f>
        <v>0</v>
      </c>
      <c r="AC517" s="8">
        <f>[2]หน้าผ้า!AS526</f>
        <v>0</v>
      </c>
      <c r="AD517" s="8">
        <f>[2]หน้าผ้า!AT526</f>
        <v>0</v>
      </c>
      <c r="AE517" s="8">
        <f>[2]หน้าผ้า!AU526</f>
        <v>0</v>
      </c>
      <c r="AF517" s="8">
        <f>[2]หน้าผ้า!AI526</f>
        <v>0</v>
      </c>
      <c r="AG517" s="1">
        <f>[3]หน้าผ้า!DC529</f>
        <v>0</v>
      </c>
      <c r="AH517" s="1">
        <f>[2]หน้าผ้า!DL526</f>
        <v>0</v>
      </c>
      <c r="AI517" s="1">
        <f>[2]หน้าผ้า!DM526</f>
        <v>0</v>
      </c>
      <c r="AJ517" s="3">
        <f>[2]หน้าผ้า!DN526</f>
        <v>0</v>
      </c>
      <c r="AK517" s="3">
        <f>[2]หน้าผ้า!DQ526</f>
        <v>0</v>
      </c>
      <c r="AL517" s="3">
        <f>[2]หน้าผ้า!DR526</f>
        <v>0</v>
      </c>
      <c r="AM517" s="3">
        <f>[2]หน้าผ้า!DS526</f>
        <v>0</v>
      </c>
      <c r="AN517" s="3">
        <f>[2]หน้าผ้า!DT526</f>
        <v>0</v>
      </c>
      <c r="AO517" s="3">
        <f>[2]หน้าผ้า!DU526</f>
        <v>0</v>
      </c>
      <c r="AP517" s="3">
        <f>[2]หน้าผ้า!DP526</f>
        <v>0</v>
      </c>
      <c r="AQ517" s="3">
        <f>[2]หน้าผ้า!DW526</f>
        <v>0</v>
      </c>
      <c r="AR517" s="3">
        <f>[2]หน้าผ้า!DX526</f>
        <v>0</v>
      </c>
      <c r="AS517" s="3">
        <f>[2]หน้าผ้า!DY526</f>
        <v>0</v>
      </c>
      <c r="AT517" s="3">
        <f>[2]หน้าผ้า!DZ526</f>
        <v>0</v>
      </c>
      <c r="AU517" s="3">
        <f>[2]หน้าผ้า!EA526</f>
        <v>0</v>
      </c>
      <c r="AV517" s="1">
        <f>[2]หน้าผ้า!EB526</f>
        <v>0</v>
      </c>
      <c r="AW517" s="2">
        <f>[2]หน้าผ้า!EC526</f>
        <v>0</v>
      </c>
      <c r="AX517" s="2">
        <f>[2]หน้าผ้า!ED526</f>
        <v>0</v>
      </c>
      <c r="AY517" s="2">
        <f>[2]หน้าผ้า!AG526</f>
        <v>0</v>
      </c>
      <c r="AZ517" s="2">
        <f>[2]หน้าผ้า!EG526</f>
        <v>0</v>
      </c>
      <c r="BA517" s="2">
        <f>[2]หน้าผ้า!EH526</f>
        <v>0</v>
      </c>
      <c r="BB517" s="2">
        <f>[2]หน้าผ้า!EI526</f>
        <v>0</v>
      </c>
      <c r="BC517" s="1">
        <f>[2]หน้าผ้า!BZ526</f>
        <v>0</v>
      </c>
      <c r="BD517" s="56">
        <f>[2]หน้าผ้า!CA526</f>
        <v>0</v>
      </c>
    </row>
    <row r="518" spans="1:56" ht="27.75" customHeight="1" x14ac:dyDescent="0.45">
      <c r="A518" s="3">
        <f>[2]หน้าผ้า!C527</f>
        <v>0</v>
      </c>
      <c r="B518" s="14">
        <f>[2]หน้าผ้า!B527</f>
        <v>0</v>
      </c>
      <c r="C518" s="9">
        <f>[2]หน้าผ้า!E527</f>
        <v>0</v>
      </c>
      <c r="D518" s="13">
        <f>[2]หน้าผ้า!F527</f>
        <v>0</v>
      </c>
      <c r="E518" s="9">
        <f>[2]หน้าผ้า!G527</f>
        <v>0</v>
      </c>
      <c r="F518" s="9">
        <f>[2]หน้าผ้า!H527</f>
        <v>0</v>
      </c>
      <c r="G518" s="9">
        <f>[2]หน้าผ้า!I527</f>
        <v>0</v>
      </c>
      <c r="H518" s="9">
        <f>[2]หน้าผ้า!J527</f>
        <v>0</v>
      </c>
      <c r="I518" s="9">
        <f>[2]หน้าผ้า!L527</f>
        <v>0</v>
      </c>
      <c r="J518" s="9">
        <f>[2]หน้าผ้า!M527</f>
        <v>0</v>
      </c>
      <c r="K518" s="9">
        <f>[2]หน้าผ้า!N527</f>
        <v>0</v>
      </c>
      <c r="L518" s="9">
        <f>[2]หน้าผ้า!R527</f>
        <v>0</v>
      </c>
      <c r="M518" s="10">
        <f>[2]หน้าผ้า!T527</f>
        <v>0</v>
      </c>
      <c r="N518" s="9">
        <f>[2]หน้าผ้า!U527</f>
        <v>0</v>
      </c>
      <c r="O518" s="9">
        <f>[2]หน้าผ้า!V527</f>
        <v>0</v>
      </c>
      <c r="P518" s="10">
        <f>[2]หน้าผ้า!AB527</f>
        <v>0</v>
      </c>
      <c r="Q518" s="10">
        <f>[2]หน้าผ้า!AC527</f>
        <v>0</v>
      </c>
      <c r="R518" s="10">
        <f>[2]หน้าผ้า!AD527</f>
        <v>0</v>
      </c>
      <c r="S518" s="9">
        <f>[2]หน้าผ้า!Z527</f>
        <v>0</v>
      </c>
      <c r="T518" s="12">
        <f>[2]หน้าผ้า!X527</f>
        <v>0</v>
      </c>
      <c r="U518" s="11">
        <f>[2]หน้าผ้า!AA527</f>
        <v>0</v>
      </c>
      <c r="V518" s="10">
        <f>[2]หน้าผ้า!AJ527</f>
        <v>0</v>
      </c>
      <c r="W518" s="10">
        <f>[2]หน้าผ้า!AL527</f>
        <v>0</v>
      </c>
      <c r="X518" s="10">
        <f>[2]หน้าผ้า!AM527</f>
        <v>0</v>
      </c>
      <c r="Y518" s="10">
        <f>[2]หน้าผ้า!AN527</f>
        <v>0</v>
      </c>
      <c r="Z518" s="9">
        <f>[2]หน้าผ้า!AO527</f>
        <v>0</v>
      </c>
      <c r="AA518" s="8">
        <f>[2]หน้าผ้า!AQ527</f>
        <v>0</v>
      </c>
      <c r="AB518" s="8">
        <f>[2]หน้าผ้า!AR527</f>
        <v>0</v>
      </c>
      <c r="AC518" s="8">
        <f>[2]หน้าผ้า!AS527</f>
        <v>0</v>
      </c>
      <c r="AD518" s="8">
        <f>[2]หน้าผ้า!AT527</f>
        <v>0</v>
      </c>
      <c r="AE518" s="8">
        <f>[2]หน้าผ้า!AU527</f>
        <v>0</v>
      </c>
      <c r="AF518" s="8">
        <f>[2]หน้าผ้า!AI527</f>
        <v>0</v>
      </c>
      <c r="AG518" s="1">
        <f>[3]หน้าผ้า!DC530</f>
        <v>0</v>
      </c>
      <c r="AH518" s="1">
        <f>[2]หน้าผ้า!DL527</f>
        <v>0</v>
      </c>
      <c r="AI518" s="1">
        <f>[2]หน้าผ้า!DM527</f>
        <v>0</v>
      </c>
      <c r="AJ518" s="3">
        <f>[2]หน้าผ้า!DN527</f>
        <v>0</v>
      </c>
      <c r="AK518" s="3">
        <f>[2]หน้าผ้า!DQ527</f>
        <v>0</v>
      </c>
      <c r="AL518" s="3">
        <f>[2]หน้าผ้า!DR527</f>
        <v>0</v>
      </c>
      <c r="AM518" s="3">
        <f>[2]หน้าผ้า!DS527</f>
        <v>0</v>
      </c>
      <c r="AN518" s="3">
        <f>[2]หน้าผ้า!DT527</f>
        <v>0</v>
      </c>
      <c r="AO518" s="3">
        <f>[2]หน้าผ้า!DU527</f>
        <v>0</v>
      </c>
      <c r="AP518" s="3">
        <f>[2]หน้าผ้า!DP527</f>
        <v>0</v>
      </c>
      <c r="AQ518" s="3">
        <f>[2]หน้าผ้า!DW527</f>
        <v>0</v>
      </c>
      <c r="AR518" s="3">
        <f>[2]หน้าผ้า!DX527</f>
        <v>0</v>
      </c>
      <c r="AS518" s="3">
        <f>[2]หน้าผ้า!DY527</f>
        <v>0</v>
      </c>
      <c r="AT518" s="3">
        <f>[2]หน้าผ้า!DZ527</f>
        <v>0</v>
      </c>
      <c r="AU518" s="3">
        <f>[2]หน้าผ้า!EA527</f>
        <v>0</v>
      </c>
      <c r="AV518" s="1">
        <f>[2]หน้าผ้า!EB527</f>
        <v>0</v>
      </c>
      <c r="AW518" s="2">
        <f>[2]หน้าผ้า!EC527</f>
        <v>0</v>
      </c>
      <c r="AX518" s="2">
        <f>[2]หน้าผ้า!ED527</f>
        <v>0</v>
      </c>
      <c r="AY518" s="2">
        <f>[2]หน้าผ้า!AG527</f>
        <v>0</v>
      </c>
      <c r="AZ518" s="2">
        <f>[2]หน้าผ้า!EG527</f>
        <v>0</v>
      </c>
      <c r="BA518" s="2">
        <f>[2]หน้าผ้า!EH527</f>
        <v>0</v>
      </c>
      <c r="BB518" s="2">
        <f>[2]หน้าผ้า!EI527</f>
        <v>0</v>
      </c>
      <c r="BC518" s="1">
        <f>[2]หน้าผ้า!BZ527</f>
        <v>0</v>
      </c>
      <c r="BD518" s="56">
        <f>[2]หน้าผ้า!CA527</f>
        <v>0</v>
      </c>
    </row>
    <row r="519" spans="1:56" ht="27.75" customHeight="1" x14ac:dyDescent="0.45">
      <c r="A519" s="3">
        <f>[2]หน้าผ้า!C528</f>
        <v>0</v>
      </c>
      <c r="B519" s="14">
        <f>[2]หน้าผ้า!B528</f>
        <v>0</v>
      </c>
      <c r="C519" s="9">
        <f>[2]หน้าผ้า!E528</f>
        <v>0</v>
      </c>
      <c r="D519" s="13">
        <f>[2]หน้าผ้า!F528</f>
        <v>0</v>
      </c>
      <c r="E519" s="9">
        <f>[2]หน้าผ้า!G528</f>
        <v>0</v>
      </c>
      <c r="F519" s="9">
        <f>[2]หน้าผ้า!H528</f>
        <v>0</v>
      </c>
      <c r="G519" s="9">
        <f>[2]หน้าผ้า!I528</f>
        <v>0</v>
      </c>
      <c r="H519" s="9">
        <f>[2]หน้าผ้า!J528</f>
        <v>0</v>
      </c>
      <c r="I519" s="9">
        <f>[2]หน้าผ้า!L528</f>
        <v>0</v>
      </c>
      <c r="J519" s="9">
        <f>[2]หน้าผ้า!M528</f>
        <v>0</v>
      </c>
      <c r="K519" s="9">
        <f>[2]หน้าผ้า!N528</f>
        <v>0</v>
      </c>
      <c r="L519" s="9">
        <f>[2]หน้าผ้า!R528</f>
        <v>0</v>
      </c>
      <c r="M519" s="10">
        <f>[2]หน้าผ้า!T528</f>
        <v>0</v>
      </c>
      <c r="N519" s="9">
        <f>[2]หน้าผ้า!U528</f>
        <v>0</v>
      </c>
      <c r="O519" s="9">
        <f>[2]หน้าผ้า!V528</f>
        <v>0</v>
      </c>
      <c r="P519" s="10">
        <f>[2]หน้าผ้า!AB528</f>
        <v>0</v>
      </c>
      <c r="Q519" s="10">
        <f>[2]หน้าผ้า!AC528</f>
        <v>0</v>
      </c>
      <c r="R519" s="10">
        <f>[2]หน้าผ้า!AD528</f>
        <v>0</v>
      </c>
      <c r="S519" s="9">
        <f>[2]หน้าผ้า!Z528</f>
        <v>0</v>
      </c>
      <c r="T519" s="12">
        <f>[2]หน้าผ้า!X528</f>
        <v>0</v>
      </c>
      <c r="U519" s="11">
        <f>[2]หน้าผ้า!AA528</f>
        <v>0</v>
      </c>
      <c r="V519" s="10">
        <f>[2]หน้าผ้า!AJ528</f>
        <v>0</v>
      </c>
      <c r="W519" s="10">
        <f>[2]หน้าผ้า!AL528</f>
        <v>0</v>
      </c>
      <c r="X519" s="10">
        <f>[2]หน้าผ้า!AM528</f>
        <v>0</v>
      </c>
      <c r="Y519" s="10">
        <f>[2]หน้าผ้า!AN528</f>
        <v>0</v>
      </c>
      <c r="Z519" s="9">
        <f>[2]หน้าผ้า!AO528</f>
        <v>0</v>
      </c>
      <c r="AA519" s="8">
        <f>[2]หน้าผ้า!AQ528</f>
        <v>0</v>
      </c>
      <c r="AB519" s="8">
        <f>[2]หน้าผ้า!AR528</f>
        <v>0</v>
      </c>
      <c r="AC519" s="8">
        <f>[2]หน้าผ้า!AS528</f>
        <v>0</v>
      </c>
      <c r="AD519" s="8">
        <f>[2]หน้าผ้า!AT528</f>
        <v>0</v>
      </c>
      <c r="AE519" s="8">
        <f>[2]หน้าผ้า!AU528</f>
        <v>0</v>
      </c>
      <c r="AF519" s="8">
        <f>[2]หน้าผ้า!AI528</f>
        <v>0</v>
      </c>
      <c r="AG519" s="1">
        <f>[3]หน้าผ้า!DC531</f>
        <v>0</v>
      </c>
      <c r="AH519" s="1">
        <f>[2]หน้าผ้า!DL528</f>
        <v>0</v>
      </c>
      <c r="AI519" s="1">
        <f>[2]หน้าผ้า!DM528</f>
        <v>0</v>
      </c>
      <c r="AJ519" s="3">
        <f>[2]หน้าผ้า!DN528</f>
        <v>0</v>
      </c>
      <c r="AK519" s="3">
        <f>[2]หน้าผ้า!DQ528</f>
        <v>0</v>
      </c>
      <c r="AL519" s="3">
        <f>[2]หน้าผ้า!DR528</f>
        <v>0</v>
      </c>
      <c r="AM519" s="3">
        <f>[2]หน้าผ้า!DS528</f>
        <v>0</v>
      </c>
      <c r="AN519" s="3">
        <f>[2]หน้าผ้า!DT528</f>
        <v>0</v>
      </c>
      <c r="AO519" s="3">
        <f>[2]หน้าผ้า!DU528</f>
        <v>0</v>
      </c>
      <c r="AP519" s="3">
        <f>[2]หน้าผ้า!DP528</f>
        <v>0</v>
      </c>
      <c r="AQ519" s="3">
        <f>[2]หน้าผ้า!DW528</f>
        <v>0</v>
      </c>
      <c r="AR519" s="3">
        <f>[2]หน้าผ้า!DX528</f>
        <v>0</v>
      </c>
      <c r="AS519" s="3">
        <f>[2]หน้าผ้า!DY528</f>
        <v>0</v>
      </c>
      <c r="AT519" s="3">
        <f>[2]หน้าผ้า!DZ528</f>
        <v>0</v>
      </c>
      <c r="AU519" s="3">
        <f>[2]หน้าผ้า!EA528</f>
        <v>0</v>
      </c>
      <c r="AV519" s="1">
        <f>[2]หน้าผ้า!EB528</f>
        <v>0</v>
      </c>
      <c r="AW519" s="2">
        <f>[2]หน้าผ้า!EC528</f>
        <v>0</v>
      </c>
      <c r="AX519" s="2">
        <f>[2]หน้าผ้า!ED528</f>
        <v>0</v>
      </c>
      <c r="AY519" s="2">
        <f>[2]หน้าผ้า!AG528</f>
        <v>0</v>
      </c>
      <c r="AZ519" s="2">
        <f>[2]หน้าผ้า!EG528</f>
        <v>0</v>
      </c>
      <c r="BA519" s="2">
        <f>[2]หน้าผ้า!EH528</f>
        <v>0</v>
      </c>
      <c r="BB519" s="2">
        <f>[2]หน้าผ้า!EI528</f>
        <v>0</v>
      </c>
      <c r="BC519" s="1">
        <f>[2]หน้าผ้า!BZ528</f>
        <v>0</v>
      </c>
      <c r="BD519" s="56">
        <f>[2]หน้าผ้า!CA528</f>
        <v>0</v>
      </c>
    </row>
    <row r="520" spans="1:56" ht="27.75" customHeight="1" x14ac:dyDescent="0.45">
      <c r="A520" s="3">
        <f>[2]หน้าผ้า!C529</f>
        <v>0</v>
      </c>
      <c r="B520" s="14">
        <f>[2]หน้าผ้า!B529</f>
        <v>0</v>
      </c>
      <c r="C520" s="9">
        <f>[2]หน้าผ้า!E529</f>
        <v>0</v>
      </c>
      <c r="D520" s="13">
        <f>[2]หน้าผ้า!F529</f>
        <v>0</v>
      </c>
      <c r="E520" s="9">
        <f>[2]หน้าผ้า!G529</f>
        <v>0</v>
      </c>
      <c r="F520" s="9">
        <f>[2]หน้าผ้า!H529</f>
        <v>0</v>
      </c>
      <c r="G520" s="9">
        <f>[2]หน้าผ้า!I529</f>
        <v>0</v>
      </c>
      <c r="H520" s="9">
        <f>[2]หน้าผ้า!J529</f>
        <v>0</v>
      </c>
      <c r="I520" s="9">
        <f>[2]หน้าผ้า!L529</f>
        <v>0</v>
      </c>
      <c r="J520" s="9">
        <f>[2]หน้าผ้า!M529</f>
        <v>0</v>
      </c>
      <c r="K520" s="9">
        <f>[2]หน้าผ้า!N529</f>
        <v>0</v>
      </c>
      <c r="L520" s="9">
        <f>[2]หน้าผ้า!R529</f>
        <v>0</v>
      </c>
      <c r="M520" s="10">
        <f>[2]หน้าผ้า!T529</f>
        <v>0</v>
      </c>
      <c r="N520" s="9">
        <f>[2]หน้าผ้า!U529</f>
        <v>0</v>
      </c>
      <c r="O520" s="9">
        <f>[2]หน้าผ้า!V529</f>
        <v>0</v>
      </c>
      <c r="P520" s="10">
        <f>[2]หน้าผ้า!AB529</f>
        <v>0</v>
      </c>
      <c r="Q520" s="10">
        <f>[2]หน้าผ้า!AC529</f>
        <v>0</v>
      </c>
      <c r="R520" s="10">
        <f>[2]หน้าผ้า!AD529</f>
        <v>0</v>
      </c>
      <c r="S520" s="9">
        <f>[2]หน้าผ้า!Z529</f>
        <v>0</v>
      </c>
      <c r="T520" s="12">
        <f>[2]หน้าผ้า!X529</f>
        <v>0</v>
      </c>
      <c r="U520" s="11">
        <f>[2]หน้าผ้า!AA529</f>
        <v>0</v>
      </c>
      <c r="V520" s="10">
        <f>[2]หน้าผ้า!AJ529</f>
        <v>0</v>
      </c>
      <c r="W520" s="10">
        <f>[2]หน้าผ้า!AL529</f>
        <v>0</v>
      </c>
      <c r="X520" s="10">
        <f>[2]หน้าผ้า!AM529</f>
        <v>0</v>
      </c>
      <c r="Y520" s="10">
        <f>[2]หน้าผ้า!AN529</f>
        <v>0</v>
      </c>
      <c r="Z520" s="9">
        <f>[2]หน้าผ้า!AO529</f>
        <v>0</v>
      </c>
      <c r="AA520" s="8">
        <f>[2]หน้าผ้า!AQ529</f>
        <v>0</v>
      </c>
      <c r="AB520" s="8">
        <f>[2]หน้าผ้า!AR529</f>
        <v>0</v>
      </c>
      <c r="AC520" s="8">
        <f>[2]หน้าผ้า!AS529</f>
        <v>0</v>
      </c>
      <c r="AD520" s="8">
        <f>[2]หน้าผ้า!AT529</f>
        <v>0</v>
      </c>
      <c r="AE520" s="8">
        <f>[2]หน้าผ้า!AU529</f>
        <v>0</v>
      </c>
      <c r="AF520" s="8">
        <f>[2]หน้าผ้า!AI529</f>
        <v>0</v>
      </c>
      <c r="AG520" s="1">
        <f>[3]หน้าผ้า!DC532</f>
        <v>0</v>
      </c>
      <c r="AH520" s="1">
        <f>[2]หน้าผ้า!DL529</f>
        <v>0</v>
      </c>
      <c r="AI520" s="1">
        <f>[2]หน้าผ้า!DM529</f>
        <v>0</v>
      </c>
      <c r="AJ520" s="3">
        <f>[2]หน้าผ้า!DN529</f>
        <v>0</v>
      </c>
      <c r="AK520" s="3">
        <f>[2]หน้าผ้า!DQ529</f>
        <v>0</v>
      </c>
      <c r="AL520" s="3">
        <f>[2]หน้าผ้า!DR529</f>
        <v>0</v>
      </c>
      <c r="AM520" s="3">
        <f>[2]หน้าผ้า!DS529</f>
        <v>0</v>
      </c>
      <c r="AN520" s="3">
        <f>[2]หน้าผ้า!DT529</f>
        <v>0</v>
      </c>
      <c r="AO520" s="3">
        <f>[2]หน้าผ้า!DU529</f>
        <v>0</v>
      </c>
      <c r="AP520" s="3">
        <f>[2]หน้าผ้า!DP529</f>
        <v>0</v>
      </c>
      <c r="AQ520" s="3">
        <f>[2]หน้าผ้า!DW529</f>
        <v>0</v>
      </c>
      <c r="AR520" s="3">
        <f>[2]หน้าผ้า!DX529</f>
        <v>0</v>
      </c>
      <c r="AS520" s="3">
        <f>[2]หน้าผ้า!DY529</f>
        <v>0</v>
      </c>
      <c r="AT520" s="3">
        <f>[2]หน้าผ้า!DZ529</f>
        <v>0</v>
      </c>
      <c r="AU520" s="3">
        <f>[2]หน้าผ้า!EA529</f>
        <v>0</v>
      </c>
      <c r="AV520" s="1">
        <f>[2]หน้าผ้า!EB529</f>
        <v>0</v>
      </c>
      <c r="AW520" s="2">
        <f>[2]หน้าผ้า!EC529</f>
        <v>0</v>
      </c>
      <c r="AX520" s="2">
        <f>[2]หน้าผ้า!ED529</f>
        <v>0</v>
      </c>
      <c r="AY520" s="2">
        <f>[2]หน้าผ้า!AG529</f>
        <v>0</v>
      </c>
      <c r="AZ520" s="2">
        <f>[2]หน้าผ้า!EG529</f>
        <v>0</v>
      </c>
      <c r="BA520" s="2">
        <f>[2]หน้าผ้า!EH529</f>
        <v>0</v>
      </c>
      <c r="BB520" s="2">
        <f>[2]หน้าผ้า!EI529</f>
        <v>0</v>
      </c>
      <c r="BC520" s="1">
        <f>[2]หน้าผ้า!BZ529</f>
        <v>0</v>
      </c>
      <c r="BD520" s="56">
        <f>[2]หน้าผ้า!CA529</f>
        <v>0</v>
      </c>
    </row>
    <row r="521" spans="1:56" ht="27.75" customHeight="1" x14ac:dyDescent="0.45">
      <c r="A521" s="3">
        <f>[2]หน้าผ้า!C530</f>
        <v>0</v>
      </c>
      <c r="B521" s="14">
        <f>[2]หน้าผ้า!B530</f>
        <v>0</v>
      </c>
      <c r="C521" s="9">
        <f>[2]หน้าผ้า!E530</f>
        <v>0</v>
      </c>
      <c r="D521" s="13">
        <f>[2]หน้าผ้า!F530</f>
        <v>0</v>
      </c>
      <c r="E521" s="9">
        <f>[2]หน้าผ้า!G530</f>
        <v>0</v>
      </c>
      <c r="F521" s="9">
        <f>[2]หน้าผ้า!H530</f>
        <v>0</v>
      </c>
      <c r="G521" s="9">
        <f>[2]หน้าผ้า!I530</f>
        <v>0</v>
      </c>
      <c r="H521" s="9">
        <f>[2]หน้าผ้า!J530</f>
        <v>0</v>
      </c>
      <c r="I521" s="9">
        <f>[2]หน้าผ้า!L530</f>
        <v>0</v>
      </c>
      <c r="J521" s="9">
        <f>[2]หน้าผ้า!M530</f>
        <v>0</v>
      </c>
      <c r="K521" s="9">
        <f>[2]หน้าผ้า!N530</f>
        <v>0</v>
      </c>
      <c r="L521" s="9">
        <f>[2]หน้าผ้า!R530</f>
        <v>0</v>
      </c>
      <c r="M521" s="10">
        <f>[2]หน้าผ้า!T530</f>
        <v>0</v>
      </c>
      <c r="N521" s="9">
        <f>[2]หน้าผ้า!U530</f>
        <v>0</v>
      </c>
      <c r="O521" s="9">
        <f>[2]หน้าผ้า!V530</f>
        <v>0</v>
      </c>
      <c r="P521" s="10">
        <f>[2]หน้าผ้า!AB530</f>
        <v>0</v>
      </c>
      <c r="Q521" s="10">
        <f>[2]หน้าผ้า!AC530</f>
        <v>0</v>
      </c>
      <c r="R521" s="10">
        <f>[2]หน้าผ้า!AD530</f>
        <v>0</v>
      </c>
      <c r="S521" s="9">
        <f>[2]หน้าผ้า!Z530</f>
        <v>0</v>
      </c>
      <c r="T521" s="12">
        <f>[2]หน้าผ้า!X530</f>
        <v>0</v>
      </c>
      <c r="U521" s="11">
        <f>[2]หน้าผ้า!AA530</f>
        <v>0</v>
      </c>
      <c r="V521" s="10">
        <f>[2]หน้าผ้า!AJ530</f>
        <v>0</v>
      </c>
      <c r="W521" s="10">
        <f>[2]หน้าผ้า!AL530</f>
        <v>0</v>
      </c>
      <c r="X521" s="10">
        <f>[2]หน้าผ้า!AM530</f>
        <v>0</v>
      </c>
      <c r="Y521" s="10">
        <f>[2]หน้าผ้า!AN530</f>
        <v>0</v>
      </c>
      <c r="Z521" s="9">
        <f>[2]หน้าผ้า!AO530</f>
        <v>0</v>
      </c>
      <c r="AA521" s="8">
        <f>[2]หน้าผ้า!AQ530</f>
        <v>0</v>
      </c>
      <c r="AB521" s="8">
        <f>[2]หน้าผ้า!AR530</f>
        <v>0</v>
      </c>
      <c r="AC521" s="8">
        <f>[2]หน้าผ้า!AS530</f>
        <v>0</v>
      </c>
      <c r="AD521" s="8">
        <f>[2]หน้าผ้า!AT530</f>
        <v>0</v>
      </c>
      <c r="AE521" s="8">
        <f>[2]หน้าผ้า!AU530</f>
        <v>0</v>
      </c>
      <c r="AF521" s="8">
        <f>[2]หน้าผ้า!AI530</f>
        <v>0</v>
      </c>
      <c r="AG521" s="1">
        <f>[3]หน้าผ้า!DC533</f>
        <v>0</v>
      </c>
      <c r="AH521" s="1">
        <f>[2]หน้าผ้า!DL530</f>
        <v>0</v>
      </c>
      <c r="AI521" s="1">
        <f>[2]หน้าผ้า!DM530</f>
        <v>0</v>
      </c>
      <c r="AJ521" s="3">
        <f>[2]หน้าผ้า!DN530</f>
        <v>0</v>
      </c>
      <c r="AK521" s="3">
        <f>[2]หน้าผ้า!DQ530</f>
        <v>0</v>
      </c>
      <c r="AL521" s="3">
        <f>[2]หน้าผ้า!DR530</f>
        <v>0</v>
      </c>
      <c r="AM521" s="3">
        <f>[2]หน้าผ้า!DS530</f>
        <v>0</v>
      </c>
      <c r="AN521" s="3">
        <f>[2]หน้าผ้า!DT530</f>
        <v>0</v>
      </c>
      <c r="AO521" s="3">
        <f>[2]หน้าผ้า!DU530</f>
        <v>0</v>
      </c>
      <c r="AP521" s="3">
        <f>[2]หน้าผ้า!DP530</f>
        <v>0</v>
      </c>
      <c r="AQ521" s="3">
        <f>[2]หน้าผ้า!DW530</f>
        <v>0</v>
      </c>
      <c r="AR521" s="3">
        <f>[2]หน้าผ้า!DX530</f>
        <v>0</v>
      </c>
      <c r="AS521" s="3">
        <f>[2]หน้าผ้า!DY530</f>
        <v>0</v>
      </c>
      <c r="AT521" s="3">
        <f>[2]หน้าผ้า!DZ530</f>
        <v>0</v>
      </c>
      <c r="AU521" s="3">
        <f>[2]หน้าผ้า!EA530</f>
        <v>0</v>
      </c>
      <c r="AV521" s="1">
        <f>[2]หน้าผ้า!EB530</f>
        <v>0</v>
      </c>
      <c r="AW521" s="2">
        <f>[2]หน้าผ้า!EC530</f>
        <v>0</v>
      </c>
      <c r="AX521" s="2">
        <f>[2]หน้าผ้า!ED530</f>
        <v>0</v>
      </c>
      <c r="AY521" s="2">
        <f>[2]หน้าผ้า!AG530</f>
        <v>0</v>
      </c>
      <c r="AZ521" s="2">
        <f>[2]หน้าผ้า!EG530</f>
        <v>0</v>
      </c>
      <c r="BA521" s="2">
        <f>[2]หน้าผ้า!EH530</f>
        <v>0</v>
      </c>
      <c r="BB521" s="2">
        <f>[2]หน้าผ้า!EI530</f>
        <v>0</v>
      </c>
      <c r="BC521" s="1">
        <f>[2]หน้าผ้า!BZ530</f>
        <v>0</v>
      </c>
      <c r="BD521" s="56">
        <f>[2]หน้าผ้า!CA530</f>
        <v>0</v>
      </c>
    </row>
    <row r="522" spans="1:56" ht="27.75" customHeight="1" x14ac:dyDescent="0.45">
      <c r="A522" s="3">
        <f>[2]หน้าผ้า!C531</f>
        <v>0</v>
      </c>
      <c r="B522" s="14">
        <f>[2]หน้าผ้า!B531</f>
        <v>0</v>
      </c>
      <c r="C522" s="9">
        <f>[2]หน้าผ้า!E531</f>
        <v>0</v>
      </c>
      <c r="D522" s="13">
        <f>[2]หน้าผ้า!F531</f>
        <v>0</v>
      </c>
      <c r="E522" s="9">
        <f>[2]หน้าผ้า!G531</f>
        <v>0</v>
      </c>
      <c r="F522" s="9">
        <f>[2]หน้าผ้า!H531</f>
        <v>0</v>
      </c>
      <c r="G522" s="9">
        <f>[2]หน้าผ้า!I531</f>
        <v>0</v>
      </c>
      <c r="H522" s="9">
        <f>[2]หน้าผ้า!J531</f>
        <v>0</v>
      </c>
      <c r="I522" s="9">
        <f>[2]หน้าผ้า!L531</f>
        <v>0</v>
      </c>
      <c r="J522" s="9">
        <f>[2]หน้าผ้า!M531</f>
        <v>0</v>
      </c>
      <c r="K522" s="9">
        <f>[2]หน้าผ้า!N531</f>
        <v>0</v>
      </c>
      <c r="L522" s="9">
        <f>[2]หน้าผ้า!R531</f>
        <v>0</v>
      </c>
      <c r="M522" s="10">
        <f>[2]หน้าผ้า!T531</f>
        <v>0</v>
      </c>
      <c r="N522" s="9">
        <f>[2]หน้าผ้า!U531</f>
        <v>0</v>
      </c>
      <c r="O522" s="9">
        <f>[2]หน้าผ้า!V531</f>
        <v>0</v>
      </c>
      <c r="P522" s="10">
        <f>[2]หน้าผ้า!AB531</f>
        <v>0</v>
      </c>
      <c r="Q522" s="10">
        <f>[2]หน้าผ้า!AC531</f>
        <v>0</v>
      </c>
      <c r="R522" s="10">
        <f>[2]หน้าผ้า!AD531</f>
        <v>0</v>
      </c>
      <c r="S522" s="9">
        <f>[2]หน้าผ้า!Z531</f>
        <v>0</v>
      </c>
      <c r="T522" s="12">
        <f>[2]หน้าผ้า!X531</f>
        <v>0</v>
      </c>
      <c r="U522" s="11">
        <f>[2]หน้าผ้า!AA531</f>
        <v>0</v>
      </c>
      <c r="V522" s="10">
        <f>[2]หน้าผ้า!AJ531</f>
        <v>0</v>
      </c>
      <c r="W522" s="10">
        <f>[2]หน้าผ้า!AL531</f>
        <v>0</v>
      </c>
      <c r="X522" s="10">
        <f>[2]หน้าผ้า!AM531</f>
        <v>0</v>
      </c>
      <c r="Y522" s="10">
        <f>[2]หน้าผ้า!AN531</f>
        <v>0</v>
      </c>
      <c r="Z522" s="9">
        <f>[2]หน้าผ้า!AO531</f>
        <v>0</v>
      </c>
      <c r="AA522" s="8">
        <f>[2]หน้าผ้า!AQ531</f>
        <v>0</v>
      </c>
      <c r="AB522" s="8">
        <f>[2]หน้าผ้า!AR531</f>
        <v>0</v>
      </c>
      <c r="AC522" s="8">
        <f>[2]หน้าผ้า!AS531</f>
        <v>0</v>
      </c>
      <c r="AD522" s="8">
        <f>[2]หน้าผ้า!AT531</f>
        <v>0</v>
      </c>
      <c r="AE522" s="8">
        <f>[2]หน้าผ้า!AU531</f>
        <v>0</v>
      </c>
      <c r="AF522" s="8">
        <f>[2]หน้าผ้า!AI531</f>
        <v>0</v>
      </c>
      <c r="AG522" s="1">
        <f>[3]หน้าผ้า!DC534</f>
        <v>0</v>
      </c>
      <c r="AH522" s="1">
        <f>[2]หน้าผ้า!DL531</f>
        <v>0</v>
      </c>
      <c r="AI522" s="1">
        <f>[2]หน้าผ้า!DM531</f>
        <v>0</v>
      </c>
      <c r="AJ522" s="3">
        <f>[2]หน้าผ้า!DN531</f>
        <v>0</v>
      </c>
      <c r="AK522" s="3">
        <f>[2]หน้าผ้า!DQ531</f>
        <v>0</v>
      </c>
      <c r="AL522" s="3">
        <f>[2]หน้าผ้า!DR531</f>
        <v>0</v>
      </c>
      <c r="AM522" s="3">
        <f>[2]หน้าผ้า!DS531</f>
        <v>0</v>
      </c>
      <c r="AN522" s="3">
        <f>[2]หน้าผ้า!DT531</f>
        <v>0</v>
      </c>
      <c r="AO522" s="3">
        <f>[2]หน้าผ้า!DU531</f>
        <v>0</v>
      </c>
      <c r="AP522" s="3">
        <f>[2]หน้าผ้า!DP531</f>
        <v>0</v>
      </c>
      <c r="AQ522" s="3">
        <f>[2]หน้าผ้า!DW531</f>
        <v>0</v>
      </c>
      <c r="AR522" s="3">
        <f>[2]หน้าผ้า!DX531</f>
        <v>0</v>
      </c>
      <c r="AS522" s="3">
        <f>[2]หน้าผ้า!DY531</f>
        <v>0</v>
      </c>
      <c r="AT522" s="3">
        <f>[2]หน้าผ้า!DZ531</f>
        <v>0</v>
      </c>
      <c r="AU522" s="3">
        <f>[2]หน้าผ้า!EA531</f>
        <v>0</v>
      </c>
      <c r="AV522" s="1">
        <f>[2]หน้าผ้า!EB531</f>
        <v>0</v>
      </c>
      <c r="AW522" s="2">
        <f>[2]หน้าผ้า!EC531</f>
        <v>0</v>
      </c>
      <c r="AX522" s="2">
        <f>[2]หน้าผ้า!ED531</f>
        <v>0</v>
      </c>
      <c r="AY522" s="2">
        <f>[2]หน้าผ้า!AG531</f>
        <v>0</v>
      </c>
      <c r="AZ522" s="2">
        <f>[2]หน้าผ้า!EG531</f>
        <v>0</v>
      </c>
      <c r="BA522" s="2">
        <f>[2]หน้าผ้า!EH531</f>
        <v>0</v>
      </c>
      <c r="BB522" s="2">
        <f>[2]หน้าผ้า!EI531</f>
        <v>0</v>
      </c>
      <c r="BC522" s="1">
        <f>[2]หน้าผ้า!BZ531</f>
        <v>0</v>
      </c>
      <c r="BD522" s="56">
        <f>[2]หน้าผ้า!CA531</f>
        <v>0</v>
      </c>
    </row>
    <row r="523" spans="1:56" ht="27.75" customHeight="1" x14ac:dyDescent="0.45">
      <c r="A523" s="3">
        <f>[2]หน้าผ้า!C532</f>
        <v>0</v>
      </c>
      <c r="B523" s="14">
        <f>[2]หน้าผ้า!B532</f>
        <v>0</v>
      </c>
      <c r="C523" s="9">
        <f>[2]หน้าผ้า!E532</f>
        <v>0</v>
      </c>
      <c r="D523" s="13">
        <f>[2]หน้าผ้า!F532</f>
        <v>0</v>
      </c>
      <c r="E523" s="9">
        <f>[2]หน้าผ้า!G532</f>
        <v>0</v>
      </c>
      <c r="F523" s="9">
        <f>[2]หน้าผ้า!H532</f>
        <v>0</v>
      </c>
      <c r="G523" s="9">
        <f>[2]หน้าผ้า!I532</f>
        <v>0</v>
      </c>
      <c r="H523" s="9">
        <f>[2]หน้าผ้า!J532</f>
        <v>0</v>
      </c>
      <c r="I523" s="9">
        <f>[2]หน้าผ้า!L532</f>
        <v>0</v>
      </c>
      <c r="J523" s="9">
        <f>[2]หน้าผ้า!M532</f>
        <v>0</v>
      </c>
      <c r="K523" s="9">
        <f>[2]หน้าผ้า!N532</f>
        <v>0</v>
      </c>
      <c r="L523" s="9">
        <f>[2]หน้าผ้า!R532</f>
        <v>0</v>
      </c>
      <c r="M523" s="10">
        <f>[2]หน้าผ้า!T532</f>
        <v>0</v>
      </c>
      <c r="N523" s="9">
        <f>[2]หน้าผ้า!U532</f>
        <v>0</v>
      </c>
      <c r="O523" s="9">
        <f>[2]หน้าผ้า!V532</f>
        <v>0</v>
      </c>
      <c r="P523" s="10">
        <f>[2]หน้าผ้า!AB532</f>
        <v>0</v>
      </c>
      <c r="Q523" s="10">
        <f>[2]หน้าผ้า!AC532</f>
        <v>0</v>
      </c>
      <c r="R523" s="10">
        <f>[2]หน้าผ้า!AD532</f>
        <v>0</v>
      </c>
      <c r="S523" s="9">
        <f>[2]หน้าผ้า!Z532</f>
        <v>0</v>
      </c>
      <c r="T523" s="12">
        <f>[2]หน้าผ้า!X532</f>
        <v>0</v>
      </c>
      <c r="U523" s="11">
        <f>[2]หน้าผ้า!AA532</f>
        <v>0</v>
      </c>
      <c r="V523" s="10">
        <f>[2]หน้าผ้า!AJ532</f>
        <v>0</v>
      </c>
      <c r="W523" s="10">
        <f>[2]หน้าผ้า!AL532</f>
        <v>0</v>
      </c>
      <c r="X523" s="10">
        <f>[2]หน้าผ้า!AM532</f>
        <v>0</v>
      </c>
      <c r="Y523" s="10">
        <f>[2]หน้าผ้า!AN532</f>
        <v>0</v>
      </c>
      <c r="Z523" s="9">
        <f>[2]หน้าผ้า!AO532</f>
        <v>0</v>
      </c>
      <c r="AA523" s="8">
        <f>[2]หน้าผ้า!AQ532</f>
        <v>0</v>
      </c>
      <c r="AB523" s="8">
        <f>[2]หน้าผ้า!AR532</f>
        <v>0</v>
      </c>
      <c r="AC523" s="8">
        <f>[2]หน้าผ้า!AS532</f>
        <v>0</v>
      </c>
      <c r="AD523" s="8">
        <f>[2]หน้าผ้า!AT532</f>
        <v>0</v>
      </c>
      <c r="AE523" s="8">
        <f>[2]หน้าผ้า!AU532</f>
        <v>0</v>
      </c>
      <c r="AF523" s="8">
        <f>[2]หน้าผ้า!AI532</f>
        <v>0</v>
      </c>
      <c r="AG523" s="1">
        <f>[3]หน้าผ้า!DC535</f>
        <v>0</v>
      </c>
      <c r="AH523" s="1">
        <f>[2]หน้าผ้า!DL532</f>
        <v>0</v>
      </c>
      <c r="AI523" s="1">
        <f>[2]หน้าผ้า!DM532</f>
        <v>0</v>
      </c>
      <c r="AJ523" s="3">
        <f>[2]หน้าผ้า!DN532</f>
        <v>0</v>
      </c>
      <c r="AK523" s="3">
        <f>[2]หน้าผ้า!DQ532</f>
        <v>0</v>
      </c>
      <c r="AL523" s="3">
        <f>[2]หน้าผ้า!DR532</f>
        <v>0</v>
      </c>
      <c r="AM523" s="3">
        <f>[2]หน้าผ้า!DS532</f>
        <v>0</v>
      </c>
      <c r="AN523" s="3">
        <f>[2]หน้าผ้า!DT532</f>
        <v>0</v>
      </c>
      <c r="AO523" s="3">
        <f>[2]หน้าผ้า!DU532</f>
        <v>0</v>
      </c>
      <c r="AP523" s="3">
        <f>[2]หน้าผ้า!DP532</f>
        <v>0</v>
      </c>
      <c r="AQ523" s="3">
        <f>[2]หน้าผ้า!DW532</f>
        <v>0</v>
      </c>
      <c r="AR523" s="3">
        <f>[2]หน้าผ้า!DX532</f>
        <v>0</v>
      </c>
      <c r="AS523" s="3">
        <f>[2]หน้าผ้า!DY532</f>
        <v>0</v>
      </c>
      <c r="AT523" s="3">
        <f>[2]หน้าผ้า!DZ532</f>
        <v>0</v>
      </c>
      <c r="AU523" s="3">
        <f>[2]หน้าผ้า!EA532</f>
        <v>0</v>
      </c>
      <c r="AV523" s="1">
        <f>[2]หน้าผ้า!EB532</f>
        <v>0</v>
      </c>
      <c r="AW523" s="2">
        <f>[2]หน้าผ้า!EC532</f>
        <v>0</v>
      </c>
      <c r="AX523" s="2">
        <f>[2]หน้าผ้า!ED532</f>
        <v>0</v>
      </c>
      <c r="AY523" s="2">
        <f>[2]หน้าผ้า!AG532</f>
        <v>0</v>
      </c>
      <c r="AZ523" s="2">
        <f>[2]หน้าผ้า!EG532</f>
        <v>0</v>
      </c>
      <c r="BA523" s="2">
        <f>[2]หน้าผ้า!EH532</f>
        <v>0</v>
      </c>
      <c r="BB523" s="2">
        <f>[2]หน้าผ้า!EI532</f>
        <v>0</v>
      </c>
      <c r="BC523" s="1">
        <f>[2]หน้าผ้า!BZ532</f>
        <v>0</v>
      </c>
      <c r="BD523" s="56">
        <f>[2]หน้าผ้า!CA532</f>
        <v>0</v>
      </c>
    </row>
    <row r="524" spans="1:56" ht="27.75" customHeight="1" x14ac:dyDescent="0.45">
      <c r="A524" s="3">
        <f>[2]หน้าผ้า!C533</f>
        <v>0</v>
      </c>
      <c r="B524" s="14">
        <f>[2]หน้าผ้า!B533</f>
        <v>0</v>
      </c>
      <c r="C524" s="9">
        <f>[2]หน้าผ้า!E533</f>
        <v>0</v>
      </c>
      <c r="D524" s="13">
        <f>[2]หน้าผ้า!F533</f>
        <v>0</v>
      </c>
      <c r="E524" s="9">
        <f>[2]หน้าผ้า!G533</f>
        <v>0</v>
      </c>
      <c r="F524" s="9">
        <f>[2]หน้าผ้า!H533</f>
        <v>0</v>
      </c>
      <c r="G524" s="9">
        <f>[2]หน้าผ้า!I533</f>
        <v>0</v>
      </c>
      <c r="H524" s="9">
        <f>[2]หน้าผ้า!J533</f>
        <v>0</v>
      </c>
      <c r="I524" s="9">
        <f>[2]หน้าผ้า!L533</f>
        <v>0</v>
      </c>
      <c r="J524" s="9">
        <f>[2]หน้าผ้า!M533</f>
        <v>0</v>
      </c>
      <c r="K524" s="9">
        <f>[2]หน้าผ้า!N533</f>
        <v>0</v>
      </c>
      <c r="L524" s="9">
        <f>[2]หน้าผ้า!R533</f>
        <v>0</v>
      </c>
      <c r="M524" s="10">
        <f>[2]หน้าผ้า!T533</f>
        <v>0</v>
      </c>
      <c r="N524" s="9">
        <f>[2]หน้าผ้า!U533</f>
        <v>0</v>
      </c>
      <c r="O524" s="9">
        <f>[2]หน้าผ้า!V533</f>
        <v>0</v>
      </c>
      <c r="P524" s="10">
        <f>[2]หน้าผ้า!AB533</f>
        <v>0</v>
      </c>
      <c r="Q524" s="10">
        <f>[2]หน้าผ้า!AC533</f>
        <v>0</v>
      </c>
      <c r="R524" s="10">
        <f>[2]หน้าผ้า!AD533</f>
        <v>0</v>
      </c>
      <c r="S524" s="9">
        <f>[2]หน้าผ้า!Z533</f>
        <v>0</v>
      </c>
      <c r="T524" s="12">
        <f>[2]หน้าผ้า!X533</f>
        <v>0</v>
      </c>
      <c r="U524" s="11">
        <f>[2]หน้าผ้า!AA533</f>
        <v>0</v>
      </c>
      <c r="V524" s="10">
        <f>[2]หน้าผ้า!AJ533</f>
        <v>0</v>
      </c>
      <c r="W524" s="10">
        <f>[2]หน้าผ้า!AL533</f>
        <v>0</v>
      </c>
      <c r="X524" s="10">
        <f>[2]หน้าผ้า!AM533</f>
        <v>0</v>
      </c>
      <c r="Y524" s="10">
        <f>[2]หน้าผ้า!AN533</f>
        <v>0</v>
      </c>
      <c r="Z524" s="9">
        <f>[2]หน้าผ้า!AO533</f>
        <v>0</v>
      </c>
      <c r="AA524" s="8">
        <f>[2]หน้าผ้า!AQ533</f>
        <v>0</v>
      </c>
      <c r="AB524" s="8">
        <f>[2]หน้าผ้า!AR533</f>
        <v>0</v>
      </c>
      <c r="AC524" s="8">
        <f>[2]หน้าผ้า!AS533</f>
        <v>0</v>
      </c>
      <c r="AD524" s="8">
        <f>[2]หน้าผ้า!AT533</f>
        <v>0</v>
      </c>
      <c r="AE524" s="8">
        <f>[2]หน้าผ้า!AU533</f>
        <v>0</v>
      </c>
      <c r="AF524" s="8">
        <f>[2]หน้าผ้า!AI533</f>
        <v>0</v>
      </c>
      <c r="AG524" s="1">
        <f>[3]หน้าผ้า!DC536</f>
        <v>0</v>
      </c>
      <c r="AH524" s="1">
        <f>[2]หน้าผ้า!DL533</f>
        <v>0</v>
      </c>
      <c r="AI524" s="1">
        <f>[2]หน้าผ้า!DM533</f>
        <v>0</v>
      </c>
      <c r="AJ524" s="3">
        <f>[2]หน้าผ้า!DN533</f>
        <v>0</v>
      </c>
      <c r="AK524" s="3">
        <f>[2]หน้าผ้า!DQ533</f>
        <v>0</v>
      </c>
      <c r="AL524" s="3">
        <f>[2]หน้าผ้า!DR533</f>
        <v>0</v>
      </c>
      <c r="AM524" s="3">
        <f>[2]หน้าผ้า!DS533</f>
        <v>0</v>
      </c>
      <c r="AN524" s="3">
        <f>[2]หน้าผ้า!DT533</f>
        <v>0</v>
      </c>
      <c r="AO524" s="3">
        <f>[2]หน้าผ้า!DU533</f>
        <v>0</v>
      </c>
      <c r="AP524" s="3">
        <f>[2]หน้าผ้า!DP533</f>
        <v>0</v>
      </c>
      <c r="AQ524" s="3">
        <f>[2]หน้าผ้า!DW533</f>
        <v>0</v>
      </c>
      <c r="AR524" s="3">
        <f>[2]หน้าผ้า!DX533</f>
        <v>0</v>
      </c>
      <c r="AS524" s="3">
        <f>[2]หน้าผ้า!DY533</f>
        <v>0</v>
      </c>
      <c r="AT524" s="3">
        <f>[2]หน้าผ้า!DZ533</f>
        <v>0</v>
      </c>
      <c r="AU524" s="3">
        <f>[2]หน้าผ้า!EA533</f>
        <v>0</v>
      </c>
      <c r="AV524" s="1">
        <f>[2]หน้าผ้า!EB533</f>
        <v>0</v>
      </c>
      <c r="AW524" s="2">
        <f>[2]หน้าผ้า!EC533</f>
        <v>0</v>
      </c>
      <c r="AX524" s="2">
        <f>[2]หน้าผ้า!ED533</f>
        <v>0</v>
      </c>
      <c r="AY524" s="2">
        <f>[2]หน้าผ้า!AG533</f>
        <v>0</v>
      </c>
      <c r="AZ524" s="2">
        <f>[2]หน้าผ้า!EG533</f>
        <v>0</v>
      </c>
      <c r="BA524" s="2">
        <f>[2]หน้าผ้า!EH533</f>
        <v>0</v>
      </c>
      <c r="BB524" s="2">
        <f>[2]หน้าผ้า!EI533</f>
        <v>0</v>
      </c>
      <c r="BC524" s="1">
        <f>[2]หน้าผ้า!BZ533</f>
        <v>0</v>
      </c>
      <c r="BD524" s="56">
        <f>[2]หน้าผ้า!CA533</f>
        <v>0</v>
      </c>
    </row>
    <row r="525" spans="1:56" ht="27.75" customHeight="1" x14ac:dyDescent="0.45">
      <c r="A525" s="3">
        <f>[2]หน้าผ้า!C534</f>
        <v>0</v>
      </c>
      <c r="B525" s="14">
        <f>[2]หน้าผ้า!B534</f>
        <v>0</v>
      </c>
      <c r="C525" s="9">
        <f>[2]หน้าผ้า!E534</f>
        <v>0</v>
      </c>
      <c r="D525" s="13">
        <f>[2]หน้าผ้า!F534</f>
        <v>0</v>
      </c>
      <c r="E525" s="9">
        <f>[2]หน้าผ้า!G534</f>
        <v>0</v>
      </c>
      <c r="F525" s="9">
        <f>[2]หน้าผ้า!H534</f>
        <v>0</v>
      </c>
      <c r="G525" s="9">
        <f>[2]หน้าผ้า!I534</f>
        <v>0</v>
      </c>
      <c r="H525" s="9">
        <f>[2]หน้าผ้า!J534</f>
        <v>0</v>
      </c>
      <c r="I525" s="9">
        <f>[2]หน้าผ้า!L534</f>
        <v>0</v>
      </c>
      <c r="J525" s="9">
        <f>[2]หน้าผ้า!M534</f>
        <v>0</v>
      </c>
      <c r="K525" s="9">
        <f>[2]หน้าผ้า!N534</f>
        <v>0</v>
      </c>
      <c r="L525" s="9">
        <f>[2]หน้าผ้า!R534</f>
        <v>0</v>
      </c>
      <c r="M525" s="10">
        <f>[2]หน้าผ้า!T534</f>
        <v>0</v>
      </c>
      <c r="N525" s="9">
        <f>[2]หน้าผ้า!U534</f>
        <v>0</v>
      </c>
      <c r="O525" s="9">
        <f>[2]หน้าผ้า!V534</f>
        <v>0</v>
      </c>
      <c r="P525" s="10">
        <f>[2]หน้าผ้า!AB534</f>
        <v>0</v>
      </c>
      <c r="Q525" s="10">
        <f>[2]หน้าผ้า!AC534</f>
        <v>0</v>
      </c>
      <c r="R525" s="10">
        <f>[2]หน้าผ้า!AD534</f>
        <v>0</v>
      </c>
      <c r="S525" s="9">
        <f>[2]หน้าผ้า!Z534</f>
        <v>0</v>
      </c>
      <c r="T525" s="12">
        <f>[2]หน้าผ้า!X534</f>
        <v>0</v>
      </c>
      <c r="U525" s="11">
        <f>[2]หน้าผ้า!AA534</f>
        <v>0</v>
      </c>
      <c r="V525" s="10">
        <f>[2]หน้าผ้า!AJ534</f>
        <v>0</v>
      </c>
      <c r="W525" s="10">
        <f>[2]หน้าผ้า!AL534</f>
        <v>0</v>
      </c>
      <c r="X525" s="10">
        <f>[2]หน้าผ้า!AM534</f>
        <v>0</v>
      </c>
      <c r="Y525" s="10">
        <f>[2]หน้าผ้า!AN534</f>
        <v>0</v>
      </c>
      <c r="Z525" s="9">
        <f>[2]หน้าผ้า!AO534</f>
        <v>0</v>
      </c>
      <c r="AA525" s="8">
        <f>[2]หน้าผ้า!AQ534</f>
        <v>0</v>
      </c>
      <c r="AB525" s="8">
        <f>[2]หน้าผ้า!AR534</f>
        <v>0</v>
      </c>
      <c r="AC525" s="8">
        <f>[2]หน้าผ้า!AS534</f>
        <v>0</v>
      </c>
      <c r="AD525" s="8">
        <f>[2]หน้าผ้า!AT534</f>
        <v>0</v>
      </c>
      <c r="AE525" s="8">
        <f>[2]หน้าผ้า!AU534</f>
        <v>0</v>
      </c>
      <c r="AF525" s="8">
        <f>[2]หน้าผ้า!AI534</f>
        <v>0</v>
      </c>
      <c r="AG525" s="1">
        <f>[3]หน้าผ้า!DC537</f>
        <v>0</v>
      </c>
      <c r="AH525" s="1">
        <f>[2]หน้าผ้า!DL534</f>
        <v>0</v>
      </c>
      <c r="AI525" s="1">
        <f>[2]หน้าผ้า!DM534</f>
        <v>0</v>
      </c>
      <c r="AJ525" s="3">
        <f>[2]หน้าผ้า!DN534</f>
        <v>0</v>
      </c>
      <c r="AK525" s="3">
        <f>[2]หน้าผ้า!DQ534</f>
        <v>0</v>
      </c>
      <c r="AL525" s="3">
        <f>[2]หน้าผ้า!DR534</f>
        <v>0</v>
      </c>
      <c r="AM525" s="3">
        <f>[2]หน้าผ้า!DS534</f>
        <v>0</v>
      </c>
      <c r="AN525" s="3">
        <f>[2]หน้าผ้า!DT534</f>
        <v>0</v>
      </c>
      <c r="AO525" s="3">
        <f>[2]หน้าผ้า!DU534</f>
        <v>0</v>
      </c>
      <c r="AP525" s="3">
        <f>[2]หน้าผ้า!DP534</f>
        <v>0</v>
      </c>
      <c r="AQ525" s="3">
        <f>[2]หน้าผ้า!DW534</f>
        <v>0</v>
      </c>
      <c r="AR525" s="3">
        <f>[2]หน้าผ้า!DX534</f>
        <v>0</v>
      </c>
      <c r="AS525" s="3">
        <f>[2]หน้าผ้า!DY534</f>
        <v>0</v>
      </c>
      <c r="AT525" s="3">
        <f>[2]หน้าผ้า!DZ534</f>
        <v>0</v>
      </c>
      <c r="AU525" s="3">
        <f>[2]หน้าผ้า!EA534</f>
        <v>0</v>
      </c>
      <c r="AV525" s="1">
        <f>[2]หน้าผ้า!EB534</f>
        <v>0</v>
      </c>
      <c r="AW525" s="2">
        <f>[2]หน้าผ้า!EC534</f>
        <v>0</v>
      </c>
      <c r="AX525" s="2">
        <f>[2]หน้าผ้า!ED534</f>
        <v>0</v>
      </c>
      <c r="AY525" s="2">
        <f>[2]หน้าผ้า!AG534</f>
        <v>0</v>
      </c>
      <c r="AZ525" s="2">
        <f>[2]หน้าผ้า!EG534</f>
        <v>0</v>
      </c>
      <c r="BA525" s="2">
        <f>[2]หน้าผ้า!EH534</f>
        <v>0</v>
      </c>
      <c r="BB525" s="2">
        <f>[2]หน้าผ้า!EI534</f>
        <v>0</v>
      </c>
      <c r="BC525" s="1">
        <f>[2]หน้าผ้า!BZ534</f>
        <v>0</v>
      </c>
      <c r="BD525" s="56">
        <f>[2]หน้าผ้า!CA534</f>
        <v>0</v>
      </c>
    </row>
    <row r="526" spans="1:56" ht="27.75" customHeight="1" x14ac:dyDescent="0.45">
      <c r="A526" s="3">
        <f>[2]หน้าผ้า!C535</f>
        <v>0</v>
      </c>
      <c r="B526" s="14">
        <f>[2]หน้าผ้า!B535</f>
        <v>0</v>
      </c>
      <c r="C526" s="9">
        <f>[2]หน้าผ้า!E535</f>
        <v>0</v>
      </c>
      <c r="D526" s="13">
        <f>[2]หน้าผ้า!F535</f>
        <v>0</v>
      </c>
      <c r="E526" s="9">
        <f>[2]หน้าผ้า!G535</f>
        <v>0</v>
      </c>
      <c r="F526" s="9">
        <f>[2]หน้าผ้า!H535</f>
        <v>0</v>
      </c>
      <c r="G526" s="9">
        <f>[2]หน้าผ้า!I535</f>
        <v>0</v>
      </c>
      <c r="H526" s="9">
        <f>[2]หน้าผ้า!J535</f>
        <v>0</v>
      </c>
      <c r="I526" s="9">
        <f>[2]หน้าผ้า!L535</f>
        <v>0</v>
      </c>
      <c r="J526" s="9">
        <f>[2]หน้าผ้า!M535</f>
        <v>0</v>
      </c>
      <c r="K526" s="9">
        <f>[2]หน้าผ้า!N535</f>
        <v>0</v>
      </c>
      <c r="L526" s="9">
        <f>[2]หน้าผ้า!R535</f>
        <v>0</v>
      </c>
      <c r="M526" s="10">
        <f>[2]หน้าผ้า!T535</f>
        <v>0</v>
      </c>
      <c r="N526" s="9">
        <f>[2]หน้าผ้า!U535</f>
        <v>0</v>
      </c>
      <c r="O526" s="9">
        <f>[2]หน้าผ้า!V535</f>
        <v>0</v>
      </c>
      <c r="P526" s="10">
        <f>[2]หน้าผ้า!AB535</f>
        <v>0</v>
      </c>
      <c r="Q526" s="10">
        <f>[2]หน้าผ้า!AC535</f>
        <v>0</v>
      </c>
      <c r="R526" s="10">
        <f>[2]หน้าผ้า!AD535</f>
        <v>0</v>
      </c>
      <c r="S526" s="9">
        <f>[2]หน้าผ้า!Z535</f>
        <v>0</v>
      </c>
      <c r="T526" s="12">
        <f>[2]หน้าผ้า!X535</f>
        <v>0</v>
      </c>
      <c r="U526" s="11">
        <f>[2]หน้าผ้า!AA535</f>
        <v>0</v>
      </c>
      <c r="V526" s="10">
        <f>[2]หน้าผ้า!AJ535</f>
        <v>0</v>
      </c>
      <c r="W526" s="10">
        <f>[2]หน้าผ้า!AL535</f>
        <v>0</v>
      </c>
      <c r="X526" s="10">
        <f>[2]หน้าผ้า!AM535</f>
        <v>0</v>
      </c>
      <c r="Y526" s="10">
        <f>[2]หน้าผ้า!AN535</f>
        <v>0</v>
      </c>
      <c r="Z526" s="9">
        <f>[2]หน้าผ้า!AO535</f>
        <v>0</v>
      </c>
      <c r="AA526" s="8">
        <f>[2]หน้าผ้า!AQ535</f>
        <v>0</v>
      </c>
      <c r="AB526" s="8">
        <f>[2]หน้าผ้า!AR535</f>
        <v>0</v>
      </c>
      <c r="AC526" s="8">
        <f>[2]หน้าผ้า!AS535</f>
        <v>0</v>
      </c>
      <c r="AD526" s="8">
        <f>[2]หน้าผ้า!AT535</f>
        <v>0</v>
      </c>
      <c r="AE526" s="8">
        <f>[2]หน้าผ้า!AU535</f>
        <v>0</v>
      </c>
      <c r="AF526" s="8">
        <f>[2]หน้าผ้า!AI535</f>
        <v>0</v>
      </c>
      <c r="AG526" s="1">
        <f>[3]หน้าผ้า!DC538</f>
        <v>0</v>
      </c>
      <c r="AH526" s="1">
        <f>[2]หน้าผ้า!DL535</f>
        <v>0</v>
      </c>
      <c r="AI526" s="1">
        <f>[2]หน้าผ้า!DM535</f>
        <v>0</v>
      </c>
      <c r="AJ526" s="3">
        <f>[2]หน้าผ้า!DN535</f>
        <v>0</v>
      </c>
      <c r="AK526" s="3">
        <f>[2]หน้าผ้า!DQ535</f>
        <v>0</v>
      </c>
      <c r="AL526" s="3">
        <f>[2]หน้าผ้า!DR535</f>
        <v>0</v>
      </c>
      <c r="AM526" s="3">
        <f>[2]หน้าผ้า!DS535</f>
        <v>0</v>
      </c>
      <c r="AN526" s="3">
        <f>[2]หน้าผ้า!DT535</f>
        <v>0</v>
      </c>
      <c r="AO526" s="3">
        <f>[2]หน้าผ้า!DU535</f>
        <v>0</v>
      </c>
      <c r="AP526" s="3">
        <f>[2]หน้าผ้า!DP535</f>
        <v>0</v>
      </c>
      <c r="AQ526" s="3">
        <f>[2]หน้าผ้า!DW535</f>
        <v>0</v>
      </c>
      <c r="AR526" s="3">
        <f>[2]หน้าผ้า!DX535</f>
        <v>0</v>
      </c>
      <c r="AS526" s="3">
        <f>[2]หน้าผ้า!DY535</f>
        <v>0</v>
      </c>
      <c r="AT526" s="3">
        <f>[2]หน้าผ้า!DZ535</f>
        <v>0</v>
      </c>
      <c r="AU526" s="3">
        <f>[2]หน้าผ้า!EA535</f>
        <v>0</v>
      </c>
      <c r="AV526" s="1">
        <f>[2]หน้าผ้า!EB535</f>
        <v>0</v>
      </c>
      <c r="AW526" s="2">
        <f>[2]หน้าผ้า!EC535</f>
        <v>0</v>
      </c>
      <c r="AX526" s="2">
        <f>[2]หน้าผ้า!ED535</f>
        <v>0</v>
      </c>
      <c r="AY526" s="2">
        <f>[2]หน้าผ้า!AG535</f>
        <v>0</v>
      </c>
      <c r="AZ526" s="2">
        <f>[2]หน้าผ้า!EG535</f>
        <v>0</v>
      </c>
      <c r="BA526" s="2">
        <f>[2]หน้าผ้า!EH535</f>
        <v>0</v>
      </c>
      <c r="BB526" s="2">
        <f>[2]หน้าผ้า!EI535</f>
        <v>0</v>
      </c>
      <c r="BC526" s="1">
        <f>[2]หน้าผ้า!BZ535</f>
        <v>0</v>
      </c>
      <c r="BD526" s="56">
        <f>[2]หน้าผ้า!CA535</f>
        <v>0</v>
      </c>
    </row>
    <row r="527" spans="1:56" ht="27.75" customHeight="1" x14ac:dyDescent="0.45">
      <c r="A527" s="3">
        <f>[2]หน้าผ้า!C536</f>
        <v>0</v>
      </c>
      <c r="B527" s="14">
        <f>[2]หน้าผ้า!B536</f>
        <v>0</v>
      </c>
      <c r="C527" s="9">
        <f>[2]หน้าผ้า!E536</f>
        <v>0</v>
      </c>
      <c r="D527" s="13">
        <f>[2]หน้าผ้า!F536</f>
        <v>0</v>
      </c>
      <c r="E527" s="9">
        <f>[2]หน้าผ้า!G536</f>
        <v>0</v>
      </c>
      <c r="F527" s="9">
        <f>[2]หน้าผ้า!H536</f>
        <v>0</v>
      </c>
      <c r="G527" s="9">
        <f>[2]หน้าผ้า!I536</f>
        <v>0</v>
      </c>
      <c r="H527" s="9">
        <f>[2]หน้าผ้า!J536</f>
        <v>0</v>
      </c>
      <c r="I527" s="9">
        <f>[2]หน้าผ้า!L536</f>
        <v>0</v>
      </c>
      <c r="J527" s="9">
        <f>[2]หน้าผ้า!M536</f>
        <v>0</v>
      </c>
      <c r="K527" s="9">
        <f>[2]หน้าผ้า!N536</f>
        <v>0</v>
      </c>
      <c r="L527" s="9">
        <f>[2]หน้าผ้า!R536</f>
        <v>0</v>
      </c>
      <c r="M527" s="10">
        <f>[2]หน้าผ้า!T536</f>
        <v>0</v>
      </c>
      <c r="N527" s="9">
        <f>[2]หน้าผ้า!U536</f>
        <v>0</v>
      </c>
      <c r="O527" s="9">
        <f>[2]หน้าผ้า!V536</f>
        <v>0</v>
      </c>
      <c r="P527" s="10">
        <f>[2]หน้าผ้า!AB536</f>
        <v>0</v>
      </c>
      <c r="Q527" s="10">
        <f>[2]หน้าผ้า!AC536</f>
        <v>0</v>
      </c>
      <c r="R527" s="10">
        <f>[2]หน้าผ้า!AD536</f>
        <v>0</v>
      </c>
      <c r="S527" s="9">
        <f>[2]หน้าผ้า!Z536</f>
        <v>0</v>
      </c>
      <c r="T527" s="12">
        <f>[2]หน้าผ้า!X536</f>
        <v>0</v>
      </c>
      <c r="U527" s="11">
        <f>[2]หน้าผ้า!AA536</f>
        <v>0</v>
      </c>
      <c r="V527" s="10">
        <f>[2]หน้าผ้า!AJ536</f>
        <v>0</v>
      </c>
      <c r="W527" s="10">
        <f>[2]หน้าผ้า!AL536</f>
        <v>0</v>
      </c>
      <c r="X527" s="10">
        <f>[2]หน้าผ้า!AM536</f>
        <v>0</v>
      </c>
      <c r="Y527" s="10">
        <f>[2]หน้าผ้า!AN536</f>
        <v>0</v>
      </c>
      <c r="Z527" s="9">
        <f>[2]หน้าผ้า!AO536</f>
        <v>0</v>
      </c>
      <c r="AA527" s="8">
        <f>[2]หน้าผ้า!AQ536</f>
        <v>0</v>
      </c>
      <c r="AB527" s="8">
        <f>[2]หน้าผ้า!AR536</f>
        <v>0</v>
      </c>
      <c r="AC527" s="8">
        <f>[2]หน้าผ้า!AS536</f>
        <v>0</v>
      </c>
      <c r="AD527" s="8">
        <f>[2]หน้าผ้า!AT536</f>
        <v>0</v>
      </c>
      <c r="AE527" s="8">
        <f>[2]หน้าผ้า!AU536</f>
        <v>0</v>
      </c>
      <c r="AF527" s="8">
        <f>[2]หน้าผ้า!AI536</f>
        <v>0</v>
      </c>
      <c r="AG527" s="1">
        <f>[3]หน้าผ้า!DC539</f>
        <v>0</v>
      </c>
      <c r="AH527" s="1">
        <f>[2]หน้าผ้า!DL536</f>
        <v>0</v>
      </c>
      <c r="AI527" s="1">
        <f>[2]หน้าผ้า!DM536</f>
        <v>0</v>
      </c>
      <c r="AJ527" s="3">
        <f>[2]หน้าผ้า!DN536</f>
        <v>0</v>
      </c>
      <c r="AK527" s="3">
        <f>[2]หน้าผ้า!DQ536</f>
        <v>0</v>
      </c>
      <c r="AL527" s="3">
        <f>[2]หน้าผ้า!DR536</f>
        <v>0</v>
      </c>
      <c r="AM527" s="3">
        <f>[2]หน้าผ้า!DS536</f>
        <v>0</v>
      </c>
      <c r="AN527" s="3">
        <f>[2]หน้าผ้า!DT536</f>
        <v>0</v>
      </c>
      <c r="AO527" s="3">
        <f>[2]หน้าผ้า!DU536</f>
        <v>0</v>
      </c>
      <c r="AP527" s="3">
        <f>[2]หน้าผ้า!DP536</f>
        <v>0</v>
      </c>
      <c r="AQ527" s="3">
        <f>[2]หน้าผ้า!DW536</f>
        <v>0</v>
      </c>
      <c r="AR527" s="3">
        <f>[2]หน้าผ้า!DX536</f>
        <v>0</v>
      </c>
      <c r="AS527" s="3">
        <f>[2]หน้าผ้า!DY536</f>
        <v>0</v>
      </c>
      <c r="AT527" s="3">
        <f>[2]หน้าผ้า!DZ536</f>
        <v>0</v>
      </c>
      <c r="AU527" s="3">
        <f>[2]หน้าผ้า!EA536</f>
        <v>0</v>
      </c>
      <c r="AV527" s="1">
        <f>[2]หน้าผ้า!EB536</f>
        <v>0</v>
      </c>
      <c r="AW527" s="2">
        <f>[2]หน้าผ้า!EC536</f>
        <v>0</v>
      </c>
      <c r="AX527" s="2">
        <f>[2]หน้าผ้า!ED536</f>
        <v>0</v>
      </c>
      <c r="AY527" s="2">
        <f>[2]หน้าผ้า!AG536</f>
        <v>0</v>
      </c>
      <c r="AZ527" s="2">
        <f>[2]หน้าผ้า!EG536</f>
        <v>0</v>
      </c>
      <c r="BA527" s="2">
        <f>[2]หน้าผ้า!EH536</f>
        <v>0</v>
      </c>
      <c r="BB527" s="2">
        <f>[2]หน้าผ้า!EI536</f>
        <v>0</v>
      </c>
      <c r="BC527" s="1">
        <f>[2]หน้าผ้า!BZ536</f>
        <v>0</v>
      </c>
      <c r="BD527" s="56">
        <f>[2]หน้าผ้า!CA536</f>
        <v>0</v>
      </c>
    </row>
    <row r="528" spans="1:56" ht="27.75" customHeight="1" x14ac:dyDescent="0.45">
      <c r="A528" s="3">
        <f>[2]หน้าผ้า!C537</f>
        <v>0</v>
      </c>
      <c r="B528" s="14">
        <f>[2]หน้าผ้า!B537</f>
        <v>0</v>
      </c>
      <c r="C528" s="9">
        <f>[2]หน้าผ้า!E537</f>
        <v>0</v>
      </c>
      <c r="D528" s="13">
        <f>[2]หน้าผ้า!F537</f>
        <v>0</v>
      </c>
      <c r="E528" s="9">
        <f>[2]หน้าผ้า!G537</f>
        <v>0</v>
      </c>
      <c r="F528" s="9">
        <f>[2]หน้าผ้า!H537</f>
        <v>0</v>
      </c>
      <c r="G528" s="9">
        <f>[2]หน้าผ้า!I537</f>
        <v>0</v>
      </c>
      <c r="H528" s="9">
        <f>[2]หน้าผ้า!J537</f>
        <v>0</v>
      </c>
      <c r="I528" s="9">
        <f>[2]หน้าผ้า!L537</f>
        <v>0</v>
      </c>
      <c r="J528" s="9">
        <f>[2]หน้าผ้า!M537</f>
        <v>0</v>
      </c>
      <c r="K528" s="9">
        <f>[2]หน้าผ้า!N537</f>
        <v>0</v>
      </c>
      <c r="L528" s="9">
        <f>[2]หน้าผ้า!R537</f>
        <v>0</v>
      </c>
      <c r="M528" s="10">
        <f>[2]หน้าผ้า!T537</f>
        <v>0</v>
      </c>
      <c r="N528" s="9">
        <f>[2]หน้าผ้า!U537</f>
        <v>0</v>
      </c>
      <c r="O528" s="9">
        <f>[2]หน้าผ้า!V537</f>
        <v>0</v>
      </c>
      <c r="P528" s="10">
        <f>[2]หน้าผ้า!AB537</f>
        <v>0</v>
      </c>
      <c r="Q528" s="10">
        <f>[2]หน้าผ้า!AC537</f>
        <v>0</v>
      </c>
      <c r="R528" s="10">
        <f>[2]หน้าผ้า!AD537</f>
        <v>0</v>
      </c>
      <c r="S528" s="9">
        <f>[2]หน้าผ้า!Z537</f>
        <v>0</v>
      </c>
      <c r="T528" s="12">
        <f>[2]หน้าผ้า!X537</f>
        <v>0</v>
      </c>
      <c r="U528" s="11">
        <f>[2]หน้าผ้า!AA537</f>
        <v>0</v>
      </c>
      <c r="V528" s="10">
        <f>[2]หน้าผ้า!AJ537</f>
        <v>0</v>
      </c>
      <c r="W528" s="10">
        <f>[2]หน้าผ้า!AL537</f>
        <v>0</v>
      </c>
      <c r="X528" s="10">
        <f>[2]หน้าผ้า!AM537</f>
        <v>0</v>
      </c>
      <c r="Y528" s="10">
        <f>[2]หน้าผ้า!AN537</f>
        <v>0</v>
      </c>
      <c r="Z528" s="9">
        <f>[2]หน้าผ้า!AO537</f>
        <v>0</v>
      </c>
      <c r="AA528" s="8">
        <f>[2]หน้าผ้า!AQ537</f>
        <v>0</v>
      </c>
      <c r="AB528" s="8">
        <f>[2]หน้าผ้า!AR537</f>
        <v>0</v>
      </c>
      <c r="AC528" s="8">
        <f>[2]หน้าผ้า!AS537</f>
        <v>0</v>
      </c>
      <c r="AD528" s="8">
        <f>[2]หน้าผ้า!AT537</f>
        <v>0</v>
      </c>
      <c r="AE528" s="8">
        <f>[2]หน้าผ้า!AU537</f>
        <v>0</v>
      </c>
      <c r="AF528" s="8">
        <f>[2]หน้าผ้า!AI537</f>
        <v>0</v>
      </c>
      <c r="AG528" s="1">
        <f>[3]หน้าผ้า!DC540</f>
        <v>0</v>
      </c>
      <c r="AH528" s="1">
        <f>[2]หน้าผ้า!DL537</f>
        <v>0</v>
      </c>
      <c r="AI528" s="1">
        <f>[2]หน้าผ้า!DM537</f>
        <v>0</v>
      </c>
      <c r="AJ528" s="3">
        <f>[2]หน้าผ้า!DN537</f>
        <v>0</v>
      </c>
      <c r="AK528" s="3">
        <f>[2]หน้าผ้า!DQ537</f>
        <v>0</v>
      </c>
      <c r="AL528" s="3">
        <f>[2]หน้าผ้า!DR537</f>
        <v>0</v>
      </c>
      <c r="AM528" s="3">
        <f>[2]หน้าผ้า!DS537</f>
        <v>0</v>
      </c>
      <c r="AN528" s="3">
        <f>[2]หน้าผ้า!DT537</f>
        <v>0</v>
      </c>
      <c r="AO528" s="3">
        <f>[2]หน้าผ้า!DU537</f>
        <v>0</v>
      </c>
      <c r="AP528" s="3">
        <f>[2]หน้าผ้า!DP537</f>
        <v>0</v>
      </c>
      <c r="AQ528" s="3">
        <f>[2]หน้าผ้า!DW537</f>
        <v>0</v>
      </c>
      <c r="AR528" s="3">
        <f>[2]หน้าผ้า!DX537</f>
        <v>0</v>
      </c>
      <c r="AS528" s="3">
        <f>[2]หน้าผ้า!DY537</f>
        <v>0</v>
      </c>
      <c r="AT528" s="3">
        <f>[2]หน้าผ้า!DZ537</f>
        <v>0</v>
      </c>
      <c r="AU528" s="3">
        <f>[2]หน้าผ้า!EA537</f>
        <v>0</v>
      </c>
      <c r="AV528" s="1">
        <f>[2]หน้าผ้า!EB537</f>
        <v>0</v>
      </c>
      <c r="AW528" s="2">
        <f>[2]หน้าผ้า!EC537</f>
        <v>0</v>
      </c>
      <c r="AX528" s="2">
        <f>[2]หน้าผ้า!ED537</f>
        <v>0</v>
      </c>
      <c r="AY528" s="2">
        <f>[2]หน้าผ้า!AG537</f>
        <v>0</v>
      </c>
      <c r="AZ528" s="2">
        <f>[2]หน้าผ้า!EG537</f>
        <v>0</v>
      </c>
      <c r="BA528" s="2">
        <f>[2]หน้าผ้า!EH537</f>
        <v>0</v>
      </c>
      <c r="BB528" s="2">
        <f>[2]หน้าผ้า!EI537</f>
        <v>0</v>
      </c>
      <c r="BC528" s="1">
        <f>[2]หน้าผ้า!BZ537</f>
        <v>0</v>
      </c>
      <c r="BD528" s="56">
        <f>[2]หน้าผ้า!CA537</f>
        <v>0</v>
      </c>
    </row>
    <row r="529" spans="1:56" ht="27.75" customHeight="1" x14ac:dyDescent="0.45">
      <c r="A529" s="3">
        <f>[2]หน้าผ้า!C538</f>
        <v>0</v>
      </c>
      <c r="B529" s="14">
        <f>[2]หน้าผ้า!B538</f>
        <v>0</v>
      </c>
      <c r="C529" s="9">
        <f>[2]หน้าผ้า!E538</f>
        <v>0</v>
      </c>
      <c r="D529" s="13">
        <f>[2]หน้าผ้า!F538</f>
        <v>0</v>
      </c>
      <c r="E529" s="9">
        <f>[2]หน้าผ้า!G538</f>
        <v>0</v>
      </c>
      <c r="F529" s="9">
        <f>[2]หน้าผ้า!H538</f>
        <v>0</v>
      </c>
      <c r="G529" s="9">
        <f>[2]หน้าผ้า!I538</f>
        <v>0</v>
      </c>
      <c r="H529" s="9">
        <f>[2]หน้าผ้า!J538</f>
        <v>0</v>
      </c>
      <c r="I529" s="9">
        <f>[2]หน้าผ้า!L538</f>
        <v>0</v>
      </c>
      <c r="J529" s="9">
        <f>[2]หน้าผ้า!M538</f>
        <v>0</v>
      </c>
      <c r="K529" s="9">
        <f>[2]หน้าผ้า!N538</f>
        <v>0</v>
      </c>
      <c r="L529" s="9">
        <f>[2]หน้าผ้า!R538</f>
        <v>0</v>
      </c>
      <c r="M529" s="10">
        <f>[2]หน้าผ้า!T538</f>
        <v>0</v>
      </c>
      <c r="N529" s="9">
        <f>[2]หน้าผ้า!U538</f>
        <v>0</v>
      </c>
      <c r="O529" s="9">
        <f>[2]หน้าผ้า!V538</f>
        <v>0</v>
      </c>
      <c r="P529" s="10">
        <f>[2]หน้าผ้า!AB538</f>
        <v>0</v>
      </c>
      <c r="Q529" s="10">
        <f>[2]หน้าผ้า!AC538</f>
        <v>0</v>
      </c>
      <c r="R529" s="10">
        <f>[2]หน้าผ้า!AD538</f>
        <v>0</v>
      </c>
      <c r="S529" s="9">
        <f>[2]หน้าผ้า!Z538</f>
        <v>0</v>
      </c>
      <c r="T529" s="12">
        <f>[2]หน้าผ้า!X538</f>
        <v>0</v>
      </c>
      <c r="U529" s="11">
        <f>[2]หน้าผ้า!AA538</f>
        <v>0</v>
      </c>
      <c r="V529" s="10">
        <f>[2]หน้าผ้า!AJ538</f>
        <v>0</v>
      </c>
      <c r="W529" s="10">
        <f>[2]หน้าผ้า!AL538</f>
        <v>0</v>
      </c>
      <c r="X529" s="10">
        <f>[2]หน้าผ้า!AM538</f>
        <v>0</v>
      </c>
      <c r="Y529" s="10">
        <f>[2]หน้าผ้า!AN538</f>
        <v>0</v>
      </c>
      <c r="Z529" s="9">
        <f>[2]หน้าผ้า!AO538</f>
        <v>0</v>
      </c>
      <c r="AA529" s="8">
        <f>[2]หน้าผ้า!AQ538</f>
        <v>0</v>
      </c>
      <c r="AB529" s="8">
        <f>[2]หน้าผ้า!AR538</f>
        <v>0</v>
      </c>
      <c r="AC529" s="8">
        <f>[2]หน้าผ้า!AS538</f>
        <v>0</v>
      </c>
      <c r="AD529" s="8">
        <f>[2]หน้าผ้า!AT538</f>
        <v>0</v>
      </c>
      <c r="AE529" s="8">
        <f>[2]หน้าผ้า!AU538</f>
        <v>0</v>
      </c>
      <c r="AF529" s="8">
        <f>[2]หน้าผ้า!AI538</f>
        <v>0</v>
      </c>
      <c r="AG529" s="1">
        <f>[3]หน้าผ้า!DC541</f>
        <v>0</v>
      </c>
      <c r="AH529" s="1">
        <f>[2]หน้าผ้า!DL538</f>
        <v>0</v>
      </c>
      <c r="AI529" s="1">
        <f>[2]หน้าผ้า!DM538</f>
        <v>0</v>
      </c>
      <c r="AJ529" s="3">
        <f>[2]หน้าผ้า!DN538</f>
        <v>0</v>
      </c>
      <c r="AK529" s="3">
        <f>[2]หน้าผ้า!DQ538</f>
        <v>0</v>
      </c>
      <c r="AL529" s="3">
        <f>[2]หน้าผ้า!DR538</f>
        <v>0</v>
      </c>
      <c r="AM529" s="3">
        <f>[2]หน้าผ้า!DS538</f>
        <v>0</v>
      </c>
      <c r="AN529" s="3">
        <f>[2]หน้าผ้า!DT538</f>
        <v>0</v>
      </c>
      <c r="AO529" s="3">
        <f>[2]หน้าผ้า!DU538</f>
        <v>0</v>
      </c>
      <c r="AP529" s="3">
        <f>[2]หน้าผ้า!DP538</f>
        <v>0</v>
      </c>
      <c r="AQ529" s="3">
        <f>[2]หน้าผ้า!DW538</f>
        <v>0</v>
      </c>
      <c r="AR529" s="3">
        <f>[2]หน้าผ้า!DX538</f>
        <v>0</v>
      </c>
      <c r="AS529" s="3">
        <f>[2]หน้าผ้า!DY538</f>
        <v>0</v>
      </c>
      <c r="AT529" s="3">
        <f>[2]หน้าผ้า!DZ538</f>
        <v>0</v>
      </c>
      <c r="AU529" s="3">
        <f>[2]หน้าผ้า!EA538</f>
        <v>0</v>
      </c>
      <c r="AV529" s="1">
        <f>[2]หน้าผ้า!EB538</f>
        <v>0</v>
      </c>
      <c r="AW529" s="2">
        <f>[2]หน้าผ้า!EC538</f>
        <v>0</v>
      </c>
      <c r="AX529" s="2">
        <f>[2]หน้าผ้า!ED538</f>
        <v>0</v>
      </c>
      <c r="AY529" s="2">
        <f>[2]หน้าผ้า!AG538</f>
        <v>0</v>
      </c>
      <c r="AZ529" s="2">
        <f>[2]หน้าผ้า!EG538</f>
        <v>0</v>
      </c>
      <c r="BA529" s="2">
        <f>[2]หน้าผ้า!EH538</f>
        <v>0</v>
      </c>
      <c r="BB529" s="2">
        <f>[2]หน้าผ้า!EI538</f>
        <v>0</v>
      </c>
      <c r="BC529" s="1">
        <f>[2]หน้าผ้า!BZ538</f>
        <v>0</v>
      </c>
      <c r="BD529" s="56">
        <f>[2]หน้าผ้า!CA538</f>
        <v>0</v>
      </c>
    </row>
    <row r="530" spans="1:56" ht="27.75" customHeight="1" x14ac:dyDescent="0.45">
      <c r="A530" s="3">
        <f>[2]หน้าผ้า!C539</f>
        <v>0</v>
      </c>
      <c r="B530" s="14">
        <f>[2]หน้าผ้า!B539</f>
        <v>0</v>
      </c>
      <c r="C530" s="9">
        <f>[2]หน้าผ้า!E539</f>
        <v>0</v>
      </c>
      <c r="D530" s="13">
        <f>[2]หน้าผ้า!F539</f>
        <v>0</v>
      </c>
      <c r="E530" s="9">
        <f>[2]หน้าผ้า!G539</f>
        <v>0</v>
      </c>
      <c r="F530" s="9">
        <f>[2]หน้าผ้า!H539</f>
        <v>0</v>
      </c>
      <c r="G530" s="9">
        <f>[2]หน้าผ้า!I539</f>
        <v>0</v>
      </c>
      <c r="H530" s="9">
        <f>[2]หน้าผ้า!J539</f>
        <v>0</v>
      </c>
      <c r="I530" s="9">
        <f>[2]หน้าผ้า!L539</f>
        <v>0</v>
      </c>
      <c r="J530" s="9">
        <f>[2]หน้าผ้า!M539</f>
        <v>0</v>
      </c>
      <c r="K530" s="9">
        <f>[2]หน้าผ้า!N539</f>
        <v>0</v>
      </c>
      <c r="L530" s="9">
        <f>[2]หน้าผ้า!R539</f>
        <v>0</v>
      </c>
      <c r="M530" s="10">
        <f>[2]หน้าผ้า!T539</f>
        <v>0</v>
      </c>
      <c r="N530" s="9">
        <f>[2]หน้าผ้า!U539</f>
        <v>0</v>
      </c>
      <c r="O530" s="9">
        <f>[2]หน้าผ้า!V539</f>
        <v>0</v>
      </c>
      <c r="P530" s="10">
        <f>[2]หน้าผ้า!AB539</f>
        <v>0</v>
      </c>
      <c r="Q530" s="10">
        <f>[2]หน้าผ้า!AC539</f>
        <v>0</v>
      </c>
      <c r="R530" s="10">
        <f>[2]หน้าผ้า!AD539</f>
        <v>0</v>
      </c>
      <c r="S530" s="9">
        <f>[2]หน้าผ้า!Z539</f>
        <v>0</v>
      </c>
      <c r="T530" s="12">
        <f>[2]หน้าผ้า!X539</f>
        <v>0</v>
      </c>
      <c r="U530" s="11">
        <f>[2]หน้าผ้า!AA539</f>
        <v>0</v>
      </c>
      <c r="V530" s="10">
        <f>[2]หน้าผ้า!AJ539</f>
        <v>0</v>
      </c>
      <c r="W530" s="10">
        <f>[2]หน้าผ้า!AL539</f>
        <v>0</v>
      </c>
      <c r="X530" s="10">
        <f>[2]หน้าผ้า!AM539</f>
        <v>0</v>
      </c>
      <c r="Y530" s="10">
        <f>[2]หน้าผ้า!AN539</f>
        <v>0</v>
      </c>
      <c r="Z530" s="9">
        <f>[2]หน้าผ้า!AO539</f>
        <v>0</v>
      </c>
      <c r="AA530" s="8">
        <f>[2]หน้าผ้า!AQ539</f>
        <v>0</v>
      </c>
      <c r="AB530" s="8">
        <f>[2]หน้าผ้า!AR539</f>
        <v>0</v>
      </c>
      <c r="AC530" s="8">
        <f>[2]หน้าผ้า!AS539</f>
        <v>0</v>
      </c>
      <c r="AD530" s="8">
        <f>[2]หน้าผ้า!AT539</f>
        <v>0</v>
      </c>
      <c r="AE530" s="8">
        <f>[2]หน้าผ้า!AU539</f>
        <v>0</v>
      </c>
      <c r="AF530" s="8">
        <f>[2]หน้าผ้า!AI539</f>
        <v>0</v>
      </c>
      <c r="AG530" s="1">
        <f>[3]หน้าผ้า!DC542</f>
        <v>0</v>
      </c>
      <c r="AH530" s="1">
        <f>[2]หน้าผ้า!DL539</f>
        <v>0</v>
      </c>
      <c r="AI530" s="1">
        <f>[2]หน้าผ้า!DM539</f>
        <v>0</v>
      </c>
      <c r="AJ530" s="3">
        <f>[2]หน้าผ้า!DN539</f>
        <v>0</v>
      </c>
      <c r="AK530" s="3">
        <f>[2]หน้าผ้า!DQ539</f>
        <v>0</v>
      </c>
      <c r="AL530" s="3">
        <f>[2]หน้าผ้า!DR539</f>
        <v>0</v>
      </c>
      <c r="AM530" s="3">
        <f>[2]หน้าผ้า!DS539</f>
        <v>0</v>
      </c>
      <c r="AN530" s="3">
        <f>[2]หน้าผ้า!DT539</f>
        <v>0</v>
      </c>
      <c r="AO530" s="3">
        <f>[2]หน้าผ้า!DU539</f>
        <v>0</v>
      </c>
      <c r="AP530" s="3">
        <f>[2]หน้าผ้า!DP539</f>
        <v>0</v>
      </c>
      <c r="AQ530" s="3">
        <f>[2]หน้าผ้า!DW539</f>
        <v>0</v>
      </c>
      <c r="AR530" s="3">
        <f>[2]หน้าผ้า!DX539</f>
        <v>0</v>
      </c>
      <c r="AS530" s="3">
        <f>[2]หน้าผ้า!DY539</f>
        <v>0</v>
      </c>
      <c r="AT530" s="3">
        <f>[2]หน้าผ้า!DZ539</f>
        <v>0</v>
      </c>
      <c r="AU530" s="3">
        <f>[2]หน้าผ้า!EA539</f>
        <v>0</v>
      </c>
      <c r="AV530" s="1">
        <f>[2]หน้าผ้า!EB539</f>
        <v>0</v>
      </c>
      <c r="AW530" s="2">
        <f>[2]หน้าผ้า!EC539</f>
        <v>0</v>
      </c>
      <c r="AX530" s="2">
        <f>[2]หน้าผ้า!ED539</f>
        <v>0</v>
      </c>
      <c r="AY530" s="2">
        <f>[2]หน้าผ้า!AG539</f>
        <v>0</v>
      </c>
      <c r="AZ530" s="2">
        <f>[2]หน้าผ้า!EG539</f>
        <v>0</v>
      </c>
      <c r="BA530" s="2">
        <f>[2]หน้าผ้า!EH539</f>
        <v>0</v>
      </c>
      <c r="BB530" s="2">
        <f>[2]หน้าผ้า!EI539</f>
        <v>0</v>
      </c>
      <c r="BC530" s="1">
        <f>[2]หน้าผ้า!BZ539</f>
        <v>0</v>
      </c>
      <c r="BD530" s="56">
        <f>[2]หน้าผ้า!CA539</f>
        <v>0</v>
      </c>
    </row>
    <row r="531" spans="1:56" ht="27.75" customHeight="1" x14ac:dyDescent="0.45">
      <c r="A531" s="3">
        <f>[2]หน้าผ้า!C540</f>
        <v>0</v>
      </c>
      <c r="B531" s="14">
        <f>[2]หน้าผ้า!B540</f>
        <v>0</v>
      </c>
      <c r="C531" s="9">
        <f>[2]หน้าผ้า!E540</f>
        <v>0</v>
      </c>
      <c r="D531" s="13">
        <f>[2]หน้าผ้า!F540</f>
        <v>0</v>
      </c>
      <c r="E531" s="9">
        <f>[2]หน้าผ้า!G540</f>
        <v>0</v>
      </c>
      <c r="F531" s="9">
        <f>[2]หน้าผ้า!H540</f>
        <v>0</v>
      </c>
      <c r="G531" s="9">
        <f>[2]หน้าผ้า!I540</f>
        <v>0</v>
      </c>
      <c r="H531" s="9">
        <f>[2]หน้าผ้า!J540</f>
        <v>0</v>
      </c>
      <c r="I531" s="9">
        <f>[2]หน้าผ้า!L540</f>
        <v>0</v>
      </c>
      <c r="J531" s="9">
        <f>[2]หน้าผ้า!M540</f>
        <v>0</v>
      </c>
      <c r="K531" s="9">
        <f>[2]หน้าผ้า!N540</f>
        <v>0</v>
      </c>
      <c r="L531" s="9">
        <f>[2]หน้าผ้า!R540</f>
        <v>0</v>
      </c>
      <c r="M531" s="10">
        <f>[2]หน้าผ้า!T540</f>
        <v>0</v>
      </c>
      <c r="N531" s="9">
        <f>[2]หน้าผ้า!U540</f>
        <v>0</v>
      </c>
      <c r="O531" s="9">
        <f>[2]หน้าผ้า!V540</f>
        <v>0</v>
      </c>
      <c r="P531" s="10">
        <f>[2]หน้าผ้า!AB540</f>
        <v>0</v>
      </c>
      <c r="Q531" s="10">
        <f>[2]หน้าผ้า!AC540</f>
        <v>0</v>
      </c>
      <c r="R531" s="10">
        <f>[2]หน้าผ้า!AD540</f>
        <v>0</v>
      </c>
      <c r="S531" s="9">
        <f>[2]หน้าผ้า!Z540</f>
        <v>0</v>
      </c>
      <c r="T531" s="12">
        <f>[2]หน้าผ้า!X540</f>
        <v>0</v>
      </c>
      <c r="U531" s="11">
        <f>[2]หน้าผ้า!AA540</f>
        <v>0</v>
      </c>
      <c r="V531" s="10">
        <f>[2]หน้าผ้า!AJ540</f>
        <v>0</v>
      </c>
      <c r="W531" s="10">
        <f>[2]หน้าผ้า!AL540</f>
        <v>0</v>
      </c>
      <c r="X531" s="10">
        <f>[2]หน้าผ้า!AM540</f>
        <v>0</v>
      </c>
      <c r="Y531" s="10">
        <f>[2]หน้าผ้า!AN540</f>
        <v>0</v>
      </c>
      <c r="Z531" s="9">
        <f>[2]หน้าผ้า!AO540</f>
        <v>0</v>
      </c>
      <c r="AA531" s="8">
        <f>[2]หน้าผ้า!AQ540</f>
        <v>0</v>
      </c>
      <c r="AB531" s="8">
        <f>[2]หน้าผ้า!AR540</f>
        <v>0</v>
      </c>
      <c r="AC531" s="8">
        <f>[2]หน้าผ้า!AS540</f>
        <v>0</v>
      </c>
      <c r="AD531" s="8">
        <f>[2]หน้าผ้า!AT540</f>
        <v>0</v>
      </c>
      <c r="AE531" s="8">
        <f>[2]หน้าผ้า!AU540</f>
        <v>0</v>
      </c>
      <c r="AF531" s="8">
        <f>[2]หน้าผ้า!AI540</f>
        <v>0</v>
      </c>
      <c r="AG531" s="1">
        <f>[3]หน้าผ้า!DC543</f>
        <v>0</v>
      </c>
      <c r="AH531" s="1">
        <f>[2]หน้าผ้า!DL540</f>
        <v>0</v>
      </c>
      <c r="AI531" s="1">
        <f>[2]หน้าผ้า!DM540</f>
        <v>0</v>
      </c>
      <c r="AJ531" s="3">
        <f>[2]หน้าผ้า!DN540</f>
        <v>0</v>
      </c>
      <c r="AK531" s="3">
        <f>[2]หน้าผ้า!DQ540</f>
        <v>0</v>
      </c>
      <c r="AL531" s="3">
        <f>[2]หน้าผ้า!DR540</f>
        <v>0</v>
      </c>
      <c r="AM531" s="3">
        <f>[2]หน้าผ้า!DS540</f>
        <v>0</v>
      </c>
      <c r="AN531" s="3">
        <f>[2]หน้าผ้า!DT540</f>
        <v>0</v>
      </c>
      <c r="AO531" s="3">
        <f>[2]หน้าผ้า!DU540</f>
        <v>0</v>
      </c>
      <c r="AP531" s="3">
        <f>[2]หน้าผ้า!DP540</f>
        <v>0</v>
      </c>
      <c r="AQ531" s="3">
        <f>[2]หน้าผ้า!DW540</f>
        <v>0</v>
      </c>
      <c r="AR531" s="3">
        <f>[2]หน้าผ้า!DX540</f>
        <v>0</v>
      </c>
      <c r="AS531" s="3">
        <f>[2]หน้าผ้า!DY540</f>
        <v>0</v>
      </c>
      <c r="AT531" s="3">
        <f>[2]หน้าผ้า!DZ540</f>
        <v>0</v>
      </c>
      <c r="AU531" s="3">
        <f>[2]หน้าผ้า!EA540</f>
        <v>0</v>
      </c>
      <c r="AV531" s="1">
        <f>[2]หน้าผ้า!EB540</f>
        <v>0</v>
      </c>
      <c r="AW531" s="2">
        <f>[2]หน้าผ้า!EC540</f>
        <v>0</v>
      </c>
      <c r="AX531" s="2">
        <f>[2]หน้าผ้า!ED540</f>
        <v>0</v>
      </c>
      <c r="AY531" s="2">
        <f>[2]หน้าผ้า!AG540</f>
        <v>0</v>
      </c>
      <c r="AZ531" s="2">
        <f>[2]หน้าผ้า!EG540</f>
        <v>0</v>
      </c>
      <c r="BA531" s="2">
        <f>[2]หน้าผ้า!EH540</f>
        <v>0</v>
      </c>
      <c r="BB531" s="2">
        <f>[2]หน้าผ้า!EI540</f>
        <v>0</v>
      </c>
      <c r="BC531" s="1">
        <f>[2]หน้าผ้า!BZ540</f>
        <v>0</v>
      </c>
      <c r="BD531" s="56">
        <f>[2]หน้าผ้า!CA540</f>
        <v>0</v>
      </c>
    </row>
    <row r="532" spans="1:56" ht="27.75" customHeight="1" x14ac:dyDescent="0.45">
      <c r="A532" s="3">
        <f>[2]หน้าผ้า!C541</f>
        <v>0</v>
      </c>
      <c r="B532" s="14">
        <f>[2]หน้าผ้า!B541</f>
        <v>0</v>
      </c>
      <c r="C532" s="9">
        <f>[2]หน้าผ้า!E541</f>
        <v>0</v>
      </c>
      <c r="D532" s="13">
        <f>[2]หน้าผ้า!F541</f>
        <v>0</v>
      </c>
      <c r="E532" s="9">
        <f>[2]หน้าผ้า!G541</f>
        <v>0</v>
      </c>
      <c r="F532" s="9">
        <f>[2]หน้าผ้า!H541</f>
        <v>0</v>
      </c>
      <c r="G532" s="9">
        <f>[2]หน้าผ้า!I541</f>
        <v>0</v>
      </c>
      <c r="H532" s="9">
        <f>[2]หน้าผ้า!J541</f>
        <v>0</v>
      </c>
      <c r="I532" s="9">
        <f>[2]หน้าผ้า!L541</f>
        <v>0</v>
      </c>
      <c r="J532" s="9">
        <f>[2]หน้าผ้า!M541</f>
        <v>0</v>
      </c>
      <c r="K532" s="9">
        <f>[2]หน้าผ้า!N541</f>
        <v>0</v>
      </c>
      <c r="L532" s="9">
        <f>[2]หน้าผ้า!R541</f>
        <v>0</v>
      </c>
      <c r="M532" s="10">
        <f>[2]หน้าผ้า!T541</f>
        <v>0</v>
      </c>
      <c r="N532" s="9">
        <f>[2]หน้าผ้า!U541</f>
        <v>0</v>
      </c>
      <c r="O532" s="9">
        <f>[2]หน้าผ้า!V541</f>
        <v>0</v>
      </c>
      <c r="P532" s="10">
        <f>[2]หน้าผ้า!AB541</f>
        <v>0</v>
      </c>
      <c r="Q532" s="10">
        <f>[2]หน้าผ้า!AC541</f>
        <v>0</v>
      </c>
      <c r="R532" s="10">
        <f>[2]หน้าผ้า!AD541</f>
        <v>0</v>
      </c>
      <c r="S532" s="9">
        <f>[2]หน้าผ้า!Z541</f>
        <v>0</v>
      </c>
      <c r="T532" s="12">
        <f>[2]หน้าผ้า!X541</f>
        <v>0</v>
      </c>
      <c r="U532" s="11">
        <f>[2]หน้าผ้า!AA541</f>
        <v>0</v>
      </c>
      <c r="V532" s="10">
        <f>[2]หน้าผ้า!AJ541</f>
        <v>0</v>
      </c>
      <c r="W532" s="10">
        <f>[2]หน้าผ้า!AL541</f>
        <v>0</v>
      </c>
      <c r="X532" s="10">
        <f>[2]หน้าผ้า!AM541</f>
        <v>0</v>
      </c>
      <c r="Y532" s="10">
        <f>[2]หน้าผ้า!AN541</f>
        <v>0</v>
      </c>
      <c r="Z532" s="9">
        <f>[2]หน้าผ้า!AO541</f>
        <v>0</v>
      </c>
      <c r="AA532" s="8">
        <f>[2]หน้าผ้า!AQ541</f>
        <v>0</v>
      </c>
      <c r="AB532" s="8">
        <f>[2]หน้าผ้า!AR541</f>
        <v>0</v>
      </c>
      <c r="AC532" s="8">
        <f>[2]หน้าผ้า!AS541</f>
        <v>0</v>
      </c>
      <c r="AD532" s="8">
        <f>[2]หน้าผ้า!AT541</f>
        <v>0</v>
      </c>
      <c r="AE532" s="8">
        <f>[2]หน้าผ้า!AU541</f>
        <v>0</v>
      </c>
      <c r="AF532" s="8">
        <f>[2]หน้าผ้า!AI541</f>
        <v>0</v>
      </c>
      <c r="AG532" s="1">
        <f>[3]หน้าผ้า!DC544</f>
        <v>0</v>
      </c>
      <c r="AH532" s="1">
        <f>[2]หน้าผ้า!DL541</f>
        <v>0</v>
      </c>
      <c r="AI532" s="1">
        <f>[2]หน้าผ้า!DM541</f>
        <v>0</v>
      </c>
      <c r="AJ532" s="3">
        <f>[2]หน้าผ้า!DN541</f>
        <v>0</v>
      </c>
      <c r="AK532" s="3">
        <f>[2]หน้าผ้า!DQ541</f>
        <v>0</v>
      </c>
      <c r="AL532" s="3">
        <f>[2]หน้าผ้า!DR541</f>
        <v>0</v>
      </c>
      <c r="AM532" s="3">
        <f>[2]หน้าผ้า!DS541</f>
        <v>0</v>
      </c>
      <c r="AN532" s="3">
        <f>[2]หน้าผ้า!DT541</f>
        <v>0</v>
      </c>
      <c r="AO532" s="3">
        <f>[2]หน้าผ้า!DU541</f>
        <v>0</v>
      </c>
      <c r="AP532" s="3">
        <f>[2]หน้าผ้า!DP541</f>
        <v>0</v>
      </c>
      <c r="AQ532" s="3">
        <f>[2]หน้าผ้า!DW541</f>
        <v>0</v>
      </c>
      <c r="AR532" s="3">
        <f>[2]หน้าผ้า!DX541</f>
        <v>0</v>
      </c>
      <c r="AS532" s="3">
        <f>[2]หน้าผ้า!DY541</f>
        <v>0</v>
      </c>
      <c r="AT532" s="3">
        <f>[2]หน้าผ้า!DZ541</f>
        <v>0</v>
      </c>
      <c r="AU532" s="3">
        <f>[2]หน้าผ้า!EA541</f>
        <v>0</v>
      </c>
      <c r="AV532" s="1">
        <f>[2]หน้าผ้า!EB541</f>
        <v>0</v>
      </c>
      <c r="AW532" s="2">
        <f>[2]หน้าผ้า!EC541</f>
        <v>0</v>
      </c>
      <c r="AX532" s="2">
        <f>[2]หน้าผ้า!ED541</f>
        <v>0</v>
      </c>
      <c r="AY532" s="2">
        <f>[2]หน้าผ้า!AG541</f>
        <v>0</v>
      </c>
      <c r="AZ532" s="2">
        <f>[2]หน้าผ้า!EG541</f>
        <v>0</v>
      </c>
      <c r="BA532" s="2">
        <f>[2]หน้าผ้า!EH541</f>
        <v>0</v>
      </c>
      <c r="BB532" s="2">
        <f>[2]หน้าผ้า!EI541</f>
        <v>0</v>
      </c>
      <c r="BC532" s="1">
        <f>[2]หน้าผ้า!BZ541</f>
        <v>0</v>
      </c>
      <c r="BD532" s="56">
        <f>[2]หน้าผ้า!CA541</f>
        <v>0</v>
      </c>
    </row>
    <row r="533" spans="1:56" ht="27.75" customHeight="1" x14ac:dyDescent="0.45">
      <c r="A533" s="3">
        <f>[2]หน้าผ้า!C542</f>
        <v>0</v>
      </c>
      <c r="B533" s="14">
        <f>[2]หน้าผ้า!B542</f>
        <v>0</v>
      </c>
      <c r="C533" s="9">
        <f>[2]หน้าผ้า!E542</f>
        <v>0</v>
      </c>
      <c r="D533" s="13">
        <f>[2]หน้าผ้า!F542</f>
        <v>0</v>
      </c>
      <c r="E533" s="9">
        <f>[2]หน้าผ้า!G542</f>
        <v>0</v>
      </c>
      <c r="F533" s="9">
        <f>[2]หน้าผ้า!H542</f>
        <v>0</v>
      </c>
      <c r="G533" s="9">
        <f>[2]หน้าผ้า!I542</f>
        <v>0</v>
      </c>
      <c r="H533" s="9">
        <f>[2]หน้าผ้า!J542</f>
        <v>0</v>
      </c>
      <c r="I533" s="9">
        <f>[2]หน้าผ้า!L542</f>
        <v>0</v>
      </c>
      <c r="J533" s="9">
        <f>[2]หน้าผ้า!M542</f>
        <v>0</v>
      </c>
      <c r="K533" s="9">
        <f>[2]หน้าผ้า!N542</f>
        <v>0</v>
      </c>
      <c r="L533" s="9">
        <f>[2]หน้าผ้า!R542</f>
        <v>0</v>
      </c>
      <c r="M533" s="10">
        <f>[2]หน้าผ้า!T542</f>
        <v>0</v>
      </c>
      <c r="N533" s="9">
        <f>[2]หน้าผ้า!U542</f>
        <v>0</v>
      </c>
      <c r="O533" s="9">
        <f>[2]หน้าผ้า!V542</f>
        <v>0</v>
      </c>
      <c r="P533" s="10">
        <f>[2]หน้าผ้า!AB542</f>
        <v>0</v>
      </c>
      <c r="Q533" s="10">
        <f>[2]หน้าผ้า!AC542</f>
        <v>0</v>
      </c>
      <c r="R533" s="10">
        <f>[2]หน้าผ้า!AD542</f>
        <v>0</v>
      </c>
      <c r="S533" s="9">
        <f>[2]หน้าผ้า!Z542</f>
        <v>0</v>
      </c>
      <c r="T533" s="12">
        <f>[2]หน้าผ้า!X542</f>
        <v>0</v>
      </c>
      <c r="U533" s="11">
        <f>[2]หน้าผ้า!AA542</f>
        <v>0</v>
      </c>
      <c r="V533" s="10">
        <f>[2]หน้าผ้า!AJ542</f>
        <v>0</v>
      </c>
      <c r="W533" s="10">
        <f>[2]หน้าผ้า!AL542</f>
        <v>0</v>
      </c>
      <c r="X533" s="10">
        <f>[2]หน้าผ้า!AM542</f>
        <v>0</v>
      </c>
      <c r="Y533" s="10">
        <f>[2]หน้าผ้า!AN542</f>
        <v>0</v>
      </c>
      <c r="Z533" s="9">
        <f>[2]หน้าผ้า!AO542</f>
        <v>0</v>
      </c>
      <c r="AA533" s="8">
        <f>[2]หน้าผ้า!AQ542</f>
        <v>0</v>
      </c>
      <c r="AB533" s="8">
        <f>[2]หน้าผ้า!AR542</f>
        <v>0</v>
      </c>
      <c r="AC533" s="8">
        <f>[2]หน้าผ้า!AS542</f>
        <v>0</v>
      </c>
      <c r="AD533" s="8">
        <f>[2]หน้าผ้า!AT542</f>
        <v>0</v>
      </c>
      <c r="AE533" s="8">
        <f>[2]หน้าผ้า!AU542</f>
        <v>0</v>
      </c>
      <c r="AF533" s="8">
        <f>[2]หน้าผ้า!AI542</f>
        <v>0</v>
      </c>
      <c r="AG533" s="1">
        <f>[3]หน้าผ้า!DC545</f>
        <v>0</v>
      </c>
      <c r="AH533" s="1">
        <f>[2]หน้าผ้า!DL542</f>
        <v>0</v>
      </c>
      <c r="AI533" s="1">
        <f>[2]หน้าผ้า!DM542</f>
        <v>0</v>
      </c>
      <c r="AJ533" s="3">
        <f>[2]หน้าผ้า!DN542</f>
        <v>0</v>
      </c>
      <c r="AK533" s="3">
        <f>[2]หน้าผ้า!DQ542</f>
        <v>0</v>
      </c>
      <c r="AL533" s="3">
        <f>[2]หน้าผ้า!DR542</f>
        <v>0</v>
      </c>
      <c r="AM533" s="3">
        <f>[2]หน้าผ้า!DS542</f>
        <v>0</v>
      </c>
      <c r="AN533" s="3">
        <f>[2]หน้าผ้า!DT542</f>
        <v>0</v>
      </c>
      <c r="AO533" s="3">
        <f>[2]หน้าผ้า!DU542</f>
        <v>0</v>
      </c>
      <c r="AP533" s="3">
        <f>[2]หน้าผ้า!DP542</f>
        <v>0</v>
      </c>
      <c r="AQ533" s="3">
        <f>[2]หน้าผ้า!DW542</f>
        <v>0</v>
      </c>
      <c r="AR533" s="3">
        <f>[2]หน้าผ้า!DX542</f>
        <v>0</v>
      </c>
      <c r="AS533" s="3">
        <f>[2]หน้าผ้า!DY542</f>
        <v>0</v>
      </c>
      <c r="AT533" s="3">
        <f>[2]หน้าผ้า!DZ542</f>
        <v>0</v>
      </c>
      <c r="AU533" s="3">
        <f>[2]หน้าผ้า!EA542</f>
        <v>0</v>
      </c>
      <c r="AV533" s="1">
        <f>[2]หน้าผ้า!EB542</f>
        <v>0</v>
      </c>
      <c r="AW533" s="2">
        <f>[2]หน้าผ้า!EC542</f>
        <v>0</v>
      </c>
      <c r="AX533" s="2">
        <f>[2]หน้าผ้า!ED542</f>
        <v>0</v>
      </c>
      <c r="AY533" s="2">
        <f>[2]หน้าผ้า!AG542</f>
        <v>0</v>
      </c>
      <c r="AZ533" s="2">
        <f>[2]หน้าผ้า!EG542</f>
        <v>0</v>
      </c>
      <c r="BA533" s="2">
        <f>[2]หน้าผ้า!EH542</f>
        <v>0</v>
      </c>
      <c r="BB533" s="2">
        <f>[2]หน้าผ้า!EI542</f>
        <v>0</v>
      </c>
      <c r="BC533" s="1">
        <f>[2]หน้าผ้า!BZ542</f>
        <v>0</v>
      </c>
      <c r="BD533" s="56">
        <f>[2]หน้าผ้า!CA542</f>
        <v>0</v>
      </c>
    </row>
    <row r="534" spans="1:56" ht="27.75" customHeight="1" x14ac:dyDescent="0.45">
      <c r="A534" s="3">
        <f>[2]หน้าผ้า!C543</f>
        <v>0</v>
      </c>
      <c r="B534" s="14">
        <f>[2]หน้าผ้า!B543</f>
        <v>0</v>
      </c>
      <c r="C534" s="9">
        <f>[2]หน้าผ้า!E543</f>
        <v>0</v>
      </c>
      <c r="D534" s="13">
        <f>[2]หน้าผ้า!F543</f>
        <v>0</v>
      </c>
      <c r="E534" s="9">
        <f>[2]หน้าผ้า!G543</f>
        <v>0</v>
      </c>
      <c r="F534" s="9">
        <f>[2]หน้าผ้า!H543</f>
        <v>0</v>
      </c>
      <c r="G534" s="9">
        <f>[2]หน้าผ้า!I543</f>
        <v>0</v>
      </c>
      <c r="H534" s="9">
        <f>[2]หน้าผ้า!J543</f>
        <v>0</v>
      </c>
      <c r="I534" s="9">
        <f>[2]หน้าผ้า!L543</f>
        <v>0</v>
      </c>
      <c r="J534" s="9">
        <f>[2]หน้าผ้า!M543</f>
        <v>0</v>
      </c>
      <c r="K534" s="9">
        <f>[2]หน้าผ้า!N543</f>
        <v>0</v>
      </c>
      <c r="L534" s="9">
        <f>[2]หน้าผ้า!R543</f>
        <v>0</v>
      </c>
      <c r="M534" s="10">
        <f>[2]หน้าผ้า!T543</f>
        <v>0</v>
      </c>
      <c r="N534" s="9">
        <f>[2]หน้าผ้า!U543</f>
        <v>0</v>
      </c>
      <c r="O534" s="9">
        <f>[2]หน้าผ้า!V543</f>
        <v>0</v>
      </c>
      <c r="P534" s="10">
        <f>[2]หน้าผ้า!AB543</f>
        <v>0</v>
      </c>
      <c r="Q534" s="10">
        <f>[2]หน้าผ้า!AC543</f>
        <v>0</v>
      </c>
      <c r="R534" s="10">
        <f>[2]หน้าผ้า!AD543</f>
        <v>0</v>
      </c>
      <c r="S534" s="9">
        <f>[2]หน้าผ้า!Z543</f>
        <v>0</v>
      </c>
      <c r="T534" s="12">
        <f>[2]หน้าผ้า!X543</f>
        <v>0</v>
      </c>
      <c r="U534" s="11">
        <f>[2]หน้าผ้า!AA543</f>
        <v>0</v>
      </c>
      <c r="V534" s="10">
        <f>[2]หน้าผ้า!AJ543</f>
        <v>0</v>
      </c>
      <c r="W534" s="10">
        <f>[2]หน้าผ้า!AL543</f>
        <v>0</v>
      </c>
      <c r="X534" s="10">
        <f>[2]หน้าผ้า!AM543</f>
        <v>0</v>
      </c>
      <c r="Y534" s="10">
        <f>[2]หน้าผ้า!AN543</f>
        <v>0</v>
      </c>
      <c r="Z534" s="9">
        <f>[2]หน้าผ้า!AO543</f>
        <v>0</v>
      </c>
      <c r="AA534" s="8">
        <f>[2]หน้าผ้า!AQ543</f>
        <v>0</v>
      </c>
      <c r="AB534" s="8">
        <f>[2]หน้าผ้า!AR543</f>
        <v>0</v>
      </c>
      <c r="AC534" s="8">
        <f>[2]หน้าผ้า!AS543</f>
        <v>0</v>
      </c>
      <c r="AD534" s="8">
        <f>[2]หน้าผ้า!AT543</f>
        <v>0</v>
      </c>
      <c r="AE534" s="8">
        <f>[2]หน้าผ้า!AU543</f>
        <v>0</v>
      </c>
      <c r="AF534" s="8">
        <f>[2]หน้าผ้า!AI543</f>
        <v>0</v>
      </c>
      <c r="AG534" s="1">
        <f>[3]หน้าผ้า!DC546</f>
        <v>0</v>
      </c>
      <c r="AH534" s="1">
        <f>[2]หน้าผ้า!DL543</f>
        <v>0</v>
      </c>
      <c r="AI534" s="1">
        <f>[2]หน้าผ้า!DM543</f>
        <v>0</v>
      </c>
      <c r="AJ534" s="3">
        <f>[2]หน้าผ้า!DN543</f>
        <v>0</v>
      </c>
      <c r="AK534" s="3">
        <f>[2]หน้าผ้า!DQ543</f>
        <v>0</v>
      </c>
      <c r="AL534" s="3">
        <f>[2]หน้าผ้า!DR543</f>
        <v>0</v>
      </c>
      <c r="AM534" s="3">
        <f>[2]หน้าผ้า!DS543</f>
        <v>0</v>
      </c>
      <c r="AN534" s="3">
        <f>[2]หน้าผ้า!DT543</f>
        <v>0</v>
      </c>
      <c r="AO534" s="3">
        <f>[2]หน้าผ้า!DU543</f>
        <v>0</v>
      </c>
      <c r="AP534" s="3">
        <f>[2]หน้าผ้า!DP543</f>
        <v>0</v>
      </c>
      <c r="AQ534" s="3">
        <f>[2]หน้าผ้า!DW543</f>
        <v>0</v>
      </c>
      <c r="AR534" s="3">
        <f>[2]หน้าผ้า!DX543</f>
        <v>0</v>
      </c>
      <c r="AS534" s="3">
        <f>[2]หน้าผ้า!DY543</f>
        <v>0</v>
      </c>
      <c r="AT534" s="3">
        <f>[2]หน้าผ้า!DZ543</f>
        <v>0</v>
      </c>
      <c r="AU534" s="3">
        <f>[2]หน้าผ้า!EA543</f>
        <v>0</v>
      </c>
      <c r="AV534" s="1">
        <f>[2]หน้าผ้า!EB543</f>
        <v>0</v>
      </c>
      <c r="AW534" s="2">
        <f>[2]หน้าผ้า!EC543</f>
        <v>0</v>
      </c>
      <c r="AX534" s="2">
        <f>[2]หน้าผ้า!ED543</f>
        <v>0</v>
      </c>
      <c r="AY534" s="2">
        <f>[2]หน้าผ้า!AG543</f>
        <v>0</v>
      </c>
      <c r="AZ534" s="2">
        <f>[2]หน้าผ้า!EG543</f>
        <v>0</v>
      </c>
      <c r="BA534" s="2">
        <f>[2]หน้าผ้า!EH543</f>
        <v>0</v>
      </c>
      <c r="BB534" s="2">
        <f>[2]หน้าผ้า!EI543</f>
        <v>0</v>
      </c>
      <c r="BC534" s="1">
        <f>[2]หน้าผ้า!BZ543</f>
        <v>0</v>
      </c>
      <c r="BD534" s="56">
        <f>[2]หน้าผ้า!CA543</f>
        <v>0</v>
      </c>
    </row>
    <row r="535" spans="1:56" ht="27.75" customHeight="1" x14ac:dyDescent="0.45">
      <c r="A535" s="3">
        <f>[2]หน้าผ้า!C544</f>
        <v>0</v>
      </c>
      <c r="B535" s="14">
        <f>[2]หน้าผ้า!B544</f>
        <v>0</v>
      </c>
      <c r="C535" s="9">
        <f>[2]หน้าผ้า!E544</f>
        <v>0</v>
      </c>
      <c r="D535" s="13">
        <f>[2]หน้าผ้า!F544</f>
        <v>0</v>
      </c>
      <c r="E535" s="9">
        <f>[2]หน้าผ้า!G544</f>
        <v>0</v>
      </c>
      <c r="F535" s="9">
        <f>[2]หน้าผ้า!H544</f>
        <v>0</v>
      </c>
      <c r="G535" s="9">
        <f>[2]หน้าผ้า!I544</f>
        <v>0</v>
      </c>
      <c r="H535" s="9">
        <f>[2]หน้าผ้า!J544</f>
        <v>0</v>
      </c>
      <c r="I535" s="9">
        <f>[2]หน้าผ้า!L544</f>
        <v>0</v>
      </c>
      <c r="J535" s="9">
        <f>[2]หน้าผ้า!M544</f>
        <v>0</v>
      </c>
      <c r="K535" s="9">
        <f>[2]หน้าผ้า!N544</f>
        <v>0</v>
      </c>
      <c r="L535" s="9">
        <f>[2]หน้าผ้า!R544</f>
        <v>0</v>
      </c>
      <c r="M535" s="10">
        <f>[2]หน้าผ้า!T544</f>
        <v>0</v>
      </c>
      <c r="N535" s="9">
        <f>[2]หน้าผ้า!U544</f>
        <v>0</v>
      </c>
      <c r="O535" s="9">
        <f>[2]หน้าผ้า!V544</f>
        <v>0</v>
      </c>
      <c r="P535" s="10">
        <f>[2]หน้าผ้า!AB544</f>
        <v>0</v>
      </c>
      <c r="Q535" s="10">
        <f>[2]หน้าผ้า!AC544</f>
        <v>0</v>
      </c>
      <c r="R535" s="10">
        <f>[2]หน้าผ้า!AD544</f>
        <v>0</v>
      </c>
      <c r="S535" s="9">
        <f>[2]หน้าผ้า!Z544</f>
        <v>0</v>
      </c>
      <c r="T535" s="12">
        <f>[2]หน้าผ้า!X544</f>
        <v>0</v>
      </c>
      <c r="U535" s="11">
        <f>[2]หน้าผ้า!AA544</f>
        <v>0</v>
      </c>
      <c r="V535" s="10">
        <f>[2]หน้าผ้า!AJ544</f>
        <v>0</v>
      </c>
      <c r="W535" s="10">
        <f>[2]หน้าผ้า!AL544</f>
        <v>0</v>
      </c>
      <c r="X535" s="10">
        <f>[2]หน้าผ้า!AM544</f>
        <v>0</v>
      </c>
      <c r="Y535" s="10">
        <f>[2]หน้าผ้า!AN544</f>
        <v>0</v>
      </c>
      <c r="Z535" s="9">
        <f>[2]หน้าผ้า!AO544</f>
        <v>0</v>
      </c>
      <c r="AA535" s="8">
        <f>[2]หน้าผ้า!AQ544</f>
        <v>0</v>
      </c>
      <c r="AB535" s="8">
        <f>[2]หน้าผ้า!AR544</f>
        <v>0</v>
      </c>
      <c r="AC535" s="8">
        <f>[2]หน้าผ้า!AS544</f>
        <v>0</v>
      </c>
      <c r="AD535" s="8">
        <f>[2]หน้าผ้า!AT544</f>
        <v>0</v>
      </c>
      <c r="AE535" s="8">
        <f>[2]หน้าผ้า!AU544</f>
        <v>0</v>
      </c>
      <c r="AF535" s="8">
        <f>[2]หน้าผ้า!AI544</f>
        <v>0</v>
      </c>
      <c r="AG535" s="1">
        <f>[3]หน้าผ้า!DC547</f>
        <v>0</v>
      </c>
      <c r="AH535" s="1">
        <f>[2]หน้าผ้า!DL544</f>
        <v>0</v>
      </c>
      <c r="AI535" s="1">
        <f>[2]หน้าผ้า!DM544</f>
        <v>0</v>
      </c>
      <c r="AJ535" s="3">
        <f>[2]หน้าผ้า!DN544</f>
        <v>0</v>
      </c>
      <c r="AK535" s="3">
        <f>[2]หน้าผ้า!DQ544</f>
        <v>0</v>
      </c>
      <c r="AL535" s="3">
        <f>[2]หน้าผ้า!DR544</f>
        <v>0</v>
      </c>
      <c r="AM535" s="3">
        <f>[2]หน้าผ้า!DS544</f>
        <v>0</v>
      </c>
      <c r="AN535" s="3">
        <f>[2]หน้าผ้า!DT544</f>
        <v>0</v>
      </c>
      <c r="AO535" s="3">
        <f>[2]หน้าผ้า!DU544</f>
        <v>0</v>
      </c>
      <c r="AP535" s="3">
        <f>[2]หน้าผ้า!DP544</f>
        <v>0</v>
      </c>
      <c r="AQ535" s="3">
        <f>[2]หน้าผ้า!DW544</f>
        <v>0</v>
      </c>
      <c r="AR535" s="3">
        <f>[2]หน้าผ้า!DX544</f>
        <v>0</v>
      </c>
      <c r="AS535" s="3">
        <f>[2]หน้าผ้า!DY544</f>
        <v>0</v>
      </c>
      <c r="AT535" s="3">
        <f>[2]หน้าผ้า!DZ544</f>
        <v>0</v>
      </c>
      <c r="AU535" s="3">
        <f>[2]หน้าผ้า!EA544</f>
        <v>0</v>
      </c>
      <c r="AV535" s="1">
        <f>[2]หน้าผ้า!EB544</f>
        <v>0</v>
      </c>
      <c r="AW535" s="2">
        <f>[2]หน้าผ้า!EC544</f>
        <v>0</v>
      </c>
      <c r="AX535" s="2">
        <f>[2]หน้าผ้า!ED544</f>
        <v>0</v>
      </c>
      <c r="AY535" s="2">
        <f>[2]หน้าผ้า!AG544</f>
        <v>0</v>
      </c>
      <c r="AZ535" s="2">
        <f>[2]หน้าผ้า!EG544</f>
        <v>0</v>
      </c>
      <c r="BA535" s="2">
        <f>[2]หน้าผ้า!EH544</f>
        <v>0</v>
      </c>
      <c r="BB535" s="2">
        <f>[2]หน้าผ้า!EI544</f>
        <v>0</v>
      </c>
      <c r="BC535" s="1">
        <f>[2]หน้าผ้า!BZ544</f>
        <v>0</v>
      </c>
      <c r="BD535" s="56">
        <f>[2]หน้าผ้า!CA544</f>
        <v>0</v>
      </c>
    </row>
    <row r="536" spans="1:56" ht="27.75" customHeight="1" x14ac:dyDescent="0.45">
      <c r="A536" s="3">
        <f>[2]หน้าผ้า!C545</f>
        <v>0</v>
      </c>
      <c r="B536" s="14">
        <f>[2]หน้าผ้า!B545</f>
        <v>0</v>
      </c>
      <c r="C536" s="9">
        <f>[2]หน้าผ้า!E545</f>
        <v>0</v>
      </c>
      <c r="D536" s="13">
        <f>[2]หน้าผ้า!F545</f>
        <v>0</v>
      </c>
      <c r="E536" s="9">
        <f>[2]หน้าผ้า!G545</f>
        <v>0</v>
      </c>
      <c r="F536" s="9">
        <f>[2]หน้าผ้า!H545</f>
        <v>0</v>
      </c>
      <c r="G536" s="9">
        <f>[2]หน้าผ้า!I545</f>
        <v>0</v>
      </c>
      <c r="H536" s="9">
        <f>[2]หน้าผ้า!J545</f>
        <v>0</v>
      </c>
      <c r="I536" s="9">
        <f>[2]หน้าผ้า!L545</f>
        <v>0</v>
      </c>
      <c r="J536" s="9">
        <f>[2]หน้าผ้า!M545</f>
        <v>0</v>
      </c>
      <c r="K536" s="9">
        <f>[2]หน้าผ้า!N545</f>
        <v>0</v>
      </c>
      <c r="L536" s="9">
        <f>[2]หน้าผ้า!R545</f>
        <v>0</v>
      </c>
      <c r="M536" s="10">
        <f>[2]หน้าผ้า!T545</f>
        <v>0</v>
      </c>
      <c r="N536" s="9">
        <f>[2]หน้าผ้า!U545</f>
        <v>0</v>
      </c>
      <c r="O536" s="9">
        <f>[2]หน้าผ้า!V545</f>
        <v>0</v>
      </c>
      <c r="P536" s="10">
        <f>[2]หน้าผ้า!AB545</f>
        <v>0</v>
      </c>
      <c r="Q536" s="10">
        <f>[2]หน้าผ้า!AC545</f>
        <v>0</v>
      </c>
      <c r="R536" s="10">
        <f>[2]หน้าผ้า!AD545</f>
        <v>0</v>
      </c>
      <c r="S536" s="9">
        <f>[2]หน้าผ้า!Z545</f>
        <v>0</v>
      </c>
      <c r="T536" s="12">
        <f>[2]หน้าผ้า!X545</f>
        <v>0</v>
      </c>
      <c r="U536" s="11">
        <f>[2]หน้าผ้า!AA545</f>
        <v>0</v>
      </c>
      <c r="V536" s="10">
        <f>[2]หน้าผ้า!AJ545</f>
        <v>0</v>
      </c>
      <c r="W536" s="10">
        <f>[2]หน้าผ้า!AL545</f>
        <v>0</v>
      </c>
      <c r="X536" s="10">
        <f>[2]หน้าผ้า!AM545</f>
        <v>0</v>
      </c>
      <c r="Y536" s="10">
        <f>[2]หน้าผ้า!AN545</f>
        <v>0</v>
      </c>
      <c r="Z536" s="9">
        <f>[2]หน้าผ้า!AO545</f>
        <v>0</v>
      </c>
      <c r="AA536" s="8">
        <f>[2]หน้าผ้า!AQ545</f>
        <v>0</v>
      </c>
      <c r="AB536" s="8">
        <f>[2]หน้าผ้า!AR545</f>
        <v>0</v>
      </c>
      <c r="AC536" s="8">
        <f>[2]หน้าผ้า!AS545</f>
        <v>0</v>
      </c>
      <c r="AD536" s="8">
        <f>[2]หน้าผ้า!AT545</f>
        <v>0</v>
      </c>
      <c r="AE536" s="8">
        <f>[2]หน้าผ้า!AU545</f>
        <v>0</v>
      </c>
      <c r="AF536" s="8">
        <f>[2]หน้าผ้า!AI545</f>
        <v>0</v>
      </c>
      <c r="AG536" s="1">
        <f>[3]หน้าผ้า!DC548</f>
        <v>0</v>
      </c>
      <c r="AH536" s="1">
        <f>[2]หน้าผ้า!DL545</f>
        <v>0</v>
      </c>
      <c r="AI536" s="1">
        <f>[2]หน้าผ้า!DM545</f>
        <v>0</v>
      </c>
      <c r="AJ536" s="3">
        <f>[2]หน้าผ้า!DN545</f>
        <v>0</v>
      </c>
      <c r="AK536" s="3">
        <f>[2]หน้าผ้า!DQ545</f>
        <v>0</v>
      </c>
      <c r="AL536" s="3">
        <f>[2]หน้าผ้า!DR545</f>
        <v>0</v>
      </c>
      <c r="AM536" s="3">
        <f>[2]หน้าผ้า!DS545</f>
        <v>0</v>
      </c>
      <c r="AN536" s="3">
        <f>[2]หน้าผ้า!DT545</f>
        <v>0</v>
      </c>
      <c r="AO536" s="3">
        <f>[2]หน้าผ้า!DU545</f>
        <v>0</v>
      </c>
      <c r="AP536" s="3">
        <f>[2]หน้าผ้า!DP545</f>
        <v>0</v>
      </c>
      <c r="AQ536" s="3">
        <f>[2]หน้าผ้า!DW545</f>
        <v>0</v>
      </c>
      <c r="AR536" s="3">
        <f>[2]หน้าผ้า!DX545</f>
        <v>0</v>
      </c>
      <c r="AS536" s="3">
        <f>[2]หน้าผ้า!DY545</f>
        <v>0</v>
      </c>
      <c r="AT536" s="3">
        <f>[2]หน้าผ้า!DZ545</f>
        <v>0</v>
      </c>
      <c r="AU536" s="3">
        <f>[2]หน้าผ้า!EA545</f>
        <v>0</v>
      </c>
      <c r="AV536" s="1">
        <f>[2]หน้าผ้า!EB545</f>
        <v>0</v>
      </c>
      <c r="AW536" s="2">
        <f>[2]หน้าผ้า!EC545</f>
        <v>0</v>
      </c>
      <c r="AX536" s="2">
        <f>[2]หน้าผ้า!ED545</f>
        <v>0</v>
      </c>
      <c r="AY536" s="2">
        <f>[2]หน้าผ้า!AG545</f>
        <v>0</v>
      </c>
      <c r="AZ536" s="2">
        <f>[2]หน้าผ้า!EG545</f>
        <v>0</v>
      </c>
      <c r="BA536" s="2">
        <f>[2]หน้าผ้า!EH545</f>
        <v>0</v>
      </c>
      <c r="BB536" s="2">
        <f>[2]หน้าผ้า!EI545</f>
        <v>0</v>
      </c>
      <c r="BC536" s="1">
        <f>[2]หน้าผ้า!BZ545</f>
        <v>0</v>
      </c>
      <c r="BD536" s="56">
        <f>[2]หน้าผ้า!CA545</f>
        <v>0</v>
      </c>
    </row>
    <row r="537" spans="1:56" ht="27.75" customHeight="1" x14ac:dyDescent="0.45">
      <c r="A537" s="3">
        <f>[2]หน้าผ้า!C546</f>
        <v>0</v>
      </c>
      <c r="B537" s="14">
        <f>[2]หน้าผ้า!B546</f>
        <v>0</v>
      </c>
      <c r="C537" s="9">
        <f>[2]หน้าผ้า!E546</f>
        <v>0</v>
      </c>
      <c r="D537" s="13">
        <f>[2]หน้าผ้า!F546</f>
        <v>0</v>
      </c>
      <c r="E537" s="9">
        <f>[2]หน้าผ้า!G546</f>
        <v>0</v>
      </c>
      <c r="F537" s="9">
        <f>[2]หน้าผ้า!H546</f>
        <v>0</v>
      </c>
      <c r="G537" s="9">
        <f>[2]หน้าผ้า!I546</f>
        <v>0</v>
      </c>
      <c r="H537" s="9">
        <f>[2]หน้าผ้า!J546</f>
        <v>0</v>
      </c>
      <c r="I537" s="9">
        <f>[2]หน้าผ้า!L546</f>
        <v>0</v>
      </c>
      <c r="J537" s="9">
        <f>[2]หน้าผ้า!M546</f>
        <v>0</v>
      </c>
      <c r="K537" s="9">
        <f>[2]หน้าผ้า!N546</f>
        <v>0</v>
      </c>
      <c r="L537" s="9">
        <f>[2]หน้าผ้า!R546</f>
        <v>0</v>
      </c>
      <c r="M537" s="10">
        <f>[2]หน้าผ้า!T546</f>
        <v>0</v>
      </c>
      <c r="N537" s="9">
        <f>[2]หน้าผ้า!U546</f>
        <v>0</v>
      </c>
      <c r="O537" s="9">
        <f>[2]หน้าผ้า!V546</f>
        <v>0</v>
      </c>
      <c r="P537" s="10">
        <f>[2]หน้าผ้า!AB546</f>
        <v>0</v>
      </c>
      <c r="Q537" s="10">
        <f>[2]หน้าผ้า!AC546</f>
        <v>0</v>
      </c>
      <c r="R537" s="10">
        <f>[2]หน้าผ้า!AD546</f>
        <v>0</v>
      </c>
      <c r="S537" s="9">
        <f>[2]หน้าผ้า!Z546</f>
        <v>0</v>
      </c>
      <c r="T537" s="12">
        <f>[2]หน้าผ้า!X546</f>
        <v>0</v>
      </c>
      <c r="U537" s="11">
        <f>[2]หน้าผ้า!AA546</f>
        <v>0</v>
      </c>
      <c r="V537" s="10">
        <f>[2]หน้าผ้า!AJ546</f>
        <v>0</v>
      </c>
      <c r="W537" s="10">
        <f>[2]หน้าผ้า!AL546</f>
        <v>0</v>
      </c>
      <c r="X537" s="10">
        <f>[2]หน้าผ้า!AM546</f>
        <v>0</v>
      </c>
      <c r="Y537" s="10">
        <f>[2]หน้าผ้า!AN546</f>
        <v>0</v>
      </c>
      <c r="Z537" s="9">
        <f>[2]หน้าผ้า!AO546</f>
        <v>0</v>
      </c>
      <c r="AA537" s="8">
        <f>[2]หน้าผ้า!AQ546</f>
        <v>0</v>
      </c>
      <c r="AB537" s="8">
        <f>[2]หน้าผ้า!AR546</f>
        <v>0</v>
      </c>
      <c r="AC537" s="8">
        <f>[2]หน้าผ้า!AS546</f>
        <v>0</v>
      </c>
      <c r="AD537" s="8">
        <f>[2]หน้าผ้า!AT546</f>
        <v>0</v>
      </c>
      <c r="AE537" s="8">
        <f>[2]หน้าผ้า!AU546</f>
        <v>0</v>
      </c>
      <c r="AF537" s="8">
        <f>[2]หน้าผ้า!AI546</f>
        <v>0</v>
      </c>
      <c r="AG537" s="1">
        <f>[3]หน้าผ้า!DC549</f>
        <v>0</v>
      </c>
      <c r="AH537" s="1">
        <f>[2]หน้าผ้า!DL546</f>
        <v>0</v>
      </c>
      <c r="AI537" s="1">
        <f>[2]หน้าผ้า!DM546</f>
        <v>0</v>
      </c>
      <c r="AJ537" s="3">
        <f>[2]หน้าผ้า!DN546</f>
        <v>0</v>
      </c>
      <c r="AK537" s="3">
        <f>[2]หน้าผ้า!DQ546</f>
        <v>0</v>
      </c>
      <c r="AL537" s="3">
        <f>[2]หน้าผ้า!DR546</f>
        <v>0</v>
      </c>
      <c r="AM537" s="3">
        <f>[2]หน้าผ้า!DS546</f>
        <v>0</v>
      </c>
      <c r="AN537" s="3">
        <f>[2]หน้าผ้า!DT546</f>
        <v>0</v>
      </c>
      <c r="AO537" s="3">
        <f>[2]หน้าผ้า!DU546</f>
        <v>0</v>
      </c>
      <c r="AP537" s="3">
        <f>[2]หน้าผ้า!DP546</f>
        <v>0</v>
      </c>
      <c r="AQ537" s="3">
        <f>[2]หน้าผ้า!DW546</f>
        <v>0</v>
      </c>
      <c r="AR537" s="3">
        <f>[2]หน้าผ้า!DX546</f>
        <v>0</v>
      </c>
      <c r="AS537" s="3">
        <f>[2]หน้าผ้า!DY546</f>
        <v>0</v>
      </c>
      <c r="AT537" s="3">
        <f>[2]หน้าผ้า!DZ546</f>
        <v>0</v>
      </c>
      <c r="AU537" s="3">
        <f>[2]หน้าผ้า!EA546</f>
        <v>0</v>
      </c>
      <c r="AV537" s="1">
        <f>[2]หน้าผ้า!EB546</f>
        <v>0</v>
      </c>
      <c r="AW537" s="2">
        <f>[2]หน้าผ้า!EC546</f>
        <v>0</v>
      </c>
      <c r="AX537" s="2">
        <f>[2]หน้าผ้า!ED546</f>
        <v>0</v>
      </c>
      <c r="AY537" s="2">
        <f>[2]หน้าผ้า!AG546</f>
        <v>0</v>
      </c>
      <c r="AZ537" s="2">
        <f>[2]หน้าผ้า!EG546</f>
        <v>0</v>
      </c>
      <c r="BA537" s="2">
        <f>[2]หน้าผ้า!EH546</f>
        <v>0</v>
      </c>
      <c r="BB537" s="2">
        <f>[2]หน้าผ้า!EI546</f>
        <v>0</v>
      </c>
      <c r="BC537" s="1">
        <f>[2]หน้าผ้า!BZ546</f>
        <v>0</v>
      </c>
      <c r="BD537" s="56">
        <f>[2]หน้าผ้า!CA546</f>
        <v>0</v>
      </c>
    </row>
    <row r="538" spans="1:56" ht="27.75" customHeight="1" x14ac:dyDescent="0.45">
      <c r="A538" s="3">
        <f>[2]หน้าผ้า!C547</f>
        <v>0</v>
      </c>
      <c r="B538" s="14">
        <f>[2]หน้าผ้า!B547</f>
        <v>0</v>
      </c>
      <c r="C538" s="9">
        <f>[2]หน้าผ้า!E547</f>
        <v>0</v>
      </c>
      <c r="D538" s="13">
        <f>[2]หน้าผ้า!F547</f>
        <v>0</v>
      </c>
      <c r="E538" s="9">
        <f>[2]หน้าผ้า!G547</f>
        <v>0</v>
      </c>
      <c r="F538" s="9">
        <f>[2]หน้าผ้า!H547</f>
        <v>0</v>
      </c>
      <c r="G538" s="9">
        <f>[2]หน้าผ้า!I547</f>
        <v>0</v>
      </c>
      <c r="H538" s="9">
        <f>[2]หน้าผ้า!J547</f>
        <v>0</v>
      </c>
      <c r="I538" s="9">
        <f>[2]หน้าผ้า!L547</f>
        <v>0</v>
      </c>
      <c r="J538" s="9">
        <f>[2]หน้าผ้า!M547</f>
        <v>0</v>
      </c>
      <c r="K538" s="9">
        <f>[2]หน้าผ้า!N547</f>
        <v>0</v>
      </c>
      <c r="L538" s="9">
        <f>[2]หน้าผ้า!R547</f>
        <v>0</v>
      </c>
      <c r="M538" s="10">
        <f>[2]หน้าผ้า!T547</f>
        <v>0</v>
      </c>
      <c r="N538" s="9">
        <f>[2]หน้าผ้า!U547</f>
        <v>0</v>
      </c>
      <c r="O538" s="9">
        <f>[2]หน้าผ้า!V547</f>
        <v>0</v>
      </c>
      <c r="P538" s="10">
        <f>[2]หน้าผ้า!AB547</f>
        <v>0</v>
      </c>
      <c r="Q538" s="10">
        <f>[2]หน้าผ้า!AC547</f>
        <v>0</v>
      </c>
      <c r="R538" s="10">
        <f>[2]หน้าผ้า!AD547</f>
        <v>0</v>
      </c>
      <c r="S538" s="9">
        <f>[2]หน้าผ้า!Z547</f>
        <v>0</v>
      </c>
      <c r="T538" s="12">
        <f>[2]หน้าผ้า!X547</f>
        <v>0</v>
      </c>
      <c r="U538" s="11">
        <f>[2]หน้าผ้า!AA547</f>
        <v>0</v>
      </c>
      <c r="V538" s="10">
        <f>[2]หน้าผ้า!AJ547</f>
        <v>0</v>
      </c>
      <c r="W538" s="10">
        <f>[2]หน้าผ้า!AL547</f>
        <v>0</v>
      </c>
      <c r="X538" s="10">
        <f>[2]หน้าผ้า!AM547</f>
        <v>0</v>
      </c>
      <c r="Y538" s="10">
        <f>[2]หน้าผ้า!AN547</f>
        <v>0</v>
      </c>
      <c r="Z538" s="9">
        <f>[2]หน้าผ้า!AO547</f>
        <v>0</v>
      </c>
      <c r="AA538" s="8">
        <f>[2]หน้าผ้า!AQ547</f>
        <v>0</v>
      </c>
      <c r="AB538" s="8">
        <f>[2]หน้าผ้า!AR547</f>
        <v>0</v>
      </c>
      <c r="AC538" s="8">
        <f>[2]หน้าผ้า!AS547</f>
        <v>0</v>
      </c>
      <c r="AD538" s="8">
        <f>[2]หน้าผ้า!AT547</f>
        <v>0</v>
      </c>
      <c r="AE538" s="8">
        <f>[2]หน้าผ้า!AU547</f>
        <v>0</v>
      </c>
      <c r="AF538" s="8">
        <f>[2]หน้าผ้า!AI547</f>
        <v>0</v>
      </c>
      <c r="AG538" s="1">
        <f>[3]หน้าผ้า!DC550</f>
        <v>0</v>
      </c>
      <c r="AH538" s="1">
        <f>[2]หน้าผ้า!DL547</f>
        <v>0</v>
      </c>
      <c r="AI538" s="1">
        <f>[2]หน้าผ้า!DM547</f>
        <v>0</v>
      </c>
      <c r="AJ538" s="3">
        <f>[2]หน้าผ้า!DN547</f>
        <v>0</v>
      </c>
      <c r="AK538" s="3">
        <f>[2]หน้าผ้า!DQ547</f>
        <v>0</v>
      </c>
      <c r="AL538" s="3">
        <f>[2]หน้าผ้า!DR547</f>
        <v>0</v>
      </c>
      <c r="AM538" s="3">
        <f>[2]หน้าผ้า!DS547</f>
        <v>0</v>
      </c>
      <c r="AN538" s="3">
        <f>[2]หน้าผ้า!DT547</f>
        <v>0</v>
      </c>
      <c r="AO538" s="3">
        <f>[2]หน้าผ้า!DU547</f>
        <v>0</v>
      </c>
      <c r="AP538" s="3">
        <f>[2]หน้าผ้า!DP547</f>
        <v>0</v>
      </c>
      <c r="AQ538" s="3">
        <f>[2]หน้าผ้า!DW547</f>
        <v>0</v>
      </c>
      <c r="AR538" s="3">
        <f>[2]หน้าผ้า!DX547</f>
        <v>0</v>
      </c>
      <c r="AS538" s="3">
        <f>[2]หน้าผ้า!DY547</f>
        <v>0</v>
      </c>
      <c r="AT538" s="3">
        <f>[2]หน้าผ้า!DZ547</f>
        <v>0</v>
      </c>
      <c r="AU538" s="3">
        <f>[2]หน้าผ้า!EA547</f>
        <v>0</v>
      </c>
      <c r="AV538" s="1">
        <f>[2]หน้าผ้า!EB547</f>
        <v>0</v>
      </c>
      <c r="AW538" s="2">
        <f>[2]หน้าผ้า!EC547</f>
        <v>0</v>
      </c>
      <c r="AX538" s="2">
        <f>[2]หน้าผ้า!ED547</f>
        <v>0</v>
      </c>
      <c r="AY538" s="2">
        <f>[2]หน้าผ้า!AG547</f>
        <v>0</v>
      </c>
      <c r="AZ538" s="2">
        <f>[2]หน้าผ้า!EG547</f>
        <v>0</v>
      </c>
      <c r="BA538" s="2">
        <f>[2]หน้าผ้า!EH547</f>
        <v>0</v>
      </c>
      <c r="BB538" s="2">
        <f>[2]หน้าผ้า!EI547</f>
        <v>0</v>
      </c>
      <c r="BC538" s="1">
        <f>[2]หน้าผ้า!BZ547</f>
        <v>0</v>
      </c>
      <c r="BD538" s="56">
        <f>[2]หน้าผ้า!CA547</f>
        <v>0</v>
      </c>
    </row>
    <row r="539" spans="1:56" ht="27.75" customHeight="1" x14ac:dyDescent="0.45">
      <c r="A539" s="3">
        <f>[2]หน้าผ้า!C548</f>
        <v>0</v>
      </c>
      <c r="B539" s="14">
        <f>[2]หน้าผ้า!B548</f>
        <v>0</v>
      </c>
      <c r="C539" s="9">
        <f>[2]หน้าผ้า!E548</f>
        <v>0</v>
      </c>
      <c r="D539" s="13">
        <f>[2]หน้าผ้า!F548</f>
        <v>0</v>
      </c>
      <c r="E539" s="9">
        <f>[2]หน้าผ้า!G548</f>
        <v>0</v>
      </c>
      <c r="F539" s="9">
        <f>[2]หน้าผ้า!H548</f>
        <v>0</v>
      </c>
      <c r="G539" s="9">
        <f>[2]หน้าผ้า!I548</f>
        <v>0</v>
      </c>
      <c r="H539" s="9">
        <f>[2]หน้าผ้า!J548</f>
        <v>0</v>
      </c>
      <c r="I539" s="9">
        <f>[2]หน้าผ้า!L548</f>
        <v>0</v>
      </c>
      <c r="J539" s="9">
        <f>[2]หน้าผ้า!M548</f>
        <v>0</v>
      </c>
      <c r="K539" s="9">
        <f>[2]หน้าผ้า!N548</f>
        <v>0</v>
      </c>
      <c r="L539" s="9">
        <f>[2]หน้าผ้า!R548</f>
        <v>0</v>
      </c>
      <c r="M539" s="10">
        <f>[2]หน้าผ้า!T548</f>
        <v>0</v>
      </c>
      <c r="N539" s="9">
        <f>[2]หน้าผ้า!U548</f>
        <v>0</v>
      </c>
      <c r="O539" s="9">
        <f>[2]หน้าผ้า!V548</f>
        <v>0</v>
      </c>
      <c r="P539" s="10">
        <f>[2]หน้าผ้า!AB548</f>
        <v>0</v>
      </c>
      <c r="Q539" s="10">
        <f>[2]หน้าผ้า!AC548</f>
        <v>0</v>
      </c>
      <c r="R539" s="10">
        <f>[2]หน้าผ้า!AD548</f>
        <v>0</v>
      </c>
      <c r="S539" s="9">
        <f>[2]หน้าผ้า!Z548</f>
        <v>0</v>
      </c>
      <c r="T539" s="12">
        <f>[2]หน้าผ้า!X548</f>
        <v>0</v>
      </c>
      <c r="U539" s="11">
        <f>[2]หน้าผ้า!AA548</f>
        <v>0</v>
      </c>
      <c r="V539" s="10">
        <f>[2]หน้าผ้า!AJ548</f>
        <v>0</v>
      </c>
      <c r="W539" s="10">
        <f>[2]หน้าผ้า!AL548</f>
        <v>0</v>
      </c>
      <c r="X539" s="10">
        <f>[2]หน้าผ้า!AM548</f>
        <v>0</v>
      </c>
      <c r="Y539" s="10">
        <f>[2]หน้าผ้า!AN548</f>
        <v>0</v>
      </c>
      <c r="Z539" s="9">
        <f>[2]หน้าผ้า!AO548</f>
        <v>0</v>
      </c>
      <c r="AA539" s="8">
        <f>[2]หน้าผ้า!AQ548</f>
        <v>0</v>
      </c>
      <c r="AB539" s="8">
        <f>[2]หน้าผ้า!AR548</f>
        <v>0</v>
      </c>
      <c r="AC539" s="8">
        <f>[2]หน้าผ้า!AS548</f>
        <v>0</v>
      </c>
      <c r="AD539" s="8">
        <f>[2]หน้าผ้า!AT548</f>
        <v>0</v>
      </c>
      <c r="AE539" s="8">
        <f>[2]หน้าผ้า!AU548</f>
        <v>0</v>
      </c>
      <c r="AF539" s="8">
        <f>[2]หน้าผ้า!AI548</f>
        <v>0</v>
      </c>
      <c r="AG539" s="1">
        <f>[3]หน้าผ้า!DC551</f>
        <v>0</v>
      </c>
      <c r="AH539" s="1">
        <f>[2]หน้าผ้า!DL548</f>
        <v>0</v>
      </c>
      <c r="AI539" s="1">
        <f>[2]หน้าผ้า!DM548</f>
        <v>0</v>
      </c>
      <c r="AJ539" s="3">
        <f>[2]หน้าผ้า!DN548</f>
        <v>0</v>
      </c>
      <c r="AK539" s="3">
        <f>[2]หน้าผ้า!DQ548</f>
        <v>0</v>
      </c>
      <c r="AL539" s="3">
        <f>[2]หน้าผ้า!DR548</f>
        <v>0</v>
      </c>
      <c r="AM539" s="3">
        <f>[2]หน้าผ้า!DS548</f>
        <v>0</v>
      </c>
      <c r="AN539" s="3">
        <f>[2]หน้าผ้า!DT548</f>
        <v>0</v>
      </c>
      <c r="AO539" s="3">
        <f>[2]หน้าผ้า!DU548</f>
        <v>0</v>
      </c>
      <c r="AP539" s="3">
        <f>[2]หน้าผ้า!DP548</f>
        <v>0</v>
      </c>
      <c r="AQ539" s="3">
        <f>[2]หน้าผ้า!DW548</f>
        <v>0</v>
      </c>
      <c r="AR539" s="3">
        <f>[2]หน้าผ้า!DX548</f>
        <v>0</v>
      </c>
      <c r="AS539" s="3">
        <f>[2]หน้าผ้า!DY548</f>
        <v>0</v>
      </c>
      <c r="AT539" s="3">
        <f>[2]หน้าผ้า!DZ548</f>
        <v>0</v>
      </c>
      <c r="AU539" s="3">
        <f>[2]หน้าผ้า!EA548</f>
        <v>0</v>
      </c>
      <c r="AV539" s="1">
        <f>[2]หน้าผ้า!EB548</f>
        <v>0</v>
      </c>
      <c r="AW539" s="2">
        <f>[2]หน้าผ้า!EC548</f>
        <v>0</v>
      </c>
      <c r="AX539" s="2">
        <f>[2]หน้าผ้า!ED548</f>
        <v>0</v>
      </c>
      <c r="AY539" s="2">
        <f>[2]หน้าผ้า!AG548</f>
        <v>0</v>
      </c>
      <c r="AZ539" s="2">
        <f>[2]หน้าผ้า!EG548</f>
        <v>0</v>
      </c>
      <c r="BA539" s="2">
        <f>[2]หน้าผ้า!EH548</f>
        <v>0</v>
      </c>
      <c r="BB539" s="2">
        <f>[2]หน้าผ้า!EI548</f>
        <v>0</v>
      </c>
      <c r="BC539" s="1">
        <f>[2]หน้าผ้า!BZ548</f>
        <v>0</v>
      </c>
      <c r="BD539" s="56">
        <f>[2]หน้าผ้า!CA548</f>
        <v>0</v>
      </c>
    </row>
    <row r="540" spans="1:56" ht="27.75" customHeight="1" x14ac:dyDescent="0.45">
      <c r="A540" s="3">
        <f>[2]หน้าผ้า!C549</f>
        <v>0</v>
      </c>
      <c r="B540" s="14">
        <f>[2]หน้าผ้า!B549</f>
        <v>0</v>
      </c>
      <c r="C540" s="9">
        <f>[2]หน้าผ้า!E549</f>
        <v>0</v>
      </c>
      <c r="D540" s="13">
        <f>[2]หน้าผ้า!F549</f>
        <v>0</v>
      </c>
      <c r="E540" s="9">
        <f>[2]หน้าผ้า!G549</f>
        <v>0</v>
      </c>
      <c r="F540" s="9">
        <f>[2]หน้าผ้า!H549</f>
        <v>0</v>
      </c>
      <c r="G540" s="9">
        <f>[2]หน้าผ้า!I549</f>
        <v>0</v>
      </c>
      <c r="H540" s="9">
        <f>[2]หน้าผ้า!J549</f>
        <v>0</v>
      </c>
      <c r="I540" s="9">
        <f>[2]หน้าผ้า!L549</f>
        <v>0</v>
      </c>
      <c r="J540" s="9">
        <f>[2]หน้าผ้า!M549</f>
        <v>0</v>
      </c>
      <c r="K540" s="9">
        <f>[2]หน้าผ้า!N549</f>
        <v>0</v>
      </c>
      <c r="L540" s="9">
        <f>[2]หน้าผ้า!R549</f>
        <v>0</v>
      </c>
      <c r="M540" s="10">
        <f>[2]หน้าผ้า!T549</f>
        <v>0</v>
      </c>
      <c r="N540" s="9">
        <f>[2]หน้าผ้า!U549</f>
        <v>0</v>
      </c>
      <c r="O540" s="9">
        <f>[2]หน้าผ้า!V549</f>
        <v>0</v>
      </c>
      <c r="P540" s="10">
        <f>[2]หน้าผ้า!AB549</f>
        <v>0</v>
      </c>
      <c r="Q540" s="10">
        <f>[2]หน้าผ้า!AC549</f>
        <v>0</v>
      </c>
      <c r="R540" s="10">
        <f>[2]หน้าผ้า!AD549</f>
        <v>0</v>
      </c>
      <c r="S540" s="9">
        <f>[2]หน้าผ้า!Z549</f>
        <v>0</v>
      </c>
      <c r="T540" s="12">
        <f>[2]หน้าผ้า!X549</f>
        <v>0</v>
      </c>
      <c r="U540" s="11">
        <f>[2]หน้าผ้า!AA549</f>
        <v>0</v>
      </c>
      <c r="V540" s="10">
        <f>[2]หน้าผ้า!AJ549</f>
        <v>0</v>
      </c>
      <c r="W540" s="10">
        <f>[2]หน้าผ้า!AL549</f>
        <v>0</v>
      </c>
      <c r="X540" s="10">
        <f>[2]หน้าผ้า!AM549</f>
        <v>0</v>
      </c>
      <c r="Y540" s="10">
        <f>[2]หน้าผ้า!AN549</f>
        <v>0</v>
      </c>
      <c r="Z540" s="9">
        <f>[2]หน้าผ้า!AO549</f>
        <v>0</v>
      </c>
      <c r="AA540" s="8">
        <f>[2]หน้าผ้า!AQ549</f>
        <v>0</v>
      </c>
      <c r="AB540" s="8">
        <f>[2]หน้าผ้า!AR549</f>
        <v>0</v>
      </c>
      <c r="AC540" s="8">
        <f>[2]หน้าผ้า!AS549</f>
        <v>0</v>
      </c>
      <c r="AD540" s="8">
        <f>[2]หน้าผ้า!AT549</f>
        <v>0</v>
      </c>
      <c r="AE540" s="8">
        <f>[2]หน้าผ้า!AU549</f>
        <v>0</v>
      </c>
      <c r="AF540" s="8">
        <f>[2]หน้าผ้า!AI549</f>
        <v>0</v>
      </c>
      <c r="AG540" s="1">
        <f>[3]หน้าผ้า!DC552</f>
        <v>0</v>
      </c>
      <c r="AH540" s="1">
        <f>[2]หน้าผ้า!DL549</f>
        <v>0</v>
      </c>
      <c r="AI540" s="1">
        <f>[2]หน้าผ้า!DM549</f>
        <v>0</v>
      </c>
      <c r="AJ540" s="3">
        <f>[2]หน้าผ้า!DN549</f>
        <v>0</v>
      </c>
      <c r="AK540" s="3">
        <f>[2]หน้าผ้า!DQ549</f>
        <v>0</v>
      </c>
      <c r="AL540" s="3">
        <f>[2]หน้าผ้า!DR549</f>
        <v>0</v>
      </c>
      <c r="AM540" s="3">
        <f>[2]หน้าผ้า!DS549</f>
        <v>0</v>
      </c>
      <c r="AN540" s="3">
        <f>[2]หน้าผ้า!DT549</f>
        <v>0</v>
      </c>
      <c r="AO540" s="3">
        <f>[2]หน้าผ้า!DU549</f>
        <v>0</v>
      </c>
      <c r="AP540" s="3">
        <f>[2]หน้าผ้า!DP549</f>
        <v>0</v>
      </c>
      <c r="AQ540" s="3">
        <f>[2]หน้าผ้า!DW549</f>
        <v>0</v>
      </c>
      <c r="AR540" s="3">
        <f>[2]หน้าผ้า!DX549</f>
        <v>0</v>
      </c>
      <c r="AS540" s="3">
        <f>[2]หน้าผ้า!DY549</f>
        <v>0</v>
      </c>
      <c r="AT540" s="3">
        <f>[2]หน้าผ้า!DZ549</f>
        <v>0</v>
      </c>
      <c r="AU540" s="3">
        <f>[2]หน้าผ้า!EA549</f>
        <v>0</v>
      </c>
      <c r="AV540" s="1">
        <f>[2]หน้าผ้า!EB549</f>
        <v>0</v>
      </c>
      <c r="AW540" s="2">
        <f>[2]หน้าผ้า!EC549</f>
        <v>0</v>
      </c>
      <c r="AX540" s="2">
        <f>[2]หน้าผ้า!ED549</f>
        <v>0</v>
      </c>
      <c r="AY540" s="2">
        <f>[2]หน้าผ้า!AG549</f>
        <v>0</v>
      </c>
      <c r="AZ540" s="2">
        <f>[2]หน้าผ้า!EG549</f>
        <v>0</v>
      </c>
      <c r="BA540" s="2">
        <f>[2]หน้าผ้า!EH549</f>
        <v>0</v>
      </c>
      <c r="BB540" s="2">
        <f>[2]หน้าผ้า!EI549</f>
        <v>0</v>
      </c>
      <c r="BC540" s="1">
        <f>[2]หน้าผ้า!BZ549</f>
        <v>0</v>
      </c>
      <c r="BD540" s="56">
        <f>[2]หน้าผ้า!CA549</f>
        <v>0</v>
      </c>
    </row>
    <row r="541" spans="1:56" ht="27.75" customHeight="1" x14ac:dyDescent="0.45">
      <c r="A541" s="3">
        <f>[2]หน้าผ้า!C550</f>
        <v>0</v>
      </c>
      <c r="B541" s="14">
        <f>[2]หน้าผ้า!B550</f>
        <v>0</v>
      </c>
      <c r="C541" s="9">
        <f>[2]หน้าผ้า!E550</f>
        <v>0</v>
      </c>
      <c r="D541" s="13">
        <f>[2]หน้าผ้า!F550</f>
        <v>0</v>
      </c>
      <c r="E541" s="9">
        <f>[2]หน้าผ้า!G550</f>
        <v>0</v>
      </c>
      <c r="F541" s="9">
        <f>[2]หน้าผ้า!H550</f>
        <v>0</v>
      </c>
      <c r="G541" s="9">
        <f>[2]หน้าผ้า!I550</f>
        <v>0</v>
      </c>
      <c r="H541" s="9">
        <f>[2]หน้าผ้า!J550</f>
        <v>0</v>
      </c>
      <c r="I541" s="9">
        <f>[2]หน้าผ้า!L550</f>
        <v>0</v>
      </c>
      <c r="J541" s="9">
        <f>[2]หน้าผ้า!M550</f>
        <v>0</v>
      </c>
      <c r="K541" s="9">
        <f>[2]หน้าผ้า!N550</f>
        <v>0</v>
      </c>
      <c r="L541" s="9">
        <f>[2]หน้าผ้า!R550</f>
        <v>0</v>
      </c>
      <c r="M541" s="10">
        <f>[2]หน้าผ้า!T550</f>
        <v>0</v>
      </c>
      <c r="N541" s="9">
        <f>[2]หน้าผ้า!U550</f>
        <v>0</v>
      </c>
      <c r="O541" s="9">
        <f>[2]หน้าผ้า!V550</f>
        <v>0</v>
      </c>
      <c r="P541" s="10">
        <f>[2]หน้าผ้า!AB550</f>
        <v>0</v>
      </c>
      <c r="Q541" s="10">
        <f>[2]หน้าผ้า!AC550</f>
        <v>0</v>
      </c>
      <c r="R541" s="10">
        <f>[2]หน้าผ้า!AD550</f>
        <v>0</v>
      </c>
      <c r="S541" s="9">
        <f>[2]หน้าผ้า!Z550</f>
        <v>0</v>
      </c>
      <c r="T541" s="12">
        <f>[2]หน้าผ้า!X550</f>
        <v>0</v>
      </c>
      <c r="U541" s="11">
        <f>[2]หน้าผ้า!AA550</f>
        <v>0</v>
      </c>
      <c r="V541" s="10">
        <f>[2]หน้าผ้า!AJ550</f>
        <v>0</v>
      </c>
      <c r="W541" s="10">
        <f>[2]หน้าผ้า!AL550</f>
        <v>0</v>
      </c>
      <c r="X541" s="10">
        <f>[2]หน้าผ้า!AM550</f>
        <v>0</v>
      </c>
      <c r="Y541" s="10">
        <f>[2]หน้าผ้า!AN550</f>
        <v>0</v>
      </c>
      <c r="Z541" s="9">
        <f>[2]หน้าผ้า!AO550</f>
        <v>0</v>
      </c>
      <c r="AA541" s="8">
        <f>[2]หน้าผ้า!AQ550</f>
        <v>0</v>
      </c>
      <c r="AB541" s="8">
        <f>[2]หน้าผ้า!AR550</f>
        <v>0</v>
      </c>
      <c r="AC541" s="8">
        <f>[2]หน้าผ้า!AS550</f>
        <v>0</v>
      </c>
      <c r="AD541" s="8">
        <f>[2]หน้าผ้า!AT550</f>
        <v>0</v>
      </c>
      <c r="AE541" s="8">
        <f>[2]หน้าผ้า!AU550</f>
        <v>0</v>
      </c>
      <c r="AF541" s="8">
        <f>[2]หน้าผ้า!AI550</f>
        <v>0</v>
      </c>
      <c r="AG541" s="1">
        <f>[3]หน้าผ้า!DC553</f>
        <v>0</v>
      </c>
      <c r="AH541" s="1">
        <f>[2]หน้าผ้า!DL550</f>
        <v>0</v>
      </c>
      <c r="AI541" s="1">
        <f>[2]หน้าผ้า!DM550</f>
        <v>0</v>
      </c>
      <c r="AJ541" s="3">
        <f>[2]หน้าผ้า!DN550</f>
        <v>0</v>
      </c>
      <c r="AK541" s="3">
        <f>[2]หน้าผ้า!DQ550</f>
        <v>0</v>
      </c>
      <c r="AL541" s="3">
        <f>[2]หน้าผ้า!DR550</f>
        <v>0</v>
      </c>
      <c r="AM541" s="3">
        <f>[2]หน้าผ้า!DS550</f>
        <v>0</v>
      </c>
      <c r="AN541" s="3">
        <f>[2]หน้าผ้า!DT550</f>
        <v>0</v>
      </c>
      <c r="AO541" s="3">
        <f>[2]หน้าผ้า!DU550</f>
        <v>0</v>
      </c>
      <c r="AP541" s="3">
        <f>[2]หน้าผ้า!DP550</f>
        <v>0</v>
      </c>
      <c r="AQ541" s="3">
        <f>[2]หน้าผ้า!DW550</f>
        <v>0</v>
      </c>
      <c r="AR541" s="3">
        <f>[2]หน้าผ้า!DX550</f>
        <v>0</v>
      </c>
      <c r="AS541" s="3">
        <f>[2]หน้าผ้า!DY550</f>
        <v>0</v>
      </c>
      <c r="AT541" s="3">
        <f>[2]หน้าผ้า!DZ550</f>
        <v>0</v>
      </c>
      <c r="AU541" s="3">
        <f>[2]หน้าผ้า!EA550</f>
        <v>0</v>
      </c>
      <c r="AV541" s="1">
        <f>[2]หน้าผ้า!EB550</f>
        <v>0</v>
      </c>
      <c r="AW541" s="2">
        <f>[2]หน้าผ้า!EC550</f>
        <v>0</v>
      </c>
      <c r="AX541" s="2">
        <f>[2]หน้าผ้า!ED550</f>
        <v>0</v>
      </c>
      <c r="AY541" s="2">
        <f>[2]หน้าผ้า!AG550</f>
        <v>0</v>
      </c>
      <c r="AZ541" s="2">
        <f>[2]หน้าผ้า!EG550</f>
        <v>0</v>
      </c>
      <c r="BA541" s="2">
        <f>[2]หน้าผ้า!EH550</f>
        <v>0</v>
      </c>
      <c r="BB541" s="2">
        <f>[2]หน้าผ้า!EI550</f>
        <v>0</v>
      </c>
      <c r="BC541" s="1">
        <f>[2]หน้าผ้า!BZ550</f>
        <v>0</v>
      </c>
      <c r="BD541" s="56">
        <f>[2]หน้าผ้า!CA550</f>
        <v>0</v>
      </c>
    </row>
    <row r="542" spans="1:56" ht="27.75" customHeight="1" x14ac:dyDescent="0.45">
      <c r="A542" s="3">
        <f>[2]หน้าผ้า!C551</f>
        <v>0</v>
      </c>
      <c r="B542" s="14">
        <f>[2]หน้าผ้า!B551</f>
        <v>0</v>
      </c>
      <c r="C542" s="9">
        <f>[2]หน้าผ้า!E551</f>
        <v>0</v>
      </c>
      <c r="D542" s="13">
        <f>[2]หน้าผ้า!F551</f>
        <v>0</v>
      </c>
      <c r="E542" s="9">
        <f>[2]หน้าผ้า!G551</f>
        <v>0</v>
      </c>
      <c r="F542" s="9">
        <f>[2]หน้าผ้า!H551</f>
        <v>0</v>
      </c>
      <c r="G542" s="9">
        <f>[2]หน้าผ้า!I551</f>
        <v>0</v>
      </c>
      <c r="H542" s="9">
        <f>[2]หน้าผ้า!J551</f>
        <v>0</v>
      </c>
      <c r="I542" s="9">
        <f>[2]หน้าผ้า!L551</f>
        <v>0</v>
      </c>
      <c r="J542" s="9">
        <f>[2]หน้าผ้า!M551</f>
        <v>0</v>
      </c>
      <c r="K542" s="9">
        <f>[2]หน้าผ้า!N551</f>
        <v>0</v>
      </c>
      <c r="L542" s="9">
        <f>[2]หน้าผ้า!R551</f>
        <v>0</v>
      </c>
      <c r="M542" s="10">
        <f>[2]หน้าผ้า!T551</f>
        <v>0</v>
      </c>
      <c r="N542" s="9">
        <f>[2]หน้าผ้า!U551</f>
        <v>0</v>
      </c>
      <c r="O542" s="9">
        <f>[2]หน้าผ้า!V551</f>
        <v>0</v>
      </c>
      <c r="P542" s="10">
        <f>[2]หน้าผ้า!AB551</f>
        <v>0</v>
      </c>
      <c r="Q542" s="10">
        <f>[2]หน้าผ้า!AC551</f>
        <v>0</v>
      </c>
      <c r="R542" s="10">
        <f>[2]หน้าผ้า!AD551</f>
        <v>0</v>
      </c>
      <c r="S542" s="9">
        <f>[2]หน้าผ้า!Z551</f>
        <v>0</v>
      </c>
      <c r="T542" s="12">
        <f>[2]หน้าผ้า!X551</f>
        <v>0</v>
      </c>
      <c r="U542" s="11">
        <f>[2]หน้าผ้า!AA551</f>
        <v>0</v>
      </c>
      <c r="V542" s="10">
        <f>[2]หน้าผ้า!AJ551</f>
        <v>0</v>
      </c>
      <c r="W542" s="10">
        <f>[2]หน้าผ้า!AL551</f>
        <v>0</v>
      </c>
      <c r="X542" s="10">
        <f>[2]หน้าผ้า!AM551</f>
        <v>0</v>
      </c>
      <c r="Y542" s="10">
        <f>[2]หน้าผ้า!AN551</f>
        <v>0</v>
      </c>
      <c r="Z542" s="9">
        <f>[2]หน้าผ้า!AO551</f>
        <v>0</v>
      </c>
      <c r="AA542" s="8">
        <f>[2]หน้าผ้า!AQ551</f>
        <v>0</v>
      </c>
      <c r="AB542" s="8">
        <f>[2]หน้าผ้า!AR551</f>
        <v>0</v>
      </c>
      <c r="AC542" s="8">
        <f>[2]หน้าผ้า!AS551</f>
        <v>0</v>
      </c>
      <c r="AD542" s="8">
        <f>[2]หน้าผ้า!AT551</f>
        <v>0</v>
      </c>
      <c r="AE542" s="8">
        <f>[2]หน้าผ้า!AU551</f>
        <v>0</v>
      </c>
      <c r="AF542" s="8">
        <f>[2]หน้าผ้า!AI551</f>
        <v>0</v>
      </c>
      <c r="AG542" s="1">
        <f>[3]หน้าผ้า!DC554</f>
        <v>0</v>
      </c>
      <c r="AH542" s="1">
        <f>[2]หน้าผ้า!DL551</f>
        <v>0</v>
      </c>
      <c r="AI542" s="1">
        <f>[2]หน้าผ้า!DM551</f>
        <v>0</v>
      </c>
      <c r="AJ542" s="3">
        <f>[2]หน้าผ้า!DN551</f>
        <v>0</v>
      </c>
      <c r="AK542" s="3">
        <f>[2]หน้าผ้า!DQ551</f>
        <v>0</v>
      </c>
      <c r="AL542" s="3">
        <f>[2]หน้าผ้า!DR551</f>
        <v>0</v>
      </c>
      <c r="AM542" s="3">
        <f>[2]หน้าผ้า!DS551</f>
        <v>0</v>
      </c>
      <c r="AN542" s="3">
        <f>[2]หน้าผ้า!DT551</f>
        <v>0</v>
      </c>
      <c r="AO542" s="3">
        <f>[2]หน้าผ้า!DU551</f>
        <v>0</v>
      </c>
      <c r="AP542" s="3">
        <f>[2]หน้าผ้า!DP551</f>
        <v>0</v>
      </c>
      <c r="AQ542" s="3">
        <f>[2]หน้าผ้า!DW551</f>
        <v>0</v>
      </c>
      <c r="AR542" s="3">
        <f>[2]หน้าผ้า!DX551</f>
        <v>0</v>
      </c>
      <c r="AS542" s="3">
        <f>[2]หน้าผ้า!DY551</f>
        <v>0</v>
      </c>
      <c r="AT542" s="3">
        <f>[2]หน้าผ้า!DZ551</f>
        <v>0</v>
      </c>
      <c r="AU542" s="3">
        <f>[2]หน้าผ้า!EA551</f>
        <v>0</v>
      </c>
      <c r="AV542" s="1">
        <f>[2]หน้าผ้า!EB551</f>
        <v>0</v>
      </c>
      <c r="AW542" s="2">
        <f>[2]หน้าผ้า!EC551</f>
        <v>0</v>
      </c>
      <c r="AX542" s="2">
        <f>[2]หน้าผ้า!ED551</f>
        <v>0</v>
      </c>
      <c r="AY542" s="2">
        <f>[2]หน้าผ้า!AG551</f>
        <v>0</v>
      </c>
      <c r="AZ542" s="2">
        <f>[2]หน้าผ้า!EG551</f>
        <v>0</v>
      </c>
      <c r="BA542" s="2">
        <f>[2]หน้าผ้า!EH551</f>
        <v>0</v>
      </c>
      <c r="BB542" s="2">
        <f>[2]หน้าผ้า!EI551</f>
        <v>0</v>
      </c>
      <c r="BC542" s="1">
        <f>[2]หน้าผ้า!BZ551</f>
        <v>0</v>
      </c>
      <c r="BD542" s="56">
        <f>[2]หน้าผ้า!CA551</f>
        <v>0</v>
      </c>
    </row>
    <row r="543" spans="1:56" ht="27.75" customHeight="1" x14ac:dyDescent="0.45">
      <c r="A543" s="3">
        <f>[2]หน้าผ้า!C552</f>
        <v>0</v>
      </c>
      <c r="B543" s="14">
        <f>[2]หน้าผ้า!B552</f>
        <v>0</v>
      </c>
      <c r="C543" s="9">
        <f>[2]หน้าผ้า!E552</f>
        <v>0</v>
      </c>
      <c r="D543" s="13">
        <f>[2]หน้าผ้า!F552</f>
        <v>0</v>
      </c>
      <c r="E543" s="9">
        <f>[2]หน้าผ้า!G552</f>
        <v>0</v>
      </c>
      <c r="F543" s="9">
        <f>[2]หน้าผ้า!H552</f>
        <v>0</v>
      </c>
      <c r="G543" s="9">
        <f>[2]หน้าผ้า!I552</f>
        <v>0</v>
      </c>
      <c r="H543" s="9">
        <f>[2]หน้าผ้า!J552</f>
        <v>0</v>
      </c>
      <c r="I543" s="9">
        <f>[2]หน้าผ้า!L552</f>
        <v>0</v>
      </c>
      <c r="J543" s="9">
        <f>[2]หน้าผ้า!M552</f>
        <v>0</v>
      </c>
      <c r="K543" s="9">
        <f>[2]หน้าผ้า!N552</f>
        <v>0</v>
      </c>
      <c r="L543" s="9">
        <f>[2]หน้าผ้า!R552</f>
        <v>0</v>
      </c>
      <c r="M543" s="10">
        <f>[2]หน้าผ้า!T552</f>
        <v>0</v>
      </c>
      <c r="N543" s="9">
        <f>[2]หน้าผ้า!U552</f>
        <v>0</v>
      </c>
      <c r="O543" s="9">
        <f>[2]หน้าผ้า!V552</f>
        <v>0</v>
      </c>
      <c r="P543" s="10">
        <f>[2]หน้าผ้า!AB552</f>
        <v>0</v>
      </c>
      <c r="Q543" s="10">
        <f>[2]หน้าผ้า!AC552</f>
        <v>0</v>
      </c>
      <c r="R543" s="10">
        <f>[2]หน้าผ้า!AD552</f>
        <v>0</v>
      </c>
      <c r="S543" s="9">
        <f>[2]หน้าผ้า!Z552</f>
        <v>0</v>
      </c>
      <c r="T543" s="12">
        <f>[2]หน้าผ้า!X552</f>
        <v>0</v>
      </c>
      <c r="U543" s="11">
        <f>[2]หน้าผ้า!AA552</f>
        <v>0</v>
      </c>
      <c r="V543" s="10">
        <f>[2]หน้าผ้า!AJ552</f>
        <v>0</v>
      </c>
      <c r="W543" s="10">
        <f>[2]หน้าผ้า!AL552</f>
        <v>0</v>
      </c>
      <c r="X543" s="10">
        <f>[2]หน้าผ้า!AM552</f>
        <v>0</v>
      </c>
      <c r="Y543" s="10">
        <f>[2]หน้าผ้า!AN552</f>
        <v>0</v>
      </c>
      <c r="Z543" s="9">
        <f>[2]หน้าผ้า!AO552</f>
        <v>0</v>
      </c>
      <c r="AA543" s="8">
        <f>[2]หน้าผ้า!AQ552</f>
        <v>0</v>
      </c>
      <c r="AB543" s="8">
        <f>[2]หน้าผ้า!AR552</f>
        <v>0</v>
      </c>
      <c r="AC543" s="8">
        <f>[2]หน้าผ้า!AS552</f>
        <v>0</v>
      </c>
      <c r="AD543" s="8">
        <f>[2]หน้าผ้า!AT552</f>
        <v>0</v>
      </c>
      <c r="AE543" s="8">
        <f>[2]หน้าผ้า!AU552</f>
        <v>0</v>
      </c>
      <c r="AF543" s="8">
        <f>[2]หน้าผ้า!AI552</f>
        <v>0</v>
      </c>
      <c r="AG543" s="1">
        <f>[3]หน้าผ้า!DC555</f>
        <v>0</v>
      </c>
      <c r="AH543" s="1">
        <f>[2]หน้าผ้า!DL552</f>
        <v>0</v>
      </c>
      <c r="AI543" s="1">
        <f>[2]หน้าผ้า!DM552</f>
        <v>0</v>
      </c>
      <c r="AJ543" s="3">
        <f>[2]หน้าผ้า!DN552</f>
        <v>0</v>
      </c>
      <c r="AK543" s="3">
        <f>[2]หน้าผ้า!DQ552</f>
        <v>0</v>
      </c>
      <c r="AL543" s="3">
        <f>[2]หน้าผ้า!DR552</f>
        <v>0</v>
      </c>
      <c r="AM543" s="3">
        <f>[2]หน้าผ้า!DS552</f>
        <v>0</v>
      </c>
      <c r="AN543" s="3">
        <f>[2]หน้าผ้า!DT552</f>
        <v>0</v>
      </c>
      <c r="AO543" s="3">
        <f>[2]หน้าผ้า!DU552</f>
        <v>0</v>
      </c>
      <c r="AP543" s="3">
        <f>[2]หน้าผ้า!DP552</f>
        <v>0</v>
      </c>
      <c r="AQ543" s="3">
        <f>[2]หน้าผ้า!DW552</f>
        <v>0</v>
      </c>
      <c r="AR543" s="3">
        <f>[2]หน้าผ้า!DX552</f>
        <v>0</v>
      </c>
      <c r="AS543" s="3">
        <f>[2]หน้าผ้า!DY552</f>
        <v>0</v>
      </c>
      <c r="AT543" s="3">
        <f>[2]หน้าผ้า!DZ552</f>
        <v>0</v>
      </c>
      <c r="AU543" s="3">
        <f>[2]หน้าผ้า!EA552</f>
        <v>0</v>
      </c>
      <c r="AV543" s="1">
        <f>[2]หน้าผ้า!EB552</f>
        <v>0</v>
      </c>
      <c r="AW543" s="2">
        <f>[2]หน้าผ้า!EC552</f>
        <v>0</v>
      </c>
      <c r="AX543" s="2">
        <f>[2]หน้าผ้า!ED552</f>
        <v>0</v>
      </c>
      <c r="AY543" s="2">
        <f>[2]หน้าผ้า!AG552</f>
        <v>0</v>
      </c>
      <c r="AZ543" s="2">
        <f>[2]หน้าผ้า!EG552</f>
        <v>0</v>
      </c>
      <c r="BA543" s="2">
        <f>[2]หน้าผ้า!EH552</f>
        <v>0</v>
      </c>
      <c r="BB543" s="2">
        <f>[2]หน้าผ้า!EI552</f>
        <v>0</v>
      </c>
      <c r="BC543" s="1">
        <f>[2]หน้าผ้า!BZ552</f>
        <v>0</v>
      </c>
      <c r="BD543" s="56">
        <f>[2]หน้าผ้า!CA552</f>
        <v>0</v>
      </c>
    </row>
    <row r="544" spans="1:56" ht="27.75" customHeight="1" x14ac:dyDescent="0.45">
      <c r="A544" s="3">
        <f>[2]หน้าผ้า!C553</f>
        <v>0</v>
      </c>
      <c r="B544" s="14">
        <f>[2]หน้าผ้า!B553</f>
        <v>0</v>
      </c>
      <c r="C544" s="9">
        <f>[2]หน้าผ้า!E553</f>
        <v>0</v>
      </c>
      <c r="D544" s="13">
        <f>[2]หน้าผ้า!F553</f>
        <v>0</v>
      </c>
      <c r="E544" s="9">
        <f>[2]หน้าผ้า!G553</f>
        <v>0</v>
      </c>
      <c r="F544" s="9">
        <f>[2]หน้าผ้า!H553</f>
        <v>0</v>
      </c>
      <c r="G544" s="9">
        <f>[2]หน้าผ้า!I553</f>
        <v>0</v>
      </c>
      <c r="H544" s="9">
        <f>[2]หน้าผ้า!J553</f>
        <v>0</v>
      </c>
      <c r="I544" s="9">
        <f>[2]หน้าผ้า!L553</f>
        <v>0</v>
      </c>
      <c r="J544" s="9">
        <f>[2]หน้าผ้า!M553</f>
        <v>0</v>
      </c>
      <c r="K544" s="9">
        <f>[2]หน้าผ้า!N553</f>
        <v>0</v>
      </c>
      <c r="L544" s="9">
        <f>[2]หน้าผ้า!R553</f>
        <v>0</v>
      </c>
      <c r="M544" s="10">
        <f>[2]หน้าผ้า!T553</f>
        <v>0</v>
      </c>
      <c r="N544" s="9">
        <f>[2]หน้าผ้า!U553</f>
        <v>0</v>
      </c>
      <c r="O544" s="9">
        <f>[2]หน้าผ้า!V553</f>
        <v>0</v>
      </c>
      <c r="P544" s="10">
        <f>[2]หน้าผ้า!AB553</f>
        <v>0</v>
      </c>
      <c r="Q544" s="10">
        <f>[2]หน้าผ้า!AC553</f>
        <v>0</v>
      </c>
      <c r="R544" s="10">
        <f>[2]หน้าผ้า!AD553</f>
        <v>0</v>
      </c>
      <c r="S544" s="9">
        <f>[2]หน้าผ้า!Z553</f>
        <v>0</v>
      </c>
      <c r="T544" s="12">
        <f>[2]หน้าผ้า!X553</f>
        <v>0</v>
      </c>
      <c r="U544" s="11">
        <f>[2]หน้าผ้า!AA553</f>
        <v>0</v>
      </c>
      <c r="V544" s="10">
        <f>[2]หน้าผ้า!AJ553</f>
        <v>0</v>
      </c>
      <c r="W544" s="10">
        <f>[2]หน้าผ้า!AL553</f>
        <v>0</v>
      </c>
      <c r="X544" s="10">
        <f>[2]หน้าผ้า!AM553</f>
        <v>0</v>
      </c>
      <c r="Y544" s="10">
        <f>[2]หน้าผ้า!AN553</f>
        <v>0</v>
      </c>
      <c r="Z544" s="9">
        <f>[2]หน้าผ้า!AO553</f>
        <v>0</v>
      </c>
      <c r="AA544" s="8">
        <f>[2]หน้าผ้า!AQ553</f>
        <v>0</v>
      </c>
      <c r="AB544" s="8">
        <f>[2]หน้าผ้า!AR553</f>
        <v>0</v>
      </c>
      <c r="AC544" s="8">
        <f>[2]หน้าผ้า!AS553</f>
        <v>0</v>
      </c>
      <c r="AD544" s="8">
        <f>[2]หน้าผ้า!AT553</f>
        <v>0</v>
      </c>
      <c r="AE544" s="8">
        <f>[2]หน้าผ้า!AU553</f>
        <v>0</v>
      </c>
      <c r="AF544" s="8">
        <f>[2]หน้าผ้า!AI553</f>
        <v>0</v>
      </c>
      <c r="AG544" s="1">
        <f>[3]หน้าผ้า!DC556</f>
        <v>0</v>
      </c>
      <c r="AH544" s="1">
        <f>[2]หน้าผ้า!DL553</f>
        <v>0</v>
      </c>
      <c r="AI544" s="1">
        <f>[2]หน้าผ้า!DM553</f>
        <v>0</v>
      </c>
      <c r="AJ544" s="3">
        <f>[2]หน้าผ้า!DN553</f>
        <v>0</v>
      </c>
      <c r="AK544" s="3">
        <f>[2]หน้าผ้า!DQ553</f>
        <v>0</v>
      </c>
      <c r="AL544" s="3">
        <f>[2]หน้าผ้า!DR553</f>
        <v>0</v>
      </c>
      <c r="AM544" s="3">
        <f>[2]หน้าผ้า!DS553</f>
        <v>0</v>
      </c>
      <c r="AN544" s="3">
        <f>[2]หน้าผ้า!DT553</f>
        <v>0</v>
      </c>
      <c r="AO544" s="3">
        <f>[2]หน้าผ้า!DU553</f>
        <v>0</v>
      </c>
      <c r="AP544" s="3">
        <f>[2]หน้าผ้า!DP553</f>
        <v>0</v>
      </c>
      <c r="AQ544" s="3">
        <f>[2]หน้าผ้า!DW553</f>
        <v>0</v>
      </c>
      <c r="AR544" s="3">
        <f>[2]หน้าผ้า!DX553</f>
        <v>0</v>
      </c>
      <c r="AS544" s="3">
        <f>[2]หน้าผ้า!DY553</f>
        <v>0</v>
      </c>
      <c r="AT544" s="3">
        <f>[2]หน้าผ้า!DZ553</f>
        <v>0</v>
      </c>
      <c r="AU544" s="3">
        <f>[2]หน้าผ้า!EA553</f>
        <v>0</v>
      </c>
      <c r="AV544" s="1">
        <f>[2]หน้าผ้า!EB553</f>
        <v>0</v>
      </c>
      <c r="AW544" s="2">
        <f>[2]หน้าผ้า!EC553</f>
        <v>0</v>
      </c>
      <c r="AX544" s="2">
        <f>[2]หน้าผ้า!ED553</f>
        <v>0</v>
      </c>
      <c r="AY544" s="2">
        <f>[2]หน้าผ้า!AG553</f>
        <v>0</v>
      </c>
      <c r="AZ544" s="2">
        <f>[2]หน้าผ้า!EG553</f>
        <v>0</v>
      </c>
      <c r="BA544" s="2">
        <f>[2]หน้าผ้า!EH553</f>
        <v>0</v>
      </c>
      <c r="BB544" s="2">
        <f>[2]หน้าผ้า!EI553</f>
        <v>0</v>
      </c>
      <c r="BC544" s="1">
        <f>[2]หน้าผ้า!BZ553</f>
        <v>0</v>
      </c>
      <c r="BD544" s="56">
        <f>[2]หน้าผ้า!CA553</f>
        <v>0</v>
      </c>
    </row>
    <row r="545" spans="1:56" ht="27.75" customHeight="1" x14ac:dyDescent="0.45">
      <c r="A545" s="3">
        <f>[2]หน้าผ้า!C554</f>
        <v>0</v>
      </c>
      <c r="B545" s="14">
        <f>[2]หน้าผ้า!B554</f>
        <v>0</v>
      </c>
      <c r="C545" s="9">
        <f>[2]หน้าผ้า!E554</f>
        <v>0</v>
      </c>
      <c r="D545" s="13">
        <f>[2]หน้าผ้า!F554</f>
        <v>0</v>
      </c>
      <c r="E545" s="9">
        <f>[2]หน้าผ้า!G554</f>
        <v>0</v>
      </c>
      <c r="F545" s="9">
        <f>[2]หน้าผ้า!H554</f>
        <v>0</v>
      </c>
      <c r="G545" s="9">
        <f>[2]หน้าผ้า!I554</f>
        <v>0</v>
      </c>
      <c r="H545" s="9">
        <f>[2]หน้าผ้า!J554</f>
        <v>0</v>
      </c>
      <c r="I545" s="9">
        <f>[2]หน้าผ้า!L554</f>
        <v>0</v>
      </c>
      <c r="J545" s="9">
        <f>[2]หน้าผ้า!M554</f>
        <v>0</v>
      </c>
      <c r="K545" s="9">
        <f>[2]หน้าผ้า!N554</f>
        <v>0</v>
      </c>
      <c r="L545" s="9">
        <f>[2]หน้าผ้า!R554</f>
        <v>0</v>
      </c>
      <c r="M545" s="10">
        <f>[2]หน้าผ้า!T554</f>
        <v>0</v>
      </c>
      <c r="N545" s="9">
        <f>[2]หน้าผ้า!U554</f>
        <v>0</v>
      </c>
      <c r="O545" s="9">
        <f>[2]หน้าผ้า!V554</f>
        <v>0</v>
      </c>
      <c r="P545" s="10">
        <f>[2]หน้าผ้า!AB554</f>
        <v>0</v>
      </c>
      <c r="Q545" s="10">
        <f>[2]หน้าผ้า!AC554</f>
        <v>0</v>
      </c>
      <c r="R545" s="10">
        <f>[2]หน้าผ้า!AD554</f>
        <v>0</v>
      </c>
      <c r="S545" s="9">
        <f>[2]หน้าผ้า!Z554</f>
        <v>0</v>
      </c>
      <c r="T545" s="12">
        <f>[2]หน้าผ้า!X554</f>
        <v>0</v>
      </c>
      <c r="U545" s="11">
        <f>[2]หน้าผ้า!AA554</f>
        <v>0</v>
      </c>
      <c r="V545" s="10">
        <f>[2]หน้าผ้า!AJ554</f>
        <v>0</v>
      </c>
      <c r="W545" s="10">
        <f>[2]หน้าผ้า!AL554</f>
        <v>0</v>
      </c>
      <c r="X545" s="10">
        <f>[2]หน้าผ้า!AM554</f>
        <v>0</v>
      </c>
      <c r="Y545" s="10">
        <f>[2]หน้าผ้า!AN554</f>
        <v>0</v>
      </c>
      <c r="Z545" s="9">
        <f>[2]หน้าผ้า!AO554</f>
        <v>0</v>
      </c>
      <c r="AA545" s="8">
        <f>[2]หน้าผ้า!AQ554</f>
        <v>0</v>
      </c>
      <c r="AB545" s="8">
        <f>[2]หน้าผ้า!AR554</f>
        <v>0</v>
      </c>
      <c r="AC545" s="8">
        <f>[2]หน้าผ้า!AS554</f>
        <v>0</v>
      </c>
      <c r="AD545" s="8">
        <f>[2]หน้าผ้า!AT554</f>
        <v>0</v>
      </c>
      <c r="AE545" s="8">
        <f>[2]หน้าผ้า!AU554</f>
        <v>0</v>
      </c>
      <c r="AF545" s="8">
        <f>[2]หน้าผ้า!AI554</f>
        <v>0</v>
      </c>
      <c r="AG545" s="1">
        <f>[3]หน้าผ้า!DC557</f>
        <v>0</v>
      </c>
      <c r="AH545" s="1">
        <f>[2]หน้าผ้า!DL554</f>
        <v>0</v>
      </c>
      <c r="AI545" s="1">
        <f>[2]หน้าผ้า!DM554</f>
        <v>0</v>
      </c>
      <c r="AJ545" s="3">
        <f>[2]หน้าผ้า!DN554</f>
        <v>0</v>
      </c>
      <c r="AK545" s="3">
        <f>[2]หน้าผ้า!DQ554</f>
        <v>0</v>
      </c>
      <c r="AL545" s="3">
        <f>[2]หน้าผ้า!DR554</f>
        <v>0</v>
      </c>
      <c r="AM545" s="3">
        <f>[2]หน้าผ้า!DS554</f>
        <v>0</v>
      </c>
      <c r="AN545" s="3">
        <f>[2]หน้าผ้า!DT554</f>
        <v>0</v>
      </c>
      <c r="AO545" s="3">
        <f>[2]หน้าผ้า!DU554</f>
        <v>0</v>
      </c>
      <c r="AP545" s="3">
        <f>[2]หน้าผ้า!DP554</f>
        <v>0</v>
      </c>
      <c r="AQ545" s="3">
        <f>[2]หน้าผ้า!DW554</f>
        <v>0</v>
      </c>
      <c r="AR545" s="3">
        <f>[2]หน้าผ้า!DX554</f>
        <v>0</v>
      </c>
      <c r="AS545" s="3">
        <f>[2]หน้าผ้า!DY554</f>
        <v>0</v>
      </c>
      <c r="AT545" s="3">
        <f>[2]หน้าผ้า!DZ554</f>
        <v>0</v>
      </c>
      <c r="AU545" s="3">
        <f>[2]หน้าผ้า!EA554</f>
        <v>0</v>
      </c>
      <c r="AV545" s="1">
        <f>[2]หน้าผ้า!EB554</f>
        <v>0</v>
      </c>
      <c r="AW545" s="2">
        <f>[2]หน้าผ้า!EC554</f>
        <v>0</v>
      </c>
      <c r="AX545" s="2">
        <f>[2]หน้าผ้า!ED554</f>
        <v>0</v>
      </c>
      <c r="AY545" s="2">
        <f>[2]หน้าผ้า!AG554</f>
        <v>0</v>
      </c>
      <c r="AZ545" s="2">
        <f>[2]หน้าผ้า!EG554</f>
        <v>0</v>
      </c>
      <c r="BA545" s="2">
        <f>[2]หน้าผ้า!EH554</f>
        <v>0</v>
      </c>
      <c r="BB545" s="2">
        <f>[2]หน้าผ้า!EI554</f>
        <v>0</v>
      </c>
      <c r="BC545" s="1">
        <f>[2]หน้าผ้า!BZ554</f>
        <v>0</v>
      </c>
      <c r="BD545" s="56">
        <f>[2]หน้าผ้า!CA554</f>
        <v>0</v>
      </c>
    </row>
    <row r="546" spans="1:56" ht="27.75" customHeight="1" x14ac:dyDescent="0.45">
      <c r="A546" s="3">
        <f>[2]หน้าผ้า!C555</f>
        <v>0</v>
      </c>
      <c r="B546" s="14">
        <f>[2]หน้าผ้า!B555</f>
        <v>0</v>
      </c>
      <c r="C546" s="9">
        <f>[2]หน้าผ้า!E555</f>
        <v>0</v>
      </c>
      <c r="D546" s="13">
        <f>[2]หน้าผ้า!F555</f>
        <v>0</v>
      </c>
      <c r="E546" s="9">
        <f>[2]หน้าผ้า!G555</f>
        <v>0</v>
      </c>
      <c r="F546" s="9">
        <f>[2]หน้าผ้า!H555</f>
        <v>0</v>
      </c>
      <c r="G546" s="9">
        <f>[2]หน้าผ้า!I555</f>
        <v>0</v>
      </c>
      <c r="H546" s="9">
        <f>[2]หน้าผ้า!J555</f>
        <v>0</v>
      </c>
      <c r="I546" s="9">
        <f>[2]หน้าผ้า!L555</f>
        <v>0</v>
      </c>
      <c r="J546" s="9">
        <f>[2]หน้าผ้า!M555</f>
        <v>0</v>
      </c>
      <c r="K546" s="9">
        <f>[2]หน้าผ้า!N555</f>
        <v>0</v>
      </c>
      <c r="L546" s="9">
        <f>[2]หน้าผ้า!R555</f>
        <v>0</v>
      </c>
      <c r="M546" s="10">
        <f>[2]หน้าผ้า!T555</f>
        <v>0</v>
      </c>
      <c r="N546" s="9">
        <f>[2]หน้าผ้า!U555</f>
        <v>0</v>
      </c>
      <c r="O546" s="9">
        <f>[2]หน้าผ้า!V555</f>
        <v>0</v>
      </c>
      <c r="P546" s="10">
        <f>[2]หน้าผ้า!AB555</f>
        <v>0</v>
      </c>
      <c r="Q546" s="10">
        <f>[2]หน้าผ้า!AC555</f>
        <v>0</v>
      </c>
      <c r="R546" s="10">
        <f>[2]หน้าผ้า!AD555</f>
        <v>0</v>
      </c>
      <c r="S546" s="9">
        <f>[2]หน้าผ้า!Z555</f>
        <v>0</v>
      </c>
      <c r="T546" s="12">
        <f>[2]หน้าผ้า!X555</f>
        <v>0</v>
      </c>
      <c r="U546" s="11">
        <f>[2]หน้าผ้า!AA555</f>
        <v>0</v>
      </c>
      <c r="V546" s="10">
        <f>[2]หน้าผ้า!AJ555</f>
        <v>0</v>
      </c>
      <c r="W546" s="10">
        <f>[2]หน้าผ้า!AL555</f>
        <v>0</v>
      </c>
      <c r="X546" s="10">
        <f>[2]หน้าผ้า!AM555</f>
        <v>0</v>
      </c>
      <c r="Y546" s="10">
        <f>[2]หน้าผ้า!AN555</f>
        <v>0</v>
      </c>
      <c r="Z546" s="9">
        <f>[2]หน้าผ้า!AO555</f>
        <v>0</v>
      </c>
      <c r="AA546" s="8">
        <f>[2]หน้าผ้า!AQ555</f>
        <v>0</v>
      </c>
      <c r="AB546" s="8">
        <f>[2]หน้าผ้า!AR555</f>
        <v>0</v>
      </c>
      <c r="AC546" s="8">
        <f>[2]หน้าผ้า!AS555</f>
        <v>0</v>
      </c>
      <c r="AD546" s="8">
        <f>[2]หน้าผ้า!AT555</f>
        <v>0</v>
      </c>
      <c r="AE546" s="8">
        <f>[2]หน้าผ้า!AU555</f>
        <v>0</v>
      </c>
      <c r="AF546" s="8">
        <f>[2]หน้าผ้า!AI555</f>
        <v>0</v>
      </c>
      <c r="AG546" s="1">
        <f>[3]หน้าผ้า!DC558</f>
        <v>0</v>
      </c>
      <c r="AH546" s="1">
        <f>[2]หน้าผ้า!DL555</f>
        <v>0</v>
      </c>
      <c r="AI546" s="1">
        <f>[2]หน้าผ้า!DM555</f>
        <v>0</v>
      </c>
      <c r="AJ546" s="3">
        <f>[2]หน้าผ้า!DN555</f>
        <v>0</v>
      </c>
      <c r="AK546" s="3">
        <f>[2]หน้าผ้า!DQ555</f>
        <v>0</v>
      </c>
      <c r="AL546" s="3">
        <f>[2]หน้าผ้า!DR555</f>
        <v>0</v>
      </c>
      <c r="AM546" s="3">
        <f>[2]หน้าผ้า!DS555</f>
        <v>0</v>
      </c>
      <c r="AN546" s="3">
        <f>[2]หน้าผ้า!DT555</f>
        <v>0</v>
      </c>
      <c r="AO546" s="3">
        <f>[2]หน้าผ้า!DU555</f>
        <v>0</v>
      </c>
      <c r="AP546" s="3">
        <f>[2]หน้าผ้า!DP555</f>
        <v>0</v>
      </c>
      <c r="AQ546" s="3">
        <f>[2]หน้าผ้า!DW555</f>
        <v>0</v>
      </c>
      <c r="AR546" s="3">
        <f>[2]หน้าผ้า!DX555</f>
        <v>0</v>
      </c>
      <c r="AS546" s="3">
        <f>[2]หน้าผ้า!DY555</f>
        <v>0</v>
      </c>
      <c r="AT546" s="3">
        <f>[2]หน้าผ้า!DZ555</f>
        <v>0</v>
      </c>
      <c r="AU546" s="3">
        <f>[2]หน้าผ้า!EA555</f>
        <v>0</v>
      </c>
      <c r="AV546" s="1">
        <f>[2]หน้าผ้า!EB555</f>
        <v>0</v>
      </c>
      <c r="AW546" s="2">
        <f>[2]หน้าผ้า!EC555</f>
        <v>0</v>
      </c>
      <c r="AX546" s="2">
        <f>[2]หน้าผ้า!ED555</f>
        <v>0</v>
      </c>
      <c r="AY546" s="2">
        <f>[2]หน้าผ้า!AG555</f>
        <v>0</v>
      </c>
      <c r="AZ546" s="2">
        <f>[2]หน้าผ้า!EG555</f>
        <v>0</v>
      </c>
      <c r="BA546" s="2">
        <f>[2]หน้าผ้า!EH555</f>
        <v>0</v>
      </c>
      <c r="BB546" s="2">
        <f>[2]หน้าผ้า!EI555</f>
        <v>0</v>
      </c>
      <c r="BC546" s="1">
        <f>[2]หน้าผ้า!BZ555</f>
        <v>0</v>
      </c>
      <c r="BD546" s="56">
        <f>[2]หน้าผ้า!CA555</f>
        <v>0</v>
      </c>
    </row>
    <row r="547" spans="1:56" ht="27.75" customHeight="1" x14ac:dyDescent="0.45">
      <c r="A547" s="3">
        <f>[2]หน้าผ้า!C556</f>
        <v>0</v>
      </c>
      <c r="B547" s="14">
        <f>[2]หน้าผ้า!B556</f>
        <v>0</v>
      </c>
      <c r="C547" s="9">
        <f>[2]หน้าผ้า!E556</f>
        <v>0</v>
      </c>
      <c r="D547" s="13">
        <f>[2]หน้าผ้า!F556</f>
        <v>0</v>
      </c>
      <c r="E547" s="9">
        <f>[2]หน้าผ้า!G556</f>
        <v>0</v>
      </c>
      <c r="F547" s="9">
        <f>[2]หน้าผ้า!H556</f>
        <v>0</v>
      </c>
      <c r="G547" s="9">
        <f>[2]หน้าผ้า!I556</f>
        <v>0</v>
      </c>
      <c r="H547" s="9">
        <f>[2]หน้าผ้า!J556</f>
        <v>0</v>
      </c>
      <c r="I547" s="9">
        <f>[2]หน้าผ้า!L556</f>
        <v>0</v>
      </c>
      <c r="J547" s="9">
        <f>[2]หน้าผ้า!M556</f>
        <v>0</v>
      </c>
      <c r="K547" s="9">
        <f>[2]หน้าผ้า!N556</f>
        <v>0</v>
      </c>
      <c r="L547" s="9">
        <f>[2]หน้าผ้า!R556</f>
        <v>0</v>
      </c>
      <c r="M547" s="10">
        <f>[2]หน้าผ้า!T556</f>
        <v>0</v>
      </c>
      <c r="N547" s="9">
        <f>[2]หน้าผ้า!U556</f>
        <v>0</v>
      </c>
      <c r="O547" s="9">
        <f>[2]หน้าผ้า!V556</f>
        <v>0</v>
      </c>
      <c r="P547" s="10">
        <f>[2]หน้าผ้า!AB556</f>
        <v>0</v>
      </c>
      <c r="Q547" s="10">
        <f>[2]หน้าผ้า!AC556</f>
        <v>0</v>
      </c>
      <c r="R547" s="10">
        <f>[2]หน้าผ้า!AD556</f>
        <v>0</v>
      </c>
      <c r="S547" s="9">
        <f>[2]หน้าผ้า!Z556</f>
        <v>0</v>
      </c>
      <c r="T547" s="12">
        <f>[2]หน้าผ้า!X556</f>
        <v>0</v>
      </c>
      <c r="U547" s="11">
        <f>[2]หน้าผ้า!AA556</f>
        <v>0</v>
      </c>
      <c r="V547" s="10">
        <f>[2]หน้าผ้า!AJ556</f>
        <v>0</v>
      </c>
      <c r="W547" s="10">
        <f>[2]หน้าผ้า!AL556</f>
        <v>0</v>
      </c>
      <c r="X547" s="10">
        <f>[2]หน้าผ้า!AM556</f>
        <v>0</v>
      </c>
      <c r="Y547" s="10">
        <f>[2]หน้าผ้า!AN556</f>
        <v>0</v>
      </c>
      <c r="Z547" s="9">
        <f>[2]หน้าผ้า!AO556</f>
        <v>0</v>
      </c>
      <c r="AA547" s="8">
        <f>[2]หน้าผ้า!AQ556</f>
        <v>0</v>
      </c>
      <c r="AB547" s="8">
        <f>[2]หน้าผ้า!AR556</f>
        <v>0</v>
      </c>
      <c r="AC547" s="8">
        <f>[2]หน้าผ้า!AS556</f>
        <v>0</v>
      </c>
      <c r="AD547" s="8">
        <f>[2]หน้าผ้า!AT556</f>
        <v>0</v>
      </c>
      <c r="AE547" s="8">
        <f>[2]หน้าผ้า!AU556</f>
        <v>0</v>
      </c>
      <c r="AF547" s="8">
        <f>[2]หน้าผ้า!AI556</f>
        <v>0</v>
      </c>
      <c r="AG547" s="1">
        <f>[3]หน้าผ้า!DC559</f>
        <v>0</v>
      </c>
      <c r="AH547" s="1">
        <f>[2]หน้าผ้า!DL556</f>
        <v>0</v>
      </c>
      <c r="AI547" s="1">
        <f>[2]หน้าผ้า!DM556</f>
        <v>0</v>
      </c>
      <c r="AJ547" s="3">
        <f>[2]หน้าผ้า!DN556</f>
        <v>0</v>
      </c>
      <c r="AK547" s="3">
        <f>[2]หน้าผ้า!DQ556</f>
        <v>0</v>
      </c>
      <c r="AL547" s="3">
        <f>[2]หน้าผ้า!DR556</f>
        <v>0</v>
      </c>
      <c r="AM547" s="3">
        <f>[2]หน้าผ้า!DS556</f>
        <v>0</v>
      </c>
      <c r="AN547" s="3">
        <f>[2]หน้าผ้า!DT556</f>
        <v>0</v>
      </c>
      <c r="AO547" s="3">
        <f>[2]หน้าผ้า!DU556</f>
        <v>0</v>
      </c>
      <c r="AP547" s="3">
        <f>[2]หน้าผ้า!DP556</f>
        <v>0</v>
      </c>
      <c r="AQ547" s="3">
        <f>[2]หน้าผ้า!DW556</f>
        <v>0</v>
      </c>
      <c r="AR547" s="3">
        <f>[2]หน้าผ้า!DX556</f>
        <v>0</v>
      </c>
      <c r="AS547" s="3">
        <f>[2]หน้าผ้า!DY556</f>
        <v>0</v>
      </c>
      <c r="AT547" s="3">
        <f>[2]หน้าผ้า!DZ556</f>
        <v>0</v>
      </c>
      <c r="AU547" s="3">
        <f>[2]หน้าผ้า!EA556</f>
        <v>0</v>
      </c>
      <c r="AV547" s="1">
        <f>[2]หน้าผ้า!EB556</f>
        <v>0</v>
      </c>
      <c r="AW547" s="2">
        <f>[2]หน้าผ้า!EC556</f>
        <v>0</v>
      </c>
      <c r="AX547" s="2">
        <f>[2]หน้าผ้า!ED556</f>
        <v>0</v>
      </c>
      <c r="AY547" s="2">
        <f>[2]หน้าผ้า!AG556</f>
        <v>0</v>
      </c>
      <c r="AZ547" s="2">
        <f>[2]หน้าผ้า!EG556</f>
        <v>0</v>
      </c>
      <c r="BA547" s="2">
        <f>[2]หน้าผ้า!EH556</f>
        <v>0</v>
      </c>
      <c r="BB547" s="2">
        <f>[2]หน้าผ้า!EI556</f>
        <v>0</v>
      </c>
      <c r="BC547" s="1">
        <f>[2]หน้าผ้า!BZ556</f>
        <v>0</v>
      </c>
      <c r="BD547" s="56">
        <f>[2]หน้าผ้า!CA556</f>
        <v>0</v>
      </c>
    </row>
    <row r="548" spans="1:56" ht="27.75" customHeight="1" x14ac:dyDescent="0.45">
      <c r="A548" s="3">
        <f>[2]หน้าผ้า!C557</f>
        <v>0</v>
      </c>
      <c r="B548" s="14">
        <f>[2]หน้าผ้า!B557</f>
        <v>0</v>
      </c>
      <c r="C548" s="9">
        <f>[2]หน้าผ้า!E557</f>
        <v>0</v>
      </c>
      <c r="D548" s="13">
        <f>[2]หน้าผ้า!F557</f>
        <v>0</v>
      </c>
      <c r="E548" s="9">
        <f>[2]หน้าผ้า!G557</f>
        <v>0</v>
      </c>
      <c r="F548" s="9">
        <f>[2]หน้าผ้า!H557</f>
        <v>0</v>
      </c>
      <c r="G548" s="9">
        <f>[2]หน้าผ้า!I557</f>
        <v>0</v>
      </c>
      <c r="H548" s="9">
        <f>[2]หน้าผ้า!J557</f>
        <v>0</v>
      </c>
      <c r="I548" s="9">
        <f>[2]หน้าผ้า!L557</f>
        <v>0</v>
      </c>
      <c r="J548" s="9">
        <f>[2]หน้าผ้า!M557</f>
        <v>0</v>
      </c>
      <c r="K548" s="9">
        <f>[2]หน้าผ้า!N557</f>
        <v>0</v>
      </c>
      <c r="L548" s="9">
        <f>[2]หน้าผ้า!R557</f>
        <v>0</v>
      </c>
      <c r="M548" s="10">
        <f>[2]หน้าผ้า!T557</f>
        <v>0</v>
      </c>
      <c r="N548" s="9">
        <f>[2]หน้าผ้า!U557</f>
        <v>0</v>
      </c>
      <c r="O548" s="9">
        <f>[2]หน้าผ้า!V557</f>
        <v>0</v>
      </c>
      <c r="P548" s="10">
        <f>[2]หน้าผ้า!AB557</f>
        <v>0</v>
      </c>
      <c r="Q548" s="10">
        <f>[2]หน้าผ้า!AC557</f>
        <v>0</v>
      </c>
      <c r="R548" s="10">
        <f>[2]หน้าผ้า!AD557</f>
        <v>0</v>
      </c>
      <c r="S548" s="9">
        <f>[2]หน้าผ้า!Z557</f>
        <v>0</v>
      </c>
      <c r="T548" s="12">
        <f>[2]หน้าผ้า!X557</f>
        <v>0</v>
      </c>
      <c r="U548" s="11">
        <f>[2]หน้าผ้า!AA557</f>
        <v>0</v>
      </c>
      <c r="V548" s="10">
        <f>[2]หน้าผ้า!AJ557</f>
        <v>0</v>
      </c>
      <c r="W548" s="10">
        <f>[2]หน้าผ้า!AL557</f>
        <v>0</v>
      </c>
      <c r="X548" s="10">
        <f>[2]หน้าผ้า!AM557</f>
        <v>0</v>
      </c>
      <c r="Y548" s="10">
        <f>[2]หน้าผ้า!AN557</f>
        <v>0</v>
      </c>
      <c r="Z548" s="9">
        <f>[2]หน้าผ้า!AO557</f>
        <v>0</v>
      </c>
      <c r="AA548" s="8">
        <f>[2]หน้าผ้า!AQ557</f>
        <v>0</v>
      </c>
      <c r="AB548" s="8">
        <f>[2]หน้าผ้า!AR557</f>
        <v>0</v>
      </c>
      <c r="AC548" s="8">
        <f>[2]หน้าผ้า!AS557</f>
        <v>0</v>
      </c>
      <c r="AD548" s="8">
        <f>[2]หน้าผ้า!AT557</f>
        <v>0</v>
      </c>
      <c r="AE548" s="8">
        <f>[2]หน้าผ้า!AU557</f>
        <v>0</v>
      </c>
      <c r="AF548" s="8">
        <f>[2]หน้าผ้า!AI557</f>
        <v>0</v>
      </c>
      <c r="AG548" s="1">
        <f>[3]หน้าผ้า!DC560</f>
        <v>0</v>
      </c>
      <c r="AH548" s="1">
        <f>[2]หน้าผ้า!DL557</f>
        <v>0</v>
      </c>
      <c r="AI548" s="1">
        <f>[2]หน้าผ้า!DM557</f>
        <v>0</v>
      </c>
      <c r="AJ548" s="3">
        <f>[2]หน้าผ้า!DN557</f>
        <v>0</v>
      </c>
      <c r="AK548" s="3">
        <f>[2]หน้าผ้า!DQ557</f>
        <v>0</v>
      </c>
      <c r="AL548" s="3">
        <f>[2]หน้าผ้า!DR557</f>
        <v>0</v>
      </c>
      <c r="AM548" s="3">
        <f>[2]หน้าผ้า!DS557</f>
        <v>0</v>
      </c>
      <c r="AN548" s="3">
        <f>[2]หน้าผ้า!DT557</f>
        <v>0</v>
      </c>
      <c r="AO548" s="3">
        <f>[2]หน้าผ้า!DU557</f>
        <v>0</v>
      </c>
      <c r="AP548" s="3">
        <f>[2]หน้าผ้า!DP557</f>
        <v>0</v>
      </c>
      <c r="AQ548" s="3">
        <f>[2]หน้าผ้า!DW557</f>
        <v>0</v>
      </c>
      <c r="AR548" s="3">
        <f>[2]หน้าผ้า!DX557</f>
        <v>0</v>
      </c>
      <c r="AS548" s="3">
        <f>[2]หน้าผ้า!DY557</f>
        <v>0</v>
      </c>
      <c r="AT548" s="3">
        <f>[2]หน้าผ้า!DZ557</f>
        <v>0</v>
      </c>
      <c r="AU548" s="3">
        <f>[2]หน้าผ้า!EA557</f>
        <v>0</v>
      </c>
      <c r="AV548" s="1">
        <f>[2]หน้าผ้า!EB557</f>
        <v>0</v>
      </c>
      <c r="AW548" s="2">
        <f>[2]หน้าผ้า!EC557</f>
        <v>0</v>
      </c>
      <c r="AX548" s="2">
        <f>[2]หน้าผ้า!ED557</f>
        <v>0</v>
      </c>
      <c r="AY548" s="2">
        <f>[2]หน้าผ้า!AG557</f>
        <v>0</v>
      </c>
      <c r="AZ548" s="2">
        <f>[2]หน้าผ้า!EG557</f>
        <v>0</v>
      </c>
      <c r="BA548" s="2">
        <f>[2]หน้าผ้า!EH557</f>
        <v>0</v>
      </c>
      <c r="BB548" s="2">
        <f>[2]หน้าผ้า!EI557</f>
        <v>0</v>
      </c>
      <c r="BC548" s="1">
        <f>[2]หน้าผ้า!BZ557</f>
        <v>0</v>
      </c>
      <c r="BD548" s="56">
        <f>[2]หน้าผ้า!CA557</f>
        <v>0</v>
      </c>
    </row>
    <row r="549" spans="1:56" ht="27.75" customHeight="1" x14ac:dyDescent="0.45">
      <c r="A549" s="3">
        <f>[2]หน้าผ้า!C558</f>
        <v>0</v>
      </c>
      <c r="B549" s="14">
        <f>[2]หน้าผ้า!B558</f>
        <v>0</v>
      </c>
      <c r="C549" s="9">
        <f>[2]หน้าผ้า!E558</f>
        <v>0</v>
      </c>
      <c r="D549" s="13">
        <f>[2]หน้าผ้า!F558</f>
        <v>0</v>
      </c>
      <c r="E549" s="9">
        <f>[2]หน้าผ้า!G558</f>
        <v>0</v>
      </c>
      <c r="F549" s="9">
        <f>[2]หน้าผ้า!H558</f>
        <v>0</v>
      </c>
      <c r="G549" s="9">
        <f>[2]หน้าผ้า!I558</f>
        <v>0</v>
      </c>
      <c r="H549" s="9">
        <f>[2]หน้าผ้า!J558</f>
        <v>0</v>
      </c>
      <c r="I549" s="9">
        <f>[2]หน้าผ้า!L558</f>
        <v>0</v>
      </c>
      <c r="J549" s="9">
        <f>[2]หน้าผ้า!M558</f>
        <v>0</v>
      </c>
      <c r="K549" s="9">
        <f>[2]หน้าผ้า!N558</f>
        <v>0</v>
      </c>
      <c r="L549" s="9">
        <f>[2]หน้าผ้า!R558</f>
        <v>0</v>
      </c>
      <c r="M549" s="10">
        <f>[2]หน้าผ้า!T558</f>
        <v>0</v>
      </c>
      <c r="N549" s="9">
        <f>[2]หน้าผ้า!U558</f>
        <v>0</v>
      </c>
      <c r="O549" s="9">
        <f>[2]หน้าผ้า!V558</f>
        <v>0</v>
      </c>
      <c r="P549" s="10">
        <f>[2]หน้าผ้า!AB558</f>
        <v>0</v>
      </c>
      <c r="Q549" s="10">
        <f>[2]หน้าผ้า!AC558</f>
        <v>0</v>
      </c>
      <c r="R549" s="10">
        <f>[2]หน้าผ้า!AD558</f>
        <v>0</v>
      </c>
      <c r="S549" s="9">
        <f>[2]หน้าผ้า!Z558</f>
        <v>0</v>
      </c>
      <c r="T549" s="12">
        <f>[2]หน้าผ้า!X558</f>
        <v>0</v>
      </c>
      <c r="U549" s="11">
        <f>[2]หน้าผ้า!AA558</f>
        <v>0</v>
      </c>
      <c r="V549" s="10">
        <f>[2]หน้าผ้า!AJ558</f>
        <v>0</v>
      </c>
      <c r="W549" s="10">
        <f>[2]หน้าผ้า!AL558</f>
        <v>0</v>
      </c>
      <c r="X549" s="10">
        <f>[2]หน้าผ้า!AM558</f>
        <v>0</v>
      </c>
      <c r="Y549" s="10">
        <f>[2]หน้าผ้า!AN558</f>
        <v>0</v>
      </c>
      <c r="Z549" s="9">
        <f>[2]หน้าผ้า!AO558</f>
        <v>0</v>
      </c>
      <c r="AA549" s="8">
        <f>[2]หน้าผ้า!AQ558</f>
        <v>0</v>
      </c>
      <c r="AB549" s="8">
        <f>[2]หน้าผ้า!AR558</f>
        <v>0</v>
      </c>
      <c r="AC549" s="8">
        <f>[2]หน้าผ้า!AS558</f>
        <v>0</v>
      </c>
      <c r="AD549" s="8">
        <f>[2]หน้าผ้า!AT558</f>
        <v>0</v>
      </c>
      <c r="AE549" s="8">
        <f>[2]หน้าผ้า!AU558</f>
        <v>0</v>
      </c>
      <c r="AF549" s="8">
        <f>[2]หน้าผ้า!AI558</f>
        <v>0</v>
      </c>
      <c r="AG549" s="1">
        <f>[3]หน้าผ้า!DC561</f>
        <v>0</v>
      </c>
      <c r="AH549" s="1">
        <f>[2]หน้าผ้า!DL558</f>
        <v>0</v>
      </c>
      <c r="AI549" s="1">
        <f>[2]หน้าผ้า!DM558</f>
        <v>0</v>
      </c>
      <c r="AJ549" s="3">
        <f>[2]หน้าผ้า!DN558</f>
        <v>0</v>
      </c>
      <c r="AK549" s="3">
        <f>[2]หน้าผ้า!DQ558</f>
        <v>0</v>
      </c>
      <c r="AL549" s="3">
        <f>[2]หน้าผ้า!DR558</f>
        <v>0</v>
      </c>
      <c r="AM549" s="3">
        <f>[2]หน้าผ้า!DS558</f>
        <v>0</v>
      </c>
      <c r="AN549" s="3">
        <f>[2]หน้าผ้า!DT558</f>
        <v>0</v>
      </c>
      <c r="AO549" s="3">
        <f>[2]หน้าผ้า!DU558</f>
        <v>0</v>
      </c>
      <c r="AP549" s="3">
        <f>[2]หน้าผ้า!DP558</f>
        <v>0</v>
      </c>
      <c r="AQ549" s="3">
        <f>[2]หน้าผ้า!DW558</f>
        <v>0</v>
      </c>
      <c r="AR549" s="3">
        <f>[2]หน้าผ้า!DX558</f>
        <v>0</v>
      </c>
      <c r="AS549" s="3">
        <f>[2]หน้าผ้า!DY558</f>
        <v>0</v>
      </c>
      <c r="AT549" s="3">
        <f>[2]หน้าผ้า!DZ558</f>
        <v>0</v>
      </c>
      <c r="AU549" s="3">
        <f>[2]หน้าผ้า!EA558</f>
        <v>0</v>
      </c>
      <c r="AV549" s="1">
        <f>[2]หน้าผ้า!EB558</f>
        <v>0</v>
      </c>
      <c r="AW549" s="2">
        <f>[2]หน้าผ้า!EC558</f>
        <v>0</v>
      </c>
      <c r="AX549" s="2">
        <f>[2]หน้าผ้า!ED558</f>
        <v>0</v>
      </c>
      <c r="AY549" s="2">
        <f>[2]หน้าผ้า!AG558</f>
        <v>0</v>
      </c>
      <c r="AZ549" s="2">
        <f>[2]หน้าผ้า!EG558</f>
        <v>0</v>
      </c>
      <c r="BA549" s="2">
        <f>[2]หน้าผ้า!EH558</f>
        <v>0</v>
      </c>
      <c r="BB549" s="2">
        <f>[2]หน้าผ้า!EI558</f>
        <v>0</v>
      </c>
      <c r="BC549" s="1">
        <f>[2]หน้าผ้า!BZ558</f>
        <v>0</v>
      </c>
      <c r="BD549" s="56">
        <f>[2]หน้าผ้า!CA558</f>
        <v>0</v>
      </c>
    </row>
    <row r="550" spans="1:56" ht="27.75" customHeight="1" x14ac:dyDescent="0.45">
      <c r="A550" s="3">
        <f>[2]หน้าผ้า!C559</f>
        <v>0</v>
      </c>
      <c r="B550" s="14">
        <f>[2]หน้าผ้า!B559</f>
        <v>0</v>
      </c>
      <c r="C550" s="9">
        <f>[2]หน้าผ้า!E559</f>
        <v>0</v>
      </c>
      <c r="D550" s="13">
        <f>[2]หน้าผ้า!F559</f>
        <v>0</v>
      </c>
      <c r="E550" s="9">
        <f>[2]หน้าผ้า!G559</f>
        <v>0</v>
      </c>
      <c r="F550" s="9">
        <f>[2]หน้าผ้า!H559</f>
        <v>0</v>
      </c>
      <c r="G550" s="9">
        <f>[2]หน้าผ้า!I559</f>
        <v>0</v>
      </c>
      <c r="H550" s="9">
        <f>[2]หน้าผ้า!J559</f>
        <v>0</v>
      </c>
      <c r="I550" s="9">
        <f>[2]หน้าผ้า!L559</f>
        <v>0</v>
      </c>
      <c r="J550" s="9">
        <f>[2]หน้าผ้า!M559</f>
        <v>0</v>
      </c>
      <c r="K550" s="9">
        <f>[2]หน้าผ้า!N559</f>
        <v>0</v>
      </c>
      <c r="L550" s="9">
        <f>[2]หน้าผ้า!R559</f>
        <v>0</v>
      </c>
      <c r="M550" s="10">
        <f>[2]หน้าผ้า!T559</f>
        <v>0</v>
      </c>
      <c r="N550" s="9">
        <f>[2]หน้าผ้า!U559</f>
        <v>0</v>
      </c>
      <c r="O550" s="9">
        <f>[2]หน้าผ้า!V559</f>
        <v>0</v>
      </c>
      <c r="P550" s="10">
        <f>[2]หน้าผ้า!AB559</f>
        <v>0</v>
      </c>
      <c r="Q550" s="10">
        <f>[2]หน้าผ้า!AC559</f>
        <v>0</v>
      </c>
      <c r="R550" s="10">
        <f>[2]หน้าผ้า!AD559</f>
        <v>0</v>
      </c>
      <c r="S550" s="9">
        <f>[2]หน้าผ้า!Z559</f>
        <v>0</v>
      </c>
      <c r="T550" s="12">
        <f>[2]หน้าผ้า!X559</f>
        <v>0</v>
      </c>
      <c r="U550" s="11">
        <f>[2]หน้าผ้า!AA559</f>
        <v>0</v>
      </c>
      <c r="V550" s="10">
        <f>[2]หน้าผ้า!AJ559</f>
        <v>0</v>
      </c>
      <c r="W550" s="10">
        <f>[2]หน้าผ้า!AL559</f>
        <v>0</v>
      </c>
      <c r="X550" s="10">
        <f>[2]หน้าผ้า!AM559</f>
        <v>0</v>
      </c>
      <c r="Y550" s="10">
        <f>[2]หน้าผ้า!AN559</f>
        <v>0</v>
      </c>
      <c r="Z550" s="9">
        <f>[2]หน้าผ้า!AO559</f>
        <v>0</v>
      </c>
      <c r="AA550" s="8">
        <f>[2]หน้าผ้า!AQ559</f>
        <v>0</v>
      </c>
      <c r="AB550" s="8">
        <f>[2]หน้าผ้า!AR559</f>
        <v>0</v>
      </c>
      <c r="AC550" s="8">
        <f>[2]หน้าผ้า!AS559</f>
        <v>0</v>
      </c>
      <c r="AD550" s="8">
        <f>[2]หน้าผ้า!AT559</f>
        <v>0</v>
      </c>
      <c r="AE550" s="8">
        <f>[2]หน้าผ้า!AU559</f>
        <v>0</v>
      </c>
      <c r="AF550" s="8">
        <f>[2]หน้าผ้า!AI559</f>
        <v>0</v>
      </c>
      <c r="AG550" s="1">
        <f>[3]หน้าผ้า!DC562</f>
        <v>0</v>
      </c>
      <c r="AH550" s="1">
        <f>[2]หน้าผ้า!DL559</f>
        <v>0</v>
      </c>
      <c r="AI550" s="1">
        <f>[2]หน้าผ้า!DM559</f>
        <v>0</v>
      </c>
      <c r="AJ550" s="3">
        <f>[2]หน้าผ้า!DN559</f>
        <v>0</v>
      </c>
      <c r="AK550" s="3">
        <f>[2]หน้าผ้า!DQ559</f>
        <v>0</v>
      </c>
      <c r="AL550" s="3">
        <f>[2]หน้าผ้า!DR559</f>
        <v>0</v>
      </c>
      <c r="AM550" s="3">
        <f>[2]หน้าผ้า!DS559</f>
        <v>0</v>
      </c>
      <c r="AN550" s="3">
        <f>[2]หน้าผ้า!DT559</f>
        <v>0</v>
      </c>
      <c r="AO550" s="3">
        <f>[2]หน้าผ้า!DU559</f>
        <v>0</v>
      </c>
      <c r="AP550" s="3">
        <f>[2]หน้าผ้า!DP559</f>
        <v>0</v>
      </c>
      <c r="AQ550" s="3">
        <f>[2]หน้าผ้า!DW559</f>
        <v>0</v>
      </c>
      <c r="AR550" s="3">
        <f>[2]หน้าผ้า!DX559</f>
        <v>0</v>
      </c>
      <c r="AS550" s="3">
        <f>[2]หน้าผ้า!DY559</f>
        <v>0</v>
      </c>
      <c r="AT550" s="3">
        <f>[2]หน้าผ้า!DZ559</f>
        <v>0</v>
      </c>
      <c r="AU550" s="3">
        <f>[2]หน้าผ้า!EA559</f>
        <v>0</v>
      </c>
      <c r="AV550" s="1">
        <f>[2]หน้าผ้า!EB559</f>
        <v>0</v>
      </c>
      <c r="AW550" s="2">
        <f>[2]หน้าผ้า!EC559</f>
        <v>0</v>
      </c>
      <c r="AX550" s="2">
        <f>[2]หน้าผ้า!ED559</f>
        <v>0</v>
      </c>
      <c r="AY550" s="2">
        <f>[2]หน้าผ้า!AG559</f>
        <v>0</v>
      </c>
      <c r="AZ550" s="2">
        <f>[2]หน้าผ้า!EG559</f>
        <v>0</v>
      </c>
      <c r="BA550" s="2">
        <f>[2]หน้าผ้า!EH559</f>
        <v>0</v>
      </c>
      <c r="BB550" s="2">
        <f>[2]หน้าผ้า!EI559</f>
        <v>0</v>
      </c>
      <c r="BC550" s="1">
        <f>[2]หน้าผ้า!BZ559</f>
        <v>0</v>
      </c>
      <c r="BD550" s="56">
        <f>[2]หน้าผ้า!CA559</f>
        <v>0</v>
      </c>
    </row>
    <row r="551" spans="1:56" ht="27.75" customHeight="1" x14ac:dyDescent="0.45">
      <c r="A551" s="3">
        <f>[2]หน้าผ้า!C560</f>
        <v>0</v>
      </c>
      <c r="B551" s="14">
        <f>[2]หน้าผ้า!B560</f>
        <v>0</v>
      </c>
      <c r="C551" s="9">
        <f>[2]หน้าผ้า!E560</f>
        <v>0</v>
      </c>
      <c r="D551" s="13">
        <f>[2]หน้าผ้า!F560</f>
        <v>0</v>
      </c>
      <c r="E551" s="9">
        <f>[2]หน้าผ้า!G560</f>
        <v>0</v>
      </c>
      <c r="F551" s="9">
        <f>[2]หน้าผ้า!H560</f>
        <v>0</v>
      </c>
      <c r="G551" s="9">
        <f>[2]หน้าผ้า!I560</f>
        <v>0</v>
      </c>
      <c r="H551" s="9">
        <f>[2]หน้าผ้า!J560</f>
        <v>0</v>
      </c>
      <c r="I551" s="9">
        <f>[2]หน้าผ้า!L560</f>
        <v>0</v>
      </c>
      <c r="J551" s="9">
        <f>[2]หน้าผ้า!M560</f>
        <v>0</v>
      </c>
      <c r="K551" s="9">
        <f>[2]หน้าผ้า!N560</f>
        <v>0</v>
      </c>
      <c r="L551" s="9">
        <f>[2]หน้าผ้า!R560</f>
        <v>0</v>
      </c>
      <c r="M551" s="10">
        <f>[2]หน้าผ้า!T560</f>
        <v>0</v>
      </c>
      <c r="N551" s="9">
        <f>[2]หน้าผ้า!U560</f>
        <v>0</v>
      </c>
      <c r="O551" s="9">
        <f>[2]หน้าผ้า!V560</f>
        <v>0</v>
      </c>
      <c r="P551" s="10">
        <f>[2]หน้าผ้า!AB560</f>
        <v>0</v>
      </c>
      <c r="Q551" s="10">
        <f>[2]หน้าผ้า!AC560</f>
        <v>0</v>
      </c>
      <c r="R551" s="10">
        <f>[2]หน้าผ้า!AD560</f>
        <v>0</v>
      </c>
      <c r="S551" s="9">
        <f>[2]หน้าผ้า!Z560</f>
        <v>0</v>
      </c>
      <c r="T551" s="12">
        <f>[2]หน้าผ้า!X560</f>
        <v>0</v>
      </c>
      <c r="U551" s="11">
        <f>[2]หน้าผ้า!AA560</f>
        <v>0</v>
      </c>
      <c r="V551" s="10">
        <f>[2]หน้าผ้า!AJ560</f>
        <v>0</v>
      </c>
      <c r="W551" s="10">
        <f>[2]หน้าผ้า!AL560</f>
        <v>0</v>
      </c>
      <c r="X551" s="10">
        <f>[2]หน้าผ้า!AM560</f>
        <v>0</v>
      </c>
      <c r="Y551" s="10">
        <f>[2]หน้าผ้า!AN560</f>
        <v>0</v>
      </c>
      <c r="Z551" s="9">
        <f>[2]หน้าผ้า!AO560</f>
        <v>0</v>
      </c>
      <c r="AA551" s="8">
        <f>[2]หน้าผ้า!AQ560</f>
        <v>0</v>
      </c>
      <c r="AB551" s="8">
        <f>[2]หน้าผ้า!AR560</f>
        <v>0</v>
      </c>
      <c r="AC551" s="8">
        <f>[2]หน้าผ้า!AS560</f>
        <v>0</v>
      </c>
      <c r="AD551" s="8">
        <f>[2]หน้าผ้า!AT560</f>
        <v>0</v>
      </c>
      <c r="AE551" s="8">
        <f>[2]หน้าผ้า!AU560</f>
        <v>0</v>
      </c>
      <c r="AF551" s="8">
        <f>[2]หน้าผ้า!AI560</f>
        <v>0</v>
      </c>
      <c r="AG551" s="1">
        <f>[3]หน้าผ้า!DC563</f>
        <v>0</v>
      </c>
      <c r="AH551" s="1">
        <f>[2]หน้าผ้า!DL560</f>
        <v>0</v>
      </c>
      <c r="AI551" s="1">
        <f>[2]หน้าผ้า!DM560</f>
        <v>0</v>
      </c>
      <c r="AJ551" s="3">
        <f>[2]หน้าผ้า!DN560</f>
        <v>0</v>
      </c>
      <c r="AK551" s="3">
        <f>[2]หน้าผ้า!DQ560</f>
        <v>0</v>
      </c>
      <c r="AL551" s="3">
        <f>[2]หน้าผ้า!DR560</f>
        <v>0</v>
      </c>
      <c r="AM551" s="3">
        <f>[2]หน้าผ้า!DS560</f>
        <v>0</v>
      </c>
      <c r="AN551" s="3">
        <f>[2]หน้าผ้า!DT560</f>
        <v>0</v>
      </c>
      <c r="AO551" s="3">
        <f>[2]หน้าผ้า!DU560</f>
        <v>0</v>
      </c>
      <c r="AP551" s="3">
        <f>[2]หน้าผ้า!DP560</f>
        <v>0</v>
      </c>
      <c r="AQ551" s="3">
        <f>[2]หน้าผ้า!DW560</f>
        <v>0</v>
      </c>
      <c r="AR551" s="3">
        <f>[2]หน้าผ้า!DX560</f>
        <v>0</v>
      </c>
      <c r="AS551" s="3">
        <f>[2]หน้าผ้า!DY560</f>
        <v>0</v>
      </c>
      <c r="AT551" s="3">
        <f>[2]หน้าผ้า!DZ560</f>
        <v>0</v>
      </c>
      <c r="AU551" s="3">
        <f>[2]หน้าผ้า!EA560</f>
        <v>0</v>
      </c>
      <c r="AV551" s="1">
        <f>[2]หน้าผ้า!EB560</f>
        <v>0</v>
      </c>
      <c r="AW551" s="2">
        <f>[2]หน้าผ้า!EC560</f>
        <v>0</v>
      </c>
      <c r="AX551" s="2">
        <f>[2]หน้าผ้า!ED560</f>
        <v>0</v>
      </c>
      <c r="AY551" s="2">
        <f>[2]หน้าผ้า!AG560</f>
        <v>0</v>
      </c>
      <c r="AZ551" s="2">
        <f>[2]หน้าผ้า!EG560</f>
        <v>0</v>
      </c>
      <c r="BA551" s="2">
        <f>[2]หน้าผ้า!EH560</f>
        <v>0</v>
      </c>
      <c r="BB551" s="2">
        <f>[2]หน้าผ้า!EI560</f>
        <v>0</v>
      </c>
      <c r="BC551" s="1">
        <f>[2]หน้าผ้า!BZ560</f>
        <v>0</v>
      </c>
      <c r="BD551" s="56">
        <f>[2]หน้าผ้า!CA560</f>
        <v>0</v>
      </c>
    </row>
    <row r="552" spans="1:56" ht="27.75" customHeight="1" x14ac:dyDescent="0.45">
      <c r="A552" s="3">
        <f>[2]หน้าผ้า!C561</f>
        <v>0</v>
      </c>
      <c r="B552" s="14">
        <f>[2]หน้าผ้า!B561</f>
        <v>0</v>
      </c>
      <c r="C552" s="9">
        <f>[2]หน้าผ้า!E561</f>
        <v>0</v>
      </c>
      <c r="D552" s="13">
        <f>[2]หน้าผ้า!F561</f>
        <v>0</v>
      </c>
      <c r="E552" s="9">
        <f>[2]หน้าผ้า!G561</f>
        <v>0</v>
      </c>
      <c r="F552" s="9">
        <f>[2]หน้าผ้า!H561</f>
        <v>0</v>
      </c>
      <c r="G552" s="9">
        <f>[2]หน้าผ้า!I561</f>
        <v>0</v>
      </c>
      <c r="H552" s="9">
        <f>[2]หน้าผ้า!J561</f>
        <v>0</v>
      </c>
      <c r="I552" s="9">
        <f>[2]หน้าผ้า!L561</f>
        <v>0</v>
      </c>
      <c r="J552" s="9">
        <f>[2]หน้าผ้า!M561</f>
        <v>0</v>
      </c>
      <c r="K552" s="9">
        <f>[2]หน้าผ้า!N561</f>
        <v>0</v>
      </c>
      <c r="L552" s="9">
        <f>[2]หน้าผ้า!R561</f>
        <v>0</v>
      </c>
      <c r="M552" s="10">
        <f>[2]หน้าผ้า!T561</f>
        <v>0</v>
      </c>
      <c r="N552" s="9">
        <f>[2]หน้าผ้า!U561</f>
        <v>0</v>
      </c>
      <c r="O552" s="9">
        <f>[2]หน้าผ้า!V561</f>
        <v>0</v>
      </c>
      <c r="P552" s="10">
        <f>[2]หน้าผ้า!AB561</f>
        <v>0</v>
      </c>
      <c r="Q552" s="10">
        <f>[2]หน้าผ้า!AC561</f>
        <v>0</v>
      </c>
      <c r="R552" s="10">
        <f>[2]หน้าผ้า!AD561</f>
        <v>0</v>
      </c>
      <c r="S552" s="9">
        <f>[2]หน้าผ้า!Z561</f>
        <v>0</v>
      </c>
      <c r="T552" s="12">
        <f>[2]หน้าผ้า!X561</f>
        <v>0</v>
      </c>
      <c r="U552" s="11">
        <f>[2]หน้าผ้า!AA561</f>
        <v>0</v>
      </c>
      <c r="V552" s="10">
        <f>[2]หน้าผ้า!AJ561</f>
        <v>0</v>
      </c>
      <c r="W552" s="10">
        <f>[2]หน้าผ้า!AL561</f>
        <v>0</v>
      </c>
      <c r="X552" s="10">
        <f>[2]หน้าผ้า!AM561</f>
        <v>0</v>
      </c>
      <c r="Y552" s="10">
        <f>[2]หน้าผ้า!AN561</f>
        <v>0</v>
      </c>
      <c r="Z552" s="9">
        <f>[2]หน้าผ้า!AO561</f>
        <v>0</v>
      </c>
      <c r="AA552" s="8">
        <f>[2]หน้าผ้า!AQ561</f>
        <v>0</v>
      </c>
      <c r="AB552" s="8">
        <f>[2]หน้าผ้า!AR561</f>
        <v>0</v>
      </c>
      <c r="AC552" s="8">
        <f>[2]หน้าผ้า!AS561</f>
        <v>0</v>
      </c>
      <c r="AD552" s="8">
        <f>[2]หน้าผ้า!AT561</f>
        <v>0</v>
      </c>
      <c r="AE552" s="8">
        <f>[2]หน้าผ้า!AU561</f>
        <v>0</v>
      </c>
      <c r="AF552" s="8">
        <f>[2]หน้าผ้า!AI561</f>
        <v>0</v>
      </c>
      <c r="AG552" s="1">
        <f>[3]หน้าผ้า!DC564</f>
        <v>0</v>
      </c>
      <c r="AH552" s="1">
        <f>[2]หน้าผ้า!DL561</f>
        <v>0</v>
      </c>
      <c r="AI552" s="1">
        <f>[2]หน้าผ้า!DM561</f>
        <v>0</v>
      </c>
      <c r="AJ552" s="3">
        <f>[2]หน้าผ้า!DN561</f>
        <v>0</v>
      </c>
      <c r="AK552" s="3">
        <f>[2]หน้าผ้า!DQ561</f>
        <v>0</v>
      </c>
      <c r="AL552" s="3">
        <f>[2]หน้าผ้า!DR561</f>
        <v>0</v>
      </c>
      <c r="AM552" s="3">
        <f>[2]หน้าผ้า!DS561</f>
        <v>0</v>
      </c>
      <c r="AN552" s="3">
        <f>[2]หน้าผ้า!DT561</f>
        <v>0</v>
      </c>
      <c r="AO552" s="3">
        <f>[2]หน้าผ้า!DU561</f>
        <v>0</v>
      </c>
      <c r="AP552" s="3">
        <f>[2]หน้าผ้า!DP561</f>
        <v>0</v>
      </c>
      <c r="AQ552" s="3">
        <f>[2]หน้าผ้า!DW561</f>
        <v>0</v>
      </c>
      <c r="AR552" s="3">
        <f>[2]หน้าผ้า!DX561</f>
        <v>0</v>
      </c>
      <c r="AS552" s="3">
        <f>[2]หน้าผ้า!DY561</f>
        <v>0</v>
      </c>
      <c r="AT552" s="3">
        <f>[2]หน้าผ้า!DZ561</f>
        <v>0</v>
      </c>
      <c r="AU552" s="3">
        <f>[2]หน้าผ้า!EA561</f>
        <v>0</v>
      </c>
      <c r="AV552" s="1">
        <f>[2]หน้าผ้า!EB561</f>
        <v>0</v>
      </c>
      <c r="AW552" s="2">
        <f>[2]หน้าผ้า!EC561</f>
        <v>0</v>
      </c>
      <c r="AX552" s="2">
        <f>[2]หน้าผ้า!ED561</f>
        <v>0</v>
      </c>
      <c r="AY552" s="2">
        <f>[2]หน้าผ้า!AG561</f>
        <v>0</v>
      </c>
      <c r="AZ552" s="2">
        <f>[2]หน้าผ้า!EG561</f>
        <v>0</v>
      </c>
      <c r="BA552" s="2">
        <f>[2]หน้าผ้า!EH561</f>
        <v>0</v>
      </c>
      <c r="BB552" s="2">
        <f>[2]หน้าผ้า!EI561</f>
        <v>0</v>
      </c>
      <c r="BC552" s="1">
        <f>[2]หน้าผ้า!BZ561</f>
        <v>0</v>
      </c>
      <c r="BD552" s="56">
        <f>[2]หน้าผ้า!CA561</f>
        <v>0</v>
      </c>
    </row>
    <row r="553" spans="1:56" ht="27.75" customHeight="1" x14ac:dyDescent="0.45">
      <c r="A553" s="3">
        <f>[2]หน้าผ้า!C562</f>
        <v>0</v>
      </c>
      <c r="B553" s="14">
        <f>[2]หน้าผ้า!B562</f>
        <v>0</v>
      </c>
      <c r="C553" s="9">
        <f>[2]หน้าผ้า!E562</f>
        <v>0</v>
      </c>
      <c r="D553" s="13">
        <f>[2]หน้าผ้า!F562</f>
        <v>0</v>
      </c>
      <c r="E553" s="9">
        <f>[2]หน้าผ้า!G562</f>
        <v>0</v>
      </c>
      <c r="F553" s="9">
        <f>[2]หน้าผ้า!H562</f>
        <v>0</v>
      </c>
      <c r="G553" s="9">
        <f>[2]หน้าผ้า!I562</f>
        <v>0</v>
      </c>
      <c r="H553" s="9">
        <f>[2]หน้าผ้า!J562</f>
        <v>0</v>
      </c>
      <c r="I553" s="9">
        <f>[2]หน้าผ้า!L562</f>
        <v>0</v>
      </c>
      <c r="J553" s="9">
        <f>[2]หน้าผ้า!M562</f>
        <v>0</v>
      </c>
      <c r="K553" s="9">
        <f>[2]หน้าผ้า!N562</f>
        <v>0</v>
      </c>
      <c r="L553" s="9">
        <f>[2]หน้าผ้า!R562</f>
        <v>0</v>
      </c>
      <c r="M553" s="10">
        <f>[2]หน้าผ้า!T562</f>
        <v>0</v>
      </c>
      <c r="N553" s="9">
        <f>[2]หน้าผ้า!U562</f>
        <v>0</v>
      </c>
      <c r="O553" s="9">
        <f>[2]หน้าผ้า!V562</f>
        <v>0</v>
      </c>
      <c r="P553" s="10">
        <f>[2]หน้าผ้า!AB562</f>
        <v>0</v>
      </c>
      <c r="Q553" s="10">
        <f>[2]หน้าผ้า!AC562</f>
        <v>0</v>
      </c>
      <c r="R553" s="10">
        <f>[2]หน้าผ้า!AD562</f>
        <v>0</v>
      </c>
      <c r="S553" s="9">
        <f>[2]หน้าผ้า!Z562</f>
        <v>0</v>
      </c>
      <c r="T553" s="12">
        <f>[2]หน้าผ้า!X562</f>
        <v>0</v>
      </c>
      <c r="U553" s="11">
        <f>[2]หน้าผ้า!AA562</f>
        <v>0</v>
      </c>
      <c r="V553" s="10">
        <f>[2]หน้าผ้า!AJ562</f>
        <v>0</v>
      </c>
      <c r="W553" s="10">
        <f>[2]หน้าผ้า!AL562</f>
        <v>0</v>
      </c>
      <c r="X553" s="10">
        <f>[2]หน้าผ้า!AM562</f>
        <v>0</v>
      </c>
      <c r="Y553" s="10">
        <f>[2]หน้าผ้า!AN562</f>
        <v>0</v>
      </c>
      <c r="Z553" s="9">
        <f>[2]หน้าผ้า!AO562</f>
        <v>0</v>
      </c>
      <c r="AA553" s="8">
        <f>[2]หน้าผ้า!AQ562</f>
        <v>0</v>
      </c>
      <c r="AB553" s="8">
        <f>[2]หน้าผ้า!AR562</f>
        <v>0</v>
      </c>
      <c r="AC553" s="8">
        <f>[2]หน้าผ้า!AS562</f>
        <v>0</v>
      </c>
      <c r="AD553" s="8">
        <f>[2]หน้าผ้า!AT562</f>
        <v>0</v>
      </c>
      <c r="AE553" s="8">
        <f>[2]หน้าผ้า!AU562</f>
        <v>0</v>
      </c>
      <c r="AF553" s="8">
        <f>[2]หน้าผ้า!AI562</f>
        <v>0</v>
      </c>
      <c r="AG553" s="1">
        <f>[3]หน้าผ้า!DC565</f>
        <v>0</v>
      </c>
      <c r="AH553" s="1">
        <f>[2]หน้าผ้า!DL562</f>
        <v>0</v>
      </c>
      <c r="AI553" s="1">
        <f>[2]หน้าผ้า!DM562</f>
        <v>0</v>
      </c>
      <c r="AJ553" s="3">
        <f>[2]หน้าผ้า!DN562</f>
        <v>0</v>
      </c>
      <c r="AK553" s="3">
        <f>[2]หน้าผ้า!DQ562</f>
        <v>0</v>
      </c>
      <c r="AL553" s="3">
        <f>[2]หน้าผ้า!DR562</f>
        <v>0</v>
      </c>
      <c r="AM553" s="3">
        <f>[2]หน้าผ้า!DS562</f>
        <v>0</v>
      </c>
      <c r="AN553" s="3">
        <f>[2]หน้าผ้า!DT562</f>
        <v>0</v>
      </c>
      <c r="AO553" s="3">
        <f>[2]หน้าผ้า!DU562</f>
        <v>0</v>
      </c>
      <c r="AP553" s="3">
        <f>[2]หน้าผ้า!DP562</f>
        <v>0</v>
      </c>
      <c r="AQ553" s="3">
        <f>[2]หน้าผ้า!DW562</f>
        <v>0</v>
      </c>
      <c r="AR553" s="3">
        <f>[2]หน้าผ้า!DX562</f>
        <v>0</v>
      </c>
      <c r="AS553" s="3">
        <f>[2]หน้าผ้า!DY562</f>
        <v>0</v>
      </c>
      <c r="AT553" s="3">
        <f>[2]หน้าผ้า!DZ562</f>
        <v>0</v>
      </c>
      <c r="AU553" s="3">
        <f>[2]หน้าผ้า!EA562</f>
        <v>0</v>
      </c>
      <c r="AV553" s="1">
        <f>[2]หน้าผ้า!EB562</f>
        <v>0</v>
      </c>
      <c r="AW553" s="2">
        <f>[2]หน้าผ้า!EC562</f>
        <v>0</v>
      </c>
      <c r="AX553" s="2">
        <f>[2]หน้าผ้า!ED562</f>
        <v>0</v>
      </c>
      <c r="AY553" s="2">
        <f>[2]หน้าผ้า!AG562</f>
        <v>0</v>
      </c>
      <c r="AZ553" s="2">
        <f>[2]หน้าผ้า!EG562</f>
        <v>0</v>
      </c>
      <c r="BA553" s="2">
        <f>[2]หน้าผ้า!EH562</f>
        <v>0</v>
      </c>
      <c r="BB553" s="2">
        <f>[2]หน้าผ้า!EI562</f>
        <v>0</v>
      </c>
      <c r="BC553" s="1">
        <f>[2]หน้าผ้า!BZ562</f>
        <v>0</v>
      </c>
      <c r="BD553" s="56">
        <f>[2]หน้าผ้า!CA562</f>
        <v>0</v>
      </c>
    </row>
    <row r="554" spans="1:56" ht="27.75" customHeight="1" x14ac:dyDescent="0.45">
      <c r="A554" s="3">
        <f>[2]หน้าผ้า!C563</f>
        <v>0</v>
      </c>
      <c r="B554" s="14">
        <f>[2]หน้าผ้า!B563</f>
        <v>0</v>
      </c>
      <c r="C554" s="9">
        <f>[2]หน้าผ้า!E563</f>
        <v>0</v>
      </c>
      <c r="D554" s="13">
        <f>[2]หน้าผ้า!F563</f>
        <v>0</v>
      </c>
      <c r="E554" s="9">
        <f>[2]หน้าผ้า!G563</f>
        <v>0</v>
      </c>
      <c r="F554" s="9">
        <f>[2]หน้าผ้า!H563</f>
        <v>0</v>
      </c>
      <c r="G554" s="9">
        <f>[2]หน้าผ้า!I563</f>
        <v>0</v>
      </c>
      <c r="H554" s="9">
        <f>[2]หน้าผ้า!J563</f>
        <v>0</v>
      </c>
      <c r="I554" s="9">
        <f>[2]หน้าผ้า!L563</f>
        <v>0</v>
      </c>
      <c r="J554" s="9">
        <f>[2]หน้าผ้า!M563</f>
        <v>0</v>
      </c>
      <c r="K554" s="9">
        <f>[2]หน้าผ้า!N563</f>
        <v>0</v>
      </c>
      <c r="L554" s="9">
        <f>[2]หน้าผ้า!R563</f>
        <v>0</v>
      </c>
      <c r="M554" s="10">
        <f>[2]หน้าผ้า!T563</f>
        <v>0</v>
      </c>
      <c r="N554" s="9">
        <f>[2]หน้าผ้า!U563</f>
        <v>0</v>
      </c>
      <c r="O554" s="9">
        <f>[2]หน้าผ้า!V563</f>
        <v>0</v>
      </c>
      <c r="P554" s="10">
        <f>[2]หน้าผ้า!AB563</f>
        <v>0</v>
      </c>
      <c r="Q554" s="10">
        <f>[2]หน้าผ้า!AC563</f>
        <v>0</v>
      </c>
      <c r="R554" s="10">
        <f>[2]หน้าผ้า!AD563</f>
        <v>0</v>
      </c>
      <c r="S554" s="9">
        <f>[2]หน้าผ้า!Z563</f>
        <v>0</v>
      </c>
      <c r="T554" s="12">
        <f>[2]หน้าผ้า!X563</f>
        <v>0</v>
      </c>
      <c r="U554" s="11">
        <f>[2]หน้าผ้า!AA563</f>
        <v>0</v>
      </c>
      <c r="V554" s="10">
        <f>[2]หน้าผ้า!AJ563</f>
        <v>0</v>
      </c>
      <c r="W554" s="10">
        <f>[2]หน้าผ้า!AL563</f>
        <v>0</v>
      </c>
      <c r="X554" s="10">
        <f>[2]หน้าผ้า!AM563</f>
        <v>0</v>
      </c>
      <c r="Y554" s="10">
        <f>[2]หน้าผ้า!AN563</f>
        <v>0</v>
      </c>
      <c r="Z554" s="9">
        <f>[2]หน้าผ้า!AO563</f>
        <v>0</v>
      </c>
      <c r="AA554" s="8">
        <f>[2]หน้าผ้า!AQ563</f>
        <v>0</v>
      </c>
      <c r="AB554" s="8">
        <f>[2]หน้าผ้า!AR563</f>
        <v>0</v>
      </c>
      <c r="AC554" s="8">
        <f>[2]หน้าผ้า!AS563</f>
        <v>0</v>
      </c>
      <c r="AD554" s="8">
        <f>[2]หน้าผ้า!AT563</f>
        <v>0</v>
      </c>
      <c r="AE554" s="8">
        <f>[2]หน้าผ้า!AU563</f>
        <v>0</v>
      </c>
      <c r="AF554" s="8">
        <f>[2]หน้าผ้า!AI563</f>
        <v>0</v>
      </c>
      <c r="AG554" s="1">
        <f>[3]หน้าผ้า!DC566</f>
        <v>0</v>
      </c>
      <c r="AH554" s="1">
        <f>[2]หน้าผ้า!DL563</f>
        <v>0</v>
      </c>
      <c r="AI554" s="1">
        <f>[2]หน้าผ้า!DM563</f>
        <v>0</v>
      </c>
      <c r="AJ554" s="3">
        <f>[2]หน้าผ้า!DN563</f>
        <v>0</v>
      </c>
      <c r="AK554" s="3">
        <f>[2]หน้าผ้า!DQ563</f>
        <v>0</v>
      </c>
      <c r="AL554" s="3">
        <f>[2]หน้าผ้า!DR563</f>
        <v>0</v>
      </c>
      <c r="AM554" s="3">
        <f>[2]หน้าผ้า!DS563</f>
        <v>0</v>
      </c>
      <c r="AN554" s="3">
        <f>[2]หน้าผ้า!DT563</f>
        <v>0</v>
      </c>
      <c r="AO554" s="3">
        <f>[2]หน้าผ้า!DU563</f>
        <v>0</v>
      </c>
      <c r="AP554" s="3">
        <f>[2]หน้าผ้า!DP563</f>
        <v>0</v>
      </c>
      <c r="AQ554" s="3">
        <f>[2]หน้าผ้า!DW563</f>
        <v>0</v>
      </c>
      <c r="AR554" s="3">
        <f>[2]หน้าผ้า!DX563</f>
        <v>0</v>
      </c>
      <c r="AS554" s="3">
        <f>[2]หน้าผ้า!DY563</f>
        <v>0</v>
      </c>
      <c r="AT554" s="3">
        <f>[2]หน้าผ้า!DZ563</f>
        <v>0</v>
      </c>
      <c r="AU554" s="3">
        <f>[2]หน้าผ้า!EA563</f>
        <v>0</v>
      </c>
      <c r="AV554" s="1">
        <f>[2]หน้าผ้า!EB563</f>
        <v>0</v>
      </c>
      <c r="AW554" s="2">
        <f>[2]หน้าผ้า!EC563</f>
        <v>0</v>
      </c>
      <c r="AX554" s="2">
        <f>[2]หน้าผ้า!ED563</f>
        <v>0</v>
      </c>
      <c r="AY554" s="2">
        <f>[2]หน้าผ้า!AG563</f>
        <v>0</v>
      </c>
      <c r="AZ554" s="2">
        <f>[2]หน้าผ้า!EG563</f>
        <v>0</v>
      </c>
      <c r="BA554" s="2">
        <f>[2]หน้าผ้า!EH563</f>
        <v>0</v>
      </c>
      <c r="BB554" s="2">
        <f>[2]หน้าผ้า!EI563</f>
        <v>0</v>
      </c>
      <c r="BC554" s="1">
        <f>[2]หน้าผ้า!BZ563</f>
        <v>0</v>
      </c>
      <c r="BD554" s="56">
        <f>[2]หน้าผ้า!CA563</f>
        <v>0</v>
      </c>
    </row>
    <row r="555" spans="1:56" ht="27.75" customHeight="1" x14ac:dyDescent="0.45">
      <c r="A555" s="3">
        <f>[2]หน้าผ้า!C564</f>
        <v>0</v>
      </c>
      <c r="B555" s="14">
        <f>[2]หน้าผ้า!B564</f>
        <v>0</v>
      </c>
      <c r="C555" s="9">
        <f>[2]หน้าผ้า!E564</f>
        <v>0</v>
      </c>
      <c r="D555" s="13">
        <f>[2]หน้าผ้า!F564</f>
        <v>0</v>
      </c>
      <c r="E555" s="9">
        <f>[2]หน้าผ้า!G564</f>
        <v>0</v>
      </c>
      <c r="F555" s="9">
        <f>[2]หน้าผ้า!H564</f>
        <v>0</v>
      </c>
      <c r="G555" s="9">
        <f>[2]หน้าผ้า!I564</f>
        <v>0</v>
      </c>
      <c r="H555" s="9">
        <f>[2]หน้าผ้า!J564</f>
        <v>0</v>
      </c>
      <c r="I555" s="9">
        <f>[2]หน้าผ้า!L564</f>
        <v>0</v>
      </c>
      <c r="J555" s="9">
        <f>[2]หน้าผ้า!M564</f>
        <v>0</v>
      </c>
      <c r="K555" s="9">
        <f>[2]หน้าผ้า!N564</f>
        <v>0</v>
      </c>
      <c r="L555" s="9">
        <f>[2]หน้าผ้า!R564</f>
        <v>0</v>
      </c>
      <c r="M555" s="10">
        <f>[2]หน้าผ้า!T564</f>
        <v>0</v>
      </c>
      <c r="N555" s="9">
        <f>[2]หน้าผ้า!U564</f>
        <v>0</v>
      </c>
      <c r="O555" s="9">
        <f>[2]หน้าผ้า!V564</f>
        <v>0</v>
      </c>
      <c r="P555" s="10">
        <f>[2]หน้าผ้า!AB564</f>
        <v>0</v>
      </c>
      <c r="Q555" s="10">
        <f>[2]หน้าผ้า!AC564</f>
        <v>0</v>
      </c>
      <c r="R555" s="10">
        <f>[2]หน้าผ้า!AD564</f>
        <v>0</v>
      </c>
      <c r="S555" s="9">
        <f>[2]หน้าผ้า!Z564</f>
        <v>0</v>
      </c>
      <c r="T555" s="12">
        <f>[2]หน้าผ้า!X564</f>
        <v>0</v>
      </c>
      <c r="U555" s="11">
        <f>[2]หน้าผ้า!AA564</f>
        <v>0</v>
      </c>
      <c r="V555" s="10">
        <f>[2]หน้าผ้า!AJ564</f>
        <v>0</v>
      </c>
      <c r="W555" s="10">
        <f>[2]หน้าผ้า!AL564</f>
        <v>0</v>
      </c>
      <c r="X555" s="10">
        <f>[2]หน้าผ้า!AM564</f>
        <v>0</v>
      </c>
      <c r="Y555" s="10">
        <f>[2]หน้าผ้า!AN564</f>
        <v>0</v>
      </c>
      <c r="Z555" s="9">
        <f>[2]หน้าผ้า!AO564</f>
        <v>0</v>
      </c>
      <c r="AA555" s="8">
        <f>[2]หน้าผ้า!AQ564</f>
        <v>0</v>
      </c>
      <c r="AB555" s="8">
        <f>[2]หน้าผ้า!AR564</f>
        <v>0</v>
      </c>
      <c r="AC555" s="8">
        <f>[2]หน้าผ้า!AS564</f>
        <v>0</v>
      </c>
      <c r="AD555" s="8">
        <f>[2]หน้าผ้า!AT564</f>
        <v>0</v>
      </c>
      <c r="AE555" s="8">
        <f>[2]หน้าผ้า!AU564</f>
        <v>0</v>
      </c>
      <c r="AF555" s="8">
        <f>[2]หน้าผ้า!AI564</f>
        <v>0</v>
      </c>
      <c r="AG555" s="1">
        <f>[3]หน้าผ้า!DC567</f>
        <v>0</v>
      </c>
      <c r="AH555" s="1">
        <f>[2]หน้าผ้า!DL564</f>
        <v>0</v>
      </c>
      <c r="AI555" s="1">
        <f>[2]หน้าผ้า!DM564</f>
        <v>0</v>
      </c>
      <c r="AJ555" s="3">
        <f>[2]หน้าผ้า!DN564</f>
        <v>0</v>
      </c>
      <c r="AK555" s="3">
        <f>[2]หน้าผ้า!DQ564</f>
        <v>0</v>
      </c>
      <c r="AL555" s="3">
        <f>[2]หน้าผ้า!DR564</f>
        <v>0</v>
      </c>
      <c r="AM555" s="3">
        <f>[2]หน้าผ้า!DS564</f>
        <v>0</v>
      </c>
      <c r="AN555" s="3">
        <f>[2]หน้าผ้า!DT564</f>
        <v>0</v>
      </c>
      <c r="AO555" s="3">
        <f>[2]หน้าผ้า!DU564</f>
        <v>0</v>
      </c>
      <c r="AP555" s="3">
        <f>[2]หน้าผ้า!DP564</f>
        <v>0</v>
      </c>
      <c r="AQ555" s="3">
        <f>[2]หน้าผ้า!DW564</f>
        <v>0</v>
      </c>
      <c r="AR555" s="3">
        <f>[2]หน้าผ้า!DX564</f>
        <v>0</v>
      </c>
      <c r="AS555" s="3">
        <f>[2]หน้าผ้า!DY564</f>
        <v>0</v>
      </c>
      <c r="AT555" s="3">
        <f>[2]หน้าผ้า!DZ564</f>
        <v>0</v>
      </c>
      <c r="AU555" s="3">
        <f>[2]หน้าผ้า!EA564</f>
        <v>0</v>
      </c>
      <c r="AV555" s="1">
        <f>[2]หน้าผ้า!EB564</f>
        <v>0</v>
      </c>
      <c r="AW555" s="2">
        <f>[2]หน้าผ้า!EC564</f>
        <v>0</v>
      </c>
      <c r="AX555" s="2">
        <f>[2]หน้าผ้า!ED564</f>
        <v>0</v>
      </c>
      <c r="AY555" s="2">
        <f>[2]หน้าผ้า!AG564</f>
        <v>0</v>
      </c>
      <c r="AZ555" s="2">
        <f>[2]หน้าผ้า!EG564</f>
        <v>0</v>
      </c>
      <c r="BA555" s="2">
        <f>[2]หน้าผ้า!EH564</f>
        <v>0</v>
      </c>
      <c r="BB555" s="2">
        <f>[2]หน้าผ้า!EI564</f>
        <v>0</v>
      </c>
      <c r="BC555" s="1">
        <f>[2]หน้าผ้า!BZ564</f>
        <v>0</v>
      </c>
      <c r="BD555" s="56">
        <f>[2]หน้าผ้า!CA564</f>
        <v>0</v>
      </c>
    </row>
    <row r="556" spans="1:56" ht="27.75" customHeight="1" x14ac:dyDescent="0.45">
      <c r="A556" s="3">
        <f>[2]หน้าผ้า!C565</f>
        <v>0</v>
      </c>
      <c r="B556" s="14">
        <f>[2]หน้าผ้า!B565</f>
        <v>0</v>
      </c>
      <c r="C556" s="9">
        <f>[2]หน้าผ้า!E565</f>
        <v>0</v>
      </c>
      <c r="D556" s="13">
        <f>[2]หน้าผ้า!F565</f>
        <v>0</v>
      </c>
      <c r="E556" s="9">
        <f>[2]หน้าผ้า!G565</f>
        <v>0</v>
      </c>
      <c r="F556" s="9">
        <f>[2]หน้าผ้า!H565</f>
        <v>0</v>
      </c>
      <c r="G556" s="9">
        <f>[2]หน้าผ้า!I565</f>
        <v>0</v>
      </c>
      <c r="H556" s="9">
        <f>[2]หน้าผ้า!J565</f>
        <v>0</v>
      </c>
      <c r="I556" s="9">
        <f>[2]หน้าผ้า!L565</f>
        <v>0</v>
      </c>
      <c r="J556" s="9">
        <f>[2]หน้าผ้า!M565</f>
        <v>0</v>
      </c>
      <c r="K556" s="9">
        <f>[2]หน้าผ้า!N565</f>
        <v>0</v>
      </c>
      <c r="L556" s="9">
        <f>[2]หน้าผ้า!R565</f>
        <v>0</v>
      </c>
      <c r="M556" s="10">
        <f>[2]หน้าผ้า!T565</f>
        <v>0</v>
      </c>
      <c r="N556" s="9">
        <f>[2]หน้าผ้า!U565</f>
        <v>0</v>
      </c>
      <c r="O556" s="9">
        <f>[2]หน้าผ้า!V565</f>
        <v>0</v>
      </c>
      <c r="P556" s="10">
        <f>[2]หน้าผ้า!AB565</f>
        <v>0</v>
      </c>
      <c r="Q556" s="10">
        <f>[2]หน้าผ้า!AC565</f>
        <v>0</v>
      </c>
      <c r="R556" s="10">
        <f>[2]หน้าผ้า!AD565</f>
        <v>0</v>
      </c>
      <c r="S556" s="9">
        <f>[2]หน้าผ้า!Z565</f>
        <v>0</v>
      </c>
      <c r="T556" s="12">
        <f>[2]หน้าผ้า!X565</f>
        <v>0</v>
      </c>
      <c r="U556" s="11">
        <f>[2]หน้าผ้า!AA565</f>
        <v>0</v>
      </c>
      <c r="V556" s="10">
        <f>[2]หน้าผ้า!AJ565</f>
        <v>0</v>
      </c>
      <c r="W556" s="10">
        <f>[2]หน้าผ้า!AL565</f>
        <v>0</v>
      </c>
      <c r="X556" s="10">
        <f>[2]หน้าผ้า!AM565</f>
        <v>0</v>
      </c>
      <c r="Y556" s="10">
        <f>[2]หน้าผ้า!AN565</f>
        <v>0</v>
      </c>
      <c r="Z556" s="9">
        <f>[2]หน้าผ้า!AO565</f>
        <v>0</v>
      </c>
      <c r="AA556" s="8">
        <f>[2]หน้าผ้า!AQ565</f>
        <v>0</v>
      </c>
      <c r="AB556" s="8">
        <f>[2]หน้าผ้า!AR565</f>
        <v>0</v>
      </c>
      <c r="AC556" s="8">
        <f>[2]หน้าผ้า!AS565</f>
        <v>0</v>
      </c>
      <c r="AD556" s="8">
        <f>[2]หน้าผ้า!AT565</f>
        <v>0</v>
      </c>
      <c r="AE556" s="8">
        <f>[2]หน้าผ้า!AU565</f>
        <v>0</v>
      </c>
      <c r="AF556" s="8">
        <f>[2]หน้าผ้า!AI565</f>
        <v>0</v>
      </c>
      <c r="AG556" s="1">
        <f>[3]หน้าผ้า!DC568</f>
        <v>0</v>
      </c>
      <c r="AH556" s="1">
        <f>[2]หน้าผ้า!DL565</f>
        <v>0</v>
      </c>
      <c r="AI556" s="1">
        <f>[2]หน้าผ้า!DM565</f>
        <v>0</v>
      </c>
      <c r="AJ556" s="3">
        <f>[2]หน้าผ้า!DN565</f>
        <v>0</v>
      </c>
      <c r="AK556" s="3">
        <f>[2]หน้าผ้า!DQ565</f>
        <v>0</v>
      </c>
      <c r="AL556" s="3">
        <f>[2]หน้าผ้า!DR565</f>
        <v>0</v>
      </c>
      <c r="AM556" s="3">
        <f>[2]หน้าผ้า!DS565</f>
        <v>0</v>
      </c>
      <c r="AN556" s="3">
        <f>[2]หน้าผ้า!DT565</f>
        <v>0</v>
      </c>
      <c r="AO556" s="3">
        <f>[2]หน้าผ้า!DU565</f>
        <v>0</v>
      </c>
      <c r="AP556" s="3">
        <f>[2]หน้าผ้า!DP565</f>
        <v>0</v>
      </c>
      <c r="AQ556" s="3">
        <f>[2]หน้าผ้า!DW565</f>
        <v>0</v>
      </c>
      <c r="AR556" s="3">
        <f>[2]หน้าผ้า!DX565</f>
        <v>0</v>
      </c>
      <c r="AS556" s="3">
        <f>[2]หน้าผ้า!DY565</f>
        <v>0</v>
      </c>
      <c r="AT556" s="3">
        <f>[2]หน้าผ้า!DZ565</f>
        <v>0</v>
      </c>
      <c r="AU556" s="3">
        <f>[2]หน้าผ้า!EA565</f>
        <v>0</v>
      </c>
      <c r="AV556" s="1">
        <f>[2]หน้าผ้า!EB565</f>
        <v>0</v>
      </c>
      <c r="AW556" s="2">
        <f>[2]หน้าผ้า!EC565</f>
        <v>0</v>
      </c>
      <c r="AX556" s="2">
        <f>[2]หน้าผ้า!ED565</f>
        <v>0</v>
      </c>
      <c r="AY556" s="2">
        <f>[2]หน้าผ้า!AG565</f>
        <v>0</v>
      </c>
      <c r="AZ556" s="2">
        <f>[2]หน้าผ้า!EG565</f>
        <v>0</v>
      </c>
      <c r="BA556" s="2">
        <f>[2]หน้าผ้า!EH565</f>
        <v>0</v>
      </c>
      <c r="BB556" s="2">
        <f>[2]หน้าผ้า!EI565</f>
        <v>0</v>
      </c>
      <c r="BC556" s="1">
        <f>[2]หน้าผ้า!BZ565</f>
        <v>0</v>
      </c>
      <c r="BD556" s="56">
        <f>[2]หน้าผ้า!CA565</f>
        <v>0</v>
      </c>
    </row>
    <row r="557" spans="1:56" ht="27.75" customHeight="1" x14ac:dyDescent="0.45">
      <c r="A557" s="3">
        <f>[2]หน้าผ้า!C566</f>
        <v>0</v>
      </c>
      <c r="B557" s="14">
        <f>[2]หน้าผ้า!B566</f>
        <v>0</v>
      </c>
      <c r="C557" s="9">
        <f>[2]หน้าผ้า!E566</f>
        <v>0</v>
      </c>
      <c r="D557" s="13">
        <f>[2]หน้าผ้า!F566</f>
        <v>0</v>
      </c>
      <c r="E557" s="9">
        <f>[2]หน้าผ้า!G566</f>
        <v>0</v>
      </c>
      <c r="F557" s="9">
        <f>[2]หน้าผ้า!H566</f>
        <v>0</v>
      </c>
      <c r="G557" s="9">
        <f>[2]หน้าผ้า!I566</f>
        <v>0</v>
      </c>
      <c r="H557" s="9">
        <f>[2]หน้าผ้า!J566</f>
        <v>0</v>
      </c>
      <c r="I557" s="9">
        <f>[2]หน้าผ้า!L566</f>
        <v>0</v>
      </c>
      <c r="J557" s="9">
        <f>[2]หน้าผ้า!M566</f>
        <v>0</v>
      </c>
      <c r="K557" s="9">
        <f>[2]หน้าผ้า!N566</f>
        <v>0</v>
      </c>
      <c r="L557" s="9">
        <f>[2]หน้าผ้า!R566</f>
        <v>0</v>
      </c>
      <c r="M557" s="10">
        <f>[2]หน้าผ้า!T566</f>
        <v>0</v>
      </c>
      <c r="N557" s="9">
        <f>[2]หน้าผ้า!U566</f>
        <v>0</v>
      </c>
      <c r="O557" s="9">
        <f>[2]หน้าผ้า!V566</f>
        <v>0</v>
      </c>
      <c r="P557" s="10">
        <f>[2]หน้าผ้า!AB566</f>
        <v>0</v>
      </c>
      <c r="Q557" s="10">
        <f>[2]หน้าผ้า!AC566</f>
        <v>0</v>
      </c>
      <c r="R557" s="10">
        <f>[2]หน้าผ้า!AD566</f>
        <v>0</v>
      </c>
      <c r="S557" s="9">
        <f>[2]หน้าผ้า!Z566</f>
        <v>0</v>
      </c>
      <c r="T557" s="12">
        <f>[2]หน้าผ้า!X566</f>
        <v>0</v>
      </c>
      <c r="U557" s="11">
        <f>[2]หน้าผ้า!AA566</f>
        <v>0</v>
      </c>
      <c r="V557" s="10">
        <f>[2]หน้าผ้า!AJ566</f>
        <v>0</v>
      </c>
      <c r="W557" s="10">
        <f>[2]หน้าผ้า!AL566</f>
        <v>0</v>
      </c>
      <c r="X557" s="10">
        <f>[2]หน้าผ้า!AM566</f>
        <v>0</v>
      </c>
      <c r="Y557" s="10">
        <f>[2]หน้าผ้า!AN566</f>
        <v>0</v>
      </c>
      <c r="Z557" s="9">
        <f>[2]หน้าผ้า!AO566</f>
        <v>0</v>
      </c>
      <c r="AA557" s="8">
        <f>[2]หน้าผ้า!AQ566</f>
        <v>0</v>
      </c>
      <c r="AB557" s="8">
        <f>[2]หน้าผ้า!AR566</f>
        <v>0</v>
      </c>
      <c r="AC557" s="8">
        <f>[2]หน้าผ้า!AS566</f>
        <v>0</v>
      </c>
      <c r="AD557" s="8">
        <f>[2]หน้าผ้า!AT566</f>
        <v>0</v>
      </c>
      <c r="AE557" s="8">
        <f>[2]หน้าผ้า!AU566</f>
        <v>0</v>
      </c>
      <c r="AF557" s="8">
        <f>[2]หน้าผ้า!AI566</f>
        <v>0</v>
      </c>
      <c r="AG557" s="1">
        <f>[3]หน้าผ้า!DC569</f>
        <v>0</v>
      </c>
      <c r="AH557" s="1">
        <f>[2]หน้าผ้า!DL566</f>
        <v>0</v>
      </c>
      <c r="AI557" s="1">
        <f>[2]หน้าผ้า!DM566</f>
        <v>0</v>
      </c>
      <c r="AJ557" s="3">
        <f>[2]หน้าผ้า!DN566</f>
        <v>0</v>
      </c>
      <c r="AK557" s="3">
        <f>[2]หน้าผ้า!DQ566</f>
        <v>0</v>
      </c>
      <c r="AL557" s="3">
        <f>[2]หน้าผ้า!DR566</f>
        <v>0</v>
      </c>
      <c r="AM557" s="3">
        <f>[2]หน้าผ้า!DS566</f>
        <v>0</v>
      </c>
      <c r="AN557" s="3">
        <f>[2]หน้าผ้า!DT566</f>
        <v>0</v>
      </c>
      <c r="AO557" s="3">
        <f>[2]หน้าผ้า!DU566</f>
        <v>0</v>
      </c>
      <c r="AP557" s="3">
        <f>[2]หน้าผ้า!DP566</f>
        <v>0</v>
      </c>
      <c r="AQ557" s="3">
        <f>[2]หน้าผ้า!DW566</f>
        <v>0</v>
      </c>
      <c r="AR557" s="3">
        <f>[2]หน้าผ้า!DX566</f>
        <v>0</v>
      </c>
      <c r="AS557" s="3">
        <f>[2]หน้าผ้า!DY566</f>
        <v>0</v>
      </c>
      <c r="AT557" s="3">
        <f>[2]หน้าผ้า!DZ566</f>
        <v>0</v>
      </c>
      <c r="AU557" s="3">
        <f>[2]หน้าผ้า!EA566</f>
        <v>0</v>
      </c>
      <c r="AV557" s="1">
        <f>[2]หน้าผ้า!EB566</f>
        <v>0</v>
      </c>
      <c r="AW557" s="2">
        <f>[2]หน้าผ้า!EC566</f>
        <v>0</v>
      </c>
      <c r="AX557" s="2">
        <f>[2]หน้าผ้า!ED566</f>
        <v>0</v>
      </c>
      <c r="AY557" s="2">
        <f>[2]หน้าผ้า!AG566</f>
        <v>0</v>
      </c>
      <c r="AZ557" s="2">
        <f>[2]หน้าผ้า!EG566</f>
        <v>0</v>
      </c>
      <c r="BA557" s="2">
        <f>[2]หน้าผ้า!EH566</f>
        <v>0</v>
      </c>
      <c r="BB557" s="2">
        <f>[2]หน้าผ้า!EI566</f>
        <v>0</v>
      </c>
      <c r="BC557" s="1">
        <f>[2]หน้าผ้า!BZ566</f>
        <v>0</v>
      </c>
      <c r="BD557" s="56">
        <f>[2]หน้าผ้า!CA566</f>
        <v>0</v>
      </c>
    </row>
    <row r="558" spans="1:56" ht="27.75" customHeight="1" x14ac:dyDescent="0.45">
      <c r="A558" s="3">
        <f>[2]หน้าผ้า!C567</f>
        <v>0</v>
      </c>
      <c r="B558" s="14">
        <f>[2]หน้าผ้า!B567</f>
        <v>0</v>
      </c>
      <c r="C558" s="9">
        <f>[2]หน้าผ้า!E567</f>
        <v>0</v>
      </c>
      <c r="D558" s="13">
        <f>[2]หน้าผ้า!F567</f>
        <v>0</v>
      </c>
      <c r="E558" s="9">
        <f>[2]หน้าผ้า!G567</f>
        <v>0</v>
      </c>
      <c r="F558" s="9">
        <f>[2]หน้าผ้า!H567</f>
        <v>0</v>
      </c>
      <c r="G558" s="9">
        <f>[2]หน้าผ้า!I567</f>
        <v>0</v>
      </c>
      <c r="H558" s="9">
        <f>[2]หน้าผ้า!J567</f>
        <v>0</v>
      </c>
      <c r="I558" s="9">
        <f>[2]หน้าผ้า!L567</f>
        <v>0</v>
      </c>
      <c r="J558" s="9">
        <f>[2]หน้าผ้า!M567</f>
        <v>0</v>
      </c>
      <c r="K558" s="9">
        <f>[2]หน้าผ้า!N567</f>
        <v>0</v>
      </c>
      <c r="L558" s="9">
        <f>[2]หน้าผ้า!R567</f>
        <v>0</v>
      </c>
      <c r="M558" s="10">
        <f>[2]หน้าผ้า!T567</f>
        <v>0</v>
      </c>
      <c r="N558" s="9">
        <f>[2]หน้าผ้า!U567</f>
        <v>0</v>
      </c>
      <c r="O558" s="9">
        <f>[2]หน้าผ้า!V567</f>
        <v>0</v>
      </c>
      <c r="P558" s="10">
        <f>[2]หน้าผ้า!AB567</f>
        <v>0</v>
      </c>
      <c r="Q558" s="10">
        <f>[2]หน้าผ้า!AC567</f>
        <v>0</v>
      </c>
      <c r="R558" s="10">
        <f>[2]หน้าผ้า!AD567</f>
        <v>0</v>
      </c>
      <c r="S558" s="9">
        <f>[2]หน้าผ้า!Z567</f>
        <v>0</v>
      </c>
      <c r="T558" s="12">
        <f>[2]หน้าผ้า!X567</f>
        <v>0</v>
      </c>
      <c r="U558" s="11">
        <f>[2]หน้าผ้า!AA567</f>
        <v>0</v>
      </c>
      <c r="V558" s="10">
        <f>[2]หน้าผ้า!AJ567</f>
        <v>0</v>
      </c>
      <c r="W558" s="10">
        <f>[2]หน้าผ้า!AL567</f>
        <v>0</v>
      </c>
      <c r="X558" s="10">
        <f>[2]หน้าผ้า!AM567</f>
        <v>0</v>
      </c>
      <c r="Y558" s="10">
        <f>[2]หน้าผ้า!AN567</f>
        <v>0</v>
      </c>
      <c r="Z558" s="9">
        <f>[2]หน้าผ้า!AO567</f>
        <v>0</v>
      </c>
      <c r="AA558" s="8">
        <f>[2]หน้าผ้า!AQ567</f>
        <v>0</v>
      </c>
      <c r="AB558" s="8">
        <f>[2]หน้าผ้า!AR567</f>
        <v>0</v>
      </c>
      <c r="AC558" s="8">
        <f>[2]หน้าผ้า!AS567</f>
        <v>0</v>
      </c>
      <c r="AD558" s="8">
        <f>[2]หน้าผ้า!AT567</f>
        <v>0</v>
      </c>
      <c r="AE558" s="8">
        <f>[2]หน้าผ้า!AU567</f>
        <v>0</v>
      </c>
      <c r="AF558" s="8">
        <f>[2]หน้าผ้า!AI567</f>
        <v>0</v>
      </c>
      <c r="AG558" s="1">
        <f>[3]หน้าผ้า!DC570</f>
        <v>0</v>
      </c>
      <c r="AH558" s="1">
        <f>[2]หน้าผ้า!DL567</f>
        <v>0</v>
      </c>
      <c r="AI558" s="1">
        <f>[2]หน้าผ้า!DM567</f>
        <v>0</v>
      </c>
      <c r="AJ558" s="3">
        <f>[2]หน้าผ้า!DN567</f>
        <v>0</v>
      </c>
      <c r="AK558" s="3">
        <f>[2]หน้าผ้า!DQ567</f>
        <v>0</v>
      </c>
      <c r="AL558" s="3">
        <f>[2]หน้าผ้า!DR567</f>
        <v>0</v>
      </c>
      <c r="AM558" s="3">
        <f>[2]หน้าผ้า!DS567</f>
        <v>0</v>
      </c>
      <c r="AN558" s="3">
        <f>[2]หน้าผ้า!DT567</f>
        <v>0</v>
      </c>
      <c r="AO558" s="3">
        <f>[2]หน้าผ้า!DU567</f>
        <v>0</v>
      </c>
      <c r="AP558" s="3">
        <f>[2]หน้าผ้า!DP567</f>
        <v>0</v>
      </c>
      <c r="AQ558" s="3">
        <f>[2]หน้าผ้า!DW567</f>
        <v>0</v>
      </c>
      <c r="AR558" s="3">
        <f>[2]หน้าผ้า!DX567</f>
        <v>0</v>
      </c>
      <c r="AS558" s="3">
        <f>[2]หน้าผ้า!DY567</f>
        <v>0</v>
      </c>
      <c r="AT558" s="3">
        <f>[2]หน้าผ้า!DZ567</f>
        <v>0</v>
      </c>
      <c r="AU558" s="3">
        <f>[2]หน้าผ้า!EA567</f>
        <v>0</v>
      </c>
      <c r="AV558" s="1">
        <f>[2]หน้าผ้า!EB567</f>
        <v>0</v>
      </c>
      <c r="AW558" s="2">
        <f>[2]หน้าผ้า!EC567</f>
        <v>0</v>
      </c>
      <c r="AX558" s="2">
        <f>[2]หน้าผ้า!ED567</f>
        <v>0</v>
      </c>
      <c r="AY558" s="2">
        <f>[2]หน้าผ้า!AG567</f>
        <v>0</v>
      </c>
      <c r="AZ558" s="2">
        <f>[2]หน้าผ้า!EG567</f>
        <v>0</v>
      </c>
      <c r="BA558" s="2">
        <f>[2]หน้าผ้า!EH567</f>
        <v>0</v>
      </c>
      <c r="BB558" s="2">
        <f>[2]หน้าผ้า!EI567</f>
        <v>0</v>
      </c>
      <c r="BC558" s="1">
        <f>[2]หน้าผ้า!BZ567</f>
        <v>0</v>
      </c>
      <c r="BD558" s="56">
        <f>[2]หน้าผ้า!CA567</f>
        <v>0</v>
      </c>
    </row>
    <row r="559" spans="1:56" ht="27.75" customHeight="1" x14ac:dyDescent="0.45">
      <c r="A559" s="3">
        <f>[2]หน้าผ้า!C568</f>
        <v>0</v>
      </c>
      <c r="B559" s="14">
        <f>[2]หน้าผ้า!B568</f>
        <v>0</v>
      </c>
      <c r="C559" s="9">
        <f>[2]หน้าผ้า!E568</f>
        <v>0</v>
      </c>
      <c r="D559" s="13">
        <f>[2]หน้าผ้า!F568</f>
        <v>0</v>
      </c>
      <c r="E559" s="9">
        <f>[2]หน้าผ้า!G568</f>
        <v>0</v>
      </c>
      <c r="F559" s="9">
        <f>[2]หน้าผ้า!H568</f>
        <v>0</v>
      </c>
      <c r="G559" s="9">
        <f>[2]หน้าผ้า!I568</f>
        <v>0</v>
      </c>
      <c r="H559" s="9">
        <f>[2]หน้าผ้า!J568</f>
        <v>0</v>
      </c>
      <c r="I559" s="9">
        <f>[2]หน้าผ้า!L568</f>
        <v>0</v>
      </c>
      <c r="J559" s="9">
        <f>[2]หน้าผ้า!M568</f>
        <v>0</v>
      </c>
      <c r="K559" s="9">
        <f>[2]หน้าผ้า!N568</f>
        <v>0</v>
      </c>
      <c r="L559" s="9">
        <f>[2]หน้าผ้า!R568</f>
        <v>0</v>
      </c>
      <c r="M559" s="10">
        <f>[2]หน้าผ้า!T568</f>
        <v>0</v>
      </c>
      <c r="N559" s="9">
        <f>[2]หน้าผ้า!U568</f>
        <v>0</v>
      </c>
      <c r="O559" s="9">
        <f>[2]หน้าผ้า!V568</f>
        <v>0</v>
      </c>
      <c r="P559" s="10">
        <f>[2]หน้าผ้า!AB568</f>
        <v>0</v>
      </c>
      <c r="Q559" s="10">
        <f>[2]หน้าผ้า!AC568</f>
        <v>0</v>
      </c>
      <c r="R559" s="10">
        <f>[2]หน้าผ้า!AD568</f>
        <v>0</v>
      </c>
      <c r="S559" s="9">
        <f>[2]หน้าผ้า!Z568</f>
        <v>0</v>
      </c>
      <c r="T559" s="12">
        <f>[2]หน้าผ้า!X568</f>
        <v>0</v>
      </c>
      <c r="U559" s="11">
        <f>[2]หน้าผ้า!AA568</f>
        <v>0</v>
      </c>
      <c r="V559" s="10">
        <f>[2]หน้าผ้า!AJ568</f>
        <v>0</v>
      </c>
      <c r="W559" s="10">
        <f>[2]หน้าผ้า!AL568</f>
        <v>0</v>
      </c>
      <c r="X559" s="10">
        <f>[2]หน้าผ้า!AM568</f>
        <v>0</v>
      </c>
      <c r="Y559" s="10">
        <f>[2]หน้าผ้า!AN568</f>
        <v>0</v>
      </c>
      <c r="Z559" s="9">
        <f>[2]หน้าผ้า!AO568</f>
        <v>0</v>
      </c>
      <c r="AA559" s="8">
        <f>[2]หน้าผ้า!AQ568</f>
        <v>0</v>
      </c>
      <c r="AB559" s="8">
        <f>[2]หน้าผ้า!AR568</f>
        <v>0</v>
      </c>
      <c r="AC559" s="8">
        <f>[2]หน้าผ้า!AS568</f>
        <v>0</v>
      </c>
      <c r="AD559" s="8">
        <f>[2]หน้าผ้า!AT568</f>
        <v>0</v>
      </c>
      <c r="AE559" s="8">
        <f>[2]หน้าผ้า!AU568</f>
        <v>0</v>
      </c>
      <c r="AF559" s="8">
        <f>[2]หน้าผ้า!AI568</f>
        <v>0</v>
      </c>
      <c r="AG559" s="1">
        <f>[3]หน้าผ้า!DC571</f>
        <v>0</v>
      </c>
      <c r="AH559" s="1">
        <f>[2]หน้าผ้า!DL568</f>
        <v>0</v>
      </c>
      <c r="AI559" s="1">
        <f>[2]หน้าผ้า!DM568</f>
        <v>0</v>
      </c>
      <c r="AJ559" s="3">
        <f>[2]หน้าผ้า!DN568</f>
        <v>0</v>
      </c>
      <c r="AK559" s="3">
        <f>[2]หน้าผ้า!DQ568</f>
        <v>0</v>
      </c>
      <c r="AL559" s="3">
        <f>[2]หน้าผ้า!DR568</f>
        <v>0</v>
      </c>
      <c r="AM559" s="3">
        <f>[2]หน้าผ้า!DS568</f>
        <v>0</v>
      </c>
      <c r="AN559" s="3">
        <f>[2]หน้าผ้า!DT568</f>
        <v>0</v>
      </c>
      <c r="AO559" s="3">
        <f>[2]หน้าผ้า!DU568</f>
        <v>0</v>
      </c>
      <c r="AP559" s="3">
        <f>[2]หน้าผ้า!DP568</f>
        <v>0</v>
      </c>
      <c r="AQ559" s="3">
        <f>[2]หน้าผ้า!DW568</f>
        <v>0</v>
      </c>
      <c r="AR559" s="3">
        <f>[2]หน้าผ้า!DX568</f>
        <v>0</v>
      </c>
      <c r="AS559" s="3">
        <f>[2]หน้าผ้า!DY568</f>
        <v>0</v>
      </c>
      <c r="AT559" s="3">
        <f>[2]หน้าผ้า!DZ568</f>
        <v>0</v>
      </c>
      <c r="AU559" s="3">
        <f>[2]หน้าผ้า!EA568</f>
        <v>0</v>
      </c>
      <c r="AV559" s="1">
        <f>[2]หน้าผ้า!EB568</f>
        <v>0</v>
      </c>
      <c r="AW559" s="2">
        <f>[2]หน้าผ้า!EC568</f>
        <v>0</v>
      </c>
      <c r="AX559" s="2">
        <f>[2]หน้าผ้า!ED568</f>
        <v>0</v>
      </c>
      <c r="AY559" s="2">
        <f>[2]หน้าผ้า!AG568</f>
        <v>0</v>
      </c>
      <c r="AZ559" s="2">
        <f>[2]หน้าผ้า!EG568</f>
        <v>0</v>
      </c>
      <c r="BA559" s="2">
        <f>[2]หน้าผ้า!EH568</f>
        <v>0</v>
      </c>
      <c r="BB559" s="2">
        <f>[2]หน้าผ้า!EI568</f>
        <v>0</v>
      </c>
      <c r="BC559" s="1">
        <f>[2]หน้าผ้า!BZ568</f>
        <v>0</v>
      </c>
      <c r="BD559" s="56">
        <f>[2]หน้าผ้า!CA568</f>
        <v>0</v>
      </c>
    </row>
    <row r="560" spans="1:56" ht="27.75" customHeight="1" x14ac:dyDescent="0.45">
      <c r="A560" s="3">
        <f>[2]หน้าผ้า!C569</f>
        <v>0</v>
      </c>
      <c r="B560" s="14">
        <f>[2]หน้าผ้า!B569</f>
        <v>0</v>
      </c>
      <c r="C560" s="9">
        <f>[2]หน้าผ้า!E569</f>
        <v>0</v>
      </c>
      <c r="D560" s="13">
        <f>[2]หน้าผ้า!F569</f>
        <v>0</v>
      </c>
      <c r="E560" s="9">
        <f>[2]หน้าผ้า!G569</f>
        <v>0</v>
      </c>
      <c r="F560" s="9">
        <f>[2]หน้าผ้า!H569</f>
        <v>0</v>
      </c>
      <c r="G560" s="9">
        <f>[2]หน้าผ้า!I569</f>
        <v>0</v>
      </c>
      <c r="H560" s="9">
        <f>[2]หน้าผ้า!J569</f>
        <v>0</v>
      </c>
      <c r="I560" s="9">
        <f>[2]หน้าผ้า!L569</f>
        <v>0</v>
      </c>
      <c r="J560" s="9">
        <f>[2]หน้าผ้า!M569</f>
        <v>0</v>
      </c>
      <c r="K560" s="9">
        <f>[2]หน้าผ้า!N569</f>
        <v>0</v>
      </c>
      <c r="L560" s="9">
        <f>[2]หน้าผ้า!R569</f>
        <v>0</v>
      </c>
      <c r="M560" s="10">
        <f>[2]หน้าผ้า!T569</f>
        <v>0</v>
      </c>
      <c r="N560" s="9">
        <f>[2]หน้าผ้า!U569</f>
        <v>0</v>
      </c>
      <c r="O560" s="9">
        <f>[2]หน้าผ้า!V569</f>
        <v>0</v>
      </c>
      <c r="P560" s="10">
        <f>[2]หน้าผ้า!AB569</f>
        <v>0</v>
      </c>
      <c r="Q560" s="10">
        <f>[2]หน้าผ้า!AC569</f>
        <v>0</v>
      </c>
      <c r="R560" s="10">
        <f>[2]หน้าผ้า!AD569</f>
        <v>0</v>
      </c>
      <c r="S560" s="9">
        <f>[2]หน้าผ้า!Z569</f>
        <v>0</v>
      </c>
      <c r="T560" s="12">
        <f>[2]หน้าผ้า!X569</f>
        <v>0</v>
      </c>
      <c r="U560" s="11">
        <f>[2]หน้าผ้า!AA569</f>
        <v>0</v>
      </c>
      <c r="V560" s="10">
        <f>[2]หน้าผ้า!AJ569</f>
        <v>0</v>
      </c>
      <c r="W560" s="10">
        <f>[2]หน้าผ้า!AL569</f>
        <v>0</v>
      </c>
      <c r="X560" s="10">
        <f>[2]หน้าผ้า!AM569</f>
        <v>0</v>
      </c>
      <c r="Y560" s="10">
        <f>[2]หน้าผ้า!AN569</f>
        <v>0</v>
      </c>
      <c r="Z560" s="9">
        <f>[2]หน้าผ้า!AO569</f>
        <v>0</v>
      </c>
      <c r="AA560" s="8">
        <f>[2]หน้าผ้า!AQ569</f>
        <v>0</v>
      </c>
      <c r="AB560" s="8">
        <f>[2]หน้าผ้า!AR569</f>
        <v>0</v>
      </c>
      <c r="AC560" s="8">
        <f>[2]หน้าผ้า!AS569</f>
        <v>0</v>
      </c>
      <c r="AD560" s="8">
        <f>[2]หน้าผ้า!AT569</f>
        <v>0</v>
      </c>
      <c r="AE560" s="8">
        <f>[2]หน้าผ้า!AU569</f>
        <v>0</v>
      </c>
      <c r="AF560" s="8">
        <f>[2]หน้าผ้า!AI569</f>
        <v>0</v>
      </c>
      <c r="AG560" s="1">
        <f>[3]หน้าผ้า!DC572</f>
        <v>0</v>
      </c>
      <c r="AH560" s="1">
        <f>[2]หน้าผ้า!DL569</f>
        <v>0</v>
      </c>
      <c r="AI560" s="1">
        <f>[2]หน้าผ้า!DM569</f>
        <v>0</v>
      </c>
      <c r="AJ560" s="3">
        <f>[2]หน้าผ้า!DN569</f>
        <v>0</v>
      </c>
      <c r="AK560" s="3">
        <f>[2]หน้าผ้า!DQ569</f>
        <v>0</v>
      </c>
      <c r="AL560" s="3">
        <f>[2]หน้าผ้า!DR569</f>
        <v>0</v>
      </c>
      <c r="AM560" s="3">
        <f>[2]หน้าผ้า!DS569</f>
        <v>0</v>
      </c>
      <c r="AN560" s="3">
        <f>[2]หน้าผ้า!DT569</f>
        <v>0</v>
      </c>
      <c r="AO560" s="3">
        <f>[2]หน้าผ้า!DU569</f>
        <v>0</v>
      </c>
      <c r="AP560" s="3">
        <f>[2]หน้าผ้า!DP569</f>
        <v>0</v>
      </c>
      <c r="AQ560" s="3">
        <f>[2]หน้าผ้า!DW569</f>
        <v>0</v>
      </c>
      <c r="AR560" s="3">
        <f>[2]หน้าผ้า!DX569</f>
        <v>0</v>
      </c>
      <c r="AS560" s="3">
        <f>[2]หน้าผ้า!DY569</f>
        <v>0</v>
      </c>
      <c r="AT560" s="3">
        <f>[2]หน้าผ้า!DZ569</f>
        <v>0</v>
      </c>
      <c r="AU560" s="3">
        <f>[2]หน้าผ้า!EA569</f>
        <v>0</v>
      </c>
      <c r="AV560" s="1">
        <f>[2]หน้าผ้า!EB569</f>
        <v>0</v>
      </c>
      <c r="AW560" s="2">
        <f>[2]หน้าผ้า!EC569</f>
        <v>0</v>
      </c>
      <c r="AX560" s="2">
        <f>[2]หน้าผ้า!ED569</f>
        <v>0</v>
      </c>
      <c r="AY560" s="2">
        <f>[2]หน้าผ้า!AG569</f>
        <v>0</v>
      </c>
      <c r="AZ560" s="2">
        <f>[2]หน้าผ้า!EG569</f>
        <v>0</v>
      </c>
      <c r="BA560" s="2">
        <f>[2]หน้าผ้า!EH569</f>
        <v>0</v>
      </c>
      <c r="BB560" s="2">
        <f>[2]หน้าผ้า!EI569</f>
        <v>0</v>
      </c>
      <c r="BC560" s="1">
        <f>[2]หน้าผ้า!BZ569</f>
        <v>0</v>
      </c>
      <c r="BD560" s="56">
        <f>[2]หน้าผ้า!CA569</f>
        <v>0</v>
      </c>
    </row>
    <row r="561" spans="1:56" ht="27.75" customHeight="1" x14ac:dyDescent="0.45">
      <c r="A561" s="3">
        <f>[2]หน้าผ้า!C570</f>
        <v>0</v>
      </c>
      <c r="B561" s="14">
        <f>[2]หน้าผ้า!B570</f>
        <v>0</v>
      </c>
      <c r="C561" s="9">
        <f>[2]หน้าผ้า!E570</f>
        <v>0</v>
      </c>
      <c r="D561" s="13">
        <f>[2]หน้าผ้า!F570</f>
        <v>0</v>
      </c>
      <c r="E561" s="9">
        <f>[2]หน้าผ้า!G570</f>
        <v>0</v>
      </c>
      <c r="F561" s="9">
        <f>[2]หน้าผ้า!H570</f>
        <v>0</v>
      </c>
      <c r="G561" s="9">
        <f>[2]หน้าผ้า!I570</f>
        <v>0</v>
      </c>
      <c r="H561" s="9">
        <f>[2]หน้าผ้า!J570</f>
        <v>0</v>
      </c>
      <c r="I561" s="9">
        <f>[2]หน้าผ้า!L570</f>
        <v>0</v>
      </c>
      <c r="J561" s="9">
        <f>[2]หน้าผ้า!M570</f>
        <v>0</v>
      </c>
      <c r="K561" s="9">
        <f>[2]หน้าผ้า!N570</f>
        <v>0</v>
      </c>
      <c r="L561" s="9">
        <f>[2]หน้าผ้า!R570</f>
        <v>0</v>
      </c>
      <c r="M561" s="10">
        <f>[2]หน้าผ้า!T570</f>
        <v>0</v>
      </c>
      <c r="N561" s="9">
        <f>[2]หน้าผ้า!U570</f>
        <v>0</v>
      </c>
      <c r="O561" s="9">
        <f>[2]หน้าผ้า!V570</f>
        <v>0</v>
      </c>
      <c r="P561" s="10">
        <f>[2]หน้าผ้า!AB570</f>
        <v>0</v>
      </c>
      <c r="Q561" s="10">
        <f>[2]หน้าผ้า!AC570</f>
        <v>0</v>
      </c>
      <c r="R561" s="10">
        <f>[2]หน้าผ้า!AD570</f>
        <v>0</v>
      </c>
      <c r="S561" s="9">
        <f>[2]หน้าผ้า!Z570</f>
        <v>0</v>
      </c>
      <c r="T561" s="12">
        <f>[2]หน้าผ้า!X570</f>
        <v>0</v>
      </c>
      <c r="U561" s="11">
        <f>[2]หน้าผ้า!AA570</f>
        <v>0</v>
      </c>
      <c r="V561" s="10">
        <f>[2]หน้าผ้า!AJ570</f>
        <v>0</v>
      </c>
      <c r="W561" s="10">
        <f>[2]หน้าผ้า!AL570</f>
        <v>0</v>
      </c>
      <c r="X561" s="10">
        <f>[2]หน้าผ้า!AM570</f>
        <v>0</v>
      </c>
      <c r="Y561" s="10">
        <f>[2]หน้าผ้า!AN570</f>
        <v>0</v>
      </c>
      <c r="Z561" s="9">
        <f>[2]หน้าผ้า!AO570</f>
        <v>0</v>
      </c>
      <c r="AA561" s="8">
        <f>[2]หน้าผ้า!AQ570</f>
        <v>0</v>
      </c>
      <c r="AB561" s="8">
        <f>[2]หน้าผ้า!AR570</f>
        <v>0</v>
      </c>
      <c r="AC561" s="8">
        <f>[2]หน้าผ้า!AS570</f>
        <v>0</v>
      </c>
      <c r="AD561" s="8">
        <f>[2]หน้าผ้า!AT570</f>
        <v>0</v>
      </c>
      <c r="AE561" s="8">
        <f>[2]หน้าผ้า!AU570</f>
        <v>0</v>
      </c>
      <c r="AF561" s="8">
        <f>[2]หน้าผ้า!AI570</f>
        <v>0</v>
      </c>
      <c r="AG561" s="1">
        <f>[3]หน้าผ้า!DC573</f>
        <v>0</v>
      </c>
      <c r="AH561" s="1">
        <f>[2]หน้าผ้า!DL570</f>
        <v>0</v>
      </c>
      <c r="AI561" s="1">
        <f>[2]หน้าผ้า!DM570</f>
        <v>0</v>
      </c>
      <c r="AJ561" s="3">
        <f>[2]หน้าผ้า!DN570</f>
        <v>0</v>
      </c>
      <c r="AK561" s="3">
        <f>[2]หน้าผ้า!DQ570</f>
        <v>0</v>
      </c>
      <c r="AL561" s="3">
        <f>[2]หน้าผ้า!DR570</f>
        <v>0</v>
      </c>
      <c r="AM561" s="3">
        <f>[2]หน้าผ้า!DS570</f>
        <v>0</v>
      </c>
      <c r="AN561" s="3">
        <f>[2]หน้าผ้า!DT570</f>
        <v>0</v>
      </c>
      <c r="AO561" s="3">
        <f>[2]หน้าผ้า!DU570</f>
        <v>0</v>
      </c>
      <c r="AP561" s="3">
        <f>[2]หน้าผ้า!DP570</f>
        <v>0</v>
      </c>
      <c r="AQ561" s="3">
        <f>[2]หน้าผ้า!DW570</f>
        <v>0</v>
      </c>
      <c r="AR561" s="3">
        <f>[2]หน้าผ้า!DX570</f>
        <v>0</v>
      </c>
      <c r="AS561" s="3">
        <f>[2]หน้าผ้า!DY570</f>
        <v>0</v>
      </c>
      <c r="AT561" s="3">
        <f>[2]หน้าผ้า!DZ570</f>
        <v>0</v>
      </c>
      <c r="AU561" s="3">
        <f>[2]หน้าผ้า!EA570</f>
        <v>0</v>
      </c>
      <c r="AV561" s="1">
        <f>[2]หน้าผ้า!EB570</f>
        <v>0</v>
      </c>
      <c r="AW561" s="2">
        <f>[2]หน้าผ้า!EC570</f>
        <v>0</v>
      </c>
      <c r="AX561" s="2">
        <f>[2]หน้าผ้า!ED570</f>
        <v>0</v>
      </c>
      <c r="AY561" s="2">
        <f>[2]หน้าผ้า!AG570</f>
        <v>0</v>
      </c>
      <c r="AZ561" s="2">
        <f>[2]หน้าผ้า!EG570</f>
        <v>0</v>
      </c>
      <c r="BA561" s="2">
        <f>[2]หน้าผ้า!EH570</f>
        <v>0</v>
      </c>
      <c r="BB561" s="2">
        <f>[2]หน้าผ้า!EI570</f>
        <v>0</v>
      </c>
      <c r="BC561" s="1">
        <f>[2]หน้าผ้า!BZ570</f>
        <v>0</v>
      </c>
      <c r="BD561" s="56">
        <f>[2]หน้าผ้า!CA570</f>
        <v>0</v>
      </c>
    </row>
    <row r="562" spans="1:56" ht="27.75" customHeight="1" x14ac:dyDescent="0.45">
      <c r="A562" s="3">
        <f>[2]หน้าผ้า!C571</f>
        <v>0</v>
      </c>
      <c r="B562" s="14">
        <f>[2]หน้าผ้า!B571</f>
        <v>0</v>
      </c>
      <c r="C562" s="9">
        <f>[2]หน้าผ้า!E571</f>
        <v>0</v>
      </c>
      <c r="D562" s="13">
        <f>[2]หน้าผ้า!F571</f>
        <v>0</v>
      </c>
      <c r="E562" s="9">
        <f>[2]หน้าผ้า!G571</f>
        <v>0</v>
      </c>
      <c r="F562" s="9">
        <f>[2]หน้าผ้า!H571</f>
        <v>0</v>
      </c>
      <c r="G562" s="9">
        <f>[2]หน้าผ้า!I571</f>
        <v>0</v>
      </c>
      <c r="H562" s="9">
        <f>[2]หน้าผ้า!J571</f>
        <v>0</v>
      </c>
      <c r="I562" s="9">
        <f>[2]หน้าผ้า!L571</f>
        <v>0</v>
      </c>
      <c r="J562" s="9">
        <f>[2]หน้าผ้า!M571</f>
        <v>0</v>
      </c>
      <c r="K562" s="9">
        <f>[2]หน้าผ้า!N571</f>
        <v>0</v>
      </c>
      <c r="L562" s="9">
        <f>[2]หน้าผ้า!R571</f>
        <v>0</v>
      </c>
      <c r="M562" s="10">
        <f>[2]หน้าผ้า!T571</f>
        <v>0</v>
      </c>
      <c r="N562" s="9">
        <f>[2]หน้าผ้า!U571</f>
        <v>0</v>
      </c>
      <c r="O562" s="9">
        <f>[2]หน้าผ้า!V571</f>
        <v>0</v>
      </c>
      <c r="P562" s="10">
        <f>[2]หน้าผ้า!AB571</f>
        <v>0</v>
      </c>
      <c r="Q562" s="10">
        <f>[2]หน้าผ้า!AC571</f>
        <v>0</v>
      </c>
      <c r="R562" s="10">
        <f>[2]หน้าผ้า!AD571</f>
        <v>0</v>
      </c>
      <c r="S562" s="9">
        <f>[2]หน้าผ้า!Z571</f>
        <v>0</v>
      </c>
      <c r="T562" s="12">
        <f>[2]หน้าผ้า!X571</f>
        <v>0</v>
      </c>
      <c r="U562" s="11">
        <f>[2]หน้าผ้า!AA571</f>
        <v>0</v>
      </c>
      <c r="V562" s="10">
        <f>[2]หน้าผ้า!AJ571</f>
        <v>0</v>
      </c>
      <c r="W562" s="10">
        <f>[2]หน้าผ้า!AL571</f>
        <v>0</v>
      </c>
      <c r="X562" s="10">
        <f>[2]หน้าผ้า!AM571</f>
        <v>0</v>
      </c>
      <c r="Y562" s="10">
        <f>[2]หน้าผ้า!AN571</f>
        <v>0</v>
      </c>
      <c r="Z562" s="9">
        <f>[2]หน้าผ้า!AO571</f>
        <v>0</v>
      </c>
      <c r="AA562" s="8">
        <f>[2]หน้าผ้า!AQ571</f>
        <v>0</v>
      </c>
      <c r="AB562" s="8">
        <f>[2]หน้าผ้า!AR571</f>
        <v>0</v>
      </c>
      <c r="AC562" s="8">
        <f>[2]หน้าผ้า!AS571</f>
        <v>0</v>
      </c>
      <c r="AD562" s="8">
        <f>[2]หน้าผ้า!AT571</f>
        <v>0</v>
      </c>
      <c r="AE562" s="8">
        <f>[2]หน้าผ้า!AU571</f>
        <v>0</v>
      </c>
      <c r="AF562" s="8">
        <f>[2]หน้าผ้า!AI571</f>
        <v>0</v>
      </c>
      <c r="AG562" s="1">
        <f>[3]หน้าผ้า!DC574</f>
        <v>0</v>
      </c>
      <c r="AH562" s="1">
        <f>[2]หน้าผ้า!DL571</f>
        <v>0</v>
      </c>
      <c r="AI562" s="1">
        <f>[2]หน้าผ้า!DM571</f>
        <v>0</v>
      </c>
      <c r="AJ562" s="3">
        <f>[2]หน้าผ้า!DN571</f>
        <v>0</v>
      </c>
      <c r="AK562" s="3">
        <f>[2]หน้าผ้า!DQ571</f>
        <v>0</v>
      </c>
      <c r="AL562" s="3">
        <f>[2]หน้าผ้า!DR571</f>
        <v>0</v>
      </c>
      <c r="AM562" s="3">
        <f>[2]หน้าผ้า!DS571</f>
        <v>0</v>
      </c>
      <c r="AN562" s="3">
        <f>[2]หน้าผ้า!DT571</f>
        <v>0</v>
      </c>
      <c r="AO562" s="3">
        <f>[2]หน้าผ้า!DU571</f>
        <v>0</v>
      </c>
      <c r="AP562" s="3">
        <f>[2]หน้าผ้า!DP571</f>
        <v>0</v>
      </c>
      <c r="AQ562" s="3">
        <f>[2]หน้าผ้า!DW571</f>
        <v>0</v>
      </c>
      <c r="AR562" s="3">
        <f>[2]หน้าผ้า!DX571</f>
        <v>0</v>
      </c>
      <c r="AS562" s="3">
        <f>[2]หน้าผ้า!DY571</f>
        <v>0</v>
      </c>
      <c r="AT562" s="3">
        <f>[2]หน้าผ้า!DZ571</f>
        <v>0</v>
      </c>
      <c r="AU562" s="3">
        <f>[2]หน้าผ้า!EA571</f>
        <v>0</v>
      </c>
      <c r="AV562" s="1">
        <f>[2]หน้าผ้า!EB571</f>
        <v>0</v>
      </c>
      <c r="AW562" s="2">
        <f>[2]หน้าผ้า!EC571</f>
        <v>0</v>
      </c>
      <c r="AX562" s="2">
        <f>[2]หน้าผ้า!ED571</f>
        <v>0</v>
      </c>
      <c r="AY562" s="2">
        <f>[2]หน้าผ้า!AG571</f>
        <v>0</v>
      </c>
      <c r="AZ562" s="2">
        <f>[2]หน้าผ้า!EG571</f>
        <v>0</v>
      </c>
      <c r="BA562" s="2">
        <f>[2]หน้าผ้า!EH571</f>
        <v>0</v>
      </c>
      <c r="BB562" s="2">
        <f>[2]หน้าผ้า!EI571</f>
        <v>0</v>
      </c>
      <c r="BC562" s="1">
        <f>[2]หน้าผ้า!BZ571</f>
        <v>0</v>
      </c>
      <c r="BD562" s="56">
        <f>[2]หน้าผ้า!CA571</f>
        <v>0</v>
      </c>
    </row>
    <row r="563" spans="1:56" ht="27.75" customHeight="1" x14ac:dyDescent="0.45">
      <c r="A563" s="3">
        <f>[2]หน้าผ้า!C572</f>
        <v>0</v>
      </c>
      <c r="B563" s="14">
        <f>[2]หน้าผ้า!B572</f>
        <v>0</v>
      </c>
      <c r="C563" s="9">
        <f>[2]หน้าผ้า!E572</f>
        <v>0</v>
      </c>
      <c r="D563" s="13">
        <f>[2]หน้าผ้า!F572</f>
        <v>0</v>
      </c>
      <c r="E563" s="9">
        <f>[2]หน้าผ้า!G572</f>
        <v>0</v>
      </c>
      <c r="F563" s="9">
        <f>[2]หน้าผ้า!H572</f>
        <v>0</v>
      </c>
      <c r="G563" s="9">
        <f>[2]หน้าผ้า!I572</f>
        <v>0</v>
      </c>
      <c r="H563" s="9">
        <f>[2]หน้าผ้า!J572</f>
        <v>0</v>
      </c>
      <c r="I563" s="9">
        <f>[2]หน้าผ้า!L572</f>
        <v>0</v>
      </c>
      <c r="J563" s="9">
        <f>[2]หน้าผ้า!M572</f>
        <v>0</v>
      </c>
      <c r="K563" s="9">
        <f>[2]หน้าผ้า!N572</f>
        <v>0</v>
      </c>
      <c r="L563" s="9">
        <f>[2]หน้าผ้า!R572</f>
        <v>0</v>
      </c>
      <c r="M563" s="10">
        <f>[2]หน้าผ้า!T572</f>
        <v>0</v>
      </c>
      <c r="N563" s="9">
        <f>[2]หน้าผ้า!U572</f>
        <v>0</v>
      </c>
      <c r="O563" s="9">
        <f>[2]หน้าผ้า!V572</f>
        <v>0</v>
      </c>
      <c r="P563" s="10">
        <f>[2]หน้าผ้า!AB572</f>
        <v>0</v>
      </c>
      <c r="Q563" s="10">
        <f>[2]หน้าผ้า!AC572</f>
        <v>0</v>
      </c>
      <c r="R563" s="10">
        <f>[2]หน้าผ้า!AD572</f>
        <v>0</v>
      </c>
      <c r="S563" s="9">
        <f>[2]หน้าผ้า!Z572</f>
        <v>0</v>
      </c>
      <c r="T563" s="12">
        <f>[2]หน้าผ้า!X572</f>
        <v>0</v>
      </c>
      <c r="U563" s="11">
        <f>[2]หน้าผ้า!AA572</f>
        <v>0</v>
      </c>
      <c r="V563" s="10">
        <f>[2]หน้าผ้า!AJ572</f>
        <v>0</v>
      </c>
      <c r="W563" s="10">
        <f>[2]หน้าผ้า!AL572</f>
        <v>0</v>
      </c>
      <c r="X563" s="10">
        <f>[2]หน้าผ้า!AM572</f>
        <v>0</v>
      </c>
      <c r="Y563" s="10">
        <f>[2]หน้าผ้า!AN572</f>
        <v>0</v>
      </c>
      <c r="Z563" s="9">
        <f>[2]หน้าผ้า!AO572</f>
        <v>0</v>
      </c>
      <c r="AA563" s="8">
        <f>[2]หน้าผ้า!AQ572</f>
        <v>0</v>
      </c>
      <c r="AB563" s="8">
        <f>[2]หน้าผ้า!AR572</f>
        <v>0</v>
      </c>
      <c r="AC563" s="8">
        <f>[2]หน้าผ้า!AS572</f>
        <v>0</v>
      </c>
      <c r="AD563" s="8">
        <f>[2]หน้าผ้า!AT572</f>
        <v>0</v>
      </c>
      <c r="AE563" s="8">
        <f>[2]หน้าผ้า!AU572</f>
        <v>0</v>
      </c>
      <c r="AF563" s="8">
        <f>[2]หน้าผ้า!AI572</f>
        <v>0</v>
      </c>
      <c r="AG563" s="1">
        <f>[3]หน้าผ้า!DC575</f>
        <v>0</v>
      </c>
      <c r="AH563" s="1">
        <f>[2]หน้าผ้า!DL572</f>
        <v>0</v>
      </c>
      <c r="AI563" s="1">
        <f>[2]หน้าผ้า!DM572</f>
        <v>0</v>
      </c>
      <c r="AJ563" s="3">
        <f>[2]หน้าผ้า!DN572</f>
        <v>0</v>
      </c>
      <c r="AK563" s="3">
        <f>[2]หน้าผ้า!DQ572</f>
        <v>0</v>
      </c>
      <c r="AL563" s="3">
        <f>[2]หน้าผ้า!DR572</f>
        <v>0</v>
      </c>
      <c r="AM563" s="3">
        <f>[2]หน้าผ้า!DS572</f>
        <v>0</v>
      </c>
      <c r="AN563" s="3">
        <f>[2]หน้าผ้า!DT572</f>
        <v>0</v>
      </c>
      <c r="AO563" s="3">
        <f>[2]หน้าผ้า!DU572</f>
        <v>0</v>
      </c>
      <c r="AP563" s="3">
        <f>[2]หน้าผ้า!DP572</f>
        <v>0</v>
      </c>
      <c r="AQ563" s="3">
        <f>[2]หน้าผ้า!DW572</f>
        <v>0</v>
      </c>
      <c r="AR563" s="3">
        <f>[2]หน้าผ้า!DX572</f>
        <v>0</v>
      </c>
      <c r="AS563" s="3">
        <f>[2]หน้าผ้า!DY572</f>
        <v>0</v>
      </c>
      <c r="AT563" s="3">
        <f>[2]หน้าผ้า!DZ572</f>
        <v>0</v>
      </c>
      <c r="AU563" s="3">
        <f>[2]หน้าผ้า!EA572</f>
        <v>0</v>
      </c>
      <c r="AV563" s="1">
        <f>[2]หน้าผ้า!EB572</f>
        <v>0</v>
      </c>
      <c r="AW563" s="2">
        <f>[2]หน้าผ้า!EC572</f>
        <v>0</v>
      </c>
      <c r="AX563" s="2">
        <f>[2]หน้าผ้า!ED572</f>
        <v>0</v>
      </c>
      <c r="AY563" s="2">
        <f>[2]หน้าผ้า!AG572</f>
        <v>0</v>
      </c>
      <c r="AZ563" s="2">
        <f>[2]หน้าผ้า!EG572</f>
        <v>0</v>
      </c>
      <c r="BA563" s="2">
        <f>[2]หน้าผ้า!EH572</f>
        <v>0</v>
      </c>
      <c r="BB563" s="2">
        <f>[2]หน้าผ้า!EI572</f>
        <v>0</v>
      </c>
      <c r="BC563" s="1">
        <f>[2]หน้าผ้า!BZ572</f>
        <v>0</v>
      </c>
      <c r="BD563" s="56">
        <f>[2]หน้าผ้า!CA572</f>
        <v>0</v>
      </c>
    </row>
    <row r="564" spans="1:56" ht="27.75" customHeight="1" x14ac:dyDescent="0.45">
      <c r="A564" s="3">
        <f>[2]หน้าผ้า!C573</f>
        <v>0</v>
      </c>
      <c r="B564" s="14">
        <f>[2]หน้าผ้า!B573</f>
        <v>0</v>
      </c>
      <c r="C564" s="9">
        <f>[2]หน้าผ้า!E573</f>
        <v>0</v>
      </c>
      <c r="D564" s="13">
        <f>[2]หน้าผ้า!F573</f>
        <v>0</v>
      </c>
      <c r="E564" s="9">
        <f>[2]หน้าผ้า!G573</f>
        <v>0</v>
      </c>
      <c r="F564" s="9">
        <f>[2]หน้าผ้า!H573</f>
        <v>0</v>
      </c>
      <c r="G564" s="9">
        <f>[2]หน้าผ้า!I573</f>
        <v>0</v>
      </c>
      <c r="H564" s="9">
        <f>[2]หน้าผ้า!J573</f>
        <v>0</v>
      </c>
      <c r="I564" s="9">
        <f>[2]หน้าผ้า!L573</f>
        <v>0</v>
      </c>
      <c r="J564" s="9">
        <f>[2]หน้าผ้า!M573</f>
        <v>0</v>
      </c>
      <c r="K564" s="9">
        <f>[2]หน้าผ้า!N573</f>
        <v>0</v>
      </c>
      <c r="L564" s="9">
        <f>[2]หน้าผ้า!R573</f>
        <v>0</v>
      </c>
      <c r="M564" s="10">
        <f>[2]หน้าผ้า!T573</f>
        <v>0</v>
      </c>
      <c r="N564" s="9">
        <f>[2]หน้าผ้า!U573</f>
        <v>0</v>
      </c>
      <c r="O564" s="9">
        <f>[2]หน้าผ้า!V573</f>
        <v>0</v>
      </c>
      <c r="P564" s="10">
        <f>[2]หน้าผ้า!AB573</f>
        <v>0</v>
      </c>
      <c r="Q564" s="10">
        <f>[2]หน้าผ้า!AC573</f>
        <v>0</v>
      </c>
      <c r="R564" s="10">
        <f>[2]หน้าผ้า!AD573</f>
        <v>0</v>
      </c>
      <c r="S564" s="9">
        <f>[2]หน้าผ้า!Z573</f>
        <v>0</v>
      </c>
      <c r="T564" s="12">
        <f>[2]หน้าผ้า!X573</f>
        <v>0</v>
      </c>
      <c r="U564" s="11">
        <f>[2]หน้าผ้า!AA573</f>
        <v>0</v>
      </c>
      <c r="V564" s="10">
        <f>[2]หน้าผ้า!AJ573</f>
        <v>0</v>
      </c>
      <c r="W564" s="10">
        <f>[2]หน้าผ้า!AL573</f>
        <v>0</v>
      </c>
      <c r="X564" s="10">
        <f>[2]หน้าผ้า!AM573</f>
        <v>0</v>
      </c>
      <c r="Y564" s="10">
        <f>[2]หน้าผ้า!AN573</f>
        <v>0</v>
      </c>
      <c r="Z564" s="9">
        <f>[2]หน้าผ้า!AO573</f>
        <v>0</v>
      </c>
      <c r="AA564" s="8">
        <f>[2]หน้าผ้า!AQ573</f>
        <v>0</v>
      </c>
      <c r="AB564" s="8">
        <f>[2]หน้าผ้า!AR573</f>
        <v>0</v>
      </c>
      <c r="AC564" s="8">
        <f>[2]หน้าผ้า!AS573</f>
        <v>0</v>
      </c>
      <c r="AD564" s="8">
        <f>[2]หน้าผ้า!AT573</f>
        <v>0</v>
      </c>
      <c r="AE564" s="8">
        <f>[2]หน้าผ้า!AU573</f>
        <v>0</v>
      </c>
      <c r="AF564" s="8">
        <f>[2]หน้าผ้า!AI573</f>
        <v>0</v>
      </c>
      <c r="AG564" s="1">
        <f>[3]หน้าผ้า!DC576</f>
        <v>0</v>
      </c>
      <c r="AH564" s="1">
        <f>[2]หน้าผ้า!DL573</f>
        <v>0</v>
      </c>
      <c r="AI564" s="1">
        <f>[2]หน้าผ้า!DM573</f>
        <v>0</v>
      </c>
      <c r="AJ564" s="3">
        <f>[2]หน้าผ้า!DN573</f>
        <v>0</v>
      </c>
      <c r="AK564" s="3">
        <f>[2]หน้าผ้า!DQ573</f>
        <v>0</v>
      </c>
      <c r="AL564" s="3">
        <f>[2]หน้าผ้า!DR573</f>
        <v>0</v>
      </c>
      <c r="AM564" s="3">
        <f>[2]หน้าผ้า!DS573</f>
        <v>0</v>
      </c>
      <c r="AN564" s="3">
        <f>[2]หน้าผ้า!DT573</f>
        <v>0</v>
      </c>
      <c r="AO564" s="3">
        <f>[2]หน้าผ้า!DU573</f>
        <v>0</v>
      </c>
      <c r="AP564" s="3">
        <f>[2]หน้าผ้า!DP573</f>
        <v>0</v>
      </c>
      <c r="AQ564" s="3">
        <f>[2]หน้าผ้า!DW573</f>
        <v>0</v>
      </c>
      <c r="AR564" s="3">
        <f>[2]หน้าผ้า!DX573</f>
        <v>0</v>
      </c>
      <c r="AS564" s="3">
        <f>[2]หน้าผ้า!DY573</f>
        <v>0</v>
      </c>
      <c r="AT564" s="3">
        <f>[2]หน้าผ้า!DZ573</f>
        <v>0</v>
      </c>
      <c r="AU564" s="3">
        <f>[2]หน้าผ้า!EA573</f>
        <v>0</v>
      </c>
      <c r="AV564" s="1">
        <f>[2]หน้าผ้า!EB573</f>
        <v>0</v>
      </c>
      <c r="AW564" s="2">
        <f>[2]หน้าผ้า!EC573</f>
        <v>0</v>
      </c>
      <c r="AX564" s="2">
        <f>[2]หน้าผ้า!ED573</f>
        <v>0</v>
      </c>
      <c r="AY564" s="2">
        <f>[2]หน้าผ้า!AG573</f>
        <v>0</v>
      </c>
      <c r="AZ564" s="2">
        <f>[2]หน้าผ้า!EG573</f>
        <v>0</v>
      </c>
      <c r="BA564" s="2">
        <f>[2]หน้าผ้า!EH573</f>
        <v>0</v>
      </c>
      <c r="BB564" s="2">
        <f>[2]หน้าผ้า!EI573</f>
        <v>0</v>
      </c>
      <c r="BC564" s="1">
        <f>[2]หน้าผ้า!BZ573</f>
        <v>0</v>
      </c>
      <c r="BD564" s="56">
        <f>[2]หน้าผ้า!CA573</f>
        <v>0</v>
      </c>
    </row>
    <row r="565" spans="1:56" ht="27.75" customHeight="1" x14ac:dyDescent="0.45">
      <c r="A565" s="3">
        <f>[2]หน้าผ้า!C574</f>
        <v>0</v>
      </c>
      <c r="B565" s="14">
        <f>[2]หน้าผ้า!B574</f>
        <v>0</v>
      </c>
      <c r="C565" s="9">
        <f>[2]หน้าผ้า!E574</f>
        <v>0</v>
      </c>
      <c r="D565" s="13">
        <f>[2]หน้าผ้า!F574</f>
        <v>0</v>
      </c>
      <c r="E565" s="9">
        <f>[2]หน้าผ้า!G574</f>
        <v>0</v>
      </c>
      <c r="F565" s="9">
        <f>[2]หน้าผ้า!H574</f>
        <v>0</v>
      </c>
      <c r="G565" s="9">
        <f>[2]หน้าผ้า!I574</f>
        <v>0</v>
      </c>
      <c r="H565" s="9">
        <f>[2]หน้าผ้า!J574</f>
        <v>0</v>
      </c>
      <c r="I565" s="9">
        <f>[2]หน้าผ้า!L574</f>
        <v>0</v>
      </c>
      <c r="J565" s="9">
        <f>[2]หน้าผ้า!M574</f>
        <v>0</v>
      </c>
      <c r="K565" s="9">
        <f>[2]หน้าผ้า!N574</f>
        <v>0</v>
      </c>
      <c r="L565" s="9">
        <f>[2]หน้าผ้า!R574</f>
        <v>0</v>
      </c>
      <c r="M565" s="10">
        <f>[2]หน้าผ้า!T574</f>
        <v>0</v>
      </c>
      <c r="N565" s="9">
        <f>[2]หน้าผ้า!U574</f>
        <v>0</v>
      </c>
      <c r="O565" s="9">
        <f>[2]หน้าผ้า!V574</f>
        <v>0</v>
      </c>
      <c r="P565" s="10">
        <f>[2]หน้าผ้า!AB574</f>
        <v>0</v>
      </c>
      <c r="Q565" s="10">
        <f>[2]หน้าผ้า!AC574</f>
        <v>0</v>
      </c>
      <c r="R565" s="10">
        <f>[2]หน้าผ้า!AD574</f>
        <v>0</v>
      </c>
      <c r="S565" s="9">
        <f>[2]หน้าผ้า!Z574</f>
        <v>0</v>
      </c>
      <c r="T565" s="12">
        <f>[2]หน้าผ้า!X574</f>
        <v>0</v>
      </c>
      <c r="U565" s="11">
        <f>[2]หน้าผ้า!AA574</f>
        <v>0</v>
      </c>
      <c r="V565" s="10">
        <f>[2]หน้าผ้า!AJ574</f>
        <v>0</v>
      </c>
      <c r="W565" s="10">
        <f>[2]หน้าผ้า!AL574</f>
        <v>0</v>
      </c>
      <c r="X565" s="10">
        <f>[2]หน้าผ้า!AM574</f>
        <v>0</v>
      </c>
      <c r="Y565" s="10">
        <f>[2]หน้าผ้า!AN574</f>
        <v>0</v>
      </c>
      <c r="Z565" s="9">
        <f>[2]หน้าผ้า!AO574</f>
        <v>0</v>
      </c>
      <c r="AA565" s="8">
        <f>[2]หน้าผ้า!AQ574</f>
        <v>0</v>
      </c>
      <c r="AB565" s="8">
        <f>[2]หน้าผ้า!AR574</f>
        <v>0</v>
      </c>
      <c r="AC565" s="8">
        <f>[2]หน้าผ้า!AS574</f>
        <v>0</v>
      </c>
      <c r="AD565" s="8">
        <f>[2]หน้าผ้า!AT574</f>
        <v>0</v>
      </c>
      <c r="AE565" s="8">
        <f>[2]หน้าผ้า!AU574</f>
        <v>0</v>
      </c>
      <c r="AF565" s="8">
        <f>[2]หน้าผ้า!AI574</f>
        <v>0</v>
      </c>
      <c r="AG565" s="1">
        <f>[3]หน้าผ้า!DC577</f>
        <v>0</v>
      </c>
      <c r="AH565" s="1">
        <f>[2]หน้าผ้า!DL574</f>
        <v>0</v>
      </c>
      <c r="AI565" s="1">
        <f>[2]หน้าผ้า!DM574</f>
        <v>0</v>
      </c>
      <c r="AJ565" s="3">
        <f>[2]หน้าผ้า!DN574</f>
        <v>0</v>
      </c>
      <c r="AK565" s="3">
        <f>[2]หน้าผ้า!DQ574</f>
        <v>0</v>
      </c>
      <c r="AL565" s="3">
        <f>[2]หน้าผ้า!DR574</f>
        <v>0</v>
      </c>
      <c r="AM565" s="3">
        <f>[2]หน้าผ้า!DS574</f>
        <v>0</v>
      </c>
      <c r="AN565" s="3">
        <f>[2]หน้าผ้า!DT574</f>
        <v>0</v>
      </c>
      <c r="AO565" s="3">
        <f>[2]หน้าผ้า!DU574</f>
        <v>0</v>
      </c>
      <c r="AP565" s="3">
        <f>[2]หน้าผ้า!DP574</f>
        <v>0</v>
      </c>
      <c r="AQ565" s="3">
        <f>[2]หน้าผ้า!DW574</f>
        <v>0</v>
      </c>
      <c r="AR565" s="3">
        <f>[2]หน้าผ้า!DX574</f>
        <v>0</v>
      </c>
      <c r="AS565" s="3">
        <f>[2]หน้าผ้า!DY574</f>
        <v>0</v>
      </c>
      <c r="AT565" s="3">
        <f>[2]หน้าผ้า!DZ574</f>
        <v>0</v>
      </c>
      <c r="AU565" s="3">
        <f>[2]หน้าผ้า!EA574</f>
        <v>0</v>
      </c>
      <c r="AV565" s="1">
        <f>[2]หน้าผ้า!EB574</f>
        <v>0</v>
      </c>
      <c r="AW565" s="2">
        <f>[2]หน้าผ้า!EC574</f>
        <v>0</v>
      </c>
      <c r="AX565" s="2">
        <f>[2]หน้าผ้า!ED574</f>
        <v>0</v>
      </c>
      <c r="AY565" s="2">
        <f>[2]หน้าผ้า!AG574</f>
        <v>0</v>
      </c>
      <c r="AZ565" s="2">
        <f>[2]หน้าผ้า!EG574</f>
        <v>0</v>
      </c>
      <c r="BA565" s="2">
        <f>[2]หน้าผ้า!EH574</f>
        <v>0</v>
      </c>
      <c r="BB565" s="2">
        <f>[2]หน้าผ้า!EI574</f>
        <v>0</v>
      </c>
      <c r="BC565" s="1">
        <f>[2]หน้าผ้า!BZ574</f>
        <v>0</v>
      </c>
      <c r="BD565" s="56">
        <f>[2]หน้าผ้า!CA574</f>
        <v>0</v>
      </c>
    </row>
    <row r="566" spans="1:56" ht="27.75" customHeight="1" x14ac:dyDescent="0.45">
      <c r="A566" s="3">
        <f>[2]หน้าผ้า!C575</f>
        <v>0</v>
      </c>
      <c r="B566" s="14">
        <f>[2]หน้าผ้า!B575</f>
        <v>0</v>
      </c>
      <c r="C566" s="9">
        <f>[2]หน้าผ้า!E575</f>
        <v>0</v>
      </c>
      <c r="D566" s="13">
        <f>[2]หน้าผ้า!F575</f>
        <v>0</v>
      </c>
      <c r="E566" s="9">
        <f>[2]หน้าผ้า!G575</f>
        <v>0</v>
      </c>
      <c r="F566" s="9">
        <f>[2]หน้าผ้า!H575</f>
        <v>0</v>
      </c>
      <c r="G566" s="9">
        <f>[2]หน้าผ้า!I575</f>
        <v>0</v>
      </c>
      <c r="H566" s="9">
        <f>[2]หน้าผ้า!J575</f>
        <v>0</v>
      </c>
      <c r="I566" s="9">
        <f>[2]หน้าผ้า!L575</f>
        <v>0</v>
      </c>
      <c r="J566" s="9">
        <f>[2]หน้าผ้า!M575</f>
        <v>0</v>
      </c>
      <c r="K566" s="9">
        <f>[2]หน้าผ้า!N575</f>
        <v>0</v>
      </c>
      <c r="L566" s="9">
        <f>[2]หน้าผ้า!R575</f>
        <v>0</v>
      </c>
      <c r="M566" s="10">
        <f>[2]หน้าผ้า!T575</f>
        <v>0</v>
      </c>
      <c r="N566" s="9">
        <f>[2]หน้าผ้า!U575</f>
        <v>0</v>
      </c>
      <c r="O566" s="9">
        <f>[2]หน้าผ้า!V575</f>
        <v>0</v>
      </c>
      <c r="P566" s="10">
        <f>[2]หน้าผ้า!AB575</f>
        <v>0</v>
      </c>
      <c r="Q566" s="10">
        <f>[2]หน้าผ้า!AC575</f>
        <v>0</v>
      </c>
      <c r="R566" s="10">
        <f>[2]หน้าผ้า!AD575</f>
        <v>0</v>
      </c>
      <c r="S566" s="9">
        <f>[2]หน้าผ้า!Z575</f>
        <v>0</v>
      </c>
      <c r="T566" s="12">
        <f>[2]หน้าผ้า!X575</f>
        <v>0</v>
      </c>
      <c r="U566" s="11">
        <f>[2]หน้าผ้า!AA575</f>
        <v>0</v>
      </c>
      <c r="V566" s="10">
        <f>[2]หน้าผ้า!AJ575</f>
        <v>0</v>
      </c>
      <c r="W566" s="10">
        <f>[2]หน้าผ้า!AL575</f>
        <v>0</v>
      </c>
      <c r="X566" s="10">
        <f>[2]หน้าผ้า!AM575</f>
        <v>0</v>
      </c>
      <c r="Y566" s="10">
        <f>[2]หน้าผ้า!AN575</f>
        <v>0</v>
      </c>
      <c r="Z566" s="9">
        <f>[2]หน้าผ้า!AO575</f>
        <v>0</v>
      </c>
      <c r="AA566" s="8">
        <f>[2]หน้าผ้า!AQ575</f>
        <v>0</v>
      </c>
      <c r="AB566" s="8">
        <f>[2]หน้าผ้า!AR575</f>
        <v>0</v>
      </c>
      <c r="AC566" s="8">
        <f>[2]หน้าผ้า!AS575</f>
        <v>0</v>
      </c>
      <c r="AD566" s="8">
        <f>[2]หน้าผ้า!AT575</f>
        <v>0</v>
      </c>
      <c r="AE566" s="8">
        <f>[2]หน้าผ้า!AU575</f>
        <v>0</v>
      </c>
      <c r="AF566" s="8">
        <f>[2]หน้าผ้า!AI575</f>
        <v>0</v>
      </c>
      <c r="AG566" s="1">
        <f>[3]หน้าผ้า!DC578</f>
        <v>0</v>
      </c>
      <c r="AH566" s="1">
        <f>[2]หน้าผ้า!DL575</f>
        <v>0</v>
      </c>
      <c r="AI566" s="1">
        <f>[2]หน้าผ้า!DM575</f>
        <v>0</v>
      </c>
      <c r="AJ566" s="3">
        <f>[2]หน้าผ้า!DN575</f>
        <v>0</v>
      </c>
      <c r="AK566" s="3">
        <f>[2]หน้าผ้า!DQ575</f>
        <v>0</v>
      </c>
      <c r="AL566" s="3">
        <f>[2]หน้าผ้า!DR575</f>
        <v>0</v>
      </c>
      <c r="AM566" s="3">
        <f>[2]หน้าผ้า!DS575</f>
        <v>0</v>
      </c>
      <c r="AN566" s="3">
        <f>[2]หน้าผ้า!DT575</f>
        <v>0</v>
      </c>
      <c r="AO566" s="3">
        <f>[2]หน้าผ้า!DU575</f>
        <v>0</v>
      </c>
      <c r="AP566" s="3">
        <f>[2]หน้าผ้า!DP575</f>
        <v>0</v>
      </c>
      <c r="AQ566" s="3">
        <f>[2]หน้าผ้า!DW575</f>
        <v>0</v>
      </c>
      <c r="AR566" s="3">
        <f>[2]หน้าผ้า!DX575</f>
        <v>0</v>
      </c>
      <c r="AS566" s="3">
        <f>[2]หน้าผ้า!DY575</f>
        <v>0</v>
      </c>
      <c r="AT566" s="3">
        <f>[2]หน้าผ้า!DZ575</f>
        <v>0</v>
      </c>
      <c r="AU566" s="3">
        <f>[2]หน้าผ้า!EA575</f>
        <v>0</v>
      </c>
      <c r="AV566" s="1">
        <f>[2]หน้าผ้า!EB575</f>
        <v>0</v>
      </c>
      <c r="AW566" s="2">
        <f>[2]หน้าผ้า!EC575</f>
        <v>0</v>
      </c>
      <c r="AX566" s="2">
        <f>[2]หน้าผ้า!ED575</f>
        <v>0</v>
      </c>
      <c r="AY566" s="2">
        <f>[2]หน้าผ้า!AG575</f>
        <v>0</v>
      </c>
      <c r="AZ566" s="2">
        <f>[2]หน้าผ้า!EG575</f>
        <v>0</v>
      </c>
      <c r="BA566" s="2">
        <f>[2]หน้าผ้า!EH575</f>
        <v>0</v>
      </c>
      <c r="BB566" s="2">
        <f>[2]หน้าผ้า!EI575</f>
        <v>0</v>
      </c>
      <c r="BC566" s="1">
        <f>[2]หน้าผ้า!BZ575</f>
        <v>0</v>
      </c>
      <c r="BD566" s="56">
        <f>[2]หน้าผ้า!CA575</f>
        <v>0</v>
      </c>
    </row>
    <row r="567" spans="1:56" ht="27.75" customHeight="1" x14ac:dyDescent="0.45">
      <c r="A567" s="3">
        <f>[2]หน้าผ้า!C576</f>
        <v>0</v>
      </c>
      <c r="B567" s="14">
        <f>[2]หน้าผ้า!B576</f>
        <v>0</v>
      </c>
      <c r="C567" s="9">
        <f>[2]หน้าผ้า!E576</f>
        <v>0</v>
      </c>
      <c r="D567" s="13">
        <f>[2]หน้าผ้า!F576</f>
        <v>0</v>
      </c>
      <c r="E567" s="9">
        <f>[2]หน้าผ้า!G576</f>
        <v>0</v>
      </c>
      <c r="F567" s="9">
        <f>[2]หน้าผ้า!H576</f>
        <v>0</v>
      </c>
      <c r="G567" s="9">
        <f>[2]หน้าผ้า!I576</f>
        <v>0</v>
      </c>
      <c r="H567" s="9">
        <f>[2]หน้าผ้า!J576</f>
        <v>0</v>
      </c>
      <c r="I567" s="9">
        <f>[2]หน้าผ้า!L576</f>
        <v>0</v>
      </c>
      <c r="J567" s="9">
        <f>[2]หน้าผ้า!M576</f>
        <v>0</v>
      </c>
      <c r="K567" s="9">
        <f>[2]หน้าผ้า!N576</f>
        <v>0</v>
      </c>
      <c r="L567" s="9">
        <f>[2]หน้าผ้า!R576</f>
        <v>0</v>
      </c>
      <c r="M567" s="10">
        <f>[2]หน้าผ้า!T576</f>
        <v>0</v>
      </c>
      <c r="N567" s="9">
        <f>[2]หน้าผ้า!U576</f>
        <v>0</v>
      </c>
      <c r="O567" s="9">
        <f>[2]หน้าผ้า!V576</f>
        <v>0</v>
      </c>
      <c r="P567" s="10">
        <f>[2]หน้าผ้า!AB576</f>
        <v>0</v>
      </c>
      <c r="Q567" s="10">
        <f>[2]หน้าผ้า!AC576</f>
        <v>0</v>
      </c>
      <c r="R567" s="10">
        <f>[2]หน้าผ้า!AD576</f>
        <v>0</v>
      </c>
      <c r="S567" s="9">
        <f>[2]หน้าผ้า!Z576</f>
        <v>0</v>
      </c>
      <c r="T567" s="12">
        <f>[2]หน้าผ้า!X576</f>
        <v>0</v>
      </c>
      <c r="U567" s="11">
        <f>[2]หน้าผ้า!AA576</f>
        <v>0</v>
      </c>
      <c r="V567" s="10">
        <f>[2]หน้าผ้า!AJ576</f>
        <v>0</v>
      </c>
      <c r="W567" s="10">
        <f>[2]หน้าผ้า!AL576</f>
        <v>0</v>
      </c>
      <c r="X567" s="10">
        <f>[2]หน้าผ้า!AM576</f>
        <v>0</v>
      </c>
      <c r="Y567" s="10">
        <f>[2]หน้าผ้า!AN576</f>
        <v>0</v>
      </c>
      <c r="Z567" s="9">
        <f>[2]หน้าผ้า!AO576</f>
        <v>0</v>
      </c>
      <c r="AA567" s="8">
        <f>[2]หน้าผ้า!AQ576</f>
        <v>0</v>
      </c>
      <c r="AB567" s="8">
        <f>[2]หน้าผ้า!AR576</f>
        <v>0</v>
      </c>
      <c r="AC567" s="8">
        <f>[2]หน้าผ้า!AS576</f>
        <v>0</v>
      </c>
      <c r="AD567" s="8">
        <f>[2]หน้าผ้า!AT576</f>
        <v>0</v>
      </c>
      <c r="AE567" s="8">
        <f>[2]หน้าผ้า!AU576</f>
        <v>0</v>
      </c>
      <c r="AF567" s="8">
        <f>[2]หน้าผ้า!AI576</f>
        <v>0</v>
      </c>
      <c r="AG567" s="1">
        <f>[3]หน้าผ้า!DC579</f>
        <v>0</v>
      </c>
      <c r="AH567" s="1">
        <f>[2]หน้าผ้า!DL576</f>
        <v>0</v>
      </c>
      <c r="AI567" s="1">
        <f>[2]หน้าผ้า!DM576</f>
        <v>0</v>
      </c>
      <c r="AJ567" s="3">
        <f>[2]หน้าผ้า!DN576</f>
        <v>0</v>
      </c>
      <c r="AK567" s="3">
        <f>[2]หน้าผ้า!DQ576</f>
        <v>0</v>
      </c>
      <c r="AL567" s="3">
        <f>[2]หน้าผ้า!DR576</f>
        <v>0</v>
      </c>
      <c r="AM567" s="3">
        <f>[2]หน้าผ้า!DS576</f>
        <v>0</v>
      </c>
      <c r="AN567" s="3">
        <f>[2]หน้าผ้า!DT576</f>
        <v>0</v>
      </c>
      <c r="AO567" s="3">
        <f>[2]หน้าผ้า!DU576</f>
        <v>0</v>
      </c>
      <c r="AP567" s="3">
        <f>[2]หน้าผ้า!DP576</f>
        <v>0</v>
      </c>
      <c r="AQ567" s="3">
        <f>[2]หน้าผ้า!DW576</f>
        <v>0</v>
      </c>
      <c r="AR567" s="3">
        <f>[2]หน้าผ้า!DX576</f>
        <v>0</v>
      </c>
      <c r="AS567" s="3">
        <f>[2]หน้าผ้า!DY576</f>
        <v>0</v>
      </c>
      <c r="AT567" s="3">
        <f>[2]หน้าผ้า!DZ576</f>
        <v>0</v>
      </c>
      <c r="AU567" s="3">
        <f>[2]หน้าผ้า!EA576</f>
        <v>0</v>
      </c>
      <c r="AV567" s="1">
        <f>[2]หน้าผ้า!EB576</f>
        <v>0</v>
      </c>
      <c r="AW567" s="2">
        <f>[2]หน้าผ้า!EC576</f>
        <v>0</v>
      </c>
      <c r="AX567" s="2">
        <f>[2]หน้าผ้า!ED576</f>
        <v>0</v>
      </c>
      <c r="AY567" s="2">
        <f>[2]หน้าผ้า!AG576</f>
        <v>0</v>
      </c>
      <c r="AZ567" s="2">
        <f>[2]หน้าผ้า!EG576</f>
        <v>0</v>
      </c>
      <c r="BA567" s="2">
        <f>[2]หน้าผ้า!EH576</f>
        <v>0</v>
      </c>
      <c r="BB567" s="2">
        <f>[2]หน้าผ้า!EI576</f>
        <v>0</v>
      </c>
      <c r="BC567" s="1">
        <f>[2]หน้าผ้า!BZ576</f>
        <v>0</v>
      </c>
      <c r="BD567" s="56">
        <f>[2]หน้าผ้า!CA576</f>
        <v>0</v>
      </c>
    </row>
    <row r="568" spans="1:56" ht="27.75" customHeight="1" x14ac:dyDescent="0.45">
      <c r="A568" s="3">
        <f>[2]หน้าผ้า!C577</f>
        <v>0</v>
      </c>
      <c r="B568" s="14">
        <f>[2]หน้าผ้า!B577</f>
        <v>0</v>
      </c>
      <c r="C568" s="9">
        <f>[2]หน้าผ้า!E577</f>
        <v>0</v>
      </c>
      <c r="D568" s="13">
        <f>[2]หน้าผ้า!F577</f>
        <v>0</v>
      </c>
      <c r="E568" s="9">
        <f>[2]หน้าผ้า!G577</f>
        <v>0</v>
      </c>
      <c r="F568" s="9">
        <f>[2]หน้าผ้า!H577</f>
        <v>0</v>
      </c>
      <c r="G568" s="9">
        <f>[2]หน้าผ้า!I577</f>
        <v>0</v>
      </c>
      <c r="H568" s="9">
        <f>[2]หน้าผ้า!J577</f>
        <v>0</v>
      </c>
      <c r="I568" s="9">
        <f>[2]หน้าผ้า!L577</f>
        <v>0</v>
      </c>
      <c r="J568" s="9">
        <f>[2]หน้าผ้า!M577</f>
        <v>0</v>
      </c>
      <c r="K568" s="9">
        <f>[2]หน้าผ้า!N577</f>
        <v>0</v>
      </c>
      <c r="L568" s="9">
        <f>[2]หน้าผ้า!R577</f>
        <v>0</v>
      </c>
      <c r="M568" s="10">
        <f>[2]หน้าผ้า!T577</f>
        <v>0</v>
      </c>
      <c r="N568" s="9">
        <f>[2]หน้าผ้า!U577</f>
        <v>0</v>
      </c>
      <c r="O568" s="9">
        <f>[2]หน้าผ้า!V577</f>
        <v>0</v>
      </c>
      <c r="P568" s="10">
        <f>[2]หน้าผ้า!AB577</f>
        <v>0</v>
      </c>
      <c r="Q568" s="10">
        <f>[2]หน้าผ้า!AC577</f>
        <v>0</v>
      </c>
      <c r="R568" s="10">
        <f>[2]หน้าผ้า!AD577</f>
        <v>0</v>
      </c>
      <c r="S568" s="9">
        <f>[2]หน้าผ้า!Z577</f>
        <v>0</v>
      </c>
      <c r="T568" s="12">
        <f>[2]หน้าผ้า!X577</f>
        <v>0</v>
      </c>
      <c r="U568" s="11">
        <f>[2]หน้าผ้า!AA577</f>
        <v>0</v>
      </c>
      <c r="V568" s="10">
        <f>[2]หน้าผ้า!AJ577</f>
        <v>0</v>
      </c>
      <c r="W568" s="10">
        <f>[2]หน้าผ้า!AL577</f>
        <v>0</v>
      </c>
      <c r="X568" s="10">
        <f>[2]หน้าผ้า!AM577</f>
        <v>0</v>
      </c>
      <c r="Y568" s="10">
        <f>[2]หน้าผ้า!AN577</f>
        <v>0</v>
      </c>
      <c r="Z568" s="9">
        <f>[2]หน้าผ้า!AO577</f>
        <v>0</v>
      </c>
      <c r="AA568" s="8">
        <f>[2]หน้าผ้า!AQ577</f>
        <v>0</v>
      </c>
      <c r="AB568" s="8">
        <f>[2]หน้าผ้า!AR577</f>
        <v>0</v>
      </c>
      <c r="AC568" s="8">
        <f>[2]หน้าผ้า!AS577</f>
        <v>0</v>
      </c>
      <c r="AD568" s="8">
        <f>[2]หน้าผ้า!AT577</f>
        <v>0</v>
      </c>
      <c r="AE568" s="8">
        <f>[2]หน้าผ้า!AU577</f>
        <v>0</v>
      </c>
      <c r="AF568" s="8">
        <f>[2]หน้าผ้า!AI577</f>
        <v>0</v>
      </c>
      <c r="AG568" s="1">
        <f>[3]หน้าผ้า!DC580</f>
        <v>0</v>
      </c>
      <c r="AH568" s="1">
        <f>[2]หน้าผ้า!DL577</f>
        <v>0</v>
      </c>
      <c r="AI568" s="1">
        <f>[2]หน้าผ้า!DM577</f>
        <v>0</v>
      </c>
      <c r="AJ568" s="3">
        <f>[2]หน้าผ้า!DN577</f>
        <v>0</v>
      </c>
      <c r="AK568" s="3">
        <f>[2]หน้าผ้า!DQ577</f>
        <v>0</v>
      </c>
      <c r="AL568" s="3">
        <f>[2]หน้าผ้า!DR577</f>
        <v>0</v>
      </c>
      <c r="AM568" s="3">
        <f>[2]หน้าผ้า!DS577</f>
        <v>0</v>
      </c>
      <c r="AN568" s="3">
        <f>[2]หน้าผ้า!DT577</f>
        <v>0</v>
      </c>
      <c r="AO568" s="3">
        <f>[2]หน้าผ้า!DU577</f>
        <v>0</v>
      </c>
      <c r="AP568" s="3">
        <f>[2]หน้าผ้า!DP577</f>
        <v>0</v>
      </c>
      <c r="AQ568" s="3">
        <f>[2]หน้าผ้า!DW577</f>
        <v>0</v>
      </c>
      <c r="AR568" s="3">
        <f>[2]หน้าผ้า!DX577</f>
        <v>0</v>
      </c>
      <c r="AS568" s="3">
        <f>[2]หน้าผ้า!DY577</f>
        <v>0</v>
      </c>
      <c r="AT568" s="3">
        <f>[2]หน้าผ้า!DZ577</f>
        <v>0</v>
      </c>
      <c r="AU568" s="3">
        <f>[2]หน้าผ้า!EA577</f>
        <v>0</v>
      </c>
      <c r="AV568" s="1">
        <f>[2]หน้าผ้า!EB577</f>
        <v>0</v>
      </c>
      <c r="AW568" s="2">
        <f>[2]หน้าผ้า!EC577</f>
        <v>0</v>
      </c>
      <c r="AX568" s="2">
        <f>[2]หน้าผ้า!ED577</f>
        <v>0</v>
      </c>
      <c r="AY568" s="2">
        <f>[2]หน้าผ้า!AG577</f>
        <v>0</v>
      </c>
      <c r="AZ568" s="2">
        <f>[2]หน้าผ้า!EG577</f>
        <v>0</v>
      </c>
      <c r="BA568" s="2">
        <f>[2]หน้าผ้า!EH577</f>
        <v>0</v>
      </c>
      <c r="BB568" s="2">
        <f>[2]หน้าผ้า!EI577</f>
        <v>0</v>
      </c>
      <c r="BC568" s="1">
        <f>[2]หน้าผ้า!BZ577</f>
        <v>0</v>
      </c>
      <c r="BD568" s="56">
        <f>[2]หน้าผ้า!CA577</f>
        <v>0</v>
      </c>
    </row>
    <row r="569" spans="1:56" ht="27.75" customHeight="1" x14ac:dyDescent="0.45">
      <c r="A569" s="3">
        <f>[2]หน้าผ้า!C578</f>
        <v>0</v>
      </c>
      <c r="B569" s="14">
        <f>[2]หน้าผ้า!B578</f>
        <v>0</v>
      </c>
      <c r="C569" s="9">
        <f>[2]หน้าผ้า!E578</f>
        <v>0</v>
      </c>
      <c r="D569" s="13">
        <f>[2]หน้าผ้า!F578</f>
        <v>0</v>
      </c>
      <c r="E569" s="9">
        <f>[2]หน้าผ้า!G578</f>
        <v>0</v>
      </c>
      <c r="F569" s="9">
        <f>[2]หน้าผ้า!H578</f>
        <v>0</v>
      </c>
      <c r="G569" s="9">
        <f>[2]หน้าผ้า!I578</f>
        <v>0</v>
      </c>
      <c r="H569" s="9">
        <f>[2]หน้าผ้า!J578</f>
        <v>0</v>
      </c>
      <c r="I569" s="9">
        <f>[2]หน้าผ้า!L578</f>
        <v>0</v>
      </c>
      <c r="J569" s="9">
        <f>[2]หน้าผ้า!M578</f>
        <v>0</v>
      </c>
      <c r="K569" s="9">
        <f>[2]หน้าผ้า!N578</f>
        <v>0</v>
      </c>
      <c r="L569" s="9">
        <f>[2]หน้าผ้า!R578</f>
        <v>0</v>
      </c>
      <c r="M569" s="10">
        <f>[2]หน้าผ้า!T578</f>
        <v>0</v>
      </c>
      <c r="N569" s="9">
        <f>[2]หน้าผ้า!U578</f>
        <v>0</v>
      </c>
      <c r="O569" s="9">
        <f>[2]หน้าผ้า!V578</f>
        <v>0</v>
      </c>
      <c r="P569" s="10">
        <f>[2]หน้าผ้า!AB578</f>
        <v>0</v>
      </c>
      <c r="Q569" s="10">
        <f>[2]หน้าผ้า!AC578</f>
        <v>0</v>
      </c>
      <c r="R569" s="10">
        <f>[2]หน้าผ้า!AD578</f>
        <v>0</v>
      </c>
      <c r="S569" s="9">
        <f>[2]หน้าผ้า!Z578</f>
        <v>0</v>
      </c>
      <c r="T569" s="12">
        <f>[2]หน้าผ้า!X578</f>
        <v>0</v>
      </c>
      <c r="U569" s="11">
        <f>[2]หน้าผ้า!AA578</f>
        <v>0</v>
      </c>
      <c r="V569" s="10">
        <f>[2]หน้าผ้า!AJ578</f>
        <v>0</v>
      </c>
      <c r="W569" s="10">
        <f>[2]หน้าผ้า!AL578</f>
        <v>0</v>
      </c>
      <c r="X569" s="10">
        <f>[2]หน้าผ้า!AM578</f>
        <v>0</v>
      </c>
      <c r="Y569" s="10">
        <f>[2]หน้าผ้า!AN578</f>
        <v>0</v>
      </c>
      <c r="Z569" s="9">
        <f>[2]หน้าผ้า!AO578</f>
        <v>0</v>
      </c>
      <c r="AA569" s="8">
        <f>[2]หน้าผ้า!AQ578</f>
        <v>0</v>
      </c>
      <c r="AB569" s="8">
        <f>[2]หน้าผ้า!AR578</f>
        <v>0</v>
      </c>
      <c r="AC569" s="8">
        <f>[2]หน้าผ้า!AS578</f>
        <v>0</v>
      </c>
      <c r="AD569" s="8">
        <f>[2]หน้าผ้า!AT578</f>
        <v>0</v>
      </c>
      <c r="AE569" s="8">
        <f>[2]หน้าผ้า!AU578</f>
        <v>0</v>
      </c>
      <c r="AF569" s="8">
        <f>[2]หน้าผ้า!AI578</f>
        <v>0</v>
      </c>
      <c r="AG569" s="1">
        <f>[3]หน้าผ้า!DC581</f>
        <v>0</v>
      </c>
      <c r="AH569" s="1">
        <f>[2]หน้าผ้า!DL578</f>
        <v>0</v>
      </c>
      <c r="AI569" s="1">
        <f>[2]หน้าผ้า!DM578</f>
        <v>0</v>
      </c>
      <c r="AJ569" s="3">
        <f>[2]หน้าผ้า!DN578</f>
        <v>0</v>
      </c>
      <c r="AK569" s="3">
        <f>[2]หน้าผ้า!DQ578</f>
        <v>0</v>
      </c>
      <c r="AL569" s="3">
        <f>[2]หน้าผ้า!DR578</f>
        <v>0</v>
      </c>
      <c r="AM569" s="3">
        <f>[2]หน้าผ้า!DS578</f>
        <v>0</v>
      </c>
      <c r="AN569" s="3">
        <f>[2]หน้าผ้า!DT578</f>
        <v>0</v>
      </c>
      <c r="AO569" s="3">
        <f>[2]หน้าผ้า!DU578</f>
        <v>0</v>
      </c>
      <c r="AP569" s="3">
        <f>[2]หน้าผ้า!DP578</f>
        <v>0</v>
      </c>
      <c r="AQ569" s="3">
        <f>[2]หน้าผ้า!DW578</f>
        <v>0</v>
      </c>
      <c r="AR569" s="3">
        <f>[2]หน้าผ้า!DX578</f>
        <v>0</v>
      </c>
      <c r="AS569" s="3">
        <f>[2]หน้าผ้า!DY578</f>
        <v>0</v>
      </c>
      <c r="AT569" s="3">
        <f>[2]หน้าผ้า!DZ578</f>
        <v>0</v>
      </c>
      <c r="AU569" s="3">
        <f>[2]หน้าผ้า!EA578</f>
        <v>0</v>
      </c>
      <c r="AV569" s="1">
        <f>[2]หน้าผ้า!EB578</f>
        <v>0</v>
      </c>
      <c r="AW569" s="2">
        <f>[2]หน้าผ้า!EC578</f>
        <v>0</v>
      </c>
      <c r="AX569" s="2">
        <f>[2]หน้าผ้า!ED578</f>
        <v>0</v>
      </c>
      <c r="AY569" s="2">
        <f>[2]หน้าผ้า!AG578</f>
        <v>0</v>
      </c>
      <c r="AZ569" s="2">
        <f>[2]หน้าผ้า!EG578</f>
        <v>0</v>
      </c>
      <c r="BA569" s="2">
        <f>[2]หน้าผ้า!EH578</f>
        <v>0</v>
      </c>
      <c r="BB569" s="2">
        <f>[2]หน้าผ้า!EI578</f>
        <v>0</v>
      </c>
      <c r="BC569" s="1">
        <f>[2]หน้าผ้า!BZ578</f>
        <v>0</v>
      </c>
      <c r="BD569" s="56">
        <f>[2]หน้าผ้า!CA578</f>
        <v>0</v>
      </c>
    </row>
    <row r="570" spans="1:56" ht="27.75" customHeight="1" x14ac:dyDescent="0.45">
      <c r="A570" s="3">
        <f>[2]หน้าผ้า!C579</f>
        <v>0</v>
      </c>
      <c r="B570" s="14">
        <f>[2]หน้าผ้า!B579</f>
        <v>0</v>
      </c>
      <c r="C570" s="9">
        <f>[2]หน้าผ้า!E579</f>
        <v>0</v>
      </c>
      <c r="D570" s="13">
        <f>[2]หน้าผ้า!F579</f>
        <v>0</v>
      </c>
      <c r="E570" s="9">
        <f>[2]หน้าผ้า!G579</f>
        <v>0</v>
      </c>
      <c r="F570" s="9">
        <f>[2]หน้าผ้า!H579</f>
        <v>0</v>
      </c>
      <c r="G570" s="9">
        <f>[2]หน้าผ้า!I579</f>
        <v>0</v>
      </c>
      <c r="H570" s="9">
        <f>[2]หน้าผ้า!J579</f>
        <v>0</v>
      </c>
      <c r="I570" s="9">
        <f>[2]หน้าผ้า!L579</f>
        <v>0</v>
      </c>
      <c r="J570" s="9">
        <f>[2]หน้าผ้า!M579</f>
        <v>0</v>
      </c>
      <c r="K570" s="9">
        <f>[2]หน้าผ้า!N579</f>
        <v>0</v>
      </c>
      <c r="L570" s="9">
        <f>[2]หน้าผ้า!R579</f>
        <v>0</v>
      </c>
      <c r="M570" s="10">
        <f>[2]หน้าผ้า!T579</f>
        <v>0</v>
      </c>
      <c r="N570" s="9">
        <f>[2]หน้าผ้า!U579</f>
        <v>0</v>
      </c>
      <c r="O570" s="9">
        <f>[2]หน้าผ้า!V579</f>
        <v>0</v>
      </c>
      <c r="P570" s="10">
        <f>[2]หน้าผ้า!AB579</f>
        <v>0</v>
      </c>
      <c r="Q570" s="10">
        <f>[2]หน้าผ้า!AC579</f>
        <v>0</v>
      </c>
      <c r="R570" s="10">
        <f>[2]หน้าผ้า!AD579</f>
        <v>0</v>
      </c>
      <c r="S570" s="9">
        <f>[2]หน้าผ้า!Z579</f>
        <v>0</v>
      </c>
      <c r="T570" s="12">
        <f>[2]หน้าผ้า!X579</f>
        <v>0</v>
      </c>
      <c r="U570" s="11">
        <f>[2]หน้าผ้า!AA579</f>
        <v>0</v>
      </c>
      <c r="V570" s="10">
        <f>[2]หน้าผ้า!AJ579</f>
        <v>0</v>
      </c>
      <c r="W570" s="10">
        <f>[2]หน้าผ้า!AL579</f>
        <v>0</v>
      </c>
      <c r="X570" s="10">
        <f>[2]หน้าผ้า!AM579</f>
        <v>0</v>
      </c>
      <c r="Y570" s="10">
        <f>[2]หน้าผ้า!AN579</f>
        <v>0</v>
      </c>
      <c r="Z570" s="9">
        <f>[2]หน้าผ้า!AO579</f>
        <v>0</v>
      </c>
      <c r="AA570" s="8">
        <f>[2]หน้าผ้า!AQ579</f>
        <v>0</v>
      </c>
      <c r="AB570" s="8">
        <f>[2]หน้าผ้า!AR579</f>
        <v>0</v>
      </c>
      <c r="AC570" s="8">
        <f>[2]หน้าผ้า!AS579</f>
        <v>0</v>
      </c>
      <c r="AD570" s="8">
        <f>[2]หน้าผ้า!AT579</f>
        <v>0</v>
      </c>
      <c r="AE570" s="8">
        <f>[2]หน้าผ้า!AU579</f>
        <v>0</v>
      </c>
      <c r="AF570" s="8">
        <f>[2]หน้าผ้า!AI579</f>
        <v>0</v>
      </c>
      <c r="AG570" s="1">
        <f>[3]หน้าผ้า!DC582</f>
        <v>0</v>
      </c>
      <c r="AH570" s="1">
        <f>[2]หน้าผ้า!DL579</f>
        <v>0</v>
      </c>
      <c r="AI570" s="1">
        <f>[2]หน้าผ้า!DM579</f>
        <v>0</v>
      </c>
      <c r="AJ570" s="3">
        <f>[2]หน้าผ้า!DN579</f>
        <v>0</v>
      </c>
      <c r="AK570" s="3">
        <f>[2]หน้าผ้า!DQ579</f>
        <v>0</v>
      </c>
      <c r="AL570" s="3">
        <f>[2]หน้าผ้า!DR579</f>
        <v>0</v>
      </c>
      <c r="AM570" s="3">
        <f>[2]หน้าผ้า!DS579</f>
        <v>0</v>
      </c>
      <c r="AN570" s="3">
        <f>[2]หน้าผ้า!DT579</f>
        <v>0</v>
      </c>
      <c r="AO570" s="3">
        <f>[2]หน้าผ้า!DU579</f>
        <v>0</v>
      </c>
      <c r="AP570" s="3">
        <f>[2]หน้าผ้า!DP579</f>
        <v>0</v>
      </c>
      <c r="AQ570" s="3">
        <f>[2]หน้าผ้า!DW579</f>
        <v>0</v>
      </c>
      <c r="AR570" s="3">
        <f>[2]หน้าผ้า!DX579</f>
        <v>0</v>
      </c>
      <c r="AS570" s="3">
        <f>[2]หน้าผ้า!DY579</f>
        <v>0</v>
      </c>
      <c r="AT570" s="3">
        <f>[2]หน้าผ้า!DZ579</f>
        <v>0</v>
      </c>
      <c r="AU570" s="3">
        <f>[2]หน้าผ้า!EA579</f>
        <v>0</v>
      </c>
      <c r="AV570" s="1">
        <f>[2]หน้าผ้า!EB579</f>
        <v>0</v>
      </c>
      <c r="AW570" s="2">
        <f>[2]หน้าผ้า!EC579</f>
        <v>0</v>
      </c>
      <c r="AX570" s="2">
        <f>[2]หน้าผ้า!ED579</f>
        <v>0</v>
      </c>
      <c r="AY570" s="2">
        <f>[2]หน้าผ้า!AG579</f>
        <v>0</v>
      </c>
      <c r="AZ570" s="2">
        <f>[2]หน้าผ้า!EG579</f>
        <v>0</v>
      </c>
      <c r="BA570" s="2">
        <f>[2]หน้าผ้า!EH579</f>
        <v>0</v>
      </c>
      <c r="BB570" s="2">
        <f>[2]หน้าผ้า!EI579</f>
        <v>0</v>
      </c>
      <c r="BC570" s="1">
        <f>[2]หน้าผ้า!BZ579</f>
        <v>0</v>
      </c>
      <c r="BD570" s="56">
        <f>[2]หน้าผ้า!CA579</f>
        <v>0</v>
      </c>
    </row>
    <row r="571" spans="1:56" ht="27.75" customHeight="1" x14ac:dyDescent="0.45">
      <c r="A571" s="3">
        <f>[2]หน้าผ้า!C580</f>
        <v>0</v>
      </c>
      <c r="B571" s="14">
        <f>[2]หน้าผ้า!B580</f>
        <v>0</v>
      </c>
      <c r="C571" s="9">
        <f>[2]หน้าผ้า!E580</f>
        <v>0</v>
      </c>
      <c r="D571" s="13">
        <f>[2]หน้าผ้า!F580</f>
        <v>0</v>
      </c>
      <c r="E571" s="9">
        <f>[2]หน้าผ้า!G580</f>
        <v>0</v>
      </c>
      <c r="F571" s="9">
        <f>[2]หน้าผ้า!H580</f>
        <v>0</v>
      </c>
      <c r="G571" s="9">
        <f>[2]หน้าผ้า!I580</f>
        <v>0</v>
      </c>
      <c r="H571" s="9">
        <f>[2]หน้าผ้า!J580</f>
        <v>0</v>
      </c>
      <c r="I571" s="9">
        <f>[2]หน้าผ้า!L580</f>
        <v>0</v>
      </c>
      <c r="J571" s="9">
        <f>[2]หน้าผ้า!M580</f>
        <v>0</v>
      </c>
      <c r="K571" s="9">
        <f>[2]หน้าผ้า!N580</f>
        <v>0</v>
      </c>
      <c r="L571" s="9">
        <f>[2]หน้าผ้า!R580</f>
        <v>0</v>
      </c>
      <c r="M571" s="10">
        <f>[2]หน้าผ้า!T580</f>
        <v>0</v>
      </c>
      <c r="N571" s="9">
        <f>[2]หน้าผ้า!U580</f>
        <v>0</v>
      </c>
      <c r="O571" s="9">
        <f>[2]หน้าผ้า!V580</f>
        <v>0</v>
      </c>
      <c r="P571" s="10">
        <f>[2]หน้าผ้า!AB580</f>
        <v>0</v>
      </c>
      <c r="Q571" s="10">
        <f>[2]หน้าผ้า!AC580</f>
        <v>0</v>
      </c>
      <c r="R571" s="10">
        <f>[2]หน้าผ้า!AD580</f>
        <v>0</v>
      </c>
      <c r="S571" s="9">
        <f>[2]หน้าผ้า!Z580</f>
        <v>0</v>
      </c>
      <c r="T571" s="12">
        <f>[2]หน้าผ้า!X580</f>
        <v>0</v>
      </c>
      <c r="U571" s="11">
        <f>[2]หน้าผ้า!AA580</f>
        <v>0</v>
      </c>
      <c r="V571" s="10">
        <f>[2]หน้าผ้า!AJ580</f>
        <v>0</v>
      </c>
      <c r="W571" s="10">
        <f>[2]หน้าผ้า!AL580</f>
        <v>0</v>
      </c>
      <c r="X571" s="10">
        <f>[2]หน้าผ้า!AM580</f>
        <v>0</v>
      </c>
      <c r="Y571" s="10">
        <f>[2]หน้าผ้า!AN580</f>
        <v>0</v>
      </c>
      <c r="Z571" s="9">
        <f>[2]หน้าผ้า!AO580</f>
        <v>0</v>
      </c>
      <c r="AA571" s="8">
        <f>[2]หน้าผ้า!AQ580</f>
        <v>0</v>
      </c>
      <c r="AB571" s="8">
        <f>[2]หน้าผ้า!AR580</f>
        <v>0</v>
      </c>
      <c r="AC571" s="8">
        <f>[2]หน้าผ้า!AS580</f>
        <v>0</v>
      </c>
      <c r="AD571" s="8">
        <f>[2]หน้าผ้า!AT580</f>
        <v>0</v>
      </c>
      <c r="AE571" s="8">
        <f>[2]หน้าผ้า!AU580</f>
        <v>0</v>
      </c>
      <c r="AF571" s="8">
        <f>[2]หน้าผ้า!AI580</f>
        <v>0</v>
      </c>
      <c r="AG571" s="1">
        <f>[3]หน้าผ้า!DC583</f>
        <v>0</v>
      </c>
      <c r="AH571" s="1">
        <f>[2]หน้าผ้า!DL580</f>
        <v>0</v>
      </c>
      <c r="AI571" s="1">
        <f>[2]หน้าผ้า!DM580</f>
        <v>0</v>
      </c>
      <c r="AJ571" s="3">
        <f>[2]หน้าผ้า!DN580</f>
        <v>0</v>
      </c>
      <c r="AK571" s="3">
        <f>[2]หน้าผ้า!DQ580</f>
        <v>0</v>
      </c>
      <c r="AL571" s="3">
        <f>[2]หน้าผ้า!DR580</f>
        <v>0</v>
      </c>
      <c r="AM571" s="3">
        <f>[2]หน้าผ้า!DS580</f>
        <v>0</v>
      </c>
      <c r="AN571" s="3">
        <f>[2]หน้าผ้า!DT580</f>
        <v>0</v>
      </c>
      <c r="AO571" s="3">
        <f>[2]หน้าผ้า!DU580</f>
        <v>0</v>
      </c>
      <c r="AP571" s="3">
        <f>[2]หน้าผ้า!DP580</f>
        <v>0</v>
      </c>
      <c r="AQ571" s="3">
        <f>[2]หน้าผ้า!DW580</f>
        <v>0</v>
      </c>
      <c r="AR571" s="3">
        <f>[2]หน้าผ้า!DX580</f>
        <v>0</v>
      </c>
      <c r="AS571" s="3">
        <f>[2]หน้าผ้า!DY580</f>
        <v>0</v>
      </c>
      <c r="AT571" s="3">
        <f>[2]หน้าผ้า!DZ580</f>
        <v>0</v>
      </c>
      <c r="AU571" s="3">
        <f>[2]หน้าผ้า!EA580</f>
        <v>0</v>
      </c>
      <c r="AV571" s="1">
        <f>[2]หน้าผ้า!EB580</f>
        <v>0</v>
      </c>
      <c r="AW571" s="2">
        <f>[2]หน้าผ้า!EC580</f>
        <v>0</v>
      </c>
      <c r="AX571" s="2">
        <f>[2]หน้าผ้า!ED580</f>
        <v>0</v>
      </c>
      <c r="AY571" s="2">
        <f>[2]หน้าผ้า!AG580</f>
        <v>0</v>
      </c>
      <c r="AZ571" s="2">
        <f>[2]หน้าผ้า!EG580</f>
        <v>0</v>
      </c>
      <c r="BA571" s="2">
        <f>[2]หน้าผ้า!EH580</f>
        <v>0</v>
      </c>
      <c r="BB571" s="2">
        <f>[2]หน้าผ้า!EI580</f>
        <v>0</v>
      </c>
      <c r="BC571" s="1">
        <f>[2]หน้าผ้า!BZ580</f>
        <v>0</v>
      </c>
      <c r="BD571" s="56">
        <f>[2]หน้าผ้า!CA580</f>
        <v>0</v>
      </c>
    </row>
    <row r="572" spans="1:56" ht="27.75" customHeight="1" x14ac:dyDescent="0.45">
      <c r="A572" s="3">
        <f>[2]หน้าผ้า!C581</f>
        <v>0</v>
      </c>
      <c r="B572" s="14">
        <f>[2]หน้าผ้า!B581</f>
        <v>0</v>
      </c>
      <c r="C572" s="9">
        <f>[2]หน้าผ้า!E581</f>
        <v>0</v>
      </c>
      <c r="D572" s="13">
        <f>[2]หน้าผ้า!F581</f>
        <v>0</v>
      </c>
      <c r="E572" s="9">
        <f>[2]หน้าผ้า!G581</f>
        <v>0</v>
      </c>
      <c r="F572" s="9">
        <f>[2]หน้าผ้า!H581</f>
        <v>0</v>
      </c>
      <c r="G572" s="9">
        <f>[2]หน้าผ้า!I581</f>
        <v>0</v>
      </c>
      <c r="H572" s="9">
        <f>[2]หน้าผ้า!J581</f>
        <v>0</v>
      </c>
      <c r="I572" s="9">
        <f>[2]หน้าผ้า!L581</f>
        <v>0</v>
      </c>
      <c r="J572" s="9">
        <f>[2]หน้าผ้า!M581</f>
        <v>0</v>
      </c>
      <c r="K572" s="9">
        <f>[2]หน้าผ้า!N581</f>
        <v>0</v>
      </c>
      <c r="L572" s="9">
        <f>[2]หน้าผ้า!R581</f>
        <v>0</v>
      </c>
      <c r="M572" s="10">
        <f>[2]หน้าผ้า!T581</f>
        <v>0</v>
      </c>
      <c r="N572" s="9">
        <f>[2]หน้าผ้า!U581</f>
        <v>0</v>
      </c>
      <c r="O572" s="9">
        <f>[2]หน้าผ้า!V581</f>
        <v>0</v>
      </c>
      <c r="P572" s="10">
        <f>[2]หน้าผ้า!AB581</f>
        <v>0</v>
      </c>
      <c r="Q572" s="10">
        <f>[2]หน้าผ้า!AC581</f>
        <v>0</v>
      </c>
      <c r="R572" s="10">
        <f>[2]หน้าผ้า!AD581</f>
        <v>0</v>
      </c>
      <c r="S572" s="9">
        <f>[2]หน้าผ้า!Z581</f>
        <v>0</v>
      </c>
      <c r="T572" s="12">
        <f>[2]หน้าผ้า!X581</f>
        <v>0</v>
      </c>
      <c r="U572" s="11">
        <f>[2]หน้าผ้า!AA581</f>
        <v>0</v>
      </c>
      <c r="V572" s="10">
        <f>[2]หน้าผ้า!AJ581</f>
        <v>0</v>
      </c>
      <c r="W572" s="10">
        <f>[2]หน้าผ้า!AL581</f>
        <v>0</v>
      </c>
      <c r="X572" s="10">
        <f>[2]หน้าผ้า!AM581</f>
        <v>0</v>
      </c>
      <c r="Y572" s="10">
        <f>[2]หน้าผ้า!AN581</f>
        <v>0</v>
      </c>
      <c r="Z572" s="9">
        <f>[2]หน้าผ้า!AO581</f>
        <v>0</v>
      </c>
      <c r="AA572" s="8">
        <f>[2]หน้าผ้า!AQ581</f>
        <v>0</v>
      </c>
      <c r="AB572" s="8">
        <f>[2]หน้าผ้า!AR581</f>
        <v>0</v>
      </c>
      <c r="AC572" s="8">
        <f>[2]หน้าผ้า!AS581</f>
        <v>0</v>
      </c>
      <c r="AD572" s="8">
        <f>[2]หน้าผ้า!AT581</f>
        <v>0</v>
      </c>
      <c r="AE572" s="8">
        <f>[2]หน้าผ้า!AU581</f>
        <v>0</v>
      </c>
      <c r="AF572" s="8">
        <f>[2]หน้าผ้า!AI581</f>
        <v>0</v>
      </c>
      <c r="AG572" s="1">
        <f>[3]หน้าผ้า!DC584</f>
        <v>0</v>
      </c>
      <c r="AH572" s="1">
        <f>[2]หน้าผ้า!DL581</f>
        <v>0</v>
      </c>
      <c r="AI572" s="1">
        <f>[2]หน้าผ้า!DM581</f>
        <v>0</v>
      </c>
      <c r="AJ572" s="3">
        <f>[2]หน้าผ้า!DN581</f>
        <v>0</v>
      </c>
      <c r="AK572" s="3">
        <f>[2]หน้าผ้า!DQ581</f>
        <v>0</v>
      </c>
      <c r="AL572" s="3">
        <f>[2]หน้าผ้า!DR581</f>
        <v>0</v>
      </c>
      <c r="AM572" s="3">
        <f>[2]หน้าผ้า!DS581</f>
        <v>0</v>
      </c>
      <c r="AN572" s="3">
        <f>[2]หน้าผ้า!DT581</f>
        <v>0</v>
      </c>
      <c r="AO572" s="3">
        <f>[2]หน้าผ้า!DU581</f>
        <v>0</v>
      </c>
      <c r="AP572" s="3">
        <f>[2]หน้าผ้า!DP581</f>
        <v>0</v>
      </c>
      <c r="AQ572" s="3">
        <f>[2]หน้าผ้า!DW581</f>
        <v>0</v>
      </c>
      <c r="AR572" s="3">
        <f>[2]หน้าผ้า!DX581</f>
        <v>0</v>
      </c>
      <c r="AS572" s="3">
        <f>[2]หน้าผ้า!DY581</f>
        <v>0</v>
      </c>
      <c r="AT572" s="3">
        <f>[2]หน้าผ้า!DZ581</f>
        <v>0</v>
      </c>
      <c r="AU572" s="3">
        <f>[2]หน้าผ้า!EA581</f>
        <v>0</v>
      </c>
      <c r="AV572" s="1">
        <f>[2]หน้าผ้า!EB581</f>
        <v>0</v>
      </c>
      <c r="AW572" s="2">
        <f>[2]หน้าผ้า!EC581</f>
        <v>0</v>
      </c>
      <c r="AX572" s="2">
        <f>[2]หน้าผ้า!ED581</f>
        <v>0</v>
      </c>
      <c r="AY572" s="2">
        <f>[2]หน้าผ้า!AG581</f>
        <v>0</v>
      </c>
      <c r="AZ572" s="2">
        <f>[2]หน้าผ้า!EG581</f>
        <v>0</v>
      </c>
      <c r="BA572" s="2">
        <f>[2]หน้าผ้า!EH581</f>
        <v>0</v>
      </c>
      <c r="BB572" s="2">
        <f>[2]หน้าผ้า!EI581</f>
        <v>0</v>
      </c>
      <c r="BC572" s="1">
        <f>[2]หน้าผ้า!BZ581</f>
        <v>0</v>
      </c>
      <c r="BD572" s="56">
        <f>[2]หน้าผ้า!CA581</f>
        <v>0</v>
      </c>
    </row>
    <row r="573" spans="1:56" ht="27.75" customHeight="1" x14ac:dyDescent="0.45">
      <c r="A573" s="3">
        <f>[2]หน้าผ้า!C582</f>
        <v>0</v>
      </c>
      <c r="B573" s="14">
        <f>[2]หน้าผ้า!B582</f>
        <v>0</v>
      </c>
      <c r="C573" s="9">
        <f>[2]หน้าผ้า!E582</f>
        <v>0</v>
      </c>
      <c r="D573" s="13">
        <f>[2]หน้าผ้า!F582</f>
        <v>0</v>
      </c>
      <c r="E573" s="9">
        <f>[2]หน้าผ้า!G582</f>
        <v>0</v>
      </c>
      <c r="F573" s="9">
        <f>[2]หน้าผ้า!H582</f>
        <v>0</v>
      </c>
      <c r="G573" s="9">
        <f>[2]หน้าผ้า!I582</f>
        <v>0</v>
      </c>
      <c r="H573" s="9">
        <f>[2]หน้าผ้า!J582</f>
        <v>0</v>
      </c>
      <c r="I573" s="9">
        <f>[2]หน้าผ้า!L582</f>
        <v>0</v>
      </c>
      <c r="J573" s="9">
        <f>[2]หน้าผ้า!M582</f>
        <v>0</v>
      </c>
      <c r="K573" s="9">
        <f>[2]หน้าผ้า!N582</f>
        <v>0</v>
      </c>
      <c r="L573" s="9">
        <f>[2]หน้าผ้า!R582</f>
        <v>0</v>
      </c>
      <c r="M573" s="10">
        <f>[2]หน้าผ้า!T582</f>
        <v>0</v>
      </c>
      <c r="N573" s="9">
        <f>[2]หน้าผ้า!U582</f>
        <v>0</v>
      </c>
      <c r="O573" s="9">
        <f>[2]หน้าผ้า!V582</f>
        <v>0</v>
      </c>
      <c r="P573" s="10">
        <f>[2]หน้าผ้า!AB582</f>
        <v>0</v>
      </c>
      <c r="Q573" s="10">
        <f>[2]หน้าผ้า!AC582</f>
        <v>0</v>
      </c>
      <c r="R573" s="10">
        <f>[2]หน้าผ้า!AD582</f>
        <v>0</v>
      </c>
      <c r="S573" s="9">
        <f>[2]หน้าผ้า!Z582</f>
        <v>0</v>
      </c>
      <c r="T573" s="12">
        <f>[2]หน้าผ้า!X582</f>
        <v>0</v>
      </c>
      <c r="U573" s="11">
        <f>[2]หน้าผ้า!AA582</f>
        <v>0</v>
      </c>
      <c r="V573" s="10">
        <f>[2]หน้าผ้า!AJ582</f>
        <v>0</v>
      </c>
      <c r="W573" s="10">
        <f>[2]หน้าผ้า!AL582</f>
        <v>0</v>
      </c>
      <c r="X573" s="10">
        <f>[2]หน้าผ้า!AM582</f>
        <v>0</v>
      </c>
      <c r="Y573" s="10">
        <f>[2]หน้าผ้า!AN582</f>
        <v>0</v>
      </c>
      <c r="Z573" s="9">
        <f>[2]หน้าผ้า!AO582</f>
        <v>0</v>
      </c>
      <c r="AA573" s="8">
        <f>[2]หน้าผ้า!AQ582</f>
        <v>0</v>
      </c>
      <c r="AB573" s="8">
        <f>[2]หน้าผ้า!AR582</f>
        <v>0</v>
      </c>
      <c r="AC573" s="8">
        <f>[2]หน้าผ้า!AS582</f>
        <v>0</v>
      </c>
      <c r="AD573" s="8">
        <f>[2]หน้าผ้า!AT582</f>
        <v>0</v>
      </c>
      <c r="AE573" s="8">
        <f>[2]หน้าผ้า!AU582</f>
        <v>0</v>
      </c>
      <c r="AF573" s="8">
        <f>[2]หน้าผ้า!AI582</f>
        <v>0</v>
      </c>
      <c r="AG573" s="1">
        <f>[3]หน้าผ้า!DC585</f>
        <v>0</v>
      </c>
      <c r="AH573" s="1">
        <f>[2]หน้าผ้า!DL582</f>
        <v>0</v>
      </c>
      <c r="AI573" s="1">
        <f>[2]หน้าผ้า!DM582</f>
        <v>0</v>
      </c>
      <c r="AJ573" s="3">
        <f>[2]หน้าผ้า!DN582</f>
        <v>0</v>
      </c>
      <c r="AK573" s="3">
        <f>[2]หน้าผ้า!DQ582</f>
        <v>0</v>
      </c>
      <c r="AL573" s="3">
        <f>[2]หน้าผ้า!DR582</f>
        <v>0</v>
      </c>
      <c r="AM573" s="3">
        <f>[2]หน้าผ้า!DS582</f>
        <v>0</v>
      </c>
      <c r="AN573" s="3">
        <f>[2]หน้าผ้า!DT582</f>
        <v>0</v>
      </c>
      <c r="AO573" s="3">
        <f>[2]หน้าผ้า!DU582</f>
        <v>0</v>
      </c>
      <c r="AP573" s="3">
        <f>[2]หน้าผ้า!DP582</f>
        <v>0</v>
      </c>
      <c r="AQ573" s="3">
        <f>[2]หน้าผ้า!DW582</f>
        <v>0</v>
      </c>
      <c r="AR573" s="3">
        <f>[2]หน้าผ้า!DX582</f>
        <v>0</v>
      </c>
      <c r="AS573" s="3">
        <f>[2]หน้าผ้า!DY582</f>
        <v>0</v>
      </c>
      <c r="AT573" s="3">
        <f>[2]หน้าผ้า!DZ582</f>
        <v>0</v>
      </c>
      <c r="AU573" s="3">
        <f>[2]หน้าผ้า!EA582</f>
        <v>0</v>
      </c>
      <c r="AV573" s="1">
        <f>[2]หน้าผ้า!EB582</f>
        <v>0</v>
      </c>
      <c r="AW573" s="2">
        <f>[2]หน้าผ้า!EC582</f>
        <v>0</v>
      </c>
      <c r="AX573" s="2">
        <f>[2]หน้าผ้า!ED582</f>
        <v>0</v>
      </c>
      <c r="AY573" s="2">
        <f>[2]หน้าผ้า!AG582</f>
        <v>0</v>
      </c>
      <c r="AZ573" s="2">
        <f>[2]หน้าผ้า!EG582</f>
        <v>0</v>
      </c>
      <c r="BA573" s="2">
        <f>[2]หน้าผ้า!EH582</f>
        <v>0</v>
      </c>
      <c r="BB573" s="2">
        <f>[2]หน้าผ้า!EI582</f>
        <v>0</v>
      </c>
      <c r="BC573" s="1">
        <f>[2]หน้าผ้า!BZ582</f>
        <v>0</v>
      </c>
      <c r="BD573" s="56">
        <f>[2]หน้าผ้า!CA582</f>
        <v>0</v>
      </c>
    </row>
    <row r="574" spans="1:56" ht="27.75" customHeight="1" x14ac:dyDescent="0.45">
      <c r="A574" s="3">
        <f>[2]หน้าผ้า!C583</f>
        <v>0</v>
      </c>
      <c r="B574" s="14">
        <f>[2]หน้าผ้า!B583</f>
        <v>0</v>
      </c>
      <c r="C574" s="9">
        <f>[2]หน้าผ้า!E583</f>
        <v>0</v>
      </c>
      <c r="D574" s="13">
        <f>[2]หน้าผ้า!F583</f>
        <v>0</v>
      </c>
      <c r="E574" s="9">
        <f>[2]หน้าผ้า!G583</f>
        <v>0</v>
      </c>
      <c r="F574" s="9">
        <f>[2]หน้าผ้า!H583</f>
        <v>0</v>
      </c>
      <c r="G574" s="9">
        <f>[2]หน้าผ้า!I583</f>
        <v>0</v>
      </c>
      <c r="H574" s="9">
        <f>[2]หน้าผ้า!J583</f>
        <v>0</v>
      </c>
      <c r="I574" s="9">
        <f>[2]หน้าผ้า!L583</f>
        <v>0</v>
      </c>
      <c r="J574" s="9">
        <f>[2]หน้าผ้า!M583</f>
        <v>0</v>
      </c>
      <c r="K574" s="9">
        <f>[2]หน้าผ้า!N583</f>
        <v>0</v>
      </c>
      <c r="L574" s="9">
        <f>[2]หน้าผ้า!R583</f>
        <v>0</v>
      </c>
      <c r="M574" s="10">
        <f>[2]หน้าผ้า!T583</f>
        <v>0</v>
      </c>
      <c r="N574" s="9">
        <f>[2]หน้าผ้า!U583</f>
        <v>0</v>
      </c>
      <c r="O574" s="9">
        <f>[2]หน้าผ้า!V583</f>
        <v>0</v>
      </c>
      <c r="P574" s="10">
        <f>[2]หน้าผ้า!AB583</f>
        <v>0</v>
      </c>
      <c r="Q574" s="10">
        <f>[2]หน้าผ้า!AC583</f>
        <v>0</v>
      </c>
      <c r="R574" s="10">
        <f>[2]หน้าผ้า!AD583</f>
        <v>0</v>
      </c>
      <c r="S574" s="9">
        <f>[2]หน้าผ้า!Z583</f>
        <v>0</v>
      </c>
      <c r="T574" s="12">
        <f>[2]หน้าผ้า!X583</f>
        <v>0</v>
      </c>
      <c r="U574" s="11">
        <f>[2]หน้าผ้า!AA583</f>
        <v>0</v>
      </c>
      <c r="V574" s="10">
        <f>[2]หน้าผ้า!AJ583</f>
        <v>0</v>
      </c>
      <c r="W574" s="10">
        <f>[2]หน้าผ้า!AL583</f>
        <v>0</v>
      </c>
      <c r="X574" s="10">
        <f>[2]หน้าผ้า!AM583</f>
        <v>0</v>
      </c>
      <c r="Y574" s="10">
        <f>[2]หน้าผ้า!AN583</f>
        <v>0</v>
      </c>
      <c r="Z574" s="9">
        <f>[2]หน้าผ้า!AO583</f>
        <v>0</v>
      </c>
      <c r="AA574" s="8">
        <f>[2]หน้าผ้า!AQ583</f>
        <v>0</v>
      </c>
      <c r="AB574" s="8">
        <f>[2]หน้าผ้า!AR583</f>
        <v>0</v>
      </c>
      <c r="AC574" s="8">
        <f>[2]หน้าผ้า!AS583</f>
        <v>0</v>
      </c>
      <c r="AD574" s="8">
        <f>[2]หน้าผ้า!AT583</f>
        <v>0</v>
      </c>
      <c r="AE574" s="8">
        <f>[2]หน้าผ้า!AU583</f>
        <v>0</v>
      </c>
      <c r="AF574" s="8">
        <f>[2]หน้าผ้า!AI583</f>
        <v>0</v>
      </c>
      <c r="AG574" s="1">
        <f>[3]หน้าผ้า!DC586</f>
        <v>0</v>
      </c>
      <c r="AH574" s="1">
        <f>[2]หน้าผ้า!DL583</f>
        <v>0</v>
      </c>
      <c r="AI574" s="1">
        <f>[2]หน้าผ้า!DM583</f>
        <v>0</v>
      </c>
      <c r="AJ574" s="3">
        <f>[2]หน้าผ้า!DN583</f>
        <v>0</v>
      </c>
      <c r="AK574" s="3">
        <f>[2]หน้าผ้า!DQ583</f>
        <v>0</v>
      </c>
      <c r="AL574" s="3">
        <f>[2]หน้าผ้า!DR583</f>
        <v>0</v>
      </c>
      <c r="AM574" s="3">
        <f>[2]หน้าผ้า!DS583</f>
        <v>0</v>
      </c>
      <c r="AN574" s="3">
        <f>[2]หน้าผ้า!DT583</f>
        <v>0</v>
      </c>
      <c r="AO574" s="3">
        <f>[2]หน้าผ้า!DU583</f>
        <v>0</v>
      </c>
      <c r="AP574" s="3">
        <f>[2]หน้าผ้า!DP583</f>
        <v>0</v>
      </c>
      <c r="AQ574" s="3">
        <f>[2]หน้าผ้า!DW583</f>
        <v>0</v>
      </c>
      <c r="AR574" s="3">
        <f>[2]หน้าผ้า!DX583</f>
        <v>0</v>
      </c>
      <c r="AS574" s="3">
        <f>[2]หน้าผ้า!DY583</f>
        <v>0</v>
      </c>
      <c r="AT574" s="3">
        <f>[2]หน้าผ้า!DZ583</f>
        <v>0</v>
      </c>
      <c r="AU574" s="3">
        <f>[2]หน้าผ้า!EA583</f>
        <v>0</v>
      </c>
      <c r="AV574" s="1">
        <f>[2]หน้าผ้า!EB583</f>
        <v>0</v>
      </c>
      <c r="AW574" s="2">
        <f>[2]หน้าผ้า!EC583</f>
        <v>0</v>
      </c>
      <c r="AX574" s="2">
        <f>[2]หน้าผ้า!ED583</f>
        <v>0</v>
      </c>
      <c r="AY574" s="2">
        <f>[2]หน้าผ้า!AG583</f>
        <v>0</v>
      </c>
      <c r="AZ574" s="2">
        <f>[2]หน้าผ้า!EG583</f>
        <v>0</v>
      </c>
      <c r="BA574" s="2">
        <f>[2]หน้าผ้า!EH583</f>
        <v>0</v>
      </c>
      <c r="BB574" s="2">
        <f>[2]หน้าผ้า!EI583</f>
        <v>0</v>
      </c>
      <c r="BC574" s="1">
        <f>[2]หน้าผ้า!BZ583</f>
        <v>0</v>
      </c>
      <c r="BD574" s="56">
        <f>[2]หน้าผ้า!CA583</f>
        <v>0</v>
      </c>
    </row>
    <row r="575" spans="1:56" ht="27.75" customHeight="1" x14ac:dyDescent="0.45">
      <c r="A575" s="3">
        <f>[2]หน้าผ้า!C584</f>
        <v>0</v>
      </c>
      <c r="B575" s="14">
        <f>[2]หน้าผ้า!B584</f>
        <v>0</v>
      </c>
      <c r="C575" s="9">
        <f>[2]หน้าผ้า!E584</f>
        <v>0</v>
      </c>
      <c r="D575" s="13">
        <f>[2]หน้าผ้า!F584</f>
        <v>0</v>
      </c>
      <c r="E575" s="9">
        <f>[2]หน้าผ้า!G584</f>
        <v>0</v>
      </c>
      <c r="F575" s="9">
        <f>[2]หน้าผ้า!H584</f>
        <v>0</v>
      </c>
      <c r="G575" s="9">
        <f>[2]หน้าผ้า!I584</f>
        <v>0</v>
      </c>
      <c r="H575" s="9">
        <f>[2]หน้าผ้า!J584</f>
        <v>0</v>
      </c>
      <c r="I575" s="9">
        <f>[2]หน้าผ้า!L584</f>
        <v>0</v>
      </c>
      <c r="J575" s="9">
        <f>[2]หน้าผ้า!M584</f>
        <v>0</v>
      </c>
      <c r="K575" s="9">
        <f>[2]หน้าผ้า!N584</f>
        <v>0</v>
      </c>
      <c r="L575" s="9">
        <f>[2]หน้าผ้า!R584</f>
        <v>0</v>
      </c>
      <c r="M575" s="10">
        <f>[2]หน้าผ้า!T584</f>
        <v>0</v>
      </c>
      <c r="N575" s="9">
        <f>[2]หน้าผ้า!U584</f>
        <v>0</v>
      </c>
      <c r="O575" s="9">
        <f>[2]หน้าผ้า!V584</f>
        <v>0</v>
      </c>
      <c r="P575" s="10">
        <f>[2]หน้าผ้า!AB584</f>
        <v>0</v>
      </c>
      <c r="Q575" s="10">
        <f>[2]หน้าผ้า!AC584</f>
        <v>0</v>
      </c>
      <c r="R575" s="10">
        <f>[2]หน้าผ้า!AD584</f>
        <v>0</v>
      </c>
      <c r="S575" s="9">
        <f>[2]หน้าผ้า!Z584</f>
        <v>0</v>
      </c>
      <c r="T575" s="12">
        <f>[2]หน้าผ้า!X584</f>
        <v>0</v>
      </c>
      <c r="U575" s="11">
        <f>[2]หน้าผ้า!AA584</f>
        <v>0</v>
      </c>
      <c r="V575" s="10">
        <f>[2]หน้าผ้า!AJ584</f>
        <v>0</v>
      </c>
      <c r="W575" s="10">
        <f>[2]หน้าผ้า!AL584</f>
        <v>0</v>
      </c>
      <c r="X575" s="10">
        <f>[2]หน้าผ้า!AM584</f>
        <v>0</v>
      </c>
      <c r="Y575" s="10">
        <f>[2]หน้าผ้า!AN584</f>
        <v>0</v>
      </c>
      <c r="Z575" s="9">
        <f>[2]หน้าผ้า!AO584</f>
        <v>0</v>
      </c>
      <c r="AA575" s="8">
        <f>[2]หน้าผ้า!AQ584</f>
        <v>0</v>
      </c>
      <c r="AB575" s="8">
        <f>[2]หน้าผ้า!AR584</f>
        <v>0</v>
      </c>
      <c r="AC575" s="8">
        <f>[2]หน้าผ้า!AS584</f>
        <v>0</v>
      </c>
      <c r="AD575" s="8">
        <f>[2]หน้าผ้า!AT584</f>
        <v>0</v>
      </c>
      <c r="AE575" s="8">
        <f>[2]หน้าผ้า!AU584</f>
        <v>0</v>
      </c>
      <c r="AF575" s="8">
        <f>[2]หน้าผ้า!AI584</f>
        <v>0</v>
      </c>
      <c r="AG575" s="1">
        <f>[3]หน้าผ้า!DC587</f>
        <v>0</v>
      </c>
      <c r="AH575" s="1">
        <f>[2]หน้าผ้า!DL584</f>
        <v>0</v>
      </c>
      <c r="AI575" s="1">
        <f>[2]หน้าผ้า!DM584</f>
        <v>0</v>
      </c>
      <c r="AJ575" s="3">
        <f>[2]หน้าผ้า!DN584</f>
        <v>0</v>
      </c>
      <c r="AK575" s="3">
        <f>[2]หน้าผ้า!DQ584</f>
        <v>0</v>
      </c>
      <c r="AL575" s="3">
        <f>[2]หน้าผ้า!DR584</f>
        <v>0</v>
      </c>
      <c r="AM575" s="3">
        <f>[2]หน้าผ้า!DS584</f>
        <v>0</v>
      </c>
      <c r="AN575" s="3">
        <f>[2]หน้าผ้า!DT584</f>
        <v>0</v>
      </c>
      <c r="AO575" s="3">
        <f>[2]หน้าผ้า!DU584</f>
        <v>0</v>
      </c>
      <c r="AP575" s="3">
        <f>[2]หน้าผ้า!DP584</f>
        <v>0</v>
      </c>
      <c r="AQ575" s="3">
        <f>[2]หน้าผ้า!DW584</f>
        <v>0</v>
      </c>
      <c r="AR575" s="3">
        <f>[2]หน้าผ้า!DX584</f>
        <v>0</v>
      </c>
      <c r="AS575" s="3">
        <f>[2]หน้าผ้า!DY584</f>
        <v>0</v>
      </c>
      <c r="AT575" s="3">
        <f>[2]หน้าผ้า!DZ584</f>
        <v>0</v>
      </c>
      <c r="AU575" s="3">
        <f>[2]หน้าผ้า!EA584</f>
        <v>0</v>
      </c>
      <c r="AV575" s="1">
        <f>[2]หน้าผ้า!EB584</f>
        <v>0</v>
      </c>
      <c r="AW575" s="2">
        <f>[2]หน้าผ้า!EC584</f>
        <v>0</v>
      </c>
      <c r="AX575" s="2">
        <f>[2]หน้าผ้า!ED584</f>
        <v>0</v>
      </c>
      <c r="AY575" s="2">
        <f>[2]หน้าผ้า!AG584</f>
        <v>0</v>
      </c>
      <c r="AZ575" s="2">
        <f>[2]หน้าผ้า!EG584</f>
        <v>0</v>
      </c>
      <c r="BA575" s="2">
        <f>[2]หน้าผ้า!EH584</f>
        <v>0</v>
      </c>
      <c r="BB575" s="2">
        <f>[2]หน้าผ้า!EI584</f>
        <v>0</v>
      </c>
      <c r="BC575" s="1">
        <f>[2]หน้าผ้า!BZ584</f>
        <v>0</v>
      </c>
      <c r="BD575" s="56">
        <f>[2]หน้าผ้า!CA584</f>
        <v>0</v>
      </c>
    </row>
  </sheetData>
  <autoFilter ref="A5:BD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575">
    <cfRule type="expression" dxfId="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93FC-382A-462D-A6F4-21924B6D69AC}">
  <sheetPr>
    <tabColor rgb="FFFFC000"/>
  </sheetPr>
  <dimension ref="A2:N135"/>
  <sheetViews>
    <sheetView zoomScale="80" zoomScaleNormal="80" workbookViewId="0">
      <selection activeCell="G9" sqref="G9"/>
    </sheetView>
  </sheetViews>
  <sheetFormatPr defaultRowHeight="14.25" x14ac:dyDescent="0.2"/>
  <cols>
    <col min="1" max="1" width="17.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19.875" bestFit="1" customWidth="1"/>
    <col min="9" max="9" width="17.375" customWidth="1"/>
    <col min="1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3" x14ac:dyDescent="0.2">
      <c r="A2" s="57" t="s">
        <v>43</v>
      </c>
      <c r="B2" t="s">
        <v>151</v>
      </c>
    </row>
    <row r="3" spans="1:13" x14ac:dyDescent="0.2">
      <c r="A3" s="57" t="s">
        <v>29</v>
      </c>
      <c r="B3" t="s">
        <v>151</v>
      </c>
    </row>
    <row r="4" spans="1:13" x14ac:dyDescent="0.2">
      <c r="A4" s="57" t="s">
        <v>42</v>
      </c>
      <c r="B4" t="s">
        <v>169</v>
      </c>
      <c r="C4"/>
    </row>
    <row r="5" spans="1:13" ht="20.25" customHeight="1" x14ac:dyDescent="0.2">
      <c r="C5"/>
      <c r="K5">
        <v>9</v>
      </c>
    </row>
    <row r="6" spans="1:13" ht="20.25" customHeight="1" x14ac:dyDescent="0.2">
      <c r="A6" s="57" t="s">
        <v>23</v>
      </c>
      <c r="B6" t="s">
        <v>150</v>
      </c>
      <c r="C6" t="s">
        <v>159</v>
      </c>
      <c r="D6" t="s">
        <v>152</v>
      </c>
      <c r="E6" t="s">
        <v>170</v>
      </c>
      <c r="F6" t="s">
        <v>154</v>
      </c>
      <c r="G6" t="s">
        <v>140</v>
      </c>
    </row>
    <row r="7" spans="1:13" ht="20.25" customHeight="1" x14ac:dyDescent="0.2">
      <c r="A7" t="s">
        <v>234</v>
      </c>
      <c r="B7" s="59">
        <v>5000</v>
      </c>
      <c r="C7" s="59">
        <v>5250</v>
      </c>
      <c r="D7" s="59">
        <v>5000</v>
      </c>
      <c r="E7" s="59">
        <v>3702.0499999999997</v>
      </c>
      <c r="F7" s="59">
        <v>3702.0499999999997</v>
      </c>
      <c r="G7" s="59">
        <v>0</v>
      </c>
      <c r="H7" s="59">
        <f>+J7-I7</f>
        <v>0</v>
      </c>
      <c r="J7" s="59">
        <f>G7</f>
        <v>0</v>
      </c>
    </row>
    <row r="8" spans="1:13" ht="20.25" customHeight="1" x14ac:dyDescent="0.2">
      <c r="A8" t="s">
        <v>172</v>
      </c>
      <c r="B8" s="59">
        <v>400000</v>
      </c>
      <c r="C8" s="59">
        <v>325500</v>
      </c>
      <c r="D8" s="59">
        <v>340500</v>
      </c>
      <c r="E8" s="59">
        <v>290156.90000000002</v>
      </c>
      <c r="F8" s="59">
        <v>49840.600000000006</v>
      </c>
      <c r="G8" s="59">
        <v>240316.30000000002</v>
      </c>
      <c r="H8" s="59">
        <f t="shared" ref="H8:H28" si="0">+J8-I8</f>
        <v>240316.30000000002</v>
      </c>
      <c r="J8" s="59">
        <f t="shared" ref="J8:J28" si="1">G8</f>
        <v>240316.30000000002</v>
      </c>
    </row>
    <row r="9" spans="1:13" ht="20.25" customHeight="1" x14ac:dyDescent="0.2">
      <c r="A9" t="s">
        <v>168</v>
      </c>
      <c r="B9" s="59">
        <v>150000</v>
      </c>
      <c r="C9" s="59">
        <v>157255.35</v>
      </c>
      <c r="D9" s="59">
        <v>149767</v>
      </c>
      <c r="E9" s="59">
        <v>132916.01432999998</v>
      </c>
      <c r="F9" s="59">
        <v>24047</v>
      </c>
      <c r="G9" s="59">
        <v>108869.01432999999</v>
      </c>
      <c r="H9" s="59">
        <f t="shared" si="0"/>
        <v>108869.01432999999</v>
      </c>
      <c r="J9" s="59">
        <f t="shared" si="1"/>
        <v>108869.01432999999</v>
      </c>
    </row>
    <row r="10" spans="1:13" ht="20.25" customHeight="1" x14ac:dyDescent="0.2">
      <c r="A10" t="s">
        <v>81</v>
      </c>
      <c r="B10" s="59">
        <v>132454</v>
      </c>
      <c r="C10" s="59">
        <v>61161.45</v>
      </c>
      <c r="D10" s="59">
        <v>100138</v>
      </c>
      <c r="E10" s="59">
        <v>60641.796737500001</v>
      </c>
      <c r="F10" s="59">
        <v>60641.796737500001</v>
      </c>
      <c r="G10" s="59">
        <v>0</v>
      </c>
      <c r="H10" s="59">
        <f t="shared" si="0"/>
        <v>0</v>
      </c>
      <c r="J10" s="59">
        <f t="shared" si="1"/>
        <v>0</v>
      </c>
    </row>
    <row r="11" spans="1:13" ht="20.25" customHeight="1" x14ac:dyDescent="0.2">
      <c r="A11" t="s">
        <v>80</v>
      </c>
      <c r="B11" s="59">
        <v>316880</v>
      </c>
      <c r="C11" s="59">
        <v>303450</v>
      </c>
      <c r="D11" s="59">
        <v>291287</v>
      </c>
      <c r="E11" s="59">
        <v>309365.65000000002</v>
      </c>
      <c r="F11" s="59">
        <v>57096.579999999994</v>
      </c>
      <c r="G11" s="59">
        <v>252269.07000000004</v>
      </c>
      <c r="H11" s="59">
        <f t="shared" si="0"/>
        <v>252269.07000000004</v>
      </c>
      <c r="J11" s="59">
        <f t="shared" si="1"/>
        <v>252269.07000000004</v>
      </c>
    </row>
    <row r="12" spans="1:13" ht="20.25" customHeight="1" x14ac:dyDescent="0.2">
      <c r="A12" t="s">
        <v>120</v>
      </c>
      <c r="B12" s="59">
        <v>152000</v>
      </c>
      <c r="C12" s="59">
        <v>124950</v>
      </c>
      <c r="D12" s="59">
        <v>119074</v>
      </c>
      <c r="E12" s="59">
        <v>128090.93000000001</v>
      </c>
      <c r="F12" s="59">
        <v>128090.93000000001</v>
      </c>
      <c r="G12" s="59">
        <v>0</v>
      </c>
      <c r="H12" s="59">
        <f t="shared" si="0"/>
        <v>0</v>
      </c>
      <c r="J12" s="59">
        <f t="shared" si="1"/>
        <v>0</v>
      </c>
      <c r="K12" s="58">
        <v>40000</v>
      </c>
      <c r="L12" s="58">
        <f>+K5*K12</f>
        <v>360000</v>
      </c>
      <c r="M12" s="59">
        <f>+L12-J12</f>
        <v>360000</v>
      </c>
    </row>
    <row r="13" spans="1:13" ht="20.25" customHeight="1" x14ac:dyDescent="0.2">
      <c r="A13" t="s">
        <v>83</v>
      </c>
      <c r="B13" s="59">
        <v>60000</v>
      </c>
      <c r="C13" s="59">
        <v>63000</v>
      </c>
      <c r="D13" s="59">
        <v>60000</v>
      </c>
      <c r="E13" s="59">
        <v>59512.200000000004</v>
      </c>
      <c r="F13" s="59">
        <v>27294</v>
      </c>
      <c r="G13" s="59">
        <v>32218.200000000004</v>
      </c>
      <c r="H13" s="59">
        <f t="shared" si="0"/>
        <v>32218.200000000004</v>
      </c>
      <c r="J13" s="59">
        <f t="shared" si="1"/>
        <v>32218.200000000004</v>
      </c>
      <c r="K13" s="58">
        <v>14000</v>
      </c>
      <c r="L13" s="58">
        <f>+K13*K5</f>
        <v>126000</v>
      </c>
      <c r="M13" s="59">
        <f>+L13-J13</f>
        <v>93781.799999999988</v>
      </c>
    </row>
    <row r="14" spans="1:13" ht="20.25" customHeight="1" x14ac:dyDescent="0.2">
      <c r="A14" t="s">
        <v>84</v>
      </c>
      <c r="B14" s="59">
        <v>13000</v>
      </c>
      <c r="C14" s="59">
        <v>8400</v>
      </c>
      <c r="D14" s="59">
        <v>11200</v>
      </c>
      <c r="E14" s="59">
        <v>13120.624</v>
      </c>
      <c r="F14" s="59">
        <v>3621.0239999999999</v>
      </c>
      <c r="G14" s="59">
        <v>9499.6</v>
      </c>
      <c r="H14" s="59">
        <f t="shared" si="0"/>
        <v>9499.6</v>
      </c>
      <c r="J14" s="59">
        <f t="shared" si="1"/>
        <v>9499.6</v>
      </c>
      <c r="K14" s="58"/>
      <c r="L14" s="58"/>
    </row>
    <row r="15" spans="1:13" ht="20.25" customHeight="1" x14ac:dyDescent="0.2">
      <c r="A15" t="s">
        <v>197</v>
      </c>
      <c r="B15" s="59">
        <v>10000</v>
      </c>
      <c r="C15" s="59">
        <v>0</v>
      </c>
      <c r="D15" s="59">
        <v>10000</v>
      </c>
      <c r="E15" s="59">
        <v>12433.3</v>
      </c>
      <c r="F15" s="59">
        <v>12433.3</v>
      </c>
      <c r="G15" s="59">
        <v>0</v>
      </c>
      <c r="H15" s="59">
        <f t="shared" si="0"/>
        <v>0</v>
      </c>
      <c r="J15" s="59">
        <f t="shared" si="1"/>
        <v>0</v>
      </c>
      <c r="K15" s="58">
        <v>20000</v>
      </c>
      <c r="L15" s="58">
        <f>+K15*K5</f>
        <v>180000</v>
      </c>
      <c r="M15" s="59">
        <f>+L15-J15</f>
        <v>180000</v>
      </c>
    </row>
    <row r="16" spans="1:13" ht="20.25" customHeight="1" x14ac:dyDescent="0.2">
      <c r="A16" t="s">
        <v>88</v>
      </c>
      <c r="B16" s="59">
        <v>90000</v>
      </c>
      <c r="C16" s="59">
        <v>59587.5</v>
      </c>
      <c r="D16" s="59">
        <v>90000</v>
      </c>
      <c r="E16" s="59">
        <v>109521.83137499998</v>
      </c>
      <c r="F16" s="59">
        <v>72221.931374999986</v>
      </c>
      <c r="G16" s="59">
        <v>37299.899999999994</v>
      </c>
      <c r="H16" s="59">
        <f t="shared" si="0"/>
        <v>37299.899999999994</v>
      </c>
      <c r="J16" s="59">
        <f t="shared" si="1"/>
        <v>37299.899999999994</v>
      </c>
    </row>
    <row r="17" spans="1:13" ht="20.25" customHeight="1" x14ac:dyDescent="0.2">
      <c r="A17" t="s">
        <v>127</v>
      </c>
      <c r="B17" s="59">
        <v>108000</v>
      </c>
      <c r="C17" s="59">
        <v>52500</v>
      </c>
      <c r="D17" s="59">
        <v>75159</v>
      </c>
      <c r="E17" s="59">
        <v>66147.95</v>
      </c>
      <c r="F17" s="59">
        <v>8265.4500000000007</v>
      </c>
      <c r="G17" s="59">
        <v>57882.5</v>
      </c>
      <c r="H17" s="59">
        <f t="shared" si="0"/>
        <v>57882.5</v>
      </c>
      <c r="J17" s="59">
        <f t="shared" si="1"/>
        <v>57882.5</v>
      </c>
    </row>
    <row r="18" spans="1:13" ht="20.25" customHeight="1" x14ac:dyDescent="0.2">
      <c r="A18" t="s">
        <v>96</v>
      </c>
      <c r="B18" s="59">
        <v>1437334</v>
      </c>
      <c r="C18" s="59">
        <v>1161054.2999999998</v>
      </c>
      <c r="D18" s="59">
        <v>1252125</v>
      </c>
      <c r="E18" s="59">
        <v>1185609.2464425</v>
      </c>
      <c r="F18" s="59">
        <v>447254.66211249999</v>
      </c>
      <c r="G18" s="59">
        <v>738354.58432999998</v>
      </c>
      <c r="H18" s="59">
        <f t="shared" si="0"/>
        <v>738354.58432999998</v>
      </c>
      <c r="J18" s="59">
        <f t="shared" si="1"/>
        <v>738354.58432999998</v>
      </c>
    </row>
    <row r="19" spans="1:13" ht="20.25" customHeight="1" x14ac:dyDescent="0.2">
      <c r="C19"/>
      <c r="H19" s="59">
        <v>0</v>
      </c>
      <c r="I19" s="59">
        <v>54000</v>
      </c>
      <c r="J19" s="59">
        <f t="shared" si="1"/>
        <v>0</v>
      </c>
    </row>
    <row r="20" spans="1:13" ht="20.25" customHeight="1" x14ac:dyDescent="0.2">
      <c r="C20"/>
      <c r="H20" s="59">
        <f t="shared" si="0"/>
        <v>0</v>
      </c>
      <c r="J20" s="59">
        <f t="shared" si="1"/>
        <v>0</v>
      </c>
    </row>
    <row r="21" spans="1:13" ht="20.25" customHeight="1" x14ac:dyDescent="0.2">
      <c r="C21"/>
      <c r="H21" s="59">
        <f t="shared" si="0"/>
        <v>0</v>
      </c>
      <c r="J21" s="59">
        <f t="shared" si="1"/>
        <v>0</v>
      </c>
    </row>
    <row r="22" spans="1:13" ht="20.25" customHeight="1" x14ac:dyDescent="0.2">
      <c r="C22"/>
      <c r="H22" s="59">
        <f t="shared" si="0"/>
        <v>0</v>
      </c>
      <c r="J22" s="59">
        <f t="shared" si="1"/>
        <v>0</v>
      </c>
    </row>
    <row r="23" spans="1:13" ht="20.25" customHeight="1" x14ac:dyDescent="0.2">
      <c r="C23"/>
      <c r="H23" s="59">
        <f t="shared" si="0"/>
        <v>0</v>
      </c>
      <c r="J23" s="59">
        <f t="shared" si="1"/>
        <v>0</v>
      </c>
    </row>
    <row r="24" spans="1:13" ht="20.25" customHeight="1" x14ac:dyDescent="0.2">
      <c r="C24"/>
      <c r="H24" s="59">
        <f t="shared" si="0"/>
        <v>0</v>
      </c>
      <c r="J24" s="59">
        <f t="shared" si="1"/>
        <v>0</v>
      </c>
    </row>
    <row r="25" spans="1:13" ht="20.25" customHeight="1" x14ac:dyDescent="0.2">
      <c r="C25"/>
      <c r="H25" s="59">
        <f t="shared" si="0"/>
        <v>0</v>
      </c>
      <c r="J25" s="59">
        <f t="shared" si="1"/>
        <v>0</v>
      </c>
    </row>
    <row r="26" spans="1:13" ht="20.25" customHeight="1" x14ac:dyDescent="0.2">
      <c r="C26"/>
      <c r="H26" s="59">
        <f t="shared" si="0"/>
        <v>0</v>
      </c>
      <c r="J26" s="59">
        <f t="shared" si="1"/>
        <v>0</v>
      </c>
    </row>
    <row r="27" spans="1:13" ht="20.25" customHeight="1" x14ac:dyDescent="0.2">
      <c r="C27"/>
      <c r="H27" s="59">
        <f t="shared" si="0"/>
        <v>0</v>
      </c>
      <c r="J27" s="59">
        <f t="shared" si="1"/>
        <v>0</v>
      </c>
    </row>
    <row r="28" spans="1:13" ht="20.25" customHeight="1" x14ac:dyDescent="0.2">
      <c r="C28"/>
      <c r="H28" s="59">
        <f t="shared" si="0"/>
        <v>0</v>
      </c>
      <c r="J28" s="59">
        <f t="shared" si="1"/>
        <v>0</v>
      </c>
      <c r="M28" s="59">
        <f>+GETPIVOTDATA("ผลรวม ของ ใช้",$A$6)+H29+H33</f>
        <v>2752318.4151025</v>
      </c>
    </row>
    <row r="29" spans="1:13" ht="20.25" customHeight="1" x14ac:dyDescent="0.2">
      <c r="C29"/>
      <c r="H29" s="59">
        <f>SUM(H7:H28)</f>
        <v>1476709.16866</v>
      </c>
      <c r="I29" s="59">
        <f t="shared" ref="I29:J29" si="2">SUM(I7:I28)</f>
        <v>54000</v>
      </c>
      <c r="J29" s="59">
        <f t="shared" si="2"/>
        <v>1476709.16866</v>
      </c>
    </row>
    <row r="30" spans="1:13" ht="20.25" customHeight="1" x14ac:dyDescent="0.2">
      <c r="C30"/>
    </row>
    <row r="31" spans="1:13" ht="20.25" customHeight="1" x14ac:dyDescent="0.2">
      <c r="C31"/>
    </row>
    <row r="32" spans="1:13" ht="20.25" customHeight="1" x14ac:dyDescent="0.2">
      <c r="C32"/>
      <c r="H32" s="59">
        <f>+H26</f>
        <v>0</v>
      </c>
      <c r="I32">
        <v>85</v>
      </c>
      <c r="J32" s="58">
        <f>+(H32+H29)*I32</f>
        <v>125520279.3361</v>
      </c>
      <c r="K32" s="58">
        <f>+J32/1000</f>
        <v>125520.27933609999</v>
      </c>
    </row>
    <row r="33" spans="1:14" ht="20.25" customHeight="1" x14ac:dyDescent="0.2">
      <c r="C33"/>
      <c r="H33" s="58">
        <v>90000</v>
      </c>
      <c r="I33" s="58">
        <v>95</v>
      </c>
      <c r="J33" s="58">
        <f>+H33*I33</f>
        <v>8550000</v>
      </c>
      <c r="K33" s="58">
        <f>+J33/1000</f>
        <v>8550</v>
      </c>
    </row>
    <row r="34" spans="1:14" ht="20.25" customHeight="1" x14ac:dyDescent="0.2">
      <c r="B34" s="59"/>
      <c r="C34" s="59"/>
      <c r="D34" s="59"/>
      <c r="E34" s="59"/>
      <c r="F34" s="59"/>
      <c r="G34" s="59"/>
    </row>
    <row r="35" spans="1:14" ht="20.25" customHeight="1" x14ac:dyDescent="0.2">
      <c r="B35" s="59"/>
      <c r="C35" s="59"/>
      <c r="D35" s="59"/>
      <c r="E35" s="59"/>
      <c r="F35" s="59"/>
      <c r="G35" s="59"/>
      <c r="H35" s="59">
        <f>+H32+H33+H29</f>
        <v>1566709.16866</v>
      </c>
      <c r="J35" s="59"/>
      <c r="K35" s="59">
        <f>+K32+K33</f>
        <v>134070.27933609998</v>
      </c>
    </row>
    <row r="36" spans="1:14" ht="20.25" customHeight="1" x14ac:dyDescent="0.2">
      <c r="B36" s="59"/>
      <c r="C36" s="59"/>
      <c r="D36" s="59"/>
      <c r="E36" s="59"/>
      <c r="F36" s="59"/>
      <c r="G36" s="59"/>
      <c r="N36">
        <v>705222</v>
      </c>
    </row>
    <row r="37" spans="1:14" ht="20.25" customHeight="1" x14ac:dyDescent="0.2">
      <c r="A37" t="s">
        <v>232</v>
      </c>
      <c r="B37" s="58">
        <v>1565717</v>
      </c>
      <c r="C37"/>
      <c r="D37" s="59"/>
      <c r="H37">
        <v>15</v>
      </c>
      <c r="I37" s="58">
        <f>+H35/H37</f>
        <v>104447.27791066667</v>
      </c>
    </row>
    <row r="38" spans="1:14" ht="20.25" customHeight="1" x14ac:dyDescent="0.2">
      <c r="C38"/>
      <c r="N38" s="59">
        <f>+H35+N36</f>
        <v>2271931.16866</v>
      </c>
    </row>
    <row r="39" spans="1:14" ht="20.25" customHeight="1" x14ac:dyDescent="0.2">
      <c r="B39" s="58"/>
      <c r="C39" s="63"/>
      <c r="D39" s="63"/>
      <c r="E39" s="63"/>
      <c r="F39" s="63"/>
      <c r="G39" s="58"/>
      <c r="I39" s="58">
        <f>+H37*110000</f>
        <v>1650000</v>
      </c>
    </row>
    <row r="40" spans="1:14" ht="20.25" customHeight="1" x14ac:dyDescent="0.2">
      <c r="C40"/>
    </row>
    <row r="41" spans="1:14" ht="20.25" customHeight="1" x14ac:dyDescent="0.2">
      <c r="B41" s="59">
        <f>+B29+B37+B31-110000</f>
        <v>1455717</v>
      </c>
      <c r="C41" s="59">
        <f>+C29+C37+C31</f>
        <v>0</v>
      </c>
      <c r="D41" s="59">
        <f>+D29+D37+D31-110000</f>
        <v>-110000</v>
      </c>
      <c r="E41" s="59">
        <f t="shared" ref="E41:F41" si="3">+E29+E37+E31</f>
        <v>0</v>
      </c>
      <c r="F41" s="59">
        <f t="shared" si="3"/>
        <v>0</v>
      </c>
      <c r="G41" s="59">
        <f>+G29+G37+G31</f>
        <v>0</v>
      </c>
      <c r="I41" s="63"/>
    </row>
    <row r="42" spans="1:14" ht="20.25" customHeight="1" x14ac:dyDescent="0.2">
      <c r="C42"/>
      <c r="F42" s="58"/>
      <c r="I42" s="60"/>
    </row>
    <row r="43" spans="1:14" ht="20.25" customHeight="1" x14ac:dyDescent="0.2">
      <c r="B43" s="59">
        <v>3218150</v>
      </c>
      <c r="C43"/>
      <c r="F43" s="59"/>
      <c r="I43" s="63"/>
      <c r="J43" s="60"/>
    </row>
    <row r="44" spans="1:14" ht="20.25" customHeight="1" x14ac:dyDescent="0.2">
      <c r="C44"/>
      <c r="I44" s="59"/>
    </row>
    <row r="45" spans="1:14" ht="20.25" customHeight="1" x14ac:dyDescent="0.2">
      <c r="B45" s="59">
        <f>+B43-B41</f>
        <v>1762433</v>
      </c>
      <c r="D45" s="58"/>
      <c r="E45" s="58"/>
      <c r="F45" s="58"/>
      <c r="G45" s="58"/>
      <c r="I45" s="65"/>
    </row>
    <row r="46" spans="1:14" ht="20.25" customHeight="1" x14ac:dyDescent="0.2">
      <c r="C46"/>
      <c r="F46" s="58"/>
      <c r="I46" s="60"/>
    </row>
    <row r="47" spans="1:14" ht="20.25" customHeight="1" x14ac:dyDescent="0.2">
      <c r="C47" s="59">
        <f>+C41/9</f>
        <v>0</v>
      </c>
      <c r="D47" s="59">
        <f>+D41/9</f>
        <v>-12222.222222222223</v>
      </c>
      <c r="F47" s="59"/>
      <c r="I47" s="60"/>
      <c r="J47" s="58"/>
      <c r="K47" s="67"/>
    </row>
    <row r="48" spans="1:14" ht="20.25" customHeight="1" x14ac:dyDescent="0.2">
      <c r="C48"/>
    </row>
    <row r="49" spans="3:6" ht="20.25" customHeight="1" x14ac:dyDescent="0.2">
      <c r="C49"/>
    </row>
    <row r="50" spans="3:6" ht="20.25" customHeight="1" x14ac:dyDescent="0.2">
      <c r="C50"/>
      <c r="D50" s="63"/>
      <c r="F50" s="63"/>
    </row>
    <row r="51" spans="3:6" ht="20.25" customHeight="1" x14ac:dyDescent="0.2">
      <c r="C51"/>
    </row>
    <row r="52" spans="3:6" ht="20.25" customHeight="1" x14ac:dyDescent="0.2">
      <c r="C52"/>
    </row>
    <row r="53" spans="3:6" ht="20.25" customHeight="1" x14ac:dyDescent="0.2">
      <c r="C53"/>
    </row>
    <row r="54" spans="3:6" ht="20.25" customHeight="1" x14ac:dyDescent="0.2">
      <c r="C54"/>
    </row>
    <row r="55" spans="3:6" ht="20.25" customHeight="1" x14ac:dyDescent="0.2">
      <c r="C55"/>
    </row>
    <row r="56" spans="3:6" ht="20.25" customHeight="1" x14ac:dyDescent="0.2">
      <c r="C56"/>
    </row>
    <row r="57" spans="3:6" ht="20.25" customHeight="1" x14ac:dyDescent="0.2">
      <c r="C57"/>
    </row>
    <row r="58" spans="3:6" ht="20.25" customHeight="1" x14ac:dyDescent="0.2">
      <c r="C58"/>
    </row>
    <row r="59" spans="3:6" ht="20.25" customHeight="1" x14ac:dyDescent="0.2">
      <c r="C59"/>
    </row>
    <row r="60" spans="3:6" ht="20.25" customHeight="1" x14ac:dyDescent="0.2">
      <c r="C60"/>
    </row>
    <row r="61" spans="3:6" ht="20.25" customHeight="1" x14ac:dyDescent="0.2">
      <c r="C61"/>
    </row>
    <row r="62" spans="3:6" ht="20.25" customHeight="1" x14ac:dyDescent="0.2">
      <c r="C62"/>
    </row>
    <row r="63" spans="3:6" ht="20.25" customHeight="1" x14ac:dyDescent="0.2">
      <c r="C63"/>
    </row>
    <row r="64" spans="3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D3C9-2A0A-41E6-A92F-1ECE59838FAF}">
  <sheetPr>
    <tabColor rgb="FFFFC000"/>
    <pageSetUpPr fitToPage="1"/>
  </sheetPr>
  <dimension ref="A2:K135"/>
  <sheetViews>
    <sheetView zoomScale="80" zoomScaleNormal="80" workbookViewId="0">
      <selection activeCell="F30" sqref="F30"/>
    </sheetView>
  </sheetViews>
  <sheetFormatPr defaultRowHeight="14.25" x14ac:dyDescent="0.2"/>
  <cols>
    <col min="1" max="1" width="17.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1" x14ac:dyDescent="0.2">
      <c r="A2" s="57" t="s">
        <v>43</v>
      </c>
      <c r="B2" t="s">
        <v>151</v>
      </c>
    </row>
    <row r="3" spans="1:11" x14ac:dyDescent="0.2">
      <c r="A3" s="57" t="s">
        <v>29</v>
      </c>
      <c r="B3" t="s">
        <v>151</v>
      </c>
    </row>
    <row r="4" spans="1:11" x14ac:dyDescent="0.2">
      <c r="A4" s="57" t="s">
        <v>42</v>
      </c>
      <c r="B4" t="s">
        <v>169</v>
      </c>
      <c r="C4"/>
    </row>
    <row r="5" spans="1:11" ht="20.25" customHeight="1" x14ac:dyDescent="0.2">
      <c r="C5"/>
    </row>
    <row r="6" spans="1:11" ht="20.25" customHeight="1" x14ac:dyDescent="0.2">
      <c r="A6" s="57" t="s">
        <v>23</v>
      </c>
      <c r="B6" t="s">
        <v>150</v>
      </c>
      <c r="C6" t="s">
        <v>159</v>
      </c>
      <c r="D6" t="s">
        <v>152</v>
      </c>
      <c r="E6" t="s">
        <v>170</v>
      </c>
      <c r="F6" t="s">
        <v>154</v>
      </c>
      <c r="G6" t="s">
        <v>140</v>
      </c>
    </row>
    <row r="7" spans="1:11" ht="16.5" customHeight="1" x14ac:dyDescent="0.2">
      <c r="A7" t="s">
        <v>386</v>
      </c>
      <c r="B7" s="59">
        <v>20000</v>
      </c>
      <c r="C7" s="59">
        <v>14978.25</v>
      </c>
      <c r="D7" s="59">
        <v>15000</v>
      </c>
      <c r="E7" s="59">
        <v>10719.841082499999</v>
      </c>
      <c r="F7" s="59">
        <v>0</v>
      </c>
      <c r="G7" s="59">
        <v>10719.841082499999</v>
      </c>
      <c r="I7" s="59">
        <f>+K7-J7</f>
        <v>10719.841082499999</v>
      </c>
      <c r="K7" s="59">
        <f>G7</f>
        <v>10719.841082499999</v>
      </c>
    </row>
    <row r="8" spans="1:11" ht="16.5" customHeight="1" x14ac:dyDescent="0.2">
      <c r="A8" t="s">
        <v>234</v>
      </c>
      <c r="B8" s="59">
        <v>5000</v>
      </c>
      <c r="C8" s="59">
        <v>5250</v>
      </c>
      <c r="D8" s="59">
        <v>5000</v>
      </c>
      <c r="E8" s="59">
        <v>3702.0499999999997</v>
      </c>
      <c r="F8" s="59">
        <v>3702.0499999999997</v>
      </c>
      <c r="G8" s="59">
        <v>0</v>
      </c>
      <c r="I8" s="59">
        <f t="shared" ref="I8:I25" si="0">+K8-J8</f>
        <v>0</v>
      </c>
      <c r="K8" s="59">
        <f t="shared" ref="K8:K25" si="1">G8</f>
        <v>0</v>
      </c>
    </row>
    <row r="9" spans="1:11" ht="16.5" customHeight="1" x14ac:dyDescent="0.2">
      <c r="A9" t="s">
        <v>424</v>
      </c>
      <c r="B9" s="59">
        <v>5000</v>
      </c>
      <c r="C9" s="59">
        <v>5250</v>
      </c>
      <c r="D9" s="59">
        <v>5000</v>
      </c>
      <c r="E9" s="59">
        <v>3841.7500000000005</v>
      </c>
      <c r="F9" s="59">
        <v>2000</v>
      </c>
      <c r="G9" s="59">
        <v>1841.7500000000005</v>
      </c>
      <c r="I9" s="59">
        <f t="shared" si="0"/>
        <v>1841.7500000000005</v>
      </c>
      <c r="K9" s="59">
        <f t="shared" si="1"/>
        <v>1841.7500000000005</v>
      </c>
    </row>
    <row r="10" spans="1:11" ht="16.5" customHeight="1" x14ac:dyDescent="0.2">
      <c r="A10" t="s">
        <v>172</v>
      </c>
      <c r="B10" s="59">
        <v>130000</v>
      </c>
      <c r="C10" s="59">
        <v>42000</v>
      </c>
      <c r="D10" s="59">
        <v>70500</v>
      </c>
      <c r="E10" s="59">
        <v>37439.600000000006</v>
      </c>
      <c r="F10" s="59">
        <v>37439.600000000006</v>
      </c>
      <c r="G10" s="59">
        <v>0</v>
      </c>
      <c r="I10" s="59">
        <f t="shared" si="0"/>
        <v>0</v>
      </c>
      <c r="K10" s="59">
        <f t="shared" si="1"/>
        <v>0</v>
      </c>
    </row>
    <row r="11" spans="1:11" ht="16.5" customHeight="1" x14ac:dyDescent="0.2">
      <c r="A11" t="s">
        <v>168</v>
      </c>
      <c r="B11" s="59">
        <v>90000</v>
      </c>
      <c r="C11" s="59">
        <v>94500</v>
      </c>
      <c r="D11" s="59">
        <v>90000</v>
      </c>
      <c r="E11" s="59">
        <v>79209.899999999994</v>
      </c>
      <c r="F11" s="59">
        <v>24047</v>
      </c>
      <c r="G11" s="59">
        <v>55162.899999999994</v>
      </c>
      <c r="I11" s="59">
        <f t="shared" si="0"/>
        <v>55162.899999999994</v>
      </c>
      <c r="K11" s="59">
        <f t="shared" si="1"/>
        <v>55162.899999999994</v>
      </c>
    </row>
    <row r="12" spans="1:11" ht="16.5" customHeight="1" x14ac:dyDescent="0.2">
      <c r="A12" t="s">
        <v>81</v>
      </c>
      <c r="B12" s="59">
        <v>132454</v>
      </c>
      <c r="C12" s="59">
        <v>61161.45</v>
      </c>
      <c r="D12" s="59">
        <v>100138</v>
      </c>
      <c r="E12" s="59">
        <v>60641.796737500001</v>
      </c>
      <c r="F12" s="59">
        <v>60641.796737500001</v>
      </c>
      <c r="G12" s="59">
        <v>0</v>
      </c>
      <c r="I12" s="59">
        <f t="shared" si="0"/>
        <v>0</v>
      </c>
      <c r="K12" s="59">
        <f t="shared" si="1"/>
        <v>0</v>
      </c>
    </row>
    <row r="13" spans="1:11" ht="16.5" customHeight="1" x14ac:dyDescent="0.2">
      <c r="A13" t="s">
        <v>80</v>
      </c>
      <c r="B13" s="59">
        <v>176880</v>
      </c>
      <c r="C13" s="59">
        <v>156450</v>
      </c>
      <c r="D13" s="59">
        <v>151287</v>
      </c>
      <c r="E13" s="59">
        <v>161004.25</v>
      </c>
      <c r="F13" s="59">
        <v>57096.579999999994</v>
      </c>
      <c r="G13" s="59">
        <v>103907.67</v>
      </c>
      <c r="I13" s="59">
        <f t="shared" si="0"/>
        <v>103907.67</v>
      </c>
      <c r="K13" s="59">
        <f t="shared" si="1"/>
        <v>103907.67</v>
      </c>
    </row>
    <row r="14" spans="1:11" ht="16.5" customHeight="1" x14ac:dyDescent="0.2">
      <c r="A14" t="s">
        <v>120</v>
      </c>
      <c r="B14" s="59">
        <v>52000</v>
      </c>
      <c r="C14" s="59">
        <v>19950</v>
      </c>
      <c r="D14" s="59">
        <v>19074</v>
      </c>
      <c r="E14" s="59">
        <v>20521.93</v>
      </c>
      <c r="F14" s="59">
        <v>20521.93</v>
      </c>
      <c r="G14" s="59">
        <v>0</v>
      </c>
      <c r="I14" s="59">
        <f t="shared" si="0"/>
        <v>0</v>
      </c>
      <c r="K14" s="59">
        <f t="shared" si="1"/>
        <v>0</v>
      </c>
    </row>
    <row r="15" spans="1:11" ht="16.5" customHeight="1" x14ac:dyDescent="0.2">
      <c r="A15" t="s">
        <v>418</v>
      </c>
      <c r="B15" s="59">
        <v>5000</v>
      </c>
      <c r="C15" s="59">
        <v>0</v>
      </c>
      <c r="D15" s="59">
        <v>0</v>
      </c>
      <c r="E15" s="59">
        <v>0</v>
      </c>
      <c r="F15" s="59">
        <v>0</v>
      </c>
      <c r="G15" s="59">
        <v>0</v>
      </c>
      <c r="I15" s="59">
        <f t="shared" si="0"/>
        <v>0</v>
      </c>
      <c r="K15" s="59">
        <f t="shared" si="1"/>
        <v>0</v>
      </c>
    </row>
    <row r="16" spans="1:11" ht="16.5" customHeight="1" x14ac:dyDescent="0.2">
      <c r="A16" t="s">
        <v>84</v>
      </c>
      <c r="B16" s="59">
        <v>5000</v>
      </c>
      <c r="C16" s="59">
        <v>0</v>
      </c>
      <c r="D16" s="59">
        <v>3200</v>
      </c>
      <c r="E16" s="59">
        <v>3621.0239999999999</v>
      </c>
      <c r="F16" s="59">
        <v>3621.0239999999999</v>
      </c>
      <c r="G16" s="59">
        <v>0</v>
      </c>
      <c r="I16" s="59">
        <f t="shared" si="0"/>
        <v>0</v>
      </c>
      <c r="K16" s="59">
        <f t="shared" si="1"/>
        <v>0</v>
      </c>
    </row>
    <row r="17" spans="1:11" ht="16.5" customHeight="1" x14ac:dyDescent="0.2">
      <c r="A17" t="s">
        <v>88</v>
      </c>
      <c r="B17" s="59">
        <v>90000</v>
      </c>
      <c r="C17" s="59">
        <v>59587.5</v>
      </c>
      <c r="D17" s="74">
        <v>90000</v>
      </c>
      <c r="E17" s="59">
        <v>109521.83137499998</v>
      </c>
      <c r="F17" s="59">
        <v>72221.931374999986</v>
      </c>
      <c r="G17" s="59">
        <v>37299.899999999994</v>
      </c>
      <c r="I17" s="59">
        <v>0</v>
      </c>
      <c r="J17" s="59">
        <v>54000</v>
      </c>
      <c r="K17" s="59">
        <f t="shared" si="1"/>
        <v>37299.899999999994</v>
      </c>
    </row>
    <row r="18" spans="1:11" ht="16.5" customHeight="1" x14ac:dyDescent="0.2">
      <c r="A18" t="s">
        <v>127</v>
      </c>
      <c r="B18" s="59">
        <v>53000</v>
      </c>
      <c r="C18" s="59">
        <v>0</v>
      </c>
      <c r="D18" s="59">
        <v>20159</v>
      </c>
      <c r="E18" s="59">
        <v>0</v>
      </c>
      <c r="F18" s="59">
        <v>0</v>
      </c>
      <c r="G18" s="59">
        <v>0</v>
      </c>
      <c r="I18" s="59">
        <f t="shared" si="0"/>
        <v>0</v>
      </c>
      <c r="K18" s="59">
        <f t="shared" si="1"/>
        <v>0</v>
      </c>
    </row>
    <row r="19" spans="1:11" ht="16.5" customHeight="1" x14ac:dyDescent="0.2">
      <c r="A19" t="s">
        <v>96</v>
      </c>
      <c r="B19" s="59">
        <v>764334</v>
      </c>
      <c r="C19" s="59">
        <v>459127.2</v>
      </c>
      <c r="D19" s="59">
        <v>569358</v>
      </c>
      <c r="E19" s="59">
        <v>490223.97319499997</v>
      </c>
      <c r="F19" s="59">
        <v>281291.91211249999</v>
      </c>
      <c r="G19" s="59">
        <v>208932.0610825</v>
      </c>
      <c r="I19" s="59">
        <f t="shared" si="0"/>
        <v>208932.0610825</v>
      </c>
      <c r="K19" s="59">
        <f t="shared" si="1"/>
        <v>208932.0610825</v>
      </c>
    </row>
    <row r="20" spans="1:11" ht="16.5" customHeight="1" x14ac:dyDescent="0.2">
      <c r="C20"/>
      <c r="I20" s="59">
        <f t="shared" si="0"/>
        <v>0</v>
      </c>
      <c r="K20" s="59">
        <f t="shared" si="1"/>
        <v>0</v>
      </c>
    </row>
    <row r="21" spans="1:11" ht="16.5" customHeight="1" x14ac:dyDescent="0.2">
      <c r="C21"/>
      <c r="I21" s="59">
        <f t="shared" si="0"/>
        <v>0</v>
      </c>
      <c r="K21" s="59">
        <f t="shared" si="1"/>
        <v>0</v>
      </c>
    </row>
    <row r="22" spans="1:11" ht="16.5" customHeight="1" x14ac:dyDescent="0.2">
      <c r="C22"/>
      <c r="I22" s="59">
        <f t="shared" si="0"/>
        <v>0</v>
      </c>
      <c r="K22" s="59">
        <f t="shared" si="1"/>
        <v>0</v>
      </c>
    </row>
    <row r="23" spans="1:11" ht="16.5" customHeight="1" x14ac:dyDescent="0.2">
      <c r="C23"/>
      <c r="I23" s="59">
        <f t="shared" si="0"/>
        <v>0</v>
      </c>
      <c r="K23" s="59">
        <f t="shared" si="1"/>
        <v>0</v>
      </c>
    </row>
    <row r="24" spans="1:11" ht="16.5" customHeight="1" x14ac:dyDescent="0.2">
      <c r="C24"/>
      <c r="I24" s="59">
        <f t="shared" si="0"/>
        <v>0</v>
      </c>
      <c r="K24" s="59">
        <f t="shared" si="1"/>
        <v>0</v>
      </c>
    </row>
    <row r="25" spans="1:11" ht="16.5" customHeight="1" x14ac:dyDescent="0.2">
      <c r="C25"/>
      <c r="I25" s="59">
        <f t="shared" si="0"/>
        <v>0</v>
      </c>
      <c r="K25" s="59">
        <f t="shared" si="1"/>
        <v>0</v>
      </c>
    </row>
    <row r="26" spans="1:11" ht="16.5" customHeight="1" x14ac:dyDescent="0.2">
      <c r="C26"/>
      <c r="I26" s="59">
        <f>SUM(I7:I25)</f>
        <v>380564.22216500004</v>
      </c>
      <c r="J26" s="59">
        <f t="shared" ref="J26:K26" si="2">SUM(J7:J25)</f>
        <v>54000</v>
      </c>
      <c r="K26" s="59">
        <f t="shared" si="2"/>
        <v>417864.12216500001</v>
      </c>
    </row>
    <row r="27" spans="1:11" ht="16.5" customHeight="1" x14ac:dyDescent="0.2">
      <c r="C27"/>
      <c r="J27" s="58"/>
    </row>
    <row r="28" spans="1:11" ht="16.5" customHeight="1" x14ac:dyDescent="0.2">
      <c r="C28"/>
    </row>
    <row r="29" spans="1:11" ht="16.5" customHeight="1" x14ac:dyDescent="0.2">
      <c r="C29"/>
    </row>
    <row r="30" spans="1:11" ht="16.5" customHeight="1" x14ac:dyDescent="0.2">
      <c r="C30"/>
    </row>
    <row r="31" spans="1:11" ht="16.5" customHeight="1" x14ac:dyDescent="0.2">
      <c r="C31"/>
    </row>
    <row r="32" spans="1:11" ht="16.5" customHeight="1" x14ac:dyDescent="0.2">
      <c r="C32"/>
    </row>
    <row r="33" spans="1:11" ht="16.5" customHeight="1" x14ac:dyDescent="0.2">
      <c r="C33"/>
    </row>
    <row r="34" spans="1:11" ht="16.5" customHeight="1" x14ac:dyDescent="0.2">
      <c r="C34"/>
      <c r="D34" s="59">
        <f>D18</f>
        <v>20159</v>
      </c>
    </row>
    <row r="35" spans="1:11" ht="16.5" customHeight="1" x14ac:dyDescent="0.2">
      <c r="B35" s="59"/>
      <c r="C35" s="59"/>
      <c r="D35" s="59"/>
      <c r="E35" s="59"/>
      <c r="F35" s="59"/>
      <c r="G35" s="59"/>
    </row>
    <row r="36" spans="1:11" ht="16.5" customHeight="1" x14ac:dyDescent="0.2">
      <c r="B36" s="59"/>
      <c r="C36" s="59"/>
      <c r="D36" s="59">
        <f t="shared" ref="D36" si="3">D20</f>
        <v>0</v>
      </c>
      <c r="E36" s="59"/>
      <c r="F36" s="59"/>
      <c r="G36" s="59"/>
    </row>
    <row r="37" spans="1:11" ht="20.25" customHeight="1" x14ac:dyDescent="0.2">
      <c r="A37" t="s">
        <v>245</v>
      </c>
      <c r="B37" s="58">
        <v>887615</v>
      </c>
      <c r="C37"/>
    </row>
    <row r="38" spans="1:11" ht="20.25" customHeight="1" x14ac:dyDescent="0.2">
      <c r="A38" t="s">
        <v>175</v>
      </c>
      <c r="B38" s="65">
        <f>++B25+B37</f>
        <v>887615</v>
      </c>
      <c r="C38"/>
    </row>
    <row r="39" spans="1:11" ht="20.25" customHeight="1" x14ac:dyDescent="0.2">
      <c r="A39" t="s">
        <v>135</v>
      </c>
      <c r="B39" s="58">
        <v>262000</v>
      </c>
      <c r="C39" s="58">
        <v>238350</v>
      </c>
      <c r="D39" s="58">
        <v>262000</v>
      </c>
      <c r="E39" s="58">
        <v>279847.04000000004</v>
      </c>
      <c r="F39" s="58">
        <v>60825.09</v>
      </c>
      <c r="G39" s="58">
        <v>219021.95</v>
      </c>
      <c r="J39" s="60"/>
      <c r="K39" s="60"/>
    </row>
    <row r="40" spans="1:11" ht="20.25" customHeight="1" x14ac:dyDescent="0.2">
      <c r="C40"/>
      <c r="J40" s="60"/>
    </row>
    <row r="41" spans="1:11" ht="20.25" customHeight="1" x14ac:dyDescent="0.2">
      <c r="A41" t="s">
        <v>180</v>
      </c>
      <c r="B41" s="59">
        <f>+B25+B37+B39+B33</f>
        <v>1149615</v>
      </c>
      <c r="C41" s="59">
        <f t="shared" ref="C41:G41" si="4">+C25+C37+C39+C33</f>
        <v>238350</v>
      </c>
      <c r="D41" s="59">
        <f t="shared" si="4"/>
        <v>262000</v>
      </c>
      <c r="E41" s="59">
        <f t="shared" si="4"/>
        <v>279847.04000000004</v>
      </c>
      <c r="F41" s="59">
        <f t="shared" si="4"/>
        <v>60825.09</v>
      </c>
      <c r="G41" s="59">
        <f t="shared" si="4"/>
        <v>219021.95</v>
      </c>
      <c r="I41" s="63"/>
      <c r="J41" s="60"/>
    </row>
    <row r="42" spans="1:11" ht="20.25" customHeight="1" x14ac:dyDescent="0.2">
      <c r="C42"/>
      <c r="I42" s="60"/>
    </row>
    <row r="43" spans="1:11" ht="20.25" customHeight="1" x14ac:dyDescent="0.2">
      <c r="B43" s="59">
        <v>3171376</v>
      </c>
      <c r="C43"/>
      <c r="F43" s="60"/>
      <c r="I43" s="60"/>
    </row>
    <row r="44" spans="1:11" ht="20.25" customHeight="1" x14ac:dyDescent="0.2">
      <c r="C44"/>
      <c r="I44" s="59"/>
    </row>
    <row r="45" spans="1:11" ht="20.25" customHeight="1" x14ac:dyDescent="0.2">
      <c r="B45" s="59">
        <f>+B41-B43</f>
        <v>-2021761</v>
      </c>
      <c r="C45" s="63">
        <f>+$B$45</f>
        <v>-2021761</v>
      </c>
      <c r="D45" s="63">
        <f t="shared" ref="D45" si="5">+$B$45</f>
        <v>-2021761</v>
      </c>
      <c r="E45" s="63"/>
      <c r="F45" s="63">
        <f>+$B$45</f>
        <v>-2021761</v>
      </c>
      <c r="G45" s="63"/>
    </row>
    <row r="46" spans="1:11" ht="20.25" customHeight="1" x14ac:dyDescent="0.2">
      <c r="C46"/>
      <c r="I46" s="60"/>
    </row>
    <row r="47" spans="1:11" ht="20.25" customHeight="1" x14ac:dyDescent="0.2">
      <c r="B47" s="65"/>
      <c r="C47" s="59"/>
      <c r="D47" s="59">
        <f>+D41/6</f>
        <v>43666.666666666664</v>
      </c>
      <c r="E47" s="59"/>
      <c r="F47" s="59"/>
      <c r="G47" s="59"/>
    </row>
    <row r="48" spans="1:11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0866141732283472" right="0.70866141732283472" top="0.74803149606299213" bottom="0.74803149606299213" header="0.31496062992125984" footer="0.31496062992125984"/>
  <pageSetup paperSize="9" scale="64"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0070-DF1A-4EDC-8089-2ED12DB3ED32}">
  <sheetPr>
    <tabColor rgb="FFFFC000"/>
    <pageSetUpPr fitToPage="1"/>
  </sheetPr>
  <dimension ref="A1:K168"/>
  <sheetViews>
    <sheetView zoomScale="85" zoomScaleNormal="85" workbookViewId="0">
      <selection activeCell="E12" sqref="E12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151</v>
      </c>
    </row>
    <row r="2" spans="1:11" x14ac:dyDescent="0.2">
      <c r="A2" s="57" t="s">
        <v>29</v>
      </c>
      <c r="B2" t="s">
        <v>151</v>
      </c>
    </row>
    <row r="4" spans="1:11" x14ac:dyDescent="0.2">
      <c r="A4" s="57" t="s">
        <v>23</v>
      </c>
      <c r="B4" s="57" t="s">
        <v>42</v>
      </c>
      <c r="C4" t="s">
        <v>150</v>
      </c>
      <c r="D4" t="s">
        <v>159</v>
      </c>
      <c r="E4" t="s">
        <v>152</v>
      </c>
      <c r="F4" t="s">
        <v>154</v>
      </c>
      <c r="G4" t="s">
        <v>140</v>
      </c>
      <c r="I4" t="s">
        <v>212</v>
      </c>
    </row>
    <row r="5" spans="1:11" ht="20.25" customHeight="1" x14ac:dyDescent="0.2">
      <c r="A5" t="s">
        <v>80</v>
      </c>
      <c r="B5" t="s">
        <v>107</v>
      </c>
      <c r="C5" s="59">
        <v>4000</v>
      </c>
      <c r="D5" s="59">
        <v>4200</v>
      </c>
      <c r="E5" s="59">
        <v>4000</v>
      </c>
      <c r="F5" s="59">
        <v>4414.5199999999995</v>
      </c>
      <c r="G5" s="59">
        <v>0</v>
      </c>
      <c r="H5" s="59">
        <f>G5</f>
        <v>0</v>
      </c>
    </row>
    <row r="6" spans="1:11" ht="20.25" customHeight="1" x14ac:dyDescent="0.2">
      <c r="B6" t="s">
        <v>79</v>
      </c>
      <c r="C6" s="59">
        <v>5000</v>
      </c>
      <c r="D6" s="59">
        <v>0</v>
      </c>
      <c r="E6" s="59">
        <v>527</v>
      </c>
      <c r="F6" s="59">
        <v>0</v>
      </c>
      <c r="G6" s="59">
        <v>0</v>
      </c>
      <c r="H6" s="59">
        <f t="shared" ref="H6:H65" si="0">G6</f>
        <v>0</v>
      </c>
    </row>
    <row r="7" spans="1:11" ht="20.25" customHeight="1" x14ac:dyDescent="0.2">
      <c r="A7" s="61" t="s">
        <v>153</v>
      </c>
      <c r="B7" s="61"/>
      <c r="C7" s="62">
        <v>9000</v>
      </c>
      <c r="D7" s="62">
        <v>4200</v>
      </c>
      <c r="E7" s="62">
        <v>4527</v>
      </c>
      <c r="F7" s="62">
        <v>4414.5199999999995</v>
      </c>
      <c r="G7" s="62">
        <v>0</v>
      </c>
      <c r="H7" s="59">
        <f t="shared" si="0"/>
        <v>0</v>
      </c>
    </row>
    <row r="8" spans="1:11" ht="20.25" customHeight="1" x14ac:dyDescent="0.2">
      <c r="A8" t="s">
        <v>120</v>
      </c>
      <c r="B8" t="s">
        <v>109</v>
      </c>
      <c r="C8" s="59">
        <v>16000</v>
      </c>
      <c r="D8" s="59">
        <v>16800</v>
      </c>
      <c r="E8" s="59">
        <v>16000</v>
      </c>
      <c r="F8" s="59">
        <v>17211.04</v>
      </c>
      <c r="G8" s="59">
        <v>0</v>
      </c>
      <c r="H8" s="59">
        <f t="shared" si="0"/>
        <v>0</v>
      </c>
    </row>
    <row r="9" spans="1:11" ht="20.25" customHeight="1" x14ac:dyDescent="0.2">
      <c r="B9" t="s">
        <v>107</v>
      </c>
      <c r="C9" s="59">
        <v>3000</v>
      </c>
      <c r="D9" s="59">
        <v>3150</v>
      </c>
      <c r="E9" s="59">
        <v>3000</v>
      </c>
      <c r="F9" s="59">
        <v>3310.89</v>
      </c>
      <c r="G9" s="59">
        <v>0</v>
      </c>
      <c r="H9" s="59">
        <f t="shared" si="0"/>
        <v>0</v>
      </c>
    </row>
    <row r="10" spans="1:11" ht="20.25" customHeight="1" x14ac:dyDescent="0.2">
      <c r="A10" s="61" t="s">
        <v>186</v>
      </c>
      <c r="B10" s="61"/>
      <c r="C10" s="62">
        <v>19000</v>
      </c>
      <c r="D10" s="62">
        <v>19950</v>
      </c>
      <c r="E10" s="62">
        <v>19000</v>
      </c>
      <c r="F10" s="62">
        <v>20521.93</v>
      </c>
      <c r="G10" s="62">
        <v>0</v>
      </c>
      <c r="H10" s="59">
        <f t="shared" si="0"/>
        <v>0</v>
      </c>
    </row>
    <row r="11" spans="1:11" ht="20.25" customHeight="1" x14ac:dyDescent="0.2">
      <c r="A11" t="s">
        <v>127</v>
      </c>
      <c r="B11" t="s">
        <v>147</v>
      </c>
      <c r="C11" s="59">
        <v>3000</v>
      </c>
      <c r="D11" s="59">
        <v>0</v>
      </c>
      <c r="E11" s="59">
        <v>159</v>
      </c>
      <c r="F11" s="59">
        <v>0</v>
      </c>
      <c r="G11" s="59">
        <v>0</v>
      </c>
      <c r="H11" s="59">
        <f t="shared" si="0"/>
        <v>0</v>
      </c>
    </row>
    <row r="12" spans="1:11" ht="20.25" customHeight="1" x14ac:dyDescent="0.2">
      <c r="A12" s="61" t="s">
        <v>231</v>
      </c>
      <c r="B12" s="61"/>
      <c r="C12" s="62">
        <v>3000</v>
      </c>
      <c r="D12" s="62">
        <v>0</v>
      </c>
      <c r="E12" s="62">
        <v>159</v>
      </c>
      <c r="F12" s="62">
        <v>0</v>
      </c>
      <c r="G12" s="62">
        <v>0</v>
      </c>
      <c r="H12" s="59">
        <f t="shared" si="0"/>
        <v>0</v>
      </c>
      <c r="I12" s="66"/>
    </row>
    <row r="13" spans="1:11" ht="20.25" customHeight="1" x14ac:dyDescent="0.2">
      <c r="A13" t="s">
        <v>96</v>
      </c>
      <c r="C13" s="59">
        <v>31000</v>
      </c>
      <c r="D13" s="59">
        <v>24150</v>
      </c>
      <c r="E13" s="59">
        <v>23686</v>
      </c>
      <c r="F13" s="59">
        <v>24936.45</v>
      </c>
      <c r="G13" s="59">
        <v>0</v>
      </c>
      <c r="H13" s="59">
        <f t="shared" si="0"/>
        <v>0</v>
      </c>
    </row>
    <row r="14" spans="1:11" ht="20.25" customHeight="1" x14ac:dyDescent="0.2">
      <c r="C14"/>
      <c r="H14" s="59">
        <f t="shared" si="0"/>
        <v>0</v>
      </c>
    </row>
    <row r="15" spans="1:11" ht="20.25" customHeight="1" x14ac:dyDescent="0.2">
      <c r="C15"/>
      <c r="H15" s="59">
        <f t="shared" si="0"/>
        <v>0</v>
      </c>
      <c r="I15" s="63"/>
      <c r="J15" s="63"/>
      <c r="K15" s="60"/>
    </row>
    <row r="16" spans="1:11" ht="20.25" customHeight="1" x14ac:dyDescent="0.2">
      <c r="C16"/>
      <c r="H16" s="59">
        <f t="shared" si="0"/>
        <v>0</v>
      </c>
    </row>
    <row r="17" spans="3:8" ht="20.25" customHeight="1" x14ac:dyDescent="0.2">
      <c r="C17"/>
      <c r="H17" s="59">
        <f t="shared" si="0"/>
        <v>0</v>
      </c>
    </row>
    <row r="18" spans="3:8" ht="20.25" customHeight="1" x14ac:dyDescent="0.2">
      <c r="C18"/>
      <c r="H18" s="59">
        <f t="shared" si="0"/>
        <v>0</v>
      </c>
    </row>
    <row r="19" spans="3:8" ht="20.25" customHeight="1" x14ac:dyDescent="0.2">
      <c r="C19"/>
      <c r="H19" s="59">
        <f t="shared" si="0"/>
        <v>0</v>
      </c>
    </row>
    <row r="20" spans="3:8" ht="20.25" customHeight="1" x14ac:dyDescent="0.2">
      <c r="C20"/>
      <c r="H20" s="59">
        <f t="shared" si="0"/>
        <v>0</v>
      </c>
    </row>
    <row r="21" spans="3:8" ht="20.25" customHeight="1" x14ac:dyDescent="0.2">
      <c r="C21"/>
      <c r="H21" s="59">
        <f t="shared" si="0"/>
        <v>0</v>
      </c>
    </row>
    <row r="22" spans="3:8" ht="20.25" customHeight="1" x14ac:dyDescent="0.2">
      <c r="C22"/>
      <c r="H22" s="59">
        <f t="shared" si="0"/>
        <v>0</v>
      </c>
    </row>
    <row r="23" spans="3:8" ht="20.25" customHeight="1" x14ac:dyDescent="0.2">
      <c r="C23"/>
      <c r="H23" s="59">
        <f t="shared" si="0"/>
        <v>0</v>
      </c>
    </row>
    <row r="24" spans="3:8" ht="20.25" customHeight="1" x14ac:dyDescent="0.2">
      <c r="C24"/>
      <c r="H24" s="59">
        <f t="shared" si="0"/>
        <v>0</v>
      </c>
    </row>
    <row r="25" spans="3:8" ht="20.25" customHeight="1" x14ac:dyDescent="0.2">
      <c r="C25"/>
      <c r="H25" s="59">
        <f t="shared" si="0"/>
        <v>0</v>
      </c>
    </row>
    <row r="26" spans="3:8" ht="20.25" customHeight="1" x14ac:dyDescent="0.2">
      <c r="C26"/>
      <c r="H26" s="59">
        <f t="shared" si="0"/>
        <v>0</v>
      </c>
    </row>
    <row r="27" spans="3:8" ht="20.25" customHeight="1" x14ac:dyDescent="0.2">
      <c r="C27"/>
      <c r="H27" s="59">
        <f t="shared" si="0"/>
        <v>0</v>
      </c>
    </row>
    <row r="28" spans="3:8" ht="20.25" customHeight="1" x14ac:dyDescent="0.2">
      <c r="C28"/>
      <c r="H28" s="59">
        <f t="shared" si="0"/>
        <v>0</v>
      </c>
    </row>
    <row r="29" spans="3:8" ht="20.25" customHeight="1" x14ac:dyDescent="0.2">
      <c r="C29"/>
      <c r="H29" s="59">
        <f t="shared" si="0"/>
        <v>0</v>
      </c>
    </row>
    <row r="30" spans="3:8" ht="20.25" customHeight="1" x14ac:dyDescent="0.2">
      <c r="C30"/>
      <c r="H30" s="59">
        <f t="shared" si="0"/>
        <v>0</v>
      </c>
    </row>
    <row r="31" spans="3:8" ht="20.25" customHeight="1" x14ac:dyDescent="0.2">
      <c r="C31"/>
      <c r="H31" s="59">
        <f t="shared" si="0"/>
        <v>0</v>
      </c>
    </row>
    <row r="32" spans="3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>
        <f t="shared" si="0"/>
        <v>0</v>
      </c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>
        <f t="shared" si="0"/>
        <v>0</v>
      </c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>
        <f t="shared" si="0"/>
        <v>0</v>
      </c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>
        <f t="shared" si="0"/>
        <v>0</v>
      </c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>
        <f t="shared" si="0"/>
        <v>0</v>
      </c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>
        <f t="shared" si="0"/>
        <v>0</v>
      </c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>
        <f t="shared" si="0"/>
        <v>0</v>
      </c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>
        <f t="shared" si="0"/>
        <v>0</v>
      </c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/>
    </row>
    <row r="68" spans="3:8" ht="20.25" customHeight="1" x14ac:dyDescent="0.2">
      <c r="C68"/>
      <c r="H68" s="59"/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0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160</v>
      </c>
      <c r="E119" t="s">
        <v>161</v>
      </c>
      <c r="F119" t="s">
        <v>157</v>
      </c>
      <c r="G119" t="s">
        <v>162</v>
      </c>
      <c r="I119" t="s">
        <v>166</v>
      </c>
    </row>
    <row r="120" spans="1:10" x14ac:dyDescent="0.2">
      <c r="B120" s="64" t="s">
        <v>156</v>
      </c>
      <c r="C120" t="s">
        <v>155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164</v>
      </c>
      <c r="B122">
        <v>20700</v>
      </c>
      <c r="C122" s="58">
        <v>424374</v>
      </c>
    </row>
    <row r="123" spans="1:10" x14ac:dyDescent="0.2">
      <c r="A123" s="64" t="s">
        <v>164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163</v>
      </c>
      <c r="D126" t="s">
        <v>167</v>
      </c>
      <c r="E126" t="s">
        <v>167</v>
      </c>
      <c r="F126" t="s">
        <v>165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158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K168"/>
  <sheetViews>
    <sheetView zoomScale="85" zoomScaleNormal="85" workbookViewId="0">
      <selection activeCell="D11" sqref="D11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135</v>
      </c>
    </row>
    <row r="2" spans="1:11" x14ac:dyDescent="0.2">
      <c r="A2" s="57" t="s">
        <v>29</v>
      </c>
      <c r="B2" t="s">
        <v>151</v>
      </c>
      <c r="D2">
        <v>12</v>
      </c>
    </row>
    <row r="4" spans="1:11" x14ac:dyDescent="0.2">
      <c r="A4" s="57" t="s">
        <v>23</v>
      </c>
      <c r="B4" s="57" t="s">
        <v>42</v>
      </c>
      <c r="C4" t="s">
        <v>150</v>
      </c>
      <c r="D4" t="s">
        <v>159</v>
      </c>
      <c r="E4" t="s">
        <v>152</v>
      </c>
      <c r="F4" t="s">
        <v>170</v>
      </c>
      <c r="G4" t="s">
        <v>154</v>
      </c>
      <c r="H4" t="s">
        <v>140</v>
      </c>
    </row>
    <row r="5" spans="1:11" ht="20.25" customHeight="1" x14ac:dyDescent="0.2">
      <c r="A5" t="s">
        <v>172</v>
      </c>
      <c r="B5" t="s">
        <v>73</v>
      </c>
      <c r="C5" s="59">
        <v>270000</v>
      </c>
      <c r="D5" s="59">
        <v>283500</v>
      </c>
      <c r="E5" s="59">
        <v>270000</v>
      </c>
      <c r="F5" s="59">
        <v>252717.30000000002</v>
      </c>
      <c r="G5" s="59">
        <v>12401</v>
      </c>
      <c r="H5" s="59">
        <v>240316.30000000002</v>
      </c>
      <c r="I5" s="59"/>
    </row>
    <row r="6" spans="1:11" ht="20.25" customHeight="1" x14ac:dyDescent="0.2">
      <c r="A6" s="61" t="s">
        <v>227</v>
      </c>
      <c r="B6" s="61"/>
      <c r="C6" s="62">
        <v>270000</v>
      </c>
      <c r="D6" s="62">
        <v>283500</v>
      </c>
      <c r="E6" s="62">
        <v>270000</v>
      </c>
      <c r="F6" s="62">
        <v>252717.30000000002</v>
      </c>
      <c r="G6" s="62">
        <v>12401</v>
      </c>
      <c r="H6" s="62">
        <v>240316.30000000002</v>
      </c>
    </row>
    <row r="7" spans="1:11" ht="20.25" customHeight="1" x14ac:dyDescent="0.2">
      <c r="A7" t="s">
        <v>168</v>
      </c>
      <c r="B7" t="s">
        <v>204</v>
      </c>
      <c r="C7" s="59">
        <v>20000</v>
      </c>
      <c r="D7" s="59">
        <v>20755.350000000002</v>
      </c>
      <c r="E7" s="59">
        <v>19767</v>
      </c>
      <c r="F7" s="59">
        <v>18501.714330000003</v>
      </c>
      <c r="G7" s="59">
        <v>0</v>
      </c>
      <c r="H7" s="59">
        <v>18501.714330000003</v>
      </c>
      <c r="I7" s="59"/>
      <c r="J7" s="59"/>
      <c r="K7" s="59"/>
    </row>
    <row r="8" spans="1:11" ht="20.25" customHeight="1" x14ac:dyDescent="0.2">
      <c r="B8" t="s">
        <v>237</v>
      </c>
      <c r="C8" s="59">
        <v>40000</v>
      </c>
      <c r="D8" s="59">
        <v>42000</v>
      </c>
      <c r="E8" s="59">
        <v>40000</v>
      </c>
      <c r="F8" s="59">
        <v>35204.400000000001</v>
      </c>
      <c r="G8" s="59">
        <v>0</v>
      </c>
      <c r="H8" s="59">
        <v>35204.400000000001</v>
      </c>
      <c r="J8" s="59"/>
      <c r="K8" s="59"/>
    </row>
    <row r="9" spans="1:11" ht="20.25" customHeight="1" x14ac:dyDescent="0.2">
      <c r="A9" s="61" t="s">
        <v>228</v>
      </c>
      <c r="B9" s="61"/>
      <c r="C9" s="62">
        <v>60000</v>
      </c>
      <c r="D9" s="62">
        <v>62755.350000000006</v>
      </c>
      <c r="E9" s="62">
        <v>59767</v>
      </c>
      <c r="F9" s="62">
        <v>53706.114330000004</v>
      </c>
      <c r="G9" s="62">
        <v>0</v>
      </c>
      <c r="H9" s="62">
        <v>53706.114330000004</v>
      </c>
      <c r="I9" s="59"/>
    </row>
    <row r="10" spans="1:11" ht="20.25" customHeight="1" x14ac:dyDescent="0.2">
      <c r="A10" t="s">
        <v>80</v>
      </c>
      <c r="B10" t="s">
        <v>97</v>
      </c>
      <c r="C10" s="59">
        <v>20000</v>
      </c>
      <c r="D10" s="59">
        <v>21000</v>
      </c>
      <c r="E10" s="59">
        <v>20000</v>
      </c>
      <c r="F10" s="59">
        <v>21513.800000000003</v>
      </c>
      <c r="G10" s="59">
        <v>0</v>
      </c>
      <c r="H10" s="59">
        <v>21513.800000000003</v>
      </c>
    </row>
    <row r="11" spans="1:11" ht="20.25" customHeight="1" x14ac:dyDescent="0.2">
      <c r="B11" t="s">
        <v>139</v>
      </c>
      <c r="C11" s="59">
        <v>100000</v>
      </c>
      <c r="D11" s="59">
        <v>105000</v>
      </c>
      <c r="E11" s="59">
        <v>100000</v>
      </c>
      <c r="F11" s="59">
        <v>104775.00000000001</v>
      </c>
      <c r="G11" s="59">
        <v>0</v>
      </c>
      <c r="H11" s="59">
        <v>104775.00000000001</v>
      </c>
      <c r="I11" s="59"/>
    </row>
    <row r="12" spans="1:11" ht="20.25" customHeight="1" x14ac:dyDescent="0.2">
      <c r="B12" t="s">
        <v>79</v>
      </c>
      <c r="C12" s="59">
        <v>20000</v>
      </c>
      <c r="D12" s="59">
        <v>21000</v>
      </c>
      <c r="E12" s="59">
        <v>20000</v>
      </c>
      <c r="F12" s="59">
        <v>22072.6</v>
      </c>
      <c r="G12" s="59">
        <v>0</v>
      </c>
      <c r="H12" s="59">
        <v>22072.6</v>
      </c>
      <c r="I12" s="59"/>
    </row>
    <row r="13" spans="1:11" ht="20.25" customHeight="1" x14ac:dyDescent="0.2">
      <c r="A13" s="61" t="s">
        <v>153</v>
      </c>
      <c r="B13" s="61"/>
      <c r="C13" s="62">
        <v>140000</v>
      </c>
      <c r="D13" s="62">
        <v>147000</v>
      </c>
      <c r="E13" s="62">
        <v>140000</v>
      </c>
      <c r="F13" s="62">
        <v>148361.40000000002</v>
      </c>
      <c r="G13" s="62">
        <v>0</v>
      </c>
      <c r="H13" s="62">
        <v>148361.40000000002</v>
      </c>
    </row>
    <row r="14" spans="1:11" ht="20.25" customHeight="1" x14ac:dyDescent="0.2">
      <c r="A14" t="s">
        <v>120</v>
      </c>
      <c r="B14" t="s">
        <v>111</v>
      </c>
      <c r="C14" s="59">
        <v>100000</v>
      </c>
      <c r="D14" s="59">
        <v>105000</v>
      </c>
      <c r="E14" s="59">
        <v>100000</v>
      </c>
      <c r="F14" s="59">
        <v>107569.00000000001</v>
      </c>
      <c r="G14" s="59">
        <v>107569.00000000001</v>
      </c>
      <c r="H14" s="59">
        <v>0</v>
      </c>
      <c r="I14" s="59"/>
    </row>
    <row r="15" spans="1:11" ht="20.25" customHeight="1" x14ac:dyDescent="0.2">
      <c r="A15" s="61" t="s">
        <v>186</v>
      </c>
      <c r="B15" s="61"/>
      <c r="C15" s="62">
        <v>100000</v>
      </c>
      <c r="D15" s="62">
        <v>105000</v>
      </c>
      <c r="E15" s="62">
        <v>100000</v>
      </c>
      <c r="F15" s="62">
        <v>107569.00000000001</v>
      </c>
      <c r="G15" s="62">
        <v>107569.00000000001</v>
      </c>
      <c r="H15" s="62">
        <v>0</v>
      </c>
    </row>
    <row r="16" spans="1:11" ht="20.25" customHeight="1" x14ac:dyDescent="0.2">
      <c r="A16" t="s">
        <v>83</v>
      </c>
      <c r="B16" t="s">
        <v>216</v>
      </c>
      <c r="C16" s="59">
        <v>30000</v>
      </c>
      <c r="D16" s="59">
        <v>31500</v>
      </c>
      <c r="E16" s="59">
        <v>30000</v>
      </c>
      <c r="F16" s="59">
        <v>29756.100000000002</v>
      </c>
      <c r="G16" s="59">
        <v>27294</v>
      </c>
      <c r="H16" s="59">
        <v>2462.1000000000022</v>
      </c>
      <c r="I16" s="59"/>
    </row>
    <row r="17" spans="1:9" ht="20.25" customHeight="1" x14ac:dyDescent="0.2">
      <c r="B17" t="s">
        <v>221</v>
      </c>
      <c r="C17" s="59">
        <v>30000</v>
      </c>
      <c r="D17" s="59">
        <v>31500</v>
      </c>
      <c r="E17" s="59">
        <v>30000</v>
      </c>
      <c r="F17" s="59">
        <v>29756.100000000002</v>
      </c>
      <c r="G17" s="59">
        <v>0</v>
      </c>
      <c r="H17" s="59">
        <v>29756.100000000002</v>
      </c>
      <c r="I17" s="59"/>
    </row>
    <row r="18" spans="1:9" ht="20.25" customHeight="1" x14ac:dyDescent="0.2">
      <c r="A18" s="61" t="s">
        <v>230</v>
      </c>
      <c r="B18" s="61"/>
      <c r="C18" s="62">
        <v>60000</v>
      </c>
      <c r="D18" s="62">
        <v>63000</v>
      </c>
      <c r="E18" s="62">
        <v>60000</v>
      </c>
      <c r="F18" s="62">
        <v>59512.200000000004</v>
      </c>
      <c r="G18" s="62">
        <v>27294</v>
      </c>
      <c r="H18" s="62">
        <v>32218.200000000004</v>
      </c>
      <c r="I18" s="59"/>
    </row>
    <row r="19" spans="1:9" ht="20.25" customHeight="1" x14ac:dyDescent="0.2">
      <c r="A19" t="s">
        <v>84</v>
      </c>
      <c r="B19" t="s">
        <v>179</v>
      </c>
      <c r="C19" s="59">
        <v>8000</v>
      </c>
      <c r="D19" s="59">
        <v>8400</v>
      </c>
      <c r="E19" s="59">
        <v>8000</v>
      </c>
      <c r="F19" s="59">
        <v>9499.6</v>
      </c>
      <c r="G19" s="59">
        <v>0</v>
      </c>
      <c r="H19" s="59">
        <v>9499.6</v>
      </c>
      <c r="I19" s="59"/>
    </row>
    <row r="20" spans="1:9" ht="20.25" customHeight="1" x14ac:dyDescent="0.2">
      <c r="A20" s="61" t="s">
        <v>190</v>
      </c>
      <c r="B20" s="61"/>
      <c r="C20" s="62">
        <v>8000</v>
      </c>
      <c r="D20" s="62">
        <v>8400</v>
      </c>
      <c r="E20" s="62">
        <v>8000</v>
      </c>
      <c r="F20" s="62">
        <v>9499.6</v>
      </c>
      <c r="G20" s="62">
        <v>0</v>
      </c>
      <c r="H20" s="62">
        <v>9499.6</v>
      </c>
      <c r="I20" s="59"/>
    </row>
    <row r="21" spans="1:9" ht="20.25" customHeight="1" x14ac:dyDescent="0.2">
      <c r="A21" t="s">
        <v>197</v>
      </c>
      <c r="B21" t="s">
        <v>109</v>
      </c>
      <c r="C21" s="59">
        <v>10000</v>
      </c>
      <c r="D21" s="59">
        <v>0</v>
      </c>
      <c r="E21" s="59">
        <v>10000</v>
      </c>
      <c r="F21" s="59">
        <v>12433.3</v>
      </c>
      <c r="G21" s="59">
        <v>12433.3</v>
      </c>
      <c r="H21" s="59">
        <v>0</v>
      </c>
      <c r="I21" s="59"/>
    </row>
    <row r="22" spans="1:9" ht="20.25" customHeight="1" x14ac:dyDescent="0.2">
      <c r="A22" s="61" t="s">
        <v>200</v>
      </c>
      <c r="B22" s="61"/>
      <c r="C22" s="62">
        <v>10000</v>
      </c>
      <c r="D22" s="62">
        <v>0</v>
      </c>
      <c r="E22" s="62">
        <v>10000</v>
      </c>
      <c r="F22" s="62">
        <v>12433.3</v>
      </c>
      <c r="G22" s="62">
        <v>12433.3</v>
      </c>
      <c r="H22" s="62">
        <v>0</v>
      </c>
      <c r="I22" s="59"/>
    </row>
    <row r="23" spans="1:9" ht="20.25" customHeight="1" x14ac:dyDescent="0.2">
      <c r="A23" t="s">
        <v>127</v>
      </c>
      <c r="B23" t="s">
        <v>109</v>
      </c>
      <c r="C23" s="59">
        <v>5000</v>
      </c>
      <c r="D23" s="59">
        <v>0</v>
      </c>
      <c r="E23" s="59">
        <v>5000</v>
      </c>
      <c r="F23" s="59">
        <v>6775.4500000000007</v>
      </c>
      <c r="G23" s="59">
        <v>6775.4500000000007</v>
      </c>
      <c r="H23" s="59">
        <v>0</v>
      </c>
      <c r="I23" s="59"/>
    </row>
    <row r="24" spans="1:9" ht="20.25" customHeight="1" x14ac:dyDescent="0.2">
      <c r="A24" s="61" t="s">
        <v>231</v>
      </c>
      <c r="B24" s="61"/>
      <c r="C24" s="62">
        <v>5000</v>
      </c>
      <c r="D24" s="62">
        <v>0</v>
      </c>
      <c r="E24" s="62">
        <v>5000</v>
      </c>
      <c r="F24" s="62">
        <v>6775.4500000000007</v>
      </c>
      <c r="G24" s="62">
        <v>6775.4500000000007</v>
      </c>
      <c r="H24" s="62">
        <v>0</v>
      </c>
      <c r="I24" s="59"/>
    </row>
    <row r="25" spans="1:9" ht="20.25" customHeight="1" x14ac:dyDescent="0.2">
      <c r="A25" t="s">
        <v>96</v>
      </c>
      <c r="C25" s="59">
        <v>653000</v>
      </c>
      <c r="D25" s="59">
        <v>669655.35</v>
      </c>
      <c r="E25" s="59">
        <v>652767</v>
      </c>
      <c r="F25" s="59">
        <v>650574.36433000001</v>
      </c>
      <c r="G25" s="59">
        <v>166472.75</v>
      </c>
      <c r="H25" s="59">
        <v>484101.61432999995</v>
      </c>
      <c r="I25" s="59"/>
    </row>
    <row r="26" spans="1:9" ht="20.25" customHeight="1" x14ac:dyDescent="0.2">
      <c r="C26"/>
      <c r="I26" s="59"/>
    </row>
    <row r="27" spans="1:9" ht="20.25" customHeight="1" x14ac:dyDescent="0.2">
      <c r="C27"/>
      <c r="I27" s="59"/>
    </row>
    <row r="28" spans="1:9" ht="20.25" customHeight="1" x14ac:dyDescent="0.2">
      <c r="C28"/>
      <c r="I28" s="59"/>
    </row>
    <row r="29" spans="1:9" ht="20.25" customHeight="1" x14ac:dyDescent="0.2">
      <c r="C29"/>
      <c r="I29" s="59"/>
    </row>
    <row r="30" spans="1:9" ht="20.25" customHeight="1" x14ac:dyDescent="0.2">
      <c r="C30"/>
    </row>
    <row r="31" spans="1:9" ht="20.25" customHeight="1" x14ac:dyDescent="0.2">
      <c r="C31"/>
      <c r="I31" s="59"/>
    </row>
    <row r="32" spans="1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59"/>
      <c r="D97" s="59"/>
      <c r="E97" s="59"/>
      <c r="F97" s="59"/>
      <c r="G97" s="59"/>
    </row>
    <row r="98" spans="3:7" ht="20.25" customHeight="1" x14ac:dyDescent="0.2">
      <c r="C98" s="59"/>
      <c r="D98" s="59"/>
      <c r="E98" s="59"/>
      <c r="F98" s="59"/>
      <c r="G98" s="59"/>
    </row>
    <row r="99" spans="3:7" ht="20.25" customHeight="1" x14ac:dyDescent="0.2">
      <c r="C99" s="59"/>
      <c r="D99" s="59"/>
      <c r="E99" s="59"/>
      <c r="F99" s="59"/>
      <c r="G99" s="59"/>
    </row>
    <row r="100" spans="3:7" ht="20.25" customHeight="1" x14ac:dyDescent="0.2">
      <c r="C100" s="59"/>
      <c r="D100" s="59"/>
      <c r="E100" s="59"/>
      <c r="F100" s="59"/>
      <c r="G100" s="59"/>
    </row>
    <row r="101" spans="3:7" ht="20.25" customHeight="1" x14ac:dyDescent="0.2">
      <c r="C101" s="59"/>
      <c r="D101" s="59"/>
      <c r="E101" s="59"/>
      <c r="F101" s="59"/>
      <c r="G101" s="59"/>
    </row>
    <row r="102" spans="3:7" ht="20.25" customHeight="1" x14ac:dyDescent="0.2">
      <c r="C102" s="59"/>
      <c r="D102" s="59"/>
      <c r="E102" s="59"/>
      <c r="F102" s="59"/>
      <c r="G102" s="59"/>
    </row>
    <row r="103" spans="3:7" ht="20.25" customHeight="1" x14ac:dyDescent="0.2">
      <c r="C103" s="59"/>
      <c r="D103" s="59"/>
      <c r="E103" s="59"/>
      <c r="F103" s="59"/>
      <c r="G103" s="59"/>
    </row>
    <row r="104" spans="3:7" ht="20.25" customHeight="1" x14ac:dyDescent="0.2">
      <c r="C104" s="59"/>
      <c r="D104" s="59"/>
      <c r="E104" s="59"/>
      <c r="F104" s="59"/>
      <c r="G104" s="59"/>
    </row>
    <row r="105" spans="3:7" ht="20.25" customHeight="1" x14ac:dyDescent="0.2">
      <c r="C105" s="59"/>
      <c r="D105" s="59"/>
      <c r="E105" s="59"/>
      <c r="F105" s="59"/>
      <c r="G105" s="59"/>
    </row>
    <row r="106" spans="3:7" ht="20.25" customHeight="1" x14ac:dyDescent="0.2">
      <c r="C106" s="59"/>
      <c r="D106" s="59"/>
      <c r="E106" s="59"/>
      <c r="F106" s="59"/>
      <c r="G106" s="59"/>
    </row>
    <row r="107" spans="3:7" ht="20.25" customHeight="1" x14ac:dyDescent="0.2">
      <c r="C107" s="59"/>
      <c r="D107" s="59"/>
      <c r="E107" s="59"/>
      <c r="F107" s="59"/>
      <c r="G107" s="59"/>
    </row>
    <row r="108" spans="3:7" ht="20.25" customHeight="1" x14ac:dyDescent="0.2">
      <c r="C108" s="59"/>
      <c r="D108" s="59"/>
      <c r="E108" s="59"/>
      <c r="F108" s="59"/>
      <c r="G108" s="59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160</v>
      </c>
      <c r="E119" t="s">
        <v>161</v>
      </c>
      <c r="F119" t="s">
        <v>157</v>
      </c>
      <c r="G119" t="s">
        <v>162</v>
      </c>
      <c r="I119" t="s">
        <v>166</v>
      </c>
    </row>
    <row r="120" spans="1:10" x14ac:dyDescent="0.2">
      <c r="B120" s="64" t="s">
        <v>156</v>
      </c>
      <c r="C120" t="s">
        <v>155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164</v>
      </c>
      <c r="B122">
        <v>20700</v>
      </c>
      <c r="C122" s="58">
        <v>424374</v>
      </c>
    </row>
    <row r="123" spans="1:10" x14ac:dyDescent="0.2">
      <c r="A123" s="64" t="s">
        <v>164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163</v>
      </c>
      <c r="D126" t="s">
        <v>167</v>
      </c>
      <c r="E126" t="s">
        <v>167</v>
      </c>
      <c r="F126" t="s">
        <v>165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158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79A7-EE7B-4996-B1B7-8146A2B6125D}">
  <sheetPr>
    <tabColor rgb="FF00B050"/>
    <pageSetUpPr fitToPage="1"/>
  </sheetPr>
  <dimension ref="A1:Q168"/>
  <sheetViews>
    <sheetView topLeftCell="A13" zoomScale="85" zoomScaleNormal="85" workbookViewId="0">
      <selection activeCell="K25" sqref="K25"/>
    </sheetView>
  </sheetViews>
  <sheetFormatPr defaultRowHeight="14.25" x14ac:dyDescent="0.2"/>
  <cols>
    <col min="1" max="1" width="35.375" customWidth="1"/>
    <col min="2" max="2" width="22.3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9" width="19" customWidth="1"/>
    <col min="10" max="10" width="14.375" customWidth="1"/>
    <col min="11" max="11" width="19.625" bestFit="1" customWidth="1"/>
    <col min="12" max="12" width="6.375" customWidth="1"/>
    <col min="13" max="13" width="19.625" bestFit="1" customWidth="1"/>
    <col min="14" max="15" width="3.125" customWidth="1"/>
    <col min="16" max="126" width="19.625" bestFit="1" customWidth="1"/>
    <col min="127" max="127" width="26.25" bestFit="1" customWidth="1"/>
    <col min="128" max="128" width="25.875" bestFit="1" customWidth="1"/>
    <col min="129" max="129" width="24" bestFit="1" customWidth="1"/>
    <col min="130" max="130" width="23.5" bestFit="1" customWidth="1"/>
    <col min="131" max="131" width="24.125" bestFit="1" customWidth="1"/>
    <col min="132" max="136" width="19.625" bestFit="1" customWidth="1"/>
    <col min="137" max="137" width="26.25" bestFit="1" customWidth="1"/>
    <col min="138" max="138" width="25.875" bestFit="1" customWidth="1"/>
    <col min="139" max="139" width="24" bestFit="1" customWidth="1"/>
    <col min="140" max="140" width="23.5" bestFit="1" customWidth="1"/>
    <col min="141" max="141" width="24.125" bestFit="1" customWidth="1"/>
  </cols>
  <sheetData>
    <row r="1" spans="1:17" x14ac:dyDescent="0.2">
      <c r="A1" s="57" t="s">
        <v>43</v>
      </c>
      <c r="B1" t="s">
        <v>151</v>
      </c>
    </row>
    <row r="2" spans="1:17" x14ac:dyDescent="0.2">
      <c r="A2" s="57" t="s">
        <v>29</v>
      </c>
      <c r="B2" t="s">
        <v>151</v>
      </c>
      <c r="D2">
        <v>12</v>
      </c>
      <c r="I2" t="s">
        <v>207</v>
      </c>
      <c r="J2" t="s">
        <v>212</v>
      </c>
      <c r="K2" t="s">
        <v>206</v>
      </c>
      <c r="P2" t="s">
        <v>208</v>
      </c>
    </row>
    <row r="4" spans="1:17" x14ac:dyDescent="0.2">
      <c r="A4" s="57" t="s">
        <v>23</v>
      </c>
      <c r="B4" s="57" t="s">
        <v>42</v>
      </c>
      <c r="C4" t="s">
        <v>150</v>
      </c>
      <c r="D4" t="s">
        <v>159</v>
      </c>
      <c r="E4" t="s">
        <v>152</v>
      </c>
      <c r="F4" t="s">
        <v>170</v>
      </c>
      <c r="G4" t="s">
        <v>154</v>
      </c>
      <c r="H4" t="s">
        <v>140</v>
      </c>
    </row>
    <row r="5" spans="1:17" ht="20.25" customHeight="1" x14ac:dyDescent="0.2">
      <c r="A5" t="s">
        <v>172</v>
      </c>
      <c r="B5" t="s">
        <v>73</v>
      </c>
      <c r="C5" s="59">
        <v>215000</v>
      </c>
      <c r="D5" s="59">
        <v>57750</v>
      </c>
      <c r="E5" s="59">
        <v>155000</v>
      </c>
      <c r="F5" s="59">
        <v>99396.550000000017</v>
      </c>
      <c r="G5" s="59">
        <v>99396.550000000017</v>
      </c>
      <c r="H5" s="59">
        <v>0</v>
      </c>
      <c r="I5" s="59">
        <f>H5</f>
        <v>0</v>
      </c>
    </row>
    <row r="6" spans="1:17" ht="20.25" customHeight="1" x14ac:dyDescent="0.2">
      <c r="A6" s="61" t="s">
        <v>227</v>
      </c>
      <c r="B6" s="61"/>
      <c r="C6" s="62">
        <v>215000</v>
      </c>
      <c r="D6" s="62">
        <v>57750</v>
      </c>
      <c r="E6" s="62">
        <v>155000</v>
      </c>
      <c r="F6" s="62">
        <v>99396.550000000017</v>
      </c>
      <c r="G6" s="62">
        <v>99396.550000000017</v>
      </c>
      <c r="H6" s="62">
        <v>0</v>
      </c>
      <c r="I6" s="59"/>
    </row>
    <row r="7" spans="1:17" ht="20.25" customHeight="1" x14ac:dyDescent="0.2">
      <c r="A7" t="s">
        <v>112</v>
      </c>
      <c r="B7" t="s">
        <v>139</v>
      </c>
      <c r="C7" s="59">
        <v>10080</v>
      </c>
      <c r="D7" s="59">
        <v>10584</v>
      </c>
      <c r="E7" s="59">
        <v>10080</v>
      </c>
      <c r="F7" s="59">
        <v>10138.867200000001</v>
      </c>
      <c r="G7" s="59">
        <v>5139.8424000000005</v>
      </c>
      <c r="H7" s="59">
        <v>4999.0247999999992</v>
      </c>
      <c r="I7" s="59">
        <f t="shared" ref="I7:I68" si="0">H7</f>
        <v>4999.0247999999992</v>
      </c>
      <c r="J7" s="59"/>
    </row>
    <row r="8" spans="1:17" ht="20.25" customHeight="1" x14ac:dyDescent="0.2">
      <c r="A8" s="61" t="s">
        <v>279</v>
      </c>
      <c r="B8" s="61"/>
      <c r="C8" s="62">
        <v>10080</v>
      </c>
      <c r="D8" s="62">
        <v>10584</v>
      </c>
      <c r="E8" s="62">
        <v>10080</v>
      </c>
      <c r="F8" s="62">
        <v>10138.867200000001</v>
      </c>
      <c r="G8" s="62">
        <v>5139.8424000000005</v>
      </c>
      <c r="H8" s="62">
        <v>4999.0247999999992</v>
      </c>
      <c r="I8" s="59">
        <f t="shared" si="0"/>
        <v>4999.0247999999992</v>
      </c>
      <c r="J8" s="59"/>
    </row>
    <row r="9" spans="1:17" ht="20.25" customHeight="1" x14ac:dyDescent="0.2">
      <c r="A9" t="s">
        <v>168</v>
      </c>
      <c r="B9" t="s">
        <v>278</v>
      </c>
      <c r="C9" s="59">
        <v>5800</v>
      </c>
      <c r="D9" s="59">
        <v>0</v>
      </c>
      <c r="E9" s="59">
        <v>0</v>
      </c>
      <c r="F9" s="59">
        <v>0</v>
      </c>
      <c r="G9" s="59">
        <v>0</v>
      </c>
      <c r="H9" s="59">
        <v>0</v>
      </c>
      <c r="I9" s="59">
        <f t="shared" si="0"/>
        <v>0</v>
      </c>
    </row>
    <row r="10" spans="1:17" ht="20.25" customHeight="1" x14ac:dyDescent="0.2">
      <c r="A10" s="61" t="s">
        <v>228</v>
      </c>
      <c r="B10" s="61"/>
      <c r="C10" s="62">
        <v>5800</v>
      </c>
      <c r="D10" s="62">
        <v>0</v>
      </c>
      <c r="E10" s="62">
        <v>0</v>
      </c>
      <c r="F10" s="62">
        <v>0</v>
      </c>
      <c r="G10" s="62">
        <v>0</v>
      </c>
      <c r="H10" s="62">
        <v>0</v>
      </c>
      <c r="I10" s="59">
        <f t="shared" si="0"/>
        <v>0</v>
      </c>
    </row>
    <row r="11" spans="1:17" ht="20.25" customHeight="1" x14ac:dyDescent="0.2">
      <c r="A11" t="s">
        <v>138</v>
      </c>
      <c r="B11" t="s">
        <v>343</v>
      </c>
      <c r="C11" s="59">
        <v>5000</v>
      </c>
      <c r="D11" s="59">
        <v>0</v>
      </c>
      <c r="E11" s="59">
        <v>0</v>
      </c>
      <c r="F11" s="59">
        <v>0</v>
      </c>
      <c r="G11" s="59">
        <v>0</v>
      </c>
      <c r="H11" s="59">
        <v>0</v>
      </c>
      <c r="I11" s="59"/>
    </row>
    <row r="12" spans="1:17" ht="20.25" customHeight="1" x14ac:dyDescent="0.2">
      <c r="A12" s="61" t="s">
        <v>350</v>
      </c>
      <c r="B12" s="61"/>
      <c r="C12" s="62">
        <v>5000</v>
      </c>
      <c r="D12" s="62">
        <v>0</v>
      </c>
      <c r="E12" s="62">
        <v>0</v>
      </c>
      <c r="F12" s="62">
        <v>0</v>
      </c>
      <c r="G12" s="62">
        <v>0</v>
      </c>
      <c r="H12" s="62">
        <v>0</v>
      </c>
      <c r="I12" s="59">
        <f t="shared" si="0"/>
        <v>0</v>
      </c>
    </row>
    <row r="13" spans="1:17" ht="20.25" customHeight="1" x14ac:dyDescent="0.2">
      <c r="A13" t="s">
        <v>81</v>
      </c>
      <c r="B13" t="s">
        <v>85</v>
      </c>
      <c r="C13" s="59">
        <v>103000</v>
      </c>
      <c r="D13" s="59">
        <v>0</v>
      </c>
      <c r="E13" s="59">
        <v>2000</v>
      </c>
      <c r="F13" s="59">
        <v>0</v>
      </c>
      <c r="G13" s="59">
        <v>0</v>
      </c>
      <c r="H13" s="59">
        <v>0</v>
      </c>
      <c r="I13" s="59"/>
    </row>
    <row r="14" spans="1:17" ht="20.25" customHeight="1" x14ac:dyDescent="0.2">
      <c r="B14" t="s">
        <v>139</v>
      </c>
      <c r="C14" s="59">
        <v>80393</v>
      </c>
      <c r="D14" s="59">
        <v>21155.4</v>
      </c>
      <c r="E14" s="59">
        <v>50393</v>
      </c>
      <c r="F14" s="59">
        <v>22144.982062499999</v>
      </c>
      <c r="G14" s="59">
        <v>22144.982062499999</v>
      </c>
      <c r="H14" s="59">
        <v>0</v>
      </c>
      <c r="I14" s="59">
        <f t="shared" si="0"/>
        <v>0</v>
      </c>
      <c r="J14" s="63"/>
      <c r="K14" s="68"/>
      <c r="L14" s="68"/>
      <c r="M14" s="68"/>
      <c r="P14" s="60">
        <v>15000</v>
      </c>
      <c r="Q14" s="60">
        <f>+K14/P14</f>
        <v>0</v>
      </c>
    </row>
    <row r="15" spans="1:17" ht="20.25" customHeight="1" x14ac:dyDescent="0.2">
      <c r="A15" s="61" t="s">
        <v>229</v>
      </c>
      <c r="B15" s="61"/>
      <c r="C15" s="62">
        <v>183393</v>
      </c>
      <c r="D15" s="62">
        <v>21155.4</v>
      </c>
      <c r="E15" s="62">
        <v>52393</v>
      </c>
      <c r="F15" s="62">
        <v>22144.982062499999</v>
      </c>
      <c r="G15" s="62">
        <v>22144.982062499999</v>
      </c>
      <c r="H15" s="62">
        <v>0</v>
      </c>
      <c r="I15" s="59"/>
    </row>
    <row r="16" spans="1:17" ht="20.25" customHeight="1" x14ac:dyDescent="0.2">
      <c r="A16" t="s">
        <v>80</v>
      </c>
      <c r="B16" t="s">
        <v>139</v>
      </c>
      <c r="C16" s="59">
        <v>91933</v>
      </c>
      <c r="D16" s="59">
        <v>86964.150000000009</v>
      </c>
      <c r="E16" s="59">
        <v>91933</v>
      </c>
      <c r="F16" s="59">
        <v>87478.166737500011</v>
      </c>
      <c r="G16" s="59">
        <v>42098.067837500006</v>
      </c>
      <c r="H16" s="59">
        <v>45380.098900000005</v>
      </c>
      <c r="I16" s="59">
        <f t="shared" si="0"/>
        <v>45380.098900000005</v>
      </c>
    </row>
    <row r="17" spans="1:17" ht="20.25" customHeight="1" x14ac:dyDescent="0.2">
      <c r="B17" t="s">
        <v>107</v>
      </c>
      <c r="C17" s="59">
        <v>14000</v>
      </c>
      <c r="D17" s="59">
        <v>0</v>
      </c>
      <c r="E17" s="59">
        <v>10000</v>
      </c>
      <c r="F17" s="59">
        <v>0</v>
      </c>
      <c r="G17" s="59">
        <v>0</v>
      </c>
      <c r="H17" s="59">
        <v>0</v>
      </c>
      <c r="I17" s="59">
        <f t="shared" si="0"/>
        <v>0</v>
      </c>
    </row>
    <row r="18" spans="1:17" ht="20.25" customHeight="1" x14ac:dyDescent="0.2">
      <c r="B18" t="s">
        <v>267</v>
      </c>
      <c r="C18" s="59">
        <v>20000</v>
      </c>
      <c r="D18" s="59">
        <v>0</v>
      </c>
      <c r="E18" s="59">
        <v>0</v>
      </c>
      <c r="F18" s="59">
        <v>0</v>
      </c>
      <c r="G18" s="59">
        <v>0</v>
      </c>
      <c r="H18" s="59">
        <v>0</v>
      </c>
      <c r="I18" s="59">
        <f t="shared" si="0"/>
        <v>0</v>
      </c>
      <c r="K18" s="59"/>
      <c r="L18" s="59"/>
      <c r="M18" s="59"/>
    </row>
    <row r="19" spans="1:17" ht="20.25" customHeight="1" x14ac:dyDescent="0.2">
      <c r="B19" t="s">
        <v>352</v>
      </c>
      <c r="C19" s="59">
        <v>8000</v>
      </c>
      <c r="D19" s="59">
        <v>8400</v>
      </c>
      <c r="E19" s="59">
        <v>8000</v>
      </c>
      <c r="F19" s="59">
        <v>8605.52</v>
      </c>
      <c r="G19" s="59">
        <v>8605.52</v>
      </c>
      <c r="H19" s="59">
        <v>0</v>
      </c>
      <c r="I19" s="59">
        <f t="shared" si="0"/>
        <v>0</v>
      </c>
      <c r="K19" s="59"/>
      <c r="L19" s="59"/>
      <c r="M19" s="59"/>
    </row>
    <row r="20" spans="1:17" ht="20.25" customHeight="1" x14ac:dyDescent="0.2">
      <c r="A20" s="61" t="s">
        <v>153</v>
      </c>
      <c r="B20" s="61"/>
      <c r="C20" s="62">
        <v>133933</v>
      </c>
      <c r="D20" s="62">
        <v>95364.150000000009</v>
      </c>
      <c r="E20" s="62">
        <v>109933</v>
      </c>
      <c r="F20" s="62">
        <v>96083.686737500015</v>
      </c>
      <c r="G20" s="62">
        <v>50703.587837500003</v>
      </c>
      <c r="H20" s="62">
        <v>45380.098900000005</v>
      </c>
      <c r="I20" s="59">
        <f t="shared" si="0"/>
        <v>45380.098900000005</v>
      </c>
      <c r="K20" s="59"/>
      <c r="L20" s="59"/>
      <c r="M20" s="59"/>
      <c r="P20">
        <v>16000</v>
      </c>
      <c r="Q20" s="60">
        <f>+K20/P20</f>
        <v>0</v>
      </c>
    </row>
    <row r="21" spans="1:17" ht="20.25" customHeight="1" x14ac:dyDescent="0.2">
      <c r="A21" t="s">
        <v>120</v>
      </c>
      <c r="B21" t="s">
        <v>280</v>
      </c>
      <c r="C21" s="59">
        <v>5000</v>
      </c>
      <c r="D21" s="59">
        <v>0</v>
      </c>
      <c r="E21" s="59">
        <v>0</v>
      </c>
      <c r="F21" s="59">
        <v>0</v>
      </c>
      <c r="G21" s="59">
        <v>0</v>
      </c>
      <c r="H21" s="59">
        <v>0</v>
      </c>
      <c r="I21" s="59"/>
      <c r="K21" s="59"/>
      <c r="L21" s="59"/>
      <c r="M21" s="59"/>
      <c r="Q21" s="60"/>
    </row>
    <row r="22" spans="1:17" ht="20.25" customHeight="1" x14ac:dyDescent="0.2">
      <c r="B22" t="s">
        <v>303</v>
      </c>
      <c r="C22" s="59">
        <v>30000</v>
      </c>
      <c r="D22" s="59">
        <v>0</v>
      </c>
      <c r="E22" s="59">
        <v>0</v>
      </c>
      <c r="F22" s="59">
        <v>0</v>
      </c>
      <c r="G22" s="59">
        <v>0</v>
      </c>
      <c r="H22" s="59">
        <v>0</v>
      </c>
      <c r="I22" s="59">
        <f t="shared" si="0"/>
        <v>0</v>
      </c>
      <c r="K22" s="59"/>
      <c r="L22" s="59"/>
      <c r="M22" s="59"/>
    </row>
    <row r="23" spans="1:17" ht="20.25" customHeight="1" x14ac:dyDescent="0.2">
      <c r="B23" t="s">
        <v>171</v>
      </c>
      <c r="C23" s="59">
        <v>5000</v>
      </c>
      <c r="D23" s="59">
        <v>5250</v>
      </c>
      <c r="E23" s="59">
        <v>5000</v>
      </c>
      <c r="F23" s="59">
        <v>5378.4500000000007</v>
      </c>
      <c r="G23" s="59">
        <v>5378.4500000000007</v>
      </c>
      <c r="H23" s="59">
        <v>0</v>
      </c>
      <c r="I23" s="59"/>
      <c r="J23" s="63"/>
      <c r="K23" s="68"/>
      <c r="L23" s="68"/>
      <c r="M23" s="68"/>
      <c r="P23" s="60"/>
    </row>
    <row r="24" spans="1:17" ht="20.25" customHeight="1" x14ac:dyDescent="0.2">
      <c r="A24" s="61" t="s">
        <v>186</v>
      </c>
      <c r="B24" s="61"/>
      <c r="C24" s="62">
        <v>40000</v>
      </c>
      <c r="D24" s="62">
        <v>5250</v>
      </c>
      <c r="E24" s="62">
        <v>5000</v>
      </c>
      <c r="F24" s="62">
        <v>5378.4500000000007</v>
      </c>
      <c r="G24" s="62">
        <v>5378.4500000000007</v>
      </c>
      <c r="H24" s="62">
        <v>0</v>
      </c>
      <c r="I24" s="59">
        <f t="shared" si="0"/>
        <v>0</v>
      </c>
    </row>
    <row r="25" spans="1:17" ht="20.25" customHeight="1" x14ac:dyDescent="0.2">
      <c r="A25" t="s">
        <v>130</v>
      </c>
      <c r="B25" t="s">
        <v>171</v>
      </c>
      <c r="C25" s="59">
        <v>15000</v>
      </c>
      <c r="D25" s="59">
        <v>0</v>
      </c>
      <c r="E25" s="59">
        <v>15000</v>
      </c>
      <c r="F25" s="59">
        <v>16554.45</v>
      </c>
      <c r="G25" s="59">
        <v>16554.45</v>
      </c>
      <c r="H25" s="59">
        <v>0</v>
      </c>
      <c r="I25" s="59"/>
    </row>
    <row r="26" spans="1:17" ht="20.25" customHeight="1" x14ac:dyDescent="0.2">
      <c r="A26" s="61" t="s">
        <v>247</v>
      </c>
      <c r="B26" s="61"/>
      <c r="C26" s="62">
        <v>15000</v>
      </c>
      <c r="D26" s="62">
        <v>0</v>
      </c>
      <c r="E26" s="62">
        <v>15000</v>
      </c>
      <c r="F26" s="62">
        <v>16554.45</v>
      </c>
      <c r="G26" s="62">
        <v>16554.45</v>
      </c>
      <c r="H26" s="62">
        <v>0</v>
      </c>
      <c r="I26" s="59">
        <f t="shared" si="0"/>
        <v>0</v>
      </c>
    </row>
    <row r="27" spans="1:17" ht="20.25" customHeight="1" x14ac:dyDescent="0.2">
      <c r="A27" t="s">
        <v>322</v>
      </c>
      <c r="B27" t="s">
        <v>321</v>
      </c>
      <c r="C27" s="59">
        <v>10000</v>
      </c>
      <c r="D27" s="59">
        <v>0</v>
      </c>
      <c r="E27" s="59">
        <v>0</v>
      </c>
      <c r="F27" s="59">
        <v>0</v>
      </c>
      <c r="G27" s="59">
        <v>0</v>
      </c>
      <c r="H27" s="59">
        <v>0</v>
      </c>
      <c r="I27" s="59"/>
    </row>
    <row r="28" spans="1:17" ht="20.25" customHeight="1" x14ac:dyDescent="0.2">
      <c r="A28" s="61" t="s">
        <v>324</v>
      </c>
      <c r="B28" s="61"/>
      <c r="C28" s="62">
        <v>10000</v>
      </c>
      <c r="D28" s="62">
        <v>0</v>
      </c>
      <c r="E28" s="62">
        <v>0</v>
      </c>
      <c r="F28" s="62">
        <v>0</v>
      </c>
      <c r="G28" s="62">
        <v>0</v>
      </c>
      <c r="H28" s="62">
        <v>0</v>
      </c>
      <c r="I28" s="59">
        <f t="shared" si="0"/>
        <v>0</v>
      </c>
    </row>
    <row r="29" spans="1:17" ht="20.25" customHeight="1" x14ac:dyDescent="0.2">
      <c r="A29" t="s">
        <v>213</v>
      </c>
      <c r="B29" t="s">
        <v>339</v>
      </c>
      <c r="C29" s="59">
        <v>10000</v>
      </c>
      <c r="D29" s="59">
        <v>1560.3</v>
      </c>
      <c r="E29" s="59">
        <v>1500</v>
      </c>
      <c r="F29" s="59">
        <v>1678.3991070000002</v>
      </c>
      <c r="G29" s="59">
        <v>0</v>
      </c>
      <c r="H29" s="59">
        <v>1678.3991070000002</v>
      </c>
      <c r="I29" s="59">
        <f t="shared" si="0"/>
        <v>1678.3991070000002</v>
      </c>
    </row>
    <row r="30" spans="1:17" ht="20.25" customHeight="1" x14ac:dyDescent="0.2">
      <c r="A30" s="61" t="s">
        <v>340</v>
      </c>
      <c r="B30" s="61"/>
      <c r="C30" s="62">
        <v>10000</v>
      </c>
      <c r="D30" s="62">
        <v>1560.3</v>
      </c>
      <c r="E30" s="62">
        <v>1500</v>
      </c>
      <c r="F30" s="62">
        <v>1678.3991070000002</v>
      </c>
      <c r="G30" s="62">
        <v>0</v>
      </c>
      <c r="H30" s="62">
        <v>1678.3991070000002</v>
      </c>
      <c r="I30" s="59">
        <f t="shared" si="0"/>
        <v>1678.3991070000002</v>
      </c>
    </row>
    <row r="31" spans="1:17" ht="20.25" customHeight="1" x14ac:dyDescent="0.2">
      <c r="A31" t="s">
        <v>83</v>
      </c>
      <c r="B31" t="s">
        <v>216</v>
      </c>
      <c r="C31" s="59">
        <v>30000</v>
      </c>
      <c r="D31" s="59">
        <v>31500</v>
      </c>
      <c r="E31" s="59">
        <v>30000</v>
      </c>
      <c r="F31" s="59">
        <v>29756.100000000002</v>
      </c>
      <c r="G31" s="59">
        <v>29756.100000000002</v>
      </c>
      <c r="H31" s="59">
        <v>0</v>
      </c>
      <c r="I31" s="59"/>
      <c r="K31" s="68"/>
      <c r="L31" s="68"/>
      <c r="M31" s="68"/>
      <c r="P31" s="60">
        <v>15000</v>
      </c>
      <c r="Q31" s="60">
        <f>+K31/P31</f>
        <v>0</v>
      </c>
    </row>
    <row r="32" spans="1:17" ht="20.25" customHeight="1" x14ac:dyDescent="0.2">
      <c r="B32" t="s">
        <v>302</v>
      </c>
      <c r="C32" s="59">
        <v>10000</v>
      </c>
      <c r="D32" s="59">
        <v>0</v>
      </c>
      <c r="E32" s="59">
        <v>5000</v>
      </c>
      <c r="F32" s="59">
        <v>0</v>
      </c>
      <c r="G32" s="59">
        <v>0</v>
      </c>
      <c r="H32" s="59">
        <v>0</v>
      </c>
      <c r="I32" s="59">
        <f t="shared" si="0"/>
        <v>0</v>
      </c>
      <c r="K32" s="68"/>
      <c r="L32" s="68"/>
      <c r="M32" s="68"/>
    </row>
    <row r="33" spans="1:16" ht="20.25" customHeight="1" x14ac:dyDescent="0.2">
      <c r="B33" t="s">
        <v>355</v>
      </c>
      <c r="C33" s="59">
        <v>5000</v>
      </c>
      <c r="D33" s="59">
        <v>5250</v>
      </c>
      <c r="E33" s="59">
        <v>5000</v>
      </c>
      <c r="F33" s="59">
        <v>4959.3500000000004</v>
      </c>
      <c r="G33" s="59">
        <v>4959.3500000000004</v>
      </c>
      <c r="H33" s="59">
        <v>0</v>
      </c>
      <c r="I33" s="59">
        <f t="shared" si="0"/>
        <v>0</v>
      </c>
      <c r="K33" s="68"/>
      <c r="L33" s="68"/>
      <c r="M33" s="68"/>
    </row>
    <row r="34" spans="1:16" ht="20.25" customHeight="1" x14ac:dyDescent="0.2">
      <c r="A34" s="61" t="s">
        <v>230</v>
      </c>
      <c r="B34" s="61"/>
      <c r="C34" s="62">
        <v>45000</v>
      </c>
      <c r="D34" s="62">
        <v>36750</v>
      </c>
      <c r="E34" s="62">
        <v>40000</v>
      </c>
      <c r="F34" s="62">
        <v>34715.450000000004</v>
      </c>
      <c r="G34" s="62">
        <v>34715.450000000004</v>
      </c>
      <c r="H34" s="62">
        <v>0</v>
      </c>
      <c r="I34" s="59">
        <f t="shared" si="0"/>
        <v>0</v>
      </c>
      <c r="J34" s="63"/>
      <c r="K34" s="68"/>
      <c r="L34" s="68"/>
      <c r="M34" s="68"/>
      <c r="P34" s="60"/>
    </row>
    <row r="35" spans="1:16" ht="20.25" customHeight="1" x14ac:dyDescent="0.2">
      <c r="A35" t="s">
        <v>84</v>
      </c>
      <c r="B35" t="s">
        <v>179</v>
      </c>
      <c r="C35" s="59">
        <v>8000</v>
      </c>
      <c r="D35" s="59">
        <v>8400</v>
      </c>
      <c r="E35" s="59">
        <v>8000</v>
      </c>
      <c r="F35" s="59">
        <v>9499.6</v>
      </c>
      <c r="G35" s="59">
        <v>1765</v>
      </c>
      <c r="H35" s="59">
        <v>7734.6</v>
      </c>
      <c r="I35" s="59">
        <f t="shared" si="0"/>
        <v>7734.6</v>
      </c>
    </row>
    <row r="36" spans="1:16" ht="20.25" customHeight="1" x14ac:dyDescent="0.2">
      <c r="A36" s="61" t="s">
        <v>190</v>
      </c>
      <c r="B36" s="61"/>
      <c r="C36" s="62">
        <v>8000</v>
      </c>
      <c r="D36" s="62">
        <v>8400</v>
      </c>
      <c r="E36" s="62">
        <v>8000</v>
      </c>
      <c r="F36" s="62">
        <v>9499.6</v>
      </c>
      <c r="G36" s="62">
        <v>1765</v>
      </c>
      <c r="H36" s="62">
        <v>7734.6</v>
      </c>
      <c r="I36" s="59">
        <f t="shared" si="0"/>
        <v>7734.6</v>
      </c>
    </row>
    <row r="37" spans="1:16" ht="20.25" customHeight="1" x14ac:dyDescent="0.2">
      <c r="A37" t="s">
        <v>197</v>
      </c>
      <c r="B37" t="s">
        <v>323</v>
      </c>
      <c r="C37" s="59">
        <v>10000</v>
      </c>
      <c r="D37" s="59">
        <v>0</v>
      </c>
      <c r="E37" s="59">
        <v>0</v>
      </c>
      <c r="F37" s="59">
        <v>0</v>
      </c>
      <c r="G37" s="59">
        <v>0</v>
      </c>
      <c r="H37" s="59">
        <v>0</v>
      </c>
      <c r="I37" s="59">
        <f t="shared" si="0"/>
        <v>0</v>
      </c>
    </row>
    <row r="38" spans="1:16" ht="20.25" customHeight="1" x14ac:dyDescent="0.2">
      <c r="A38" s="61" t="s">
        <v>200</v>
      </c>
      <c r="B38" s="61"/>
      <c r="C38" s="62">
        <v>10000</v>
      </c>
      <c r="D38" s="62">
        <v>0</v>
      </c>
      <c r="E38" s="62">
        <v>0</v>
      </c>
      <c r="F38" s="62">
        <v>0</v>
      </c>
      <c r="G38" s="62">
        <v>0</v>
      </c>
      <c r="H38" s="62">
        <v>0</v>
      </c>
      <c r="I38" s="59">
        <f t="shared" si="0"/>
        <v>0</v>
      </c>
    </row>
    <row r="39" spans="1:16" ht="20.25" customHeight="1" x14ac:dyDescent="0.2">
      <c r="A39" t="s">
        <v>127</v>
      </c>
      <c r="B39" t="s">
        <v>147</v>
      </c>
      <c r="C39" s="59">
        <v>53000</v>
      </c>
      <c r="D39" s="59">
        <v>52500</v>
      </c>
      <c r="E39" s="59">
        <v>50000</v>
      </c>
      <c r="F39" s="59">
        <v>59372.5</v>
      </c>
      <c r="G39" s="59">
        <v>59372.5</v>
      </c>
      <c r="H39" s="59">
        <v>0</v>
      </c>
      <c r="I39" s="59">
        <f t="shared" si="0"/>
        <v>0</v>
      </c>
      <c r="J39" s="59"/>
    </row>
    <row r="40" spans="1:16" ht="20.25" customHeight="1" x14ac:dyDescent="0.2">
      <c r="A40" s="61" t="s">
        <v>231</v>
      </c>
      <c r="B40" s="61"/>
      <c r="C40" s="62">
        <v>53000</v>
      </c>
      <c r="D40" s="62">
        <v>52500</v>
      </c>
      <c r="E40" s="62">
        <v>50000</v>
      </c>
      <c r="F40" s="62">
        <v>59372.5</v>
      </c>
      <c r="G40" s="62">
        <v>59372.5</v>
      </c>
      <c r="H40" s="62">
        <v>0</v>
      </c>
      <c r="I40" s="59">
        <f t="shared" si="0"/>
        <v>0</v>
      </c>
    </row>
    <row r="41" spans="1:16" ht="20.25" customHeight="1" x14ac:dyDescent="0.2">
      <c r="A41" t="s">
        <v>286</v>
      </c>
      <c r="B41" t="s">
        <v>355</v>
      </c>
      <c r="C41" s="59">
        <v>15000</v>
      </c>
      <c r="D41" s="59">
        <v>15750</v>
      </c>
      <c r="E41" s="59">
        <v>15000</v>
      </c>
      <c r="F41" s="59">
        <v>14878.050000000001</v>
      </c>
      <c r="G41" s="59">
        <v>0</v>
      </c>
      <c r="H41" s="59">
        <v>14878.050000000001</v>
      </c>
      <c r="I41" s="59"/>
    </row>
    <row r="42" spans="1:16" ht="20.25" customHeight="1" x14ac:dyDescent="0.2">
      <c r="A42" s="61" t="s">
        <v>341</v>
      </c>
      <c r="B42" s="61"/>
      <c r="C42" s="62">
        <v>15000</v>
      </c>
      <c r="D42" s="62">
        <v>15750</v>
      </c>
      <c r="E42" s="62">
        <v>15000</v>
      </c>
      <c r="F42" s="62">
        <v>14878.050000000001</v>
      </c>
      <c r="G42" s="62">
        <v>0</v>
      </c>
      <c r="H42" s="62">
        <v>14878.050000000001</v>
      </c>
      <c r="I42" s="59">
        <f t="shared" si="0"/>
        <v>14878.050000000001</v>
      </c>
    </row>
    <row r="43" spans="1:16" ht="20.25" customHeight="1" x14ac:dyDescent="0.2">
      <c r="A43" t="s">
        <v>96</v>
      </c>
      <c r="C43" s="59">
        <v>759206</v>
      </c>
      <c r="D43" s="59">
        <v>305063.84999999998</v>
      </c>
      <c r="E43" s="59">
        <v>461906</v>
      </c>
      <c r="F43" s="59">
        <v>369840.98510699999</v>
      </c>
      <c r="G43" s="59">
        <v>295170.81230000005</v>
      </c>
      <c r="H43" s="59">
        <v>74670.172806999995</v>
      </c>
      <c r="I43" s="59"/>
    </row>
    <row r="44" spans="1:16" ht="20.25" customHeight="1" x14ac:dyDescent="0.2">
      <c r="C44"/>
      <c r="I44" s="59">
        <f t="shared" si="0"/>
        <v>0</v>
      </c>
    </row>
    <row r="45" spans="1:16" ht="20.25" customHeight="1" x14ac:dyDescent="0.2">
      <c r="C45"/>
      <c r="I45" s="59">
        <f t="shared" si="0"/>
        <v>0</v>
      </c>
    </row>
    <row r="46" spans="1:16" ht="20.25" customHeight="1" x14ac:dyDescent="0.2">
      <c r="C46"/>
      <c r="I46" s="69"/>
      <c r="J46" s="69">
        <v>74000</v>
      </c>
    </row>
    <row r="47" spans="1:16" ht="20.25" customHeight="1" x14ac:dyDescent="0.2">
      <c r="C47"/>
      <c r="I47" s="59">
        <f t="shared" si="0"/>
        <v>0</v>
      </c>
    </row>
    <row r="48" spans="1:16" ht="20.25" customHeight="1" x14ac:dyDescent="0.2">
      <c r="C48"/>
      <c r="I48" s="59">
        <f t="shared" si="0"/>
        <v>0</v>
      </c>
    </row>
    <row r="49" spans="3:16" ht="20.25" customHeight="1" x14ac:dyDescent="0.2">
      <c r="C49"/>
      <c r="I49" s="69"/>
      <c r="J49" s="70"/>
    </row>
    <row r="50" spans="3:16" ht="20.25" customHeight="1" x14ac:dyDescent="0.2">
      <c r="C50"/>
      <c r="I50" s="59"/>
    </row>
    <row r="51" spans="3:16" ht="20.25" customHeight="1" x14ac:dyDescent="0.2">
      <c r="C51"/>
      <c r="I51" s="59">
        <f t="shared" si="0"/>
        <v>0</v>
      </c>
      <c r="J51" s="59"/>
      <c r="M51">
        <v>102.14</v>
      </c>
    </row>
    <row r="52" spans="3:16" ht="20.25" customHeight="1" x14ac:dyDescent="0.2">
      <c r="C52"/>
      <c r="I52" s="59">
        <f t="shared" si="0"/>
        <v>0</v>
      </c>
      <c r="M52">
        <v>3300</v>
      </c>
    </row>
    <row r="53" spans="3:16" ht="20.25" customHeight="1" x14ac:dyDescent="0.2">
      <c r="C53"/>
      <c r="I53" s="59"/>
      <c r="M53">
        <f>+M52/M51</f>
        <v>32.308596044644602</v>
      </c>
    </row>
    <row r="54" spans="3:16" ht="20.25" customHeight="1" x14ac:dyDescent="0.2">
      <c r="C54"/>
      <c r="I54" s="59">
        <f t="shared" si="0"/>
        <v>0</v>
      </c>
    </row>
    <row r="55" spans="3:16" ht="20.25" customHeight="1" x14ac:dyDescent="0.2">
      <c r="C55"/>
      <c r="I55" s="59">
        <f t="shared" si="0"/>
        <v>0</v>
      </c>
      <c r="J55" s="59"/>
      <c r="K55" s="68"/>
      <c r="L55" s="68"/>
      <c r="M55" s="68">
        <v>114.47</v>
      </c>
    </row>
    <row r="56" spans="3:16" ht="20.25" customHeight="1" x14ac:dyDescent="0.2">
      <c r="C56"/>
      <c r="I56" s="69">
        <f>H56-J56</f>
        <v>-166000</v>
      </c>
      <c r="J56" s="69">
        <v>166000</v>
      </c>
      <c r="M56">
        <f>+M55*32.2</f>
        <v>3685.9340000000002</v>
      </c>
    </row>
    <row r="57" spans="3:16" ht="20.25" customHeight="1" x14ac:dyDescent="0.2">
      <c r="C57"/>
      <c r="I57" s="59"/>
      <c r="J57" s="59"/>
      <c r="K57" s="68"/>
      <c r="L57" s="68"/>
      <c r="M57" s="68">
        <f>+M56-3300</f>
        <v>385.9340000000002</v>
      </c>
      <c r="P57" s="60"/>
    </row>
    <row r="58" spans="3:16" ht="20.25" customHeight="1" x14ac:dyDescent="0.2">
      <c r="C58"/>
      <c r="I58" s="59">
        <f t="shared" si="0"/>
        <v>0</v>
      </c>
    </row>
    <row r="59" spans="3:16" ht="20.25" customHeight="1" x14ac:dyDescent="0.2">
      <c r="C59"/>
      <c r="I59" s="59">
        <f t="shared" si="0"/>
        <v>0</v>
      </c>
      <c r="J59" s="59"/>
    </row>
    <row r="60" spans="3:16" ht="20.25" customHeight="1" x14ac:dyDescent="0.2">
      <c r="C60"/>
      <c r="I60" s="59">
        <f t="shared" si="0"/>
        <v>0</v>
      </c>
    </row>
    <row r="61" spans="3:16" ht="20.25" customHeight="1" x14ac:dyDescent="0.2">
      <c r="C61"/>
      <c r="I61" s="59">
        <f t="shared" si="0"/>
        <v>0</v>
      </c>
    </row>
    <row r="62" spans="3:16" ht="20.25" customHeight="1" x14ac:dyDescent="0.2">
      <c r="C62"/>
      <c r="I62" s="59">
        <f t="shared" si="0"/>
        <v>0</v>
      </c>
    </row>
    <row r="63" spans="3:16" ht="20.25" customHeight="1" x14ac:dyDescent="0.2">
      <c r="C63"/>
      <c r="I63" s="59"/>
    </row>
    <row r="64" spans="3:16" ht="20.25" customHeight="1" x14ac:dyDescent="0.2">
      <c r="C64"/>
      <c r="I64" s="59">
        <f t="shared" si="0"/>
        <v>0</v>
      </c>
    </row>
    <row r="65" spans="3:11" ht="20.25" customHeight="1" x14ac:dyDescent="0.2">
      <c r="C65"/>
      <c r="I65" s="59">
        <f t="shared" si="0"/>
        <v>0</v>
      </c>
    </row>
    <row r="66" spans="3:11" ht="20.25" customHeight="1" x14ac:dyDescent="0.2">
      <c r="C66"/>
      <c r="I66" s="59">
        <f t="shared" si="0"/>
        <v>0</v>
      </c>
    </row>
    <row r="67" spans="3:11" ht="20.25" customHeight="1" x14ac:dyDescent="0.2">
      <c r="C67"/>
      <c r="I67" s="59"/>
    </row>
    <row r="68" spans="3:11" ht="20.25" customHeight="1" x14ac:dyDescent="0.2">
      <c r="C68"/>
      <c r="I68" s="59">
        <f t="shared" si="0"/>
        <v>0</v>
      </c>
    </row>
    <row r="69" spans="3:11" ht="20.25" customHeight="1" x14ac:dyDescent="0.2">
      <c r="C69"/>
      <c r="I69" s="59"/>
    </row>
    <row r="70" spans="3:11" ht="20.25" customHeight="1" x14ac:dyDescent="0.2">
      <c r="C70"/>
      <c r="I70" s="59">
        <f t="shared" ref="I70:I73" si="1">H70</f>
        <v>0</v>
      </c>
    </row>
    <row r="71" spans="3:11" ht="20.25" customHeight="1" x14ac:dyDescent="0.2">
      <c r="C71"/>
      <c r="I71" s="59"/>
    </row>
    <row r="72" spans="3:11" ht="20.25" customHeight="1" x14ac:dyDescent="0.2">
      <c r="C72"/>
      <c r="I72" s="59">
        <f t="shared" si="1"/>
        <v>0</v>
      </c>
    </row>
    <row r="73" spans="3:11" ht="20.25" customHeight="1" x14ac:dyDescent="0.2">
      <c r="C73"/>
      <c r="I73" s="59">
        <f t="shared" si="1"/>
        <v>0</v>
      </c>
    </row>
    <row r="74" spans="3:11" ht="20.25" customHeight="1" x14ac:dyDescent="0.2">
      <c r="C74"/>
      <c r="I74" s="59"/>
    </row>
    <row r="75" spans="3:11" ht="20.25" customHeight="1" x14ac:dyDescent="0.2">
      <c r="C75"/>
      <c r="I75" s="59">
        <f>SUM(I5:I74)</f>
        <v>-31537.704385999969</v>
      </c>
    </row>
    <row r="76" spans="3:11" ht="20.25" customHeight="1" x14ac:dyDescent="0.2">
      <c r="C76"/>
      <c r="I76" s="59"/>
    </row>
    <row r="77" spans="3:11" ht="20.25" customHeight="1" x14ac:dyDescent="0.2">
      <c r="C77"/>
      <c r="I77" s="59"/>
    </row>
    <row r="78" spans="3:11" ht="20.25" customHeight="1" x14ac:dyDescent="0.2">
      <c r="C78"/>
      <c r="I78" s="59"/>
    </row>
    <row r="79" spans="3:11" ht="20.25" customHeight="1" x14ac:dyDescent="0.2">
      <c r="C79"/>
      <c r="I79" s="65">
        <f>I75+I77</f>
        <v>-31537.704385999969</v>
      </c>
      <c r="J79">
        <v>16</v>
      </c>
      <c r="K79" s="58">
        <f>+I79*0.9779</f>
        <v>-30840.721119069371</v>
      </c>
    </row>
    <row r="80" spans="3:11" ht="20.25" customHeight="1" x14ac:dyDescent="0.2">
      <c r="C80"/>
      <c r="K80" s="58"/>
    </row>
    <row r="81" spans="3:11" ht="20.25" customHeight="1" x14ac:dyDescent="0.2">
      <c r="C81"/>
      <c r="I81" s="58">
        <f>+I79/J79</f>
        <v>-1971.106524124998</v>
      </c>
      <c r="K81" s="58">
        <f>+K79*85</f>
        <v>-2621461.2951208963</v>
      </c>
    </row>
    <row r="82" spans="3:11" ht="20.25" customHeight="1" x14ac:dyDescent="0.2">
      <c r="C82"/>
      <c r="K82" s="58"/>
    </row>
    <row r="83" spans="3:11" ht="20.25" customHeight="1" x14ac:dyDescent="0.2">
      <c r="C83"/>
      <c r="K83" s="58">
        <f>+K81/1000</f>
        <v>-2621.4612951208965</v>
      </c>
    </row>
    <row r="84" spans="3:11" ht="20.25" customHeight="1" x14ac:dyDescent="0.2">
      <c r="C84"/>
    </row>
    <row r="85" spans="3:11" ht="20.25" customHeight="1" x14ac:dyDescent="0.2">
      <c r="C85"/>
    </row>
    <row r="86" spans="3:11" ht="20.25" customHeight="1" x14ac:dyDescent="0.2">
      <c r="C86"/>
    </row>
    <row r="87" spans="3:11" ht="20.25" customHeight="1" x14ac:dyDescent="0.2">
      <c r="C87"/>
    </row>
    <row r="88" spans="3:11" ht="20.25" customHeight="1" x14ac:dyDescent="0.2">
      <c r="C88"/>
    </row>
    <row r="89" spans="3:11" ht="20.25" customHeight="1" x14ac:dyDescent="0.2">
      <c r="C89"/>
    </row>
    <row r="90" spans="3:11" ht="20.25" customHeight="1" x14ac:dyDescent="0.2">
      <c r="C90"/>
    </row>
    <row r="91" spans="3:11" ht="20.25" customHeight="1" x14ac:dyDescent="0.2">
      <c r="C91"/>
    </row>
    <row r="92" spans="3:11" ht="20.25" customHeight="1" x14ac:dyDescent="0.2">
      <c r="C92"/>
    </row>
    <row r="93" spans="3:11" ht="20.25" customHeight="1" x14ac:dyDescent="0.2">
      <c r="C93"/>
    </row>
    <row r="94" spans="3:11" ht="20.25" customHeight="1" x14ac:dyDescent="0.2">
      <c r="C94"/>
    </row>
    <row r="95" spans="3:11" ht="20.25" customHeight="1" x14ac:dyDescent="0.2">
      <c r="C95"/>
    </row>
    <row r="96" spans="3:11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9" ht="20.25" customHeight="1" x14ac:dyDescent="0.2">
      <c r="C113" s="59"/>
      <c r="D113" s="59"/>
      <c r="E113" s="59"/>
      <c r="F113" s="59"/>
      <c r="G113" s="59"/>
    </row>
    <row r="114" spans="1:9" ht="20.25" customHeight="1" x14ac:dyDescent="0.2">
      <c r="C114" s="59"/>
      <c r="D114" s="59"/>
      <c r="E114" s="59"/>
      <c r="F114" s="59"/>
      <c r="G114" s="59"/>
    </row>
    <row r="115" spans="1:9" ht="20.25" customHeight="1" x14ac:dyDescent="0.2">
      <c r="C115" s="59"/>
      <c r="D115" s="59"/>
      <c r="E115" s="59"/>
      <c r="F115" s="59"/>
      <c r="G115" s="59"/>
    </row>
    <row r="116" spans="1:9" ht="20.25" customHeight="1" x14ac:dyDescent="0.2">
      <c r="C116" s="59"/>
      <c r="D116" s="59"/>
      <c r="E116" s="59"/>
      <c r="F116" s="59"/>
      <c r="G116" s="59"/>
    </row>
    <row r="117" spans="1:9" ht="20.25" customHeight="1" x14ac:dyDescent="0.2">
      <c r="C117" s="59"/>
      <c r="D117" s="59"/>
      <c r="E117" s="59"/>
      <c r="F117" s="59"/>
      <c r="G117" s="59"/>
    </row>
    <row r="118" spans="1:9" ht="20.25" customHeight="1" x14ac:dyDescent="0.2">
      <c r="C118" s="59"/>
      <c r="D118" s="59"/>
      <c r="E118" s="59"/>
      <c r="F118" s="59"/>
      <c r="G118" s="59"/>
    </row>
    <row r="119" spans="1:9" x14ac:dyDescent="0.2">
      <c r="C119"/>
      <c r="D119" t="s">
        <v>160</v>
      </c>
      <c r="E119" t="s">
        <v>161</v>
      </c>
      <c r="F119" t="s">
        <v>157</v>
      </c>
      <c r="G119" t="s">
        <v>162</v>
      </c>
      <c r="I119" t="s">
        <v>166</v>
      </c>
    </row>
    <row r="120" spans="1:9" x14ac:dyDescent="0.2">
      <c r="B120" s="64" t="s">
        <v>156</v>
      </c>
      <c r="C120" t="s">
        <v>155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9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</row>
    <row r="122" spans="1:9" x14ac:dyDescent="0.2">
      <c r="A122" s="64" t="s">
        <v>164</v>
      </c>
      <c r="B122">
        <v>20700</v>
      </c>
      <c r="C122" s="58">
        <v>424374</v>
      </c>
    </row>
    <row r="123" spans="1:9" x14ac:dyDescent="0.2">
      <c r="A123" s="64" t="s">
        <v>164</v>
      </c>
      <c r="B123">
        <v>20800</v>
      </c>
      <c r="C123" s="58">
        <v>155973</v>
      </c>
    </row>
    <row r="124" spans="1:9" x14ac:dyDescent="0.2">
      <c r="C124"/>
    </row>
    <row r="125" spans="1:9" x14ac:dyDescent="0.2">
      <c r="C125"/>
    </row>
    <row r="126" spans="1:9" x14ac:dyDescent="0.2">
      <c r="C126" t="s">
        <v>163</v>
      </c>
      <c r="D126" t="s">
        <v>167</v>
      </c>
      <c r="E126" t="s">
        <v>167</v>
      </c>
      <c r="F126" t="s">
        <v>165</v>
      </c>
    </row>
    <row r="127" spans="1:9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9" x14ac:dyDescent="0.2">
      <c r="C128"/>
    </row>
    <row r="129" spans="2:7" x14ac:dyDescent="0.2">
      <c r="B129" t="s">
        <v>158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49" orientation="portrait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9AB08-F045-4038-A62F-063FD57F370C}">
  <sheetPr>
    <tabColor rgb="FF00B050"/>
  </sheetPr>
  <dimension ref="A1:AF4"/>
  <sheetViews>
    <sheetView workbookViewId="0">
      <selection activeCell="A3" sqref="A3:AF4"/>
    </sheetView>
  </sheetViews>
  <sheetFormatPr defaultRowHeight="14.25" x14ac:dyDescent="0.2"/>
  <cols>
    <col min="1" max="1" width="20.25" bestFit="1" customWidth="1"/>
    <col min="2" max="2" width="12.125" bestFit="1" customWidth="1"/>
    <col min="3" max="3" width="15" bestFit="1" customWidth="1"/>
    <col min="4" max="8" width="9.125" bestFit="1" customWidth="1"/>
    <col min="9" max="9" width="9.875" bestFit="1" customWidth="1"/>
    <col min="10" max="11" width="9.125" bestFit="1" customWidth="1"/>
    <col min="12" max="12" width="11.5" bestFit="1" customWidth="1"/>
    <col min="13" max="13" width="10.125" bestFit="1" customWidth="1"/>
    <col min="14" max="15" width="9.125" bestFit="1" customWidth="1"/>
    <col min="16" max="16" width="10.25" bestFit="1" customWidth="1"/>
    <col min="17" max="17" width="13.25" bestFit="1" customWidth="1"/>
    <col min="18" max="18" width="11.875" bestFit="1" customWidth="1"/>
    <col min="19" max="19" width="10" bestFit="1" customWidth="1"/>
    <col min="20" max="20" width="9.375" bestFit="1" customWidth="1"/>
    <col min="21" max="21" width="11" bestFit="1" customWidth="1"/>
    <col min="22" max="22" width="10.875" bestFit="1" customWidth="1"/>
    <col min="23" max="23" width="9.125" bestFit="1" customWidth="1"/>
    <col min="24" max="24" width="10.75" bestFit="1" customWidth="1"/>
    <col min="25" max="25" width="10.625" bestFit="1" customWidth="1"/>
    <col min="26" max="26" width="13.75" bestFit="1" customWidth="1"/>
    <col min="27" max="29" width="9.125" bestFit="1" customWidth="1"/>
    <col min="30" max="30" width="9.625" bestFit="1" customWidth="1"/>
    <col min="31" max="31" width="12" bestFit="1" customWidth="1"/>
    <col min="32" max="32" width="11.25" bestFit="1" customWidth="1"/>
  </cols>
  <sheetData>
    <row r="1" spans="1:32" x14ac:dyDescent="0.2">
      <c r="A1" s="72" t="s">
        <v>378</v>
      </c>
    </row>
    <row r="3" spans="1:32" x14ac:dyDescent="0.2">
      <c r="A3" t="s">
        <v>51</v>
      </c>
      <c r="B3" t="s">
        <v>43</v>
      </c>
      <c r="C3" t="s">
        <v>42</v>
      </c>
      <c r="D3" t="s">
        <v>41</v>
      </c>
      <c r="E3" t="s">
        <v>36</v>
      </c>
      <c r="F3" t="s">
        <v>35</v>
      </c>
      <c r="G3" t="s">
        <v>40</v>
      </c>
      <c r="H3" t="s">
        <v>13</v>
      </c>
      <c r="I3" t="s">
        <v>39</v>
      </c>
      <c r="J3" t="s">
        <v>38</v>
      </c>
      <c r="K3" t="s">
        <v>37</v>
      </c>
      <c r="L3" t="s">
        <v>89</v>
      </c>
      <c r="M3" t="s">
        <v>375</v>
      </c>
      <c r="N3" t="s">
        <v>376</v>
      </c>
      <c r="O3" t="s">
        <v>34</v>
      </c>
      <c r="P3" t="s">
        <v>33</v>
      </c>
      <c r="Q3" t="s">
        <v>32</v>
      </c>
      <c r="R3" t="s">
        <v>31</v>
      </c>
      <c r="S3" t="s">
        <v>30</v>
      </c>
      <c r="T3" t="s">
        <v>29</v>
      </c>
      <c r="U3" t="s">
        <v>28</v>
      </c>
      <c r="V3" t="s">
        <v>27</v>
      </c>
      <c r="W3" t="s">
        <v>26</v>
      </c>
      <c r="X3" t="s">
        <v>25</v>
      </c>
      <c r="Y3" t="s">
        <v>24</v>
      </c>
      <c r="Z3" t="s">
        <v>23</v>
      </c>
      <c r="AA3" t="s">
        <v>22</v>
      </c>
      <c r="AB3" t="s">
        <v>20</v>
      </c>
      <c r="AC3" t="s">
        <v>21</v>
      </c>
      <c r="AD3" t="s">
        <v>377</v>
      </c>
      <c r="AE3" t="s">
        <v>19</v>
      </c>
      <c r="AF3" t="s">
        <v>18</v>
      </c>
    </row>
    <row r="4" spans="1:32" x14ac:dyDescent="0.2">
      <c r="B4" t="s">
        <v>373</v>
      </c>
      <c r="C4" t="s">
        <v>237</v>
      </c>
      <c r="D4" t="s">
        <v>374</v>
      </c>
      <c r="E4">
        <v>19</v>
      </c>
      <c r="F4">
        <v>30</v>
      </c>
      <c r="G4" t="s">
        <v>60</v>
      </c>
      <c r="H4">
        <v>0</v>
      </c>
      <c r="I4">
        <v>60</v>
      </c>
      <c r="J4" t="s">
        <v>57</v>
      </c>
      <c r="K4">
        <v>5</v>
      </c>
      <c r="L4" t="s">
        <v>91</v>
      </c>
      <c r="M4" t="s">
        <v>62</v>
      </c>
      <c r="N4">
        <v>0</v>
      </c>
      <c r="O4">
        <v>0</v>
      </c>
      <c r="P4">
        <v>0</v>
      </c>
      <c r="Q4">
        <v>0</v>
      </c>
      <c r="R4">
        <v>0</v>
      </c>
      <c r="S4" t="s">
        <v>71</v>
      </c>
      <c r="T4" s="73">
        <v>45899</v>
      </c>
      <c r="U4">
        <v>5000</v>
      </c>
      <c r="V4">
        <v>0</v>
      </c>
      <c r="W4">
        <v>5000</v>
      </c>
      <c r="X4">
        <v>0</v>
      </c>
      <c r="Y4">
        <v>5150</v>
      </c>
      <c r="Z4" t="s">
        <v>168</v>
      </c>
      <c r="AA4">
        <v>4401</v>
      </c>
      <c r="AB4">
        <v>0</v>
      </c>
      <c r="AC4">
        <v>4401</v>
      </c>
      <c r="AD4">
        <v>0</v>
      </c>
      <c r="AE4">
        <v>0</v>
      </c>
      <c r="AF4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0530-A4F6-4EED-A67F-D2ADB727E5FB}">
  <sheetPr>
    <tabColor rgb="FF00B050"/>
    <pageSetUpPr fitToPage="1"/>
  </sheetPr>
  <dimension ref="A2:L177"/>
  <sheetViews>
    <sheetView zoomScale="80" zoomScaleNormal="80" workbookViewId="0">
      <selection activeCell="E23" sqref="E23"/>
    </sheetView>
  </sheetViews>
  <sheetFormatPr defaultRowHeight="14.25" x14ac:dyDescent="0.2"/>
  <cols>
    <col min="1" max="1" width="20.2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2" x14ac:dyDescent="0.2">
      <c r="A2" s="57" t="s">
        <v>43</v>
      </c>
      <c r="B2" t="s">
        <v>151</v>
      </c>
    </row>
    <row r="3" spans="1:12" x14ac:dyDescent="0.2">
      <c r="A3" s="57" t="s">
        <v>29</v>
      </c>
      <c r="B3" t="s">
        <v>151</v>
      </c>
    </row>
    <row r="4" spans="1:12" x14ac:dyDescent="0.2">
      <c r="A4" s="57" t="s">
        <v>42</v>
      </c>
      <c r="B4" t="s">
        <v>169</v>
      </c>
      <c r="C4"/>
    </row>
    <row r="5" spans="1:12" ht="20.25" customHeight="1" x14ac:dyDescent="0.2">
      <c r="C5"/>
    </row>
    <row r="6" spans="1:12" ht="20.25" customHeight="1" x14ac:dyDescent="0.2">
      <c r="A6" s="57" t="s">
        <v>23</v>
      </c>
      <c r="B6" t="s">
        <v>150</v>
      </c>
      <c r="C6" t="s">
        <v>159</v>
      </c>
      <c r="D6" t="s">
        <v>152</v>
      </c>
      <c r="E6" t="s">
        <v>170</v>
      </c>
      <c r="F6" t="s">
        <v>154</v>
      </c>
      <c r="G6" t="s">
        <v>140</v>
      </c>
    </row>
    <row r="7" spans="1:12" ht="20.25" customHeight="1" x14ac:dyDescent="0.2">
      <c r="A7" t="s">
        <v>172</v>
      </c>
      <c r="B7" s="59">
        <v>90000</v>
      </c>
      <c r="C7" s="59">
        <v>0</v>
      </c>
      <c r="D7" s="59">
        <v>10250</v>
      </c>
      <c r="E7" s="59">
        <v>0</v>
      </c>
      <c r="F7" s="59">
        <v>0</v>
      </c>
      <c r="G7" s="59">
        <v>0</v>
      </c>
    </row>
    <row r="8" spans="1:12" ht="20.25" customHeight="1" x14ac:dyDescent="0.2">
      <c r="A8" t="s">
        <v>112</v>
      </c>
      <c r="B8" s="59">
        <v>10080</v>
      </c>
      <c r="C8" s="59">
        <v>5292</v>
      </c>
      <c r="D8" s="59">
        <v>10080</v>
      </c>
      <c r="E8" s="59">
        <v>5139.8424000000005</v>
      </c>
      <c r="F8" s="59">
        <v>9833.8424000000014</v>
      </c>
      <c r="G8" s="59">
        <v>0</v>
      </c>
    </row>
    <row r="9" spans="1:12" ht="20.25" customHeight="1" x14ac:dyDescent="0.2">
      <c r="A9" t="s">
        <v>168</v>
      </c>
      <c r="B9" s="59">
        <v>5000</v>
      </c>
      <c r="C9" s="59">
        <v>5150</v>
      </c>
      <c r="D9" s="59">
        <v>5000</v>
      </c>
      <c r="E9" s="59">
        <v>4401</v>
      </c>
      <c r="F9" s="59">
        <v>0</v>
      </c>
      <c r="G9" s="59">
        <v>4401</v>
      </c>
    </row>
    <row r="10" spans="1:12" ht="20.25" customHeight="1" x14ac:dyDescent="0.2">
      <c r="A10" t="s">
        <v>310</v>
      </c>
      <c r="B10" s="59">
        <v>10000</v>
      </c>
      <c r="C10" s="59">
        <v>10500</v>
      </c>
      <c r="D10" s="59">
        <v>10000</v>
      </c>
      <c r="E10" s="59">
        <v>10756.900000000001</v>
      </c>
      <c r="F10" s="59">
        <v>5378</v>
      </c>
      <c r="G10" s="59">
        <v>5378.4500000000007</v>
      </c>
    </row>
    <row r="11" spans="1:12" ht="20.25" customHeight="1" x14ac:dyDescent="0.2">
      <c r="A11" t="s">
        <v>81</v>
      </c>
      <c r="B11" s="59">
        <v>155513</v>
      </c>
      <c r="C11" s="59">
        <v>1598.1000000000001</v>
      </c>
      <c r="D11" s="59">
        <v>40153</v>
      </c>
      <c r="E11" s="59">
        <v>1674.4092750000002</v>
      </c>
      <c r="F11" s="59">
        <v>1674.4092750000002</v>
      </c>
      <c r="G11" s="59">
        <v>0</v>
      </c>
      <c r="L11">
        <f>76*2500</f>
        <v>190000</v>
      </c>
    </row>
    <row r="12" spans="1:12" ht="20.25" customHeight="1" x14ac:dyDescent="0.2">
      <c r="A12" t="s">
        <v>80</v>
      </c>
      <c r="B12" s="59">
        <v>112380</v>
      </c>
      <c r="C12" s="59">
        <v>53172</v>
      </c>
      <c r="D12" s="59">
        <v>66612</v>
      </c>
      <c r="E12" s="59">
        <v>53492.876250000001</v>
      </c>
      <c r="F12" s="59">
        <v>41256.397749999996</v>
      </c>
      <c r="G12" s="59">
        <v>12236.478500000001</v>
      </c>
    </row>
    <row r="13" spans="1:12" ht="20.25" customHeight="1" x14ac:dyDescent="0.2">
      <c r="A13" t="s">
        <v>120</v>
      </c>
      <c r="B13" s="59">
        <v>42391</v>
      </c>
      <c r="C13" s="59">
        <v>0</v>
      </c>
      <c r="D13" s="59">
        <v>12465</v>
      </c>
      <c r="E13" s="59">
        <v>0</v>
      </c>
      <c r="F13" s="59">
        <v>0</v>
      </c>
      <c r="G13" s="59">
        <v>0</v>
      </c>
    </row>
    <row r="14" spans="1:12" ht="20.25" customHeight="1" x14ac:dyDescent="0.2">
      <c r="A14" t="s">
        <v>213</v>
      </c>
      <c r="B14" s="59">
        <v>10000</v>
      </c>
      <c r="C14" s="59">
        <v>0</v>
      </c>
      <c r="D14" s="59">
        <v>242</v>
      </c>
      <c r="E14" s="59">
        <v>0</v>
      </c>
      <c r="F14" s="59">
        <v>0</v>
      </c>
      <c r="G14" s="59">
        <v>0</v>
      </c>
    </row>
    <row r="15" spans="1:12" ht="20.25" customHeight="1" x14ac:dyDescent="0.2">
      <c r="A15" t="s">
        <v>83</v>
      </c>
      <c r="B15" s="59">
        <v>15000</v>
      </c>
      <c r="C15" s="59">
        <v>0</v>
      </c>
      <c r="D15" s="59">
        <v>5392</v>
      </c>
      <c r="E15" s="59">
        <v>0</v>
      </c>
      <c r="F15" s="59">
        <v>0</v>
      </c>
      <c r="G15" s="59">
        <v>0</v>
      </c>
    </row>
    <row r="16" spans="1:12" ht="20.25" customHeight="1" x14ac:dyDescent="0.2">
      <c r="A16" t="s">
        <v>127</v>
      </c>
      <c r="B16" s="59">
        <v>3000</v>
      </c>
      <c r="C16" s="59">
        <v>0</v>
      </c>
      <c r="D16" s="59">
        <v>159</v>
      </c>
      <c r="E16" s="59">
        <v>0</v>
      </c>
      <c r="F16" s="59">
        <v>0</v>
      </c>
      <c r="G16" s="59">
        <v>0</v>
      </c>
    </row>
    <row r="17" spans="1:7" ht="20.25" customHeight="1" x14ac:dyDescent="0.2">
      <c r="A17" t="s">
        <v>286</v>
      </c>
      <c r="B17" s="59">
        <v>15000</v>
      </c>
      <c r="C17" s="59">
        <v>12951.75</v>
      </c>
      <c r="D17" s="59">
        <v>15000</v>
      </c>
      <c r="E17" s="59">
        <v>12350.517272500001</v>
      </c>
      <c r="F17" s="59">
        <v>5012.8172725000004</v>
      </c>
      <c r="G17" s="59">
        <v>7337.7000000000007</v>
      </c>
    </row>
    <row r="18" spans="1:7" ht="20.25" customHeight="1" x14ac:dyDescent="0.2">
      <c r="A18" t="s">
        <v>96</v>
      </c>
      <c r="B18" s="59">
        <v>468364</v>
      </c>
      <c r="C18" s="59">
        <v>88663.85</v>
      </c>
      <c r="D18" s="59">
        <v>175353</v>
      </c>
      <c r="E18" s="59">
        <v>87815.545197500003</v>
      </c>
      <c r="F18" s="59">
        <v>63155.4666975</v>
      </c>
      <c r="G18" s="59">
        <v>29353.628500000003</v>
      </c>
    </row>
    <row r="19" spans="1:7" ht="20.25" customHeight="1" x14ac:dyDescent="0.2">
      <c r="C19"/>
    </row>
    <row r="20" spans="1:7" ht="20.25" customHeight="1" x14ac:dyDescent="0.2">
      <c r="C20"/>
    </row>
    <row r="21" spans="1:7" ht="20.25" customHeight="1" x14ac:dyDescent="0.2">
      <c r="C21"/>
    </row>
    <row r="22" spans="1:7" ht="20.25" customHeight="1" x14ac:dyDescent="0.2">
      <c r="C22"/>
    </row>
    <row r="23" spans="1:7" ht="20.25" customHeight="1" x14ac:dyDescent="0.2">
      <c r="C23"/>
    </row>
    <row r="24" spans="1:7" ht="20.25" customHeight="1" x14ac:dyDescent="0.2">
      <c r="C24"/>
    </row>
    <row r="25" spans="1:7" ht="20.25" customHeight="1" x14ac:dyDescent="0.2">
      <c r="C25"/>
    </row>
    <row r="26" spans="1:7" ht="20.25" customHeight="1" x14ac:dyDescent="0.2">
      <c r="C26"/>
    </row>
    <row r="27" spans="1:7" ht="20.25" customHeight="1" x14ac:dyDescent="0.2">
      <c r="C27"/>
    </row>
    <row r="28" spans="1:7" ht="20.25" customHeight="1" x14ac:dyDescent="0.2">
      <c r="C28"/>
    </row>
    <row r="29" spans="1:7" ht="15.75" customHeight="1" x14ac:dyDescent="0.2">
      <c r="C29"/>
    </row>
    <row r="30" spans="1:7" ht="15.75" customHeight="1" x14ac:dyDescent="0.2">
      <c r="C30"/>
    </row>
    <row r="31" spans="1:7" ht="15.75" customHeight="1" x14ac:dyDescent="0.2">
      <c r="C31"/>
    </row>
    <row r="32" spans="1:7" ht="15.75" customHeight="1" x14ac:dyDescent="0.2">
      <c r="C32"/>
    </row>
    <row r="33" spans="1:9" ht="15.75" customHeight="1" x14ac:dyDescent="0.2">
      <c r="C33"/>
    </row>
    <row r="34" spans="1:9" ht="15.75" customHeight="1" x14ac:dyDescent="0.2">
      <c r="C34"/>
    </row>
    <row r="35" spans="1:9" ht="15.75" customHeight="1" x14ac:dyDescent="0.2">
      <c r="B35" s="59"/>
      <c r="C35" s="59"/>
      <c r="D35" s="59"/>
      <c r="E35" s="59"/>
      <c r="F35" s="59"/>
      <c r="G35" s="59"/>
    </row>
    <row r="36" spans="1:9" ht="20.25" customHeight="1" x14ac:dyDescent="0.2">
      <c r="B36" s="59"/>
      <c r="C36" s="59"/>
      <c r="D36" s="59"/>
      <c r="E36" s="59"/>
      <c r="F36" s="59"/>
      <c r="G36" s="59"/>
    </row>
    <row r="37" spans="1:9" ht="20.25" customHeight="1" x14ac:dyDescent="0.2">
      <c r="A37" t="s">
        <v>223</v>
      </c>
      <c r="B37" s="58">
        <v>1287052</v>
      </c>
      <c r="C37"/>
      <c r="G37" s="59"/>
    </row>
    <row r="38" spans="1:9" ht="20.25" customHeight="1" x14ac:dyDescent="0.2">
      <c r="A38" t="s">
        <v>175</v>
      </c>
      <c r="B38" s="65">
        <f>++B22+B37</f>
        <v>1287052</v>
      </c>
      <c r="C38"/>
      <c r="G38" s="59"/>
    </row>
    <row r="39" spans="1:9" ht="20.25" customHeight="1" x14ac:dyDescent="0.2">
      <c r="A39" t="s">
        <v>135</v>
      </c>
      <c r="B39" s="58"/>
      <c r="D39" s="58"/>
      <c r="E39" s="58"/>
      <c r="F39" s="58"/>
      <c r="G39" s="58"/>
      <c r="I39">
        <v>0</v>
      </c>
    </row>
    <row r="40" spans="1:9" ht="20.25" customHeight="1" x14ac:dyDescent="0.2">
      <c r="C40"/>
      <c r="G40" s="59"/>
    </row>
    <row r="41" spans="1:9" ht="20.25" customHeight="1" x14ac:dyDescent="0.2">
      <c r="A41" t="s">
        <v>180</v>
      </c>
      <c r="B41" s="59">
        <f>+B22+B37+B39+B29</f>
        <v>1287052</v>
      </c>
      <c r="C41" s="59">
        <f t="shared" ref="C41:G41" si="0">+C22+C37+C39+C29</f>
        <v>0</v>
      </c>
      <c r="D41" s="59">
        <f>+D22+D37+D39+D29</f>
        <v>0</v>
      </c>
      <c r="E41" s="59">
        <f t="shared" si="0"/>
        <v>0</v>
      </c>
      <c r="F41" s="59">
        <f t="shared" si="0"/>
        <v>0</v>
      </c>
      <c r="G41" s="59">
        <f t="shared" si="0"/>
        <v>0</v>
      </c>
      <c r="H41" s="59"/>
      <c r="I41" s="59"/>
    </row>
    <row r="42" spans="1:9" ht="20.25" customHeight="1" x14ac:dyDescent="0.2">
      <c r="C42"/>
      <c r="G42" s="59"/>
    </row>
    <row r="43" spans="1:9" ht="20.25" customHeight="1" x14ac:dyDescent="0.2">
      <c r="B43" s="63">
        <v>3000000</v>
      </c>
      <c r="C43"/>
      <c r="F43" s="60"/>
      <c r="G43" s="59"/>
      <c r="I43">
        <v>9</v>
      </c>
    </row>
    <row r="44" spans="1:9" ht="20.25" customHeight="1" x14ac:dyDescent="0.2">
      <c r="C44"/>
      <c r="G44" s="59"/>
    </row>
    <row r="45" spans="1:9" ht="20.25" customHeight="1" x14ac:dyDescent="0.2">
      <c r="B45" s="59">
        <f>+B41-B43</f>
        <v>-1712948</v>
      </c>
      <c r="C45" s="63"/>
      <c r="D45" s="63"/>
      <c r="E45" s="63"/>
      <c r="F45" s="63"/>
      <c r="G45" s="59"/>
    </row>
    <row r="46" spans="1:9" ht="20.25" customHeight="1" x14ac:dyDescent="0.2">
      <c r="C46"/>
      <c r="D46">
        <f>+D22/I43</f>
        <v>0</v>
      </c>
      <c r="G46" s="59"/>
    </row>
    <row r="47" spans="1:9" ht="20.25" customHeight="1" x14ac:dyDescent="0.2">
      <c r="B47" s="65"/>
      <c r="C47" s="59">
        <f>+C41/I43</f>
        <v>0</v>
      </c>
      <c r="D47" s="59">
        <f>+D41/I43</f>
        <v>0</v>
      </c>
      <c r="E47" s="59"/>
      <c r="F47" s="59"/>
      <c r="G47" s="59">
        <f>+G41/I43</f>
        <v>0</v>
      </c>
    </row>
    <row r="48" spans="1:9" ht="20.25" customHeight="1" x14ac:dyDescent="0.2">
      <c r="C48"/>
      <c r="G48" s="59"/>
    </row>
    <row r="49" spans="2:7" ht="20.25" customHeight="1" x14ac:dyDescent="0.2">
      <c r="C49"/>
      <c r="D49" s="60"/>
      <c r="G49" s="59"/>
    </row>
    <row r="50" spans="2:7" ht="20.25" customHeight="1" x14ac:dyDescent="0.2">
      <c r="B50" s="59"/>
      <c r="C50" s="59"/>
      <c r="D50" s="59"/>
      <c r="E50" s="59"/>
      <c r="F50" s="59"/>
      <c r="G50" s="59"/>
    </row>
    <row r="51" spans="2:7" ht="20.25" customHeight="1" x14ac:dyDescent="0.2">
      <c r="B51" s="59"/>
      <c r="C51" s="59"/>
      <c r="D51" s="59"/>
      <c r="E51" s="59"/>
      <c r="F51" s="59"/>
      <c r="G51" s="59"/>
    </row>
    <row r="52" spans="2:7" ht="20.25" customHeight="1" x14ac:dyDescent="0.2">
      <c r="B52" s="59"/>
      <c r="C52" s="59"/>
      <c r="D52" s="59"/>
      <c r="E52" s="59"/>
      <c r="F52" s="59"/>
      <c r="G52" s="59"/>
    </row>
    <row r="53" spans="2:7" ht="20.25" customHeight="1" x14ac:dyDescent="0.2">
      <c r="B53" s="59"/>
      <c r="C53" s="59"/>
      <c r="D53" s="59"/>
      <c r="E53" s="59"/>
      <c r="F53" s="59"/>
      <c r="G53" s="59"/>
    </row>
    <row r="54" spans="2:7" ht="20.25" customHeight="1" x14ac:dyDescent="0.2">
      <c r="B54" s="59"/>
      <c r="C54" s="59"/>
      <c r="D54" s="59"/>
      <c r="E54" s="59"/>
      <c r="F54" s="59"/>
      <c r="G54" s="59"/>
    </row>
    <row r="55" spans="2:7" ht="20.25" customHeight="1" x14ac:dyDescent="0.2">
      <c r="B55" s="59"/>
      <c r="C55" s="59"/>
      <c r="D55" s="59"/>
      <c r="E55" s="59"/>
      <c r="F55" s="59"/>
      <c r="G55" s="59"/>
    </row>
    <row r="56" spans="2:7" ht="20.25" customHeight="1" x14ac:dyDescent="0.2">
      <c r="B56" s="59"/>
      <c r="C56" s="59"/>
      <c r="D56" s="59"/>
      <c r="E56" s="59"/>
      <c r="F56" s="59"/>
      <c r="G56" s="59"/>
    </row>
    <row r="57" spans="2:7" ht="20.25" customHeight="1" x14ac:dyDescent="0.2">
      <c r="B57" s="59"/>
      <c r="C57" s="59"/>
      <c r="D57" s="59"/>
      <c r="E57" s="59"/>
      <c r="F57" s="59"/>
      <c r="G57" s="59"/>
    </row>
    <row r="58" spans="2:7" ht="20.25" customHeight="1" x14ac:dyDescent="0.2">
      <c r="B58" s="59"/>
      <c r="C58" s="59"/>
      <c r="D58" s="59"/>
      <c r="E58" s="59"/>
      <c r="F58" s="59"/>
      <c r="G58" s="59"/>
    </row>
    <row r="59" spans="2:7" ht="20.25" customHeight="1" x14ac:dyDescent="0.2">
      <c r="B59" s="59"/>
      <c r="C59" s="59"/>
      <c r="D59" s="59"/>
      <c r="E59" s="59"/>
      <c r="F59" s="59"/>
      <c r="G59" s="59"/>
    </row>
    <row r="60" spans="2:7" ht="20.25" customHeight="1" x14ac:dyDescent="0.2">
      <c r="B60" s="59"/>
      <c r="C60" s="59"/>
      <c r="D60" s="59"/>
      <c r="E60" s="59"/>
      <c r="F60" s="59"/>
      <c r="G60" s="59"/>
    </row>
    <row r="61" spans="2:7" ht="20.25" customHeight="1" x14ac:dyDescent="0.2">
      <c r="B61" s="59"/>
      <c r="C61" s="59"/>
      <c r="D61" s="59"/>
      <c r="E61" s="59"/>
      <c r="F61" s="59"/>
      <c r="G61" s="59"/>
    </row>
    <row r="62" spans="2:7" ht="20.25" customHeight="1" x14ac:dyDescent="0.2">
      <c r="B62" s="59"/>
      <c r="C62" s="59"/>
      <c r="D62" s="59"/>
      <c r="E62" s="59"/>
      <c r="F62" s="59"/>
      <c r="G62" s="59"/>
    </row>
    <row r="63" spans="2:7" ht="20.25" customHeight="1" x14ac:dyDescent="0.2">
      <c r="B63" s="59"/>
      <c r="C63" s="59"/>
      <c r="D63" s="59"/>
      <c r="E63" s="59"/>
      <c r="F63" s="59"/>
      <c r="G63" s="59"/>
    </row>
    <row r="64" spans="2:7" ht="20.25" customHeight="1" x14ac:dyDescent="0.2">
      <c r="B64" s="59"/>
      <c r="C64" s="59"/>
      <c r="D64" s="59"/>
      <c r="E64" s="59"/>
      <c r="F64" s="59"/>
      <c r="G64" s="59"/>
    </row>
    <row r="65" spans="2:10" ht="20.25" customHeight="1" x14ac:dyDescent="0.2">
      <c r="B65" s="59"/>
      <c r="C65" s="59"/>
      <c r="D65" s="59"/>
      <c r="E65" s="59"/>
      <c r="F65" s="59"/>
      <c r="G65" s="59"/>
    </row>
    <row r="66" spans="2:10" ht="20.25" customHeight="1" x14ac:dyDescent="0.2">
      <c r="B66" s="59"/>
      <c r="C66" s="59"/>
      <c r="D66" s="59"/>
      <c r="E66" s="59"/>
      <c r="F66" s="59"/>
      <c r="G66" s="59"/>
    </row>
    <row r="67" spans="2:10" ht="20.25" customHeight="1" x14ac:dyDescent="0.2">
      <c r="B67" s="59"/>
      <c r="C67" s="59"/>
      <c r="D67" s="59"/>
      <c r="E67" s="59"/>
      <c r="F67" s="59"/>
      <c r="G67" s="59"/>
    </row>
    <row r="68" spans="2:10" ht="20.25" customHeight="1" x14ac:dyDescent="0.2">
      <c r="C68"/>
    </row>
    <row r="69" spans="2:10" ht="20.25" customHeight="1" x14ac:dyDescent="0.2">
      <c r="C69"/>
      <c r="J69" s="58"/>
    </row>
    <row r="70" spans="2:10" ht="15.75" customHeight="1" x14ac:dyDescent="0.2">
      <c r="C70"/>
    </row>
    <row r="71" spans="2:10" ht="15.75" customHeight="1" x14ac:dyDescent="0.2">
      <c r="C71"/>
    </row>
    <row r="72" spans="2:10" ht="15.75" customHeight="1" x14ac:dyDescent="0.2">
      <c r="C72"/>
    </row>
    <row r="73" spans="2:10" ht="15.75" customHeight="1" x14ac:dyDescent="0.2">
      <c r="C73"/>
    </row>
    <row r="74" spans="2:10" ht="15.75" customHeight="1" x14ac:dyDescent="0.2">
      <c r="C74"/>
    </row>
    <row r="75" spans="2:10" ht="15.75" customHeight="1" x14ac:dyDescent="0.2">
      <c r="C75"/>
      <c r="F75" s="58"/>
    </row>
    <row r="76" spans="2:10" ht="15.75" customHeight="1" x14ac:dyDescent="0.2">
      <c r="B76" s="59"/>
      <c r="C76" s="59"/>
      <c r="D76" s="59"/>
      <c r="E76" s="59"/>
      <c r="F76" s="59"/>
      <c r="G76" s="59"/>
    </row>
    <row r="77" spans="2:10" ht="15.75" customHeight="1" x14ac:dyDescent="0.2">
      <c r="B77" s="59"/>
      <c r="C77" s="59"/>
      <c r="D77" s="59"/>
      <c r="E77" s="59"/>
      <c r="F77" s="59"/>
      <c r="G77" s="59"/>
    </row>
    <row r="78" spans="2:10" ht="15.75" customHeight="1" x14ac:dyDescent="0.2">
      <c r="B78" s="59"/>
      <c r="C78" s="59"/>
      <c r="D78" s="59"/>
      <c r="E78" s="59"/>
      <c r="F78" s="59"/>
      <c r="G78" s="59"/>
    </row>
    <row r="79" spans="2:10" ht="15.75" customHeight="1" x14ac:dyDescent="0.2">
      <c r="B79" s="58"/>
      <c r="C79"/>
    </row>
    <row r="80" spans="2:10" ht="15.75" customHeight="1" x14ac:dyDescent="0.2">
      <c r="B80" s="65"/>
      <c r="C80"/>
    </row>
    <row r="81" spans="2:9" ht="15.75" customHeight="1" x14ac:dyDescent="0.2">
      <c r="B81" s="58"/>
      <c r="C81" s="63"/>
      <c r="D81" s="63"/>
      <c r="E81" s="63"/>
      <c r="F81" s="58"/>
      <c r="G81" s="58"/>
    </row>
    <row r="82" spans="2:9" ht="15.75" customHeight="1" x14ac:dyDescent="0.2">
      <c r="C82"/>
    </row>
    <row r="83" spans="2:9" ht="15.75" customHeight="1" x14ac:dyDescent="0.2">
      <c r="B83" s="59"/>
      <c r="C83" s="59"/>
      <c r="D83" s="59"/>
      <c r="E83" s="59"/>
      <c r="F83" s="59"/>
      <c r="G83" s="59"/>
      <c r="I83" s="63"/>
    </row>
    <row r="84" spans="2:9" ht="15.75" customHeight="1" x14ac:dyDescent="0.2">
      <c r="C84"/>
      <c r="I84" s="60"/>
    </row>
    <row r="85" spans="2:9" ht="15.75" customHeight="1" x14ac:dyDescent="0.2">
      <c r="B85" s="63"/>
      <c r="C85"/>
      <c r="F85" s="60"/>
      <c r="I85" s="60"/>
    </row>
    <row r="86" spans="2:9" ht="15.75" customHeight="1" x14ac:dyDescent="0.2">
      <c r="C86"/>
      <c r="I86" s="59"/>
    </row>
    <row r="87" spans="2:9" ht="15.75" customHeight="1" x14ac:dyDescent="0.2">
      <c r="B87" s="59"/>
      <c r="C87" s="63"/>
      <c r="D87" s="63"/>
      <c r="E87" s="63"/>
      <c r="F87" s="63"/>
      <c r="G87" s="63"/>
    </row>
    <row r="88" spans="2:9" ht="15.75" customHeight="1" x14ac:dyDescent="0.2">
      <c r="C88"/>
      <c r="I88" s="60"/>
    </row>
    <row r="89" spans="2:9" ht="15.75" customHeight="1" x14ac:dyDescent="0.2">
      <c r="B89" s="65"/>
      <c r="C89" s="59"/>
      <c r="D89" s="59"/>
      <c r="E89" s="59"/>
      <c r="F89" s="59"/>
      <c r="G89" s="59"/>
    </row>
    <row r="90" spans="2:9" ht="15.75" customHeight="1" x14ac:dyDescent="0.2">
      <c r="C90"/>
    </row>
    <row r="91" spans="2:9" ht="15.75" customHeight="1" x14ac:dyDescent="0.2">
      <c r="C91"/>
    </row>
    <row r="92" spans="2:9" ht="15.75" customHeight="1" x14ac:dyDescent="0.2">
      <c r="C92"/>
    </row>
    <row r="93" spans="2:9" ht="15.75" customHeight="1" x14ac:dyDescent="0.2">
      <c r="C93"/>
    </row>
    <row r="94" spans="2:9" ht="20.25" customHeight="1" x14ac:dyDescent="0.2">
      <c r="C94"/>
    </row>
    <row r="95" spans="2:9" ht="20.25" customHeight="1" x14ac:dyDescent="0.2">
      <c r="C95"/>
    </row>
    <row r="96" spans="2:9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3:3" ht="20.25" customHeight="1" x14ac:dyDescent="0.2">
      <c r="C113"/>
    </row>
    <row r="114" spans="3:3" ht="20.25" customHeight="1" x14ac:dyDescent="0.2">
      <c r="C114"/>
    </row>
    <row r="115" spans="3:3" ht="20.25" customHeight="1" x14ac:dyDescent="0.2">
      <c r="C115"/>
    </row>
    <row r="116" spans="3:3" ht="20.25" customHeight="1" x14ac:dyDescent="0.2">
      <c r="C116"/>
    </row>
    <row r="117" spans="3:3" ht="20.25" customHeight="1" x14ac:dyDescent="0.2">
      <c r="C117"/>
    </row>
    <row r="118" spans="3:3" ht="20.25" customHeight="1" x14ac:dyDescent="0.2">
      <c r="C118"/>
    </row>
    <row r="119" spans="3:3" ht="20.25" customHeight="1" x14ac:dyDescent="0.2">
      <c r="C119"/>
    </row>
    <row r="120" spans="3:3" ht="20.25" customHeight="1" x14ac:dyDescent="0.2">
      <c r="C120"/>
    </row>
    <row r="121" spans="3:3" ht="20.25" customHeight="1" x14ac:dyDescent="0.2">
      <c r="C121"/>
    </row>
    <row r="122" spans="3:3" ht="20.25" customHeight="1" x14ac:dyDescent="0.2">
      <c r="C122"/>
    </row>
    <row r="123" spans="3:3" ht="20.25" customHeight="1" x14ac:dyDescent="0.2">
      <c r="C123"/>
    </row>
    <row r="124" spans="3:3" ht="20.25" customHeight="1" x14ac:dyDescent="0.2">
      <c r="C124"/>
    </row>
    <row r="125" spans="3:3" ht="20.25" customHeight="1" x14ac:dyDescent="0.2">
      <c r="C125"/>
    </row>
    <row r="126" spans="3:3" ht="20.25" customHeight="1" x14ac:dyDescent="0.2">
      <c r="C126"/>
    </row>
    <row r="127" spans="3:3" ht="20.25" customHeight="1" x14ac:dyDescent="0.2">
      <c r="C127"/>
    </row>
    <row r="128" spans="3:3" x14ac:dyDescent="0.2">
      <c r="C128"/>
    </row>
    <row r="129" spans="3:10" x14ac:dyDescent="0.2">
      <c r="C129"/>
      <c r="I129" s="59"/>
    </row>
    <row r="130" spans="3:10" x14ac:dyDescent="0.2">
      <c r="C130"/>
      <c r="J130" s="58"/>
    </row>
    <row r="131" spans="3:10" x14ac:dyDescent="0.2">
      <c r="C131"/>
    </row>
    <row r="132" spans="3:10" x14ac:dyDescent="0.2">
      <c r="C132"/>
    </row>
    <row r="133" spans="3:10" x14ac:dyDescent="0.2">
      <c r="C133"/>
    </row>
    <row r="134" spans="3:10" x14ac:dyDescent="0.2">
      <c r="C134"/>
    </row>
    <row r="135" spans="3:10" x14ac:dyDescent="0.2">
      <c r="C135"/>
    </row>
    <row r="136" spans="3:10" x14ac:dyDescent="0.2">
      <c r="C136"/>
    </row>
    <row r="137" spans="3:10" x14ac:dyDescent="0.2">
      <c r="C137"/>
    </row>
    <row r="138" spans="3:10" x14ac:dyDescent="0.2">
      <c r="C138"/>
    </row>
    <row r="139" spans="3:10" x14ac:dyDescent="0.2">
      <c r="C139"/>
    </row>
    <row r="140" spans="3:10" x14ac:dyDescent="0.2">
      <c r="C140"/>
    </row>
    <row r="141" spans="3:10" x14ac:dyDescent="0.2">
      <c r="C141"/>
    </row>
    <row r="142" spans="3:10" x14ac:dyDescent="0.2">
      <c r="C142"/>
    </row>
    <row r="143" spans="3:10" x14ac:dyDescent="0.2">
      <c r="C143"/>
    </row>
    <row r="144" spans="3:10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  <row r="170" spans="3:3" x14ac:dyDescent="0.2">
      <c r="C170"/>
    </row>
    <row r="171" spans="3:3" x14ac:dyDescent="0.2">
      <c r="C171"/>
    </row>
    <row r="172" spans="3:3" x14ac:dyDescent="0.2">
      <c r="C172"/>
    </row>
    <row r="173" spans="3:3" x14ac:dyDescent="0.2">
      <c r="C173"/>
    </row>
    <row r="174" spans="3:3" x14ac:dyDescent="0.2">
      <c r="C174"/>
    </row>
    <row r="175" spans="3:3" x14ac:dyDescent="0.2">
      <c r="C175"/>
    </row>
    <row r="176" spans="3:3" x14ac:dyDescent="0.2">
      <c r="C176"/>
    </row>
    <row r="177" spans="3:3" x14ac:dyDescent="0.2">
      <c r="C177"/>
    </row>
  </sheetData>
  <pageMargins left="0.70866141732283472" right="0.70866141732283472" top="0.74803149606299213" bottom="0.74803149606299213" header="0.31496062992125984" footer="0.31496062992125984"/>
  <pageSetup paperSize="9" scale="62" orientation="portrait" verticalDpi="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K168"/>
  <sheetViews>
    <sheetView zoomScale="85" zoomScaleNormal="85" workbookViewId="0">
      <selection activeCell="D18" sqref="D18"/>
    </sheetView>
  </sheetViews>
  <sheetFormatPr defaultRowHeight="14.25" x14ac:dyDescent="0.2"/>
  <cols>
    <col min="1" max="1" width="35.375" customWidth="1"/>
    <col min="2" max="2" width="19.8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151</v>
      </c>
    </row>
    <row r="2" spans="1:11" x14ac:dyDescent="0.2">
      <c r="A2" s="57" t="s">
        <v>29</v>
      </c>
      <c r="B2" t="s">
        <v>151</v>
      </c>
    </row>
    <row r="4" spans="1:11" x14ac:dyDescent="0.2">
      <c r="A4" s="57" t="s">
        <v>23</v>
      </c>
      <c r="B4" s="57" t="s">
        <v>42</v>
      </c>
      <c r="C4" t="s">
        <v>150</v>
      </c>
      <c r="D4" t="s">
        <v>159</v>
      </c>
      <c r="E4" t="s">
        <v>152</v>
      </c>
      <c r="F4" t="s">
        <v>154</v>
      </c>
      <c r="G4" t="s">
        <v>140</v>
      </c>
      <c r="I4" t="s">
        <v>212</v>
      </c>
    </row>
    <row r="5" spans="1:11" ht="20.25" customHeight="1" x14ac:dyDescent="0.2">
      <c r="A5" t="s">
        <v>172</v>
      </c>
      <c r="B5" t="s">
        <v>73</v>
      </c>
      <c r="C5" s="59">
        <v>215000</v>
      </c>
      <c r="D5" s="59">
        <v>57750</v>
      </c>
      <c r="E5" s="59">
        <v>155000</v>
      </c>
      <c r="F5" s="59">
        <v>99396.550000000017</v>
      </c>
      <c r="G5" s="59">
        <v>0</v>
      </c>
      <c r="H5" s="59">
        <f>G5</f>
        <v>0</v>
      </c>
    </row>
    <row r="6" spans="1:11" ht="20.25" customHeight="1" x14ac:dyDescent="0.2">
      <c r="A6" s="61" t="s">
        <v>227</v>
      </c>
      <c r="B6" s="61"/>
      <c r="C6" s="62">
        <v>215000</v>
      </c>
      <c r="D6" s="62">
        <v>57750</v>
      </c>
      <c r="E6" s="62">
        <v>155000</v>
      </c>
      <c r="F6" s="62">
        <v>99396.550000000017</v>
      </c>
      <c r="G6" s="62">
        <v>0</v>
      </c>
      <c r="H6" s="59">
        <f t="shared" ref="H6:H68" si="0">G6</f>
        <v>0</v>
      </c>
    </row>
    <row r="7" spans="1:11" ht="20.25" customHeight="1" x14ac:dyDescent="0.2">
      <c r="A7" t="s">
        <v>168</v>
      </c>
      <c r="B7" t="s">
        <v>278</v>
      </c>
      <c r="C7" s="59">
        <v>5800</v>
      </c>
      <c r="D7" s="59">
        <v>0</v>
      </c>
      <c r="E7" s="59">
        <v>0</v>
      </c>
      <c r="F7" s="59">
        <v>0</v>
      </c>
      <c r="G7" s="59">
        <v>0</v>
      </c>
      <c r="H7" s="59">
        <f t="shared" si="0"/>
        <v>0</v>
      </c>
    </row>
    <row r="8" spans="1:11" ht="20.25" customHeight="1" x14ac:dyDescent="0.2">
      <c r="A8" s="61" t="s">
        <v>228</v>
      </c>
      <c r="B8" s="61"/>
      <c r="C8" s="62">
        <v>5800</v>
      </c>
      <c r="D8" s="62">
        <v>0</v>
      </c>
      <c r="E8" s="62">
        <v>0</v>
      </c>
      <c r="F8" s="62">
        <v>0</v>
      </c>
      <c r="G8" s="62">
        <v>0</v>
      </c>
      <c r="H8" s="59"/>
    </row>
    <row r="9" spans="1:11" ht="20.25" customHeight="1" x14ac:dyDescent="0.2">
      <c r="A9" t="s">
        <v>81</v>
      </c>
      <c r="B9" t="s">
        <v>85</v>
      </c>
      <c r="C9" s="59">
        <v>103000</v>
      </c>
      <c r="D9" s="59">
        <v>0</v>
      </c>
      <c r="E9" s="59">
        <v>2000</v>
      </c>
      <c r="F9" s="59">
        <v>0</v>
      </c>
      <c r="G9" s="59">
        <v>0</v>
      </c>
      <c r="H9" s="59">
        <f t="shared" si="0"/>
        <v>0</v>
      </c>
    </row>
    <row r="10" spans="1:11" ht="20.25" customHeight="1" x14ac:dyDescent="0.2">
      <c r="B10" t="s">
        <v>139</v>
      </c>
      <c r="C10" s="59">
        <v>393</v>
      </c>
      <c r="D10" s="59">
        <v>412.65000000000003</v>
      </c>
      <c r="E10" s="59">
        <v>393</v>
      </c>
      <c r="F10" s="59">
        <v>411.76575000000003</v>
      </c>
      <c r="G10" s="59">
        <v>0</v>
      </c>
      <c r="H10" s="59">
        <f t="shared" si="0"/>
        <v>0</v>
      </c>
    </row>
    <row r="11" spans="1:11" ht="20.25" customHeight="1" x14ac:dyDescent="0.2">
      <c r="A11" s="61" t="s">
        <v>229</v>
      </c>
      <c r="B11" s="61"/>
      <c r="C11" s="62">
        <v>103393</v>
      </c>
      <c r="D11" s="62">
        <v>412.65000000000003</v>
      </c>
      <c r="E11" s="62">
        <v>2393</v>
      </c>
      <c r="F11" s="62">
        <v>411.76575000000003</v>
      </c>
      <c r="G11" s="62">
        <v>0</v>
      </c>
      <c r="H11" s="59"/>
    </row>
    <row r="12" spans="1:11" ht="20.25" customHeight="1" x14ac:dyDescent="0.2">
      <c r="A12" t="s">
        <v>80</v>
      </c>
      <c r="B12" t="s">
        <v>139</v>
      </c>
      <c r="C12" s="59">
        <v>1693</v>
      </c>
      <c r="D12" s="59">
        <v>1644.3</v>
      </c>
      <c r="E12" s="59">
        <v>1693</v>
      </c>
      <c r="F12" s="59">
        <v>0</v>
      </c>
      <c r="G12" s="59">
        <v>1640.7765000000002</v>
      </c>
      <c r="H12" s="59">
        <f t="shared" si="0"/>
        <v>1640.7765000000002</v>
      </c>
      <c r="I12" s="66"/>
    </row>
    <row r="13" spans="1:11" ht="20.25" customHeight="1" x14ac:dyDescent="0.2">
      <c r="B13" t="s">
        <v>107</v>
      </c>
      <c r="C13" s="59">
        <v>14000</v>
      </c>
      <c r="D13" s="59">
        <v>0</v>
      </c>
      <c r="E13" s="59">
        <v>10000</v>
      </c>
      <c r="F13" s="59">
        <v>0</v>
      </c>
      <c r="G13" s="59">
        <v>0</v>
      </c>
      <c r="H13" s="59">
        <f t="shared" si="0"/>
        <v>0</v>
      </c>
    </row>
    <row r="14" spans="1:11" ht="20.25" customHeight="1" x14ac:dyDescent="0.2">
      <c r="B14" t="s">
        <v>267</v>
      </c>
      <c r="C14" s="59">
        <v>20000</v>
      </c>
      <c r="D14" s="59">
        <v>0</v>
      </c>
      <c r="E14" s="59">
        <v>0</v>
      </c>
      <c r="F14" s="59">
        <v>0</v>
      </c>
      <c r="G14" s="59">
        <v>0</v>
      </c>
      <c r="H14" s="59">
        <f t="shared" si="0"/>
        <v>0</v>
      </c>
    </row>
    <row r="15" spans="1:11" ht="20.25" customHeight="1" x14ac:dyDescent="0.2">
      <c r="A15" s="61" t="s">
        <v>153</v>
      </c>
      <c r="B15" s="61"/>
      <c r="C15" s="62">
        <v>35693</v>
      </c>
      <c r="D15" s="62">
        <v>1644.3</v>
      </c>
      <c r="E15" s="62">
        <v>11693</v>
      </c>
      <c r="F15" s="62">
        <v>0</v>
      </c>
      <c r="G15" s="62">
        <v>1640.7765000000002</v>
      </c>
      <c r="H15" s="59"/>
      <c r="I15" s="63"/>
      <c r="J15" s="63"/>
      <c r="K15" s="60"/>
    </row>
    <row r="16" spans="1:11" ht="20.25" customHeight="1" x14ac:dyDescent="0.2">
      <c r="A16" t="s">
        <v>120</v>
      </c>
      <c r="B16" t="s">
        <v>280</v>
      </c>
      <c r="C16" s="59">
        <v>5000</v>
      </c>
      <c r="D16" s="59">
        <v>0</v>
      </c>
      <c r="E16" s="59">
        <v>0</v>
      </c>
      <c r="F16" s="59">
        <v>0</v>
      </c>
      <c r="G16" s="59">
        <v>0</v>
      </c>
      <c r="H16" s="59">
        <f t="shared" si="0"/>
        <v>0</v>
      </c>
    </row>
    <row r="17" spans="1:8" ht="20.25" customHeight="1" x14ac:dyDescent="0.2">
      <c r="B17" t="s">
        <v>303</v>
      </c>
      <c r="C17" s="59">
        <v>30000</v>
      </c>
      <c r="D17" s="59">
        <v>0</v>
      </c>
      <c r="E17" s="59">
        <v>0</v>
      </c>
      <c r="F17" s="59">
        <v>0</v>
      </c>
      <c r="G17" s="59">
        <v>0</v>
      </c>
      <c r="H17" s="59"/>
    </row>
    <row r="18" spans="1:8" ht="20.25" customHeight="1" x14ac:dyDescent="0.2">
      <c r="A18" s="61" t="s">
        <v>186</v>
      </c>
      <c r="B18" s="61"/>
      <c r="C18" s="62">
        <v>35000</v>
      </c>
      <c r="D18" s="62">
        <v>0</v>
      </c>
      <c r="E18" s="62">
        <v>0</v>
      </c>
      <c r="F18" s="62">
        <v>0</v>
      </c>
      <c r="G18" s="62">
        <v>0</v>
      </c>
      <c r="H18" s="59">
        <f t="shared" si="0"/>
        <v>0</v>
      </c>
    </row>
    <row r="19" spans="1:8" ht="20.25" customHeight="1" x14ac:dyDescent="0.2">
      <c r="A19" t="s">
        <v>322</v>
      </c>
      <c r="B19" t="s">
        <v>321</v>
      </c>
      <c r="C19" s="59">
        <v>10000</v>
      </c>
      <c r="D19" s="59">
        <v>0</v>
      </c>
      <c r="E19" s="59">
        <v>0</v>
      </c>
      <c r="F19" s="59">
        <v>0</v>
      </c>
      <c r="G19" s="59">
        <v>0</v>
      </c>
      <c r="H19" s="59">
        <f t="shared" si="0"/>
        <v>0</v>
      </c>
    </row>
    <row r="20" spans="1:8" ht="20.25" customHeight="1" x14ac:dyDescent="0.2">
      <c r="A20" s="61" t="s">
        <v>324</v>
      </c>
      <c r="B20" s="61"/>
      <c r="C20" s="62">
        <v>10000</v>
      </c>
      <c r="D20" s="62">
        <v>0</v>
      </c>
      <c r="E20" s="62">
        <v>0</v>
      </c>
      <c r="F20" s="62">
        <v>0</v>
      </c>
      <c r="G20" s="62">
        <v>0</v>
      </c>
      <c r="H20" s="59">
        <f t="shared" si="0"/>
        <v>0</v>
      </c>
    </row>
    <row r="21" spans="1:8" ht="20.25" customHeight="1" x14ac:dyDescent="0.2">
      <c r="A21" t="s">
        <v>83</v>
      </c>
      <c r="B21" t="s">
        <v>302</v>
      </c>
      <c r="C21" s="59">
        <v>10000</v>
      </c>
      <c r="D21" s="59">
        <v>0</v>
      </c>
      <c r="E21" s="59">
        <v>5000</v>
      </c>
      <c r="F21" s="59">
        <v>0</v>
      </c>
      <c r="G21" s="59">
        <v>0</v>
      </c>
      <c r="H21" s="59">
        <f t="shared" si="0"/>
        <v>0</v>
      </c>
    </row>
    <row r="22" spans="1:8" ht="20.25" customHeight="1" x14ac:dyDescent="0.2">
      <c r="A22" s="61" t="s">
        <v>230</v>
      </c>
      <c r="B22" s="61"/>
      <c r="C22" s="62">
        <v>10000</v>
      </c>
      <c r="D22" s="62">
        <v>0</v>
      </c>
      <c r="E22" s="62">
        <v>5000</v>
      </c>
      <c r="F22" s="62">
        <v>0</v>
      </c>
      <c r="G22" s="62">
        <v>0</v>
      </c>
      <c r="H22" s="59"/>
    </row>
    <row r="23" spans="1:8" ht="20.25" customHeight="1" x14ac:dyDescent="0.2">
      <c r="A23" t="s">
        <v>197</v>
      </c>
      <c r="B23" t="s">
        <v>323</v>
      </c>
      <c r="C23" s="59">
        <v>10000</v>
      </c>
      <c r="D23" s="59">
        <v>0</v>
      </c>
      <c r="E23" s="59">
        <v>0</v>
      </c>
      <c r="F23" s="59">
        <v>0</v>
      </c>
      <c r="G23" s="59">
        <v>0</v>
      </c>
      <c r="H23" s="59">
        <f t="shared" si="0"/>
        <v>0</v>
      </c>
    </row>
    <row r="24" spans="1:8" ht="20.25" customHeight="1" x14ac:dyDescent="0.2">
      <c r="A24" s="61" t="s">
        <v>200</v>
      </c>
      <c r="B24" s="61"/>
      <c r="C24" s="62">
        <v>10000</v>
      </c>
      <c r="D24" s="62">
        <v>0</v>
      </c>
      <c r="E24" s="62">
        <v>0</v>
      </c>
      <c r="F24" s="62">
        <v>0</v>
      </c>
      <c r="G24" s="62">
        <v>0</v>
      </c>
      <c r="H24" s="59"/>
    </row>
    <row r="25" spans="1:8" ht="20.25" customHeight="1" x14ac:dyDescent="0.2">
      <c r="A25" t="s">
        <v>127</v>
      </c>
      <c r="B25" t="s">
        <v>147</v>
      </c>
      <c r="C25" s="59">
        <v>53000</v>
      </c>
      <c r="D25" s="59">
        <v>52500</v>
      </c>
      <c r="E25" s="59">
        <v>50000</v>
      </c>
      <c r="F25" s="59">
        <v>59372.5</v>
      </c>
      <c r="G25" s="59">
        <v>0</v>
      </c>
      <c r="H25" s="59">
        <f t="shared" si="0"/>
        <v>0</v>
      </c>
    </row>
    <row r="26" spans="1:8" ht="20.25" customHeight="1" x14ac:dyDescent="0.2">
      <c r="A26" s="61" t="s">
        <v>231</v>
      </c>
      <c r="B26" s="61"/>
      <c r="C26" s="62">
        <v>53000</v>
      </c>
      <c r="D26" s="62">
        <v>52500</v>
      </c>
      <c r="E26" s="62">
        <v>50000</v>
      </c>
      <c r="F26" s="62">
        <v>59372.5</v>
      </c>
      <c r="G26" s="62">
        <v>0</v>
      </c>
      <c r="H26" s="59"/>
    </row>
    <row r="27" spans="1:8" ht="20.25" customHeight="1" x14ac:dyDescent="0.2">
      <c r="A27" t="s">
        <v>96</v>
      </c>
      <c r="C27" s="59">
        <v>477886</v>
      </c>
      <c r="D27" s="59">
        <v>112306.95000000001</v>
      </c>
      <c r="E27" s="59">
        <v>224086</v>
      </c>
      <c r="F27" s="59">
        <v>159180.81575000001</v>
      </c>
      <c r="G27" s="59">
        <v>1640.7765000000002</v>
      </c>
      <c r="H27" s="59">
        <f t="shared" si="0"/>
        <v>1640.7765000000002</v>
      </c>
    </row>
    <row r="28" spans="1:8" ht="20.25" customHeight="1" x14ac:dyDescent="0.2">
      <c r="C28"/>
      <c r="H28" s="59">
        <f t="shared" si="0"/>
        <v>0</v>
      </c>
    </row>
    <row r="29" spans="1:8" ht="20.25" customHeight="1" x14ac:dyDescent="0.2">
      <c r="C29"/>
      <c r="H29" s="59">
        <f t="shared" si="0"/>
        <v>0</v>
      </c>
    </row>
    <row r="30" spans="1:8" ht="20.25" customHeight="1" x14ac:dyDescent="0.2">
      <c r="C30"/>
      <c r="H30" s="59"/>
    </row>
    <row r="31" spans="1:8" ht="20.25" customHeight="1" x14ac:dyDescent="0.2">
      <c r="C31"/>
      <c r="H31" s="59">
        <f t="shared" si="0"/>
        <v>0</v>
      </c>
    </row>
    <row r="32" spans="1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/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/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/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/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/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/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/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/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>
        <f t="shared" si="0"/>
        <v>0</v>
      </c>
    </row>
    <row r="68" spans="3:8" ht="20.25" customHeight="1" x14ac:dyDescent="0.2">
      <c r="C68"/>
      <c r="H68" s="59">
        <f t="shared" si="0"/>
        <v>0</v>
      </c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3281.5530000000003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160</v>
      </c>
      <c r="E119" t="s">
        <v>161</v>
      </c>
      <c r="F119" t="s">
        <v>157</v>
      </c>
      <c r="G119" t="s">
        <v>162</v>
      </c>
      <c r="I119" t="s">
        <v>166</v>
      </c>
    </row>
    <row r="120" spans="1:10" x14ac:dyDescent="0.2">
      <c r="B120" s="64" t="s">
        <v>156</v>
      </c>
      <c r="C120" t="s">
        <v>155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164</v>
      </c>
      <c r="B122">
        <v>20700</v>
      </c>
      <c r="C122" s="58">
        <v>424374</v>
      </c>
    </row>
    <row r="123" spans="1:10" x14ac:dyDescent="0.2">
      <c r="A123" s="64" t="s">
        <v>164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163</v>
      </c>
      <c r="D126" t="s">
        <v>167</v>
      </c>
      <c r="E126" t="s">
        <v>167</v>
      </c>
      <c r="F126" t="s">
        <v>165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158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16C7-EE7E-4FFF-A3F3-EC62A665B64A}">
  <sheetPr>
    <tabColor rgb="FF00B050"/>
    <pageSetUpPr fitToPage="1"/>
  </sheetPr>
  <dimension ref="A1:K168"/>
  <sheetViews>
    <sheetView zoomScale="85" zoomScaleNormal="85" workbookViewId="0">
      <selection activeCell="F7" sqref="F7"/>
    </sheetView>
  </sheetViews>
  <sheetFormatPr defaultRowHeight="14.25" x14ac:dyDescent="0.2"/>
  <cols>
    <col min="1" max="1" width="35.375" customWidth="1"/>
    <col min="2" max="2" width="15.8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135</v>
      </c>
    </row>
    <row r="2" spans="1:11" x14ac:dyDescent="0.2">
      <c r="A2" s="57" t="s">
        <v>29</v>
      </c>
      <c r="B2" t="s">
        <v>151</v>
      </c>
      <c r="D2">
        <v>12</v>
      </c>
    </row>
    <row r="4" spans="1:11" x14ac:dyDescent="0.2">
      <c r="A4" s="57" t="s">
        <v>23</v>
      </c>
      <c r="B4" s="57" t="s">
        <v>42</v>
      </c>
      <c r="C4" t="s">
        <v>150</v>
      </c>
      <c r="D4" t="s">
        <v>159</v>
      </c>
      <c r="E4" t="s">
        <v>152</v>
      </c>
      <c r="F4" t="s">
        <v>170</v>
      </c>
      <c r="G4" t="s">
        <v>154</v>
      </c>
      <c r="H4" t="s">
        <v>140</v>
      </c>
    </row>
    <row r="5" spans="1:11" ht="20.25" customHeight="1" x14ac:dyDescent="0.2">
      <c r="A5" t="s">
        <v>83</v>
      </c>
      <c r="B5" t="s">
        <v>216</v>
      </c>
      <c r="C5" s="59">
        <v>30000</v>
      </c>
      <c r="D5" s="59">
        <v>31500</v>
      </c>
      <c r="E5" s="59">
        <v>30000</v>
      </c>
      <c r="F5" s="59">
        <v>29756.100000000002</v>
      </c>
      <c r="G5" s="59">
        <v>29756.100000000002</v>
      </c>
      <c r="H5" s="59">
        <v>0</v>
      </c>
      <c r="I5" s="59"/>
    </row>
    <row r="6" spans="1:11" ht="20.25" customHeight="1" x14ac:dyDescent="0.2">
      <c r="A6" s="61" t="s">
        <v>230</v>
      </c>
      <c r="B6" s="61"/>
      <c r="C6" s="62">
        <v>30000</v>
      </c>
      <c r="D6" s="62">
        <v>31500</v>
      </c>
      <c r="E6" s="62">
        <v>30000</v>
      </c>
      <c r="F6" s="62">
        <v>29756.100000000002</v>
      </c>
      <c r="G6" s="62">
        <v>29756.100000000002</v>
      </c>
      <c r="H6" s="62">
        <v>0</v>
      </c>
    </row>
    <row r="7" spans="1:11" ht="20.25" customHeight="1" x14ac:dyDescent="0.2">
      <c r="A7" t="s">
        <v>84</v>
      </c>
      <c r="B7" t="s">
        <v>179</v>
      </c>
      <c r="C7" s="59">
        <v>8000</v>
      </c>
      <c r="D7" s="59">
        <v>8400</v>
      </c>
      <c r="E7" s="59">
        <v>8000</v>
      </c>
      <c r="F7" s="59">
        <v>9499.6</v>
      </c>
      <c r="G7" s="59">
        <v>1765</v>
      </c>
      <c r="H7" s="59">
        <v>7734.6</v>
      </c>
      <c r="I7" s="59"/>
      <c r="J7" s="59"/>
      <c r="K7" s="59"/>
    </row>
    <row r="8" spans="1:11" ht="20.25" customHeight="1" x14ac:dyDescent="0.2">
      <c r="A8" s="61" t="s">
        <v>190</v>
      </c>
      <c r="B8" s="61"/>
      <c r="C8" s="62">
        <v>8000</v>
      </c>
      <c r="D8" s="62">
        <v>8400</v>
      </c>
      <c r="E8" s="62">
        <v>8000</v>
      </c>
      <c r="F8" s="62">
        <v>9499.6</v>
      </c>
      <c r="G8" s="62">
        <v>1765</v>
      </c>
      <c r="H8" s="62">
        <v>7734.6</v>
      </c>
      <c r="J8" s="59"/>
      <c r="K8" s="59"/>
    </row>
    <row r="9" spans="1:11" ht="20.25" customHeight="1" x14ac:dyDescent="0.2">
      <c r="A9" t="s">
        <v>96</v>
      </c>
      <c r="C9" s="59">
        <v>38000</v>
      </c>
      <c r="D9" s="59">
        <v>39900</v>
      </c>
      <c r="E9" s="59">
        <v>38000</v>
      </c>
      <c r="F9" s="59">
        <v>39255.700000000004</v>
      </c>
      <c r="G9" s="59">
        <v>31521.100000000002</v>
      </c>
      <c r="H9" s="59">
        <v>7734.6</v>
      </c>
      <c r="I9" s="59"/>
    </row>
    <row r="10" spans="1:11" ht="20.25" customHeight="1" x14ac:dyDescent="0.2">
      <c r="C10"/>
    </row>
    <row r="11" spans="1:11" ht="20.25" customHeight="1" x14ac:dyDescent="0.2">
      <c r="C11"/>
      <c r="I11" s="59"/>
    </row>
    <row r="12" spans="1:11" ht="20.25" customHeight="1" x14ac:dyDescent="0.2">
      <c r="C12"/>
      <c r="I12" s="59"/>
    </row>
    <row r="13" spans="1:11" ht="20.25" customHeight="1" x14ac:dyDescent="0.2">
      <c r="C13"/>
    </row>
    <row r="14" spans="1:11" ht="20.25" customHeight="1" x14ac:dyDescent="0.2">
      <c r="C14"/>
      <c r="I14" s="59"/>
    </row>
    <row r="15" spans="1:11" ht="20.25" customHeight="1" x14ac:dyDescent="0.2">
      <c r="C15"/>
    </row>
    <row r="16" spans="1:11" ht="20.25" customHeight="1" x14ac:dyDescent="0.2">
      <c r="C16"/>
      <c r="I16" s="59"/>
    </row>
    <row r="17" spans="3:9" ht="20.25" customHeight="1" x14ac:dyDescent="0.2">
      <c r="C17"/>
      <c r="I17" s="59"/>
    </row>
    <row r="18" spans="3:9" ht="20.25" customHeight="1" x14ac:dyDescent="0.2">
      <c r="C18"/>
      <c r="I18" s="59"/>
    </row>
    <row r="19" spans="3:9" ht="20.25" customHeight="1" x14ac:dyDescent="0.2">
      <c r="C19"/>
    </row>
    <row r="20" spans="3:9" ht="20.25" customHeight="1" x14ac:dyDescent="0.2">
      <c r="C20"/>
      <c r="I20" s="59"/>
    </row>
    <row r="21" spans="3:9" ht="20.25" customHeight="1" x14ac:dyDescent="0.2">
      <c r="C21"/>
    </row>
    <row r="22" spans="3:9" ht="20.25" customHeight="1" x14ac:dyDescent="0.2">
      <c r="C22"/>
      <c r="I22" s="59"/>
    </row>
    <row r="23" spans="3:9" ht="20.25" customHeight="1" x14ac:dyDescent="0.2">
      <c r="C23"/>
      <c r="I23" s="59"/>
    </row>
    <row r="24" spans="3:9" ht="20.25" customHeight="1" x14ac:dyDescent="0.2">
      <c r="C24"/>
      <c r="I24" s="59"/>
    </row>
    <row r="25" spans="3:9" ht="20.25" customHeight="1" x14ac:dyDescent="0.2">
      <c r="C25"/>
    </row>
    <row r="26" spans="3:9" ht="20.25" customHeight="1" x14ac:dyDescent="0.2">
      <c r="C26"/>
      <c r="I26" s="59"/>
    </row>
    <row r="27" spans="3:9" ht="20.25" customHeight="1" x14ac:dyDescent="0.2">
      <c r="C27"/>
    </row>
    <row r="28" spans="3:9" ht="20.25" customHeight="1" x14ac:dyDescent="0.2">
      <c r="C28"/>
      <c r="I28" s="59"/>
    </row>
    <row r="29" spans="3:9" ht="20.25" customHeight="1" x14ac:dyDescent="0.2">
      <c r="C29"/>
      <c r="I29" s="59"/>
    </row>
    <row r="30" spans="3:9" ht="20.25" customHeight="1" x14ac:dyDescent="0.2">
      <c r="C30"/>
    </row>
    <row r="31" spans="3:9" ht="20.25" customHeight="1" x14ac:dyDescent="0.2">
      <c r="C31"/>
      <c r="I31" s="59"/>
    </row>
    <row r="32" spans="3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  <c r="H43">
        <f>+GETPIVOTDATA("ผลรวม ของ ค้างทอ",$A$4)+H41</f>
        <v>7734.6</v>
      </c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/>
    </row>
    <row r="115" spans="1:10" ht="20.25" customHeight="1" x14ac:dyDescent="0.2">
      <c r="C115"/>
    </row>
    <row r="116" spans="1:10" ht="20.25" customHeight="1" x14ac:dyDescent="0.2">
      <c r="C116"/>
    </row>
    <row r="117" spans="1:10" ht="20.25" customHeight="1" x14ac:dyDescent="0.2">
      <c r="C117"/>
    </row>
    <row r="118" spans="1:10" ht="20.25" customHeight="1" x14ac:dyDescent="0.2">
      <c r="C118"/>
    </row>
    <row r="119" spans="1:10" x14ac:dyDescent="0.2">
      <c r="C119"/>
      <c r="I119" t="s">
        <v>166</v>
      </c>
    </row>
    <row r="120" spans="1:10" x14ac:dyDescent="0.2">
      <c r="C120"/>
      <c r="I120" s="59">
        <v>12</v>
      </c>
    </row>
    <row r="121" spans="1:10" x14ac:dyDescent="0.2">
      <c r="C121" s="63">
        <v>1975256</v>
      </c>
      <c r="D121" s="59">
        <f>+D120*I120</f>
        <v>0</v>
      </c>
      <c r="E121" s="59">
        <f>+E120*I120</f>
        <v>0</v>
      </c>
      <c r="F121" s="63">
        <v>825147</v>
      </c>
      <c r="G121" s="59">
        <f>+G120*I120</f>
        <v>0</v>
      </c>
      <c r="J121" s="58"/>
    </row>
    <row r="122" spans="1:10" x14ac:dyDescent="0.2">
      <c r="A122" s="64" t="s">
        <v>164</v>
      </c>
      <c r="B122">
        <v>20700</v>
      </c>
      <c r="C122" s="58">
        <v>424374</v>
      </c>
    </row>
    <row r="123" spans="1:10" x14ac:dyDescent="0.2">
      <c r="A123" s="64" t="s">
        <v>164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163</v>
      </c>
      <c r="D126" t="s">
        <v>167</v>
      </c>
      <c r="E126" t="s">
        <v>167</v>
      </c>
      <c r="F126" t="s">
        <v>165</v>
      </c>
    </row>
    <row r="127" spans="1:10" x14ac:dyDescent="0.2">
      <c r="C127" s="65">
        <f>+C50+C121</f>
        <v>1975256</v>
      </c>
      <c r="D127" s="60">
        <f>+D121-D50</f>
        <v>0</v>
      </c>
      <c r="E127" s="60">
        <f>+E121-E50</f>
        <v>0</v>
      </c>
      <c r="F127" s="60">
        <f>+F121-F50</f>
        <v>825147</v>
      </c>
      <c r="G127" s="59">
        <f>+G121-G50</f>
        <v>0</v>
      </c>
    </row>
    <row r="128" spans="1:10" x14ac:dyDescent="0.2">
      <c r="C128"/>
    </row>
    <row r="129" spans="2:7" x14ac:dyDescent="0.2">
      <c r="B129" t="s">
        <v>158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56652-97B9-4AC4-97B6-62AADBEC4F69}">
  <sheetPr>
    <tabColor rgb="FF92D050"/>
  </sheetPr>
  <dimension ref="A3:N18"/>
  <sheetViews>
    <sheetView workbookViewId="0">
      <selection activeCell="M34" sqref="M34"/>
    </sheetView>
  </sheetViews>
  <sheetFormatPr defaultRowHeight="12.75" x14ac:dyDescent="0.2"/>
  <cols>
    <col min="1" max="1" width="15.25" style="75" bestFit="1" customWidth="1"/>
    <col min="2" max="2" width="6.125" style="75" bestFit="1" customWidth="1"/>
    <col min="3" max="3" width="5.625" style="75" bestFit="1" customWidth="1"/>
    <col min="4" max="5" width="7" style="75" bestFit="1" customWidth="1"/>
    <col min="6" max="6" width="6.125" style="75" bestFit="1" customWidth="1"/>
    <col min="7" max="11" width="6.5" style="75" bestFit="1" customWidth="1"/>
    <col min="12" max="12" width="7" style="75" bestFit="1" customWidth="1"/>
    <col min="13" max="13" width="7.375" style="75" bestFit="1" customWidth="1"/>
    <col min="14" max="14" width="10.25" style="75" bestFit="1" customWidth="1"/>
    <col min="15" max="15" width="13.5" style="75" bestFit="1" customWidth="1"/>
    <col min="16" max="16" width="13.375" style="75" bestFit="1" customWidth="1"/>
    <col min="17" max="16384" width="9" style="75"/>
  </cols>
  <sheetData>
    <row r="3" spans="1:14" x14ac:dyDescent="0.2">
      <c r="A3" s="77" t="s">
        <v>140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</row>
    <row r="4" spans="1:14" s="76" customFormat="1" x14ac:dyDescent="0.2">
      <c r="A4" s="78" t="s">
        <v>430</v>
      </c>
      <c r="B4" s="78">
        <v>45901</v>
      </c>
      <c r="C4" s="78">
        <v>45903</v>
      </c>
      <c r="D4" s="78">
        <v>45904</v>
      </c>
      <c r="E4" s="78">
        <v>45905</v>
      </c>
      <c r="F4" s="78">
        <v>45907</v>
      </c>
      <c r="G4" s="78">
        <v>45910</v>
      </c>
      <c r="H4" s="78">
        <v>45912</v>
      </c>
      <c r="I4" s="78">
        <v>45914</v>
      </c>
      <c r="J4" s="78">
        <v>45917</v>
      </c>
      <c r="K4" s="78">
        <v>45921</v>
      </c>
      <c r="L4" s="78">
        <v>45925</v>
      </c>
      <c r="M4" s="78">
        <v>45940</v>
      </c>
      <c r="N4" s="78" t="s">
        <v>96</v>
      </c>
    </row>
    <row r="5" spans="1:14" x14ac:dyDescent="0.2">
      <c r="A5" s="77" t="s">
        <v>386</v>
      </c>
      <c r="B5" s="79">
        <v>3702</v>
      </c>
      <c r="C5" s="79"/>
      <c r="D5" s="79">
        <v>7404.0999999999995</v>
      </c>
      <c r="E5" s="79"/>
      <c r="F5" s="79"/>
      <c r="G5" s="79"/>
      <c r="H5" s="79"/>
      <c r="I5" s="79"/>
      <c r="J5" s="79"/>
      <c r="K5" s="79"/>
      <c r="L5" s="79"/>
      <c r="M5" s="79"/>
      <c r="N5" s="79">
        <f>SUM(B5:M5)</f>
        <v>11106.099999999999</v>
      </c>
    </row>
    <row r="6" spans="1:14" x14ac:dyDescent="0.2">
      <c r="A6" s="77" t="s">
        <v>234</v>
      </c>
      <c r="B6" s="79"/>
      <c r="C6" s="79">
        <v>0</v>
      </c>
      <c r="D6" s="79"/>
      <c r="E6" s="79"/>
      <c r="F6" s="79"/>
      <c r="G6" s="79"/>
      <c r="H6" s="79"/>
      <c r="I6" s="79"/>
      <c r="J6" s="79"/>
      <c r="K6" s="79"/>
      <c r="L6" s="79"/>
      <c r="M6" s="79"/>
      <c r="N6" s="79">
        <f t="shared" ref="N6:N17" si="0">SUM(B6:M6)</f>
        <v>0</v>
      </c>
    </row>
    <row r="7" spans="1:14" x14ac:dyDescent="0.2">
      <c r="A7" s="77" t="s">
        <v>424</v>
      </c>
      <c r="B7" s="79"/>
      <c r="C7" s="79"/>
      <c r="D7" s="79"/>
      <c r="E7" s="79"/>
      <c r="F7" s="79">
        <v>3841.7500000000005</v>
      </c>
      <c r="G7" s="79"/>
      <c r="H7" s="79"/>
      <c r="I7" s="79"/>
      <c r="J7" s="79"/>
      <c r="K7" s="79"/>
      <c r="L7" s="79"/>
      <c r="M7" s="79"/>
      <c r="N7" s="79">
        <f t="shared" si="0"/>
        <v>3841.7500000000005</v>
      </c>
    </row>
    <row r="8" spans="1:14" x14ac:dyDescent="0.2">
      <c r="A8" s="77" t="s">
        <v>172</v>
      </c>
      <c r="B8" s="79">
        <v>0</v>
      </c>
      <c r="C8" s="79"/>
      <c r="D8" s="79">
        <v>4679.9500000000007</v>
      </c>
      <c r="E8" s="79"/>
      <c r="F8" s="79"/>
      <c r="G8" s="79"/>
      <c r="H8" s="79"/>
      <c r="I8" s="79"/>
      <c r="J8" s="79"/>
      <c r="K8" s="79"/>
      <c r="L8" s="79"/>
      <c r="M8" s="79"/>
      <c r="N8" s="79">
        <f t="shared" si="0"/>
        <v>4679.9500000000007</v>
      </c>
    </row>
    <row r="9" spans="1:14" x14ac:dyDescent="0.2">
      <c r="A9" s="77" t="s">
        <v>112</v>
      </c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>
        <f t="shared" si="0"/>
        <v>0</v>
      </c>
    </row>
    <row r="10" spans="1:14" x14ac:dyDescent="0.2">
      <c r="A10" s="77" t="s">
        <v>168</v>
      </c>
      <c r="B10" s="79"/>
      <c r="C10" s="79"/>
      <c r="D10" s="79"/>
      <c r="E10" s="79">
        <v>55162.899999999994</v>
      </c>
      <c r="F10" s="79"/>
      <c r="G10" s="79"/>
      <c r="H10" s="79"/>
      <c r="I10" s="79"/>
      <c r="J10" s="79"/>
      <c r="K10" s="79"/>
      <c r="L10" s="79"/>
      <c r="M10" s="79"/>
      <c r="N10" s="79">
        <f t="shared" si="0"/>
        <v>55162.899999999994</v>
      </c>
    </row>
    <row r="11" spans="1:14" x14ac:dyDescent="0.2">
      <c r="A11" s="77" t="s">
        <v>81</v>
      </c>
      <c r="B11" s="79">
        <v>0</v>
      </c>
      <c r="C11" s="79">
        <v>0</v>
      </c>
      <c r="D11" s="79"/>
      <c r="E11" s="79"/>
      <c r="F11" s="79"/>
      <c r="G11" s="79">
        <v>0</v>
      </c>
      <c r="H11" s="79"/>
      <c r="I11" s="79">
        <v>0</v>
      </c>
      <c r="J11" s="79">
        <v>0</v>
      </c>
      <c r="K11" s="79">
        <v>0</v>
      </c>
      <c r="L11" s="79"/>
      <c r="M11" s="79"/>
      <c r="N11" s="79">
        <f t="shared" si="0"/>
        <v>0</v>
      </c>
    </row>
    <row r="12" spans="1:14" x14ac:dyDescent="0.2">
      <c r="A12" s="77" t="s">
        <v>80</v>
      </c>
      <c r="B12" s="79"/>
      <c r="C12" s="79">
        <v>0</v>
      </c>
      <c r="D12" s="79">
        <v>0</v>
      </c>
      <c r="E12" s="79">
        <v>0</v>
      </c>
      <c r="F12" s="79"/>
      <c r="G12" s="79"/>
      <c r="H12" s="79"/>
      <c r="I12" s="79"/>
      <c r="J12" s="79">
        <v>0</v>
      </c>
      <c r="K12" s="79"/>
      <c r="L12" s="79">
        <v>4599.67</v>
      </c>
      <c r="M12" s="79"/>
      <c r="N12" s="79">
        <f t="shared" si="0"/>
        <v>4599.67</v>
      </c>
    </row>
    <row r="13" spans="1:14" x14ac:dyDescent="0.2">
      <c r="A13" s="77" t="s">
        <v>120</v>
      </c>
      <c r="B13" s="79"/>
      <c r="C13" s="79">
        <v>0</v>
      </c>
      <c r="D13" s="79"/>
      <c r="E13" s="79"/>
      <c r="F13" s="79"/>
      <c r="G13" s="79"/>
      <c r="H13" s="79"/>
      <c r="I13" s="79"/>
      <c r="J13" s="79"/>
      <c r="K13" s="79">
        <v>0</v>
      </c>
      <c r="L13" s="79"/>
      <c r="M13" s="79"/>
      <c r="N13" s="79">
        <f t="shared" si="0"/>
        <v>0</v>
      </c>
    </row>
    <row r="14" spans="1:14" x14ac:dyDescent="0.2">
      <c r="A14" s="77" t="s">
        <v>418</v>
      </c>
      <c r="B14" s="79"/>
      <c r="C14" s="79"/>
      <c r="D14" s="79">
        <v>0</v>
      </c>
      <c r="E14" s="79"/>
      <c r="F14" s="79"/>
      <c r="G14" s="79"/>
      <c r="H14" s="79"/>
      <c r="I14" s="79"/>
      <c r="J14" s="79"/>
      <c r="K14" s="79"/>
      <c r="L14" s="79"/>
      <c r="M14" s="79"/>
      <c r="N14" s="79">
        <f t="shared" si="0"/>
        <v>0</v>
      </c>
    </row>
    <row r="15" spans="1:14" x14ac:dyDescent="0.2">
      <c r="A15" s="77" t="s">
        <v>84</v>
      </c>
      <c r="B15" s="79">
        <v>1621</v>
      </c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>
        <f t="shared" si="0"/>
        <v>1621</v>
      </c>
    </row>
    <row r="16" spans="1:14" x14ac:dyDescent="0.2">
      <c r="A16" s="77" t="s">
        <v>88</v>
      </c>
      <c r="B16" s="79"/>
      <c r="C16" s="79">
        <v>0</v>
      </c>
      <c r="D16" s="79">
        <v>0</v>
      </c>
      <c r="E16" s="79"/>
      <c r="F16" s="79"/>
      <c r="G16" s="79"/>
      <c r="H16" s="79">
        <v>0</v>
      </c>
      <c r="I16" s="79"/>
      <c r="J16" s="79"/>
      <c r="K16" s="79"/>
      <c r="L16" s="79">
        <v>37299.899999999994</v>
      </c>
      <c r="M16" s="79">
        <v>12433.3</v>
      </c>
      <c r="N16" s="79">
        <f t="shared" si="0"/>
        <v>49733.2</v>
      </c>
    </row>
    <row r="17" spans="1:14" x14ac:dyDescent="0.2">
      <c r="A17" s="77" t="s">
        <v>127</v>
      </c>
      <c r="B17" s="79"/>
      <c r="C17" s="79"/>
      <c r="D17" s="79">
        <v>0</v>
      </c>
      <c r="E17" s="79"/>
      <c r="F17" s="79"/>
      <c r="G17" s="79"/>
      <c r="H17" s="79"/>
      <c r="I17" s="79"/>
      <c r="J17" s="79"/>
      <c r="K17" s="79"/>
      <c r="L17" s="79"/>
      <c r="M17" s="79"/>
      <c r="N17" s="79">
        <f t="shared" si="0"/>
        <v>0</v>
      </c>
    </row>
    <row r="18" spans="1:14" x14ac:dyDescent="0.2">
      <c r="A18" s="77" t="s">
        <v>96</v>
      </c>
      <c r="B18" s="79">
        <f>SUM(B5:B17)</f>
        <v>5323</v>
      </c>
      <c r="C18" s="79">
        <f t="shared" ref="C18:N18" si="1">SUM(C5:C17)</f>
        <v>0</v>
      </c>
      <c r="D18" s="79">
        <f t="shared" si="1"/>
        <v>12084.05</v>
      </c>
      <c r="E18" s="79">
        <f t="shared" si="1"/>
        <v>55162.899999999994</v>
      </c>
      <c r="F18" s="79">
        <f t="shared" si="1"/>
        <v>3841.7500000000005</v>
      </c>
      <c r="G18" s="79">
        <f t="shared" si="1"/>
        <v>0</v>
      </c>
      <c r="H18" s="79">
        <f t="shared" si="1"/>
        <v>0</v>
      </c>
      <c r="I18" s="79">
        <f t="shared" si="1"/>
        <v>0</v>
      </c>
      <c r="J18" s="79">
        <f t="shared" si="1"/>
        <v>0</v>
      </c>
      <c r="K18" s="79">
        <f t="shared" si="1"/>
        <v>0</v>
      </c>
      <c r="L18" s="79">
        <f t="shared" si="1"/>
        <v>41899.569999999992</v>
      </c>
      <c r="M18" s="79">
        <f t="shared" si="1"/>
        <v>12433.3</v>
      </c>
      <c r="N18" s="79">
        <f t="shared" si="1"/>
        <v>130744.56999999999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5F540-9950-4B55-96DB-07D48BEE978B}">
  <sheetPr>
    <tabColor rgb="FFFFFF00"/>
  </sheetPr>
  <dimension ref="A1:BD162"/>
  <sheetViews>
    <sheetView tabSelected="1" topLeftCell="A4" zoomScale="80" zoomScaleNormal="80" workbookViewId="0">
      <selection activeCell="K14" sqref="K1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45905</v>
      </c>
      <c r="E3" s="82" t="s">
        <v>52</v>
      </c>
      <c r="F3" s="82"/>
      <c r="G3" s="83">
        <v>10.33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383</v>
      </c>
      <c r="C6" s="9" t="s">
        <v>233</v>
      </c>
      <c r="D6" s="13" t="s">
        <v>379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>
        <v>45908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234</v>
      </c>
      <c r="AA6" s="8">
        <v>3702.0499999999997</v>
      </c>
      <c r="AB6" s="8">
        <v>3702.0499999999997</v>
      </c>
      <c r="AC6" s="8">
        <v>0</v>
      </c>
      <c r="AD6" s="8">
        <v>0</v>
      </c>
      <c r="AE6" s="8">
        <v>3702.0499999999997</v>
      </c>
      <c r="AF6" s="8">
        <v>0</v>
      </c>
      <c r="AG6" s="1" t="s">
        <v>117</v>
      </c>
      <c r="AH6" s="1" t="s">
        <v>68</v>
      </c>
      <c r="AI6" s="1">
        <v>4</v>
      </c>
      <c r="AJ6" s="3">
        <v>45908</v>
      </c>
      <c r="AK6" s="3">
        <v>45904</v>
      </c>
      <c r="AL6" s="3">
        <v>45898</v>
      </c>
      <c r="AM6" s="3">
        <v>45905</v>
      </c>
      <c r="AN6" s="3">
        <v>45906</v>
      </c>
      <c r="AO6" s="3">
        <v>45906</v>
      </c>
      <c r="AP6" s="3">
        <v>45903</v>
      </c>
      <c r="AQ6" s="3">
        <v>45907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360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3702.0499999999997</v>
      </c>
      <c r="AF7" s="8" t="s">
        <v>58</v>
      </c>
      <c r="AG7" s="1" t="s">
        <v>116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384</v>
      </c>
      <c r="C8" s="9" t="s">
        <v>73</v>
      </c>
      <c r="D8" s="13" t="s">
        <v>412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45909</v>
      </c>
      <c r="U8" s="11">
        <v>5000</v>
      </c>
      <c r="V8" s="10">
        <v>0</v>
      </c>
      <c r="W8" s="10">
        <v>5000</v>
      </c>
      <c r="X8" s="10">
        <v>5400</v>
      </c>
      <c r="Y8" s="10">
        <v>0</v>
      </c>
      <c r="Z8" s="9" t="s">
        <v>386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45909</v>
      </c>
      <c r="AK8" s="3">
        <v>0</v>
      </c>
      <c r="AL8" s="3">
        <v>45900</v>
      </c>
      <c r="AM8" s="3">
        <v>45907</v>
      </c>
      <c r="AN8" s="3">
        <v>45908</v>
      </c>
      <c r="AO8" s="3">
        <v>45908</v>
      </c>
      <c r="AP8" s="3">
        <v>45904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45897</v>
      </c>
      <c r="B9" s="14" t="s">
        <v>384</v>
      </c>
      <c r="C9" s="9" t="s">
        <v>73</v>
      </c>
      <c r="D9" s="13" t="s">
        <v>413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141</v>
      </c>
      <c r="T9" s="12">
        <v>45909</v>
      </c>
      <c r="U9" s="11">
        <v>5000</v>
      </c>
      <c r="V9" s="10">
        <v>0</v>
      </c>
      <c r="W9" s="10">
        <v>5000</v>
      </c>
      <c r="X9" s="10">
        <v>5400</v>
      </c>
      <c r="Y9" s="10">
        <v>0</v>
      </c>
      <c r="Z9" s="9" t="s">
        <v>386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115</v>
      </c>
      <c r="AH9" s="1" t="s">
        <v>74</v>
      </c>
      <c r="AI9" s="1">
        <v>2</v>
      </c>
      <c r="AJ9" s="3">
        <v>45909</v>
      </c>
      <c r="AK9" s="3">
        <v>0</v>
      </c>
      <c r="AL9" s="3">
        <v>45900</v>
      </c>
      <c r="AM9" s="3">
        <v>45907</v>
      </c>
      <c r="AN9" s="3">
        <v>45908</v>
      </c>
      <c r="AO9" s="3">
        <v>45908</v>
      </c>
      <c r="AP9" s="3">
        <v>45904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>
        <v>45897</v>
      </c>
      <c r="B10" s="14" t="s">
        <v>384</v>
      </c>
      <c r="C10" s="9" t="s">
        <v>73</v>
      </c>
      <c r="D10" s="13" t="s">
        <v>432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141</v>
      </c>
      <c r="T10" s="12">
        <v>45925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386</v>
      </c>
      <c r="AA10" s="8">
        <v>3702.0499999999997</v>
      </c>
      <c r="AB10" s="8">
        <v>682</v>
      </c>
      <c r="AC10" s="8">
        <v>3020.0499999999997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45925</v>
      </c>
      <c r="AK10" s="3">
        <v>0</v>
      </c>
      <c r="AL10" s="3">
        <v>45916</v>
      </c>
      <c r="AM10" s="3">
        <v>45923</v>
      </c>
      <c r="AN10" s="3">
        <v>45924</v>
      </c>
      <c r="AO10" s="3">
        <v>45924</v>
      </c>
      <c r="AP10" s="3">
        <v>45920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184.69283555555555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386</v>
      </c>
      <c r="AA11" s="8">
        <v>3702.0499999999997</v>
      </c>
      <c r="AB11" s="8">
        <v>682</v>
      </c>
      <c r="AC11" s="8">
        <v>3020.0499999999997</v>
      </c>
      <c r="AD11" s="8">
        <v>0</v>
      </c>
      <c r="AE11" s="8">
        <v>0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129</v>
      </c>
      <c r="BD11" s="56">
        <v>0</v>
      </c>
    </row>
    <row r="12" spans="1:56" ht="27.75" customHeight="1" x14ac:dyDescent="0.45">
      <c r="A12" s="3" t="s">
        <v>135</v>
      </c>
      <c r="B12" s="14" t="s">
        <v>135</v>
      </c>
      <c r="C12" s="9" t="s">
        <v>211</v>
      </c>
      <c r="D12" s="13" t="s">
        <v>236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133</v>
      </c>
      <c r="AA12" s="8">
        <v>13201.65</v>
      </c>
      <c r="AB12" s="8">
        <v>2599</v>
      </c>
      <c r="AC12" s="8">
        <v>10602.65</v>
      </c>
      <c r="AD12" s="8">
        <v>0</v>
      </c>
      <c r="AE12" s="8">
        <v>0</v>
      </c>
      <c r="AF12" s="8">
        <v>0</v>
      </c>
      <c r="AG12" s="1" t="s">
        <v>115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729.46232000000009</v>
      </c>
    </row>
    <row r="13" spans="1:56" ht="27.75" customHeight="1" x14ac:dyDescent="0.45">
      <c r="A13" s="3">
        <v>0</v>
      </c>
      <c r="B13" s="14">
        <v>0</v>
      </c>
      <c r="C13" s="9" t="s">
        <v>201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133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45901</v>
      </c>
      <c r="B14" s="14" t="s">
        <v>433</v>
      </c>
      <c r="C14" s="9" t="s">
        <v>422</v>
      </c>
      <c r="D14" s="13" t="s">
        <v>444</v>
      </c>
      <c r="E14" s="9">
        <v>18</v>
      </c>
      <c r="F14" s="9">
        <v>26</v>
      </c>
      <c r="G14" s="9" t="s">
        <v>60</v>
      </c>
      <c r="H14" s="9" t="s">
        <v>66</v>
      </c>
      <c r="I14" s="9">
        <v>65</v>
      </c>
      <c r="J14" s="9" t="s">
        <v>57</v>
      </c>
      <c r="K14" s="9">
        <v>5</v>
      </c>
      <c r="L14" s="9" t="s">
        <v>91</v>
      </c>
      <c r="M14" s="10">
        <v>19</v>
      </c>
      <c r="N14" s="9">
        <v>29</v>
      </c>
      <c r="O14" s="9">
        <v>40</v>
      </c>
      <c r="P14" s="10">
        <v>67.968380191999998</v>
      </c>
      <c r="Q14" s="10">
        <v>0</v>
      </c>
      <c r="R14" s="10">
        <v>67.968380191999998</v>
      </c>
      <c r="S14" s="9" t="s">
        <v>67</v>
      </c>
      <c r="T14" s="12">
        <v>45912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424</v>
      </c>
      <c r="AA14" s="8">
        <v>3841.7500000000005</v>
      </c>
      <c r="AB14" s="8">
        <v>3841.7500000000005</v>
      </c>
      <c r="AC14" s="8">
        <v>0</v>
      </c>
      <c r="AD14" s="8">
        <v>0</v>
      </c>
      <c r="AE14" s="8">
        <v>3841.7500000000005</v>
      </c>
      <c r="AF14" s="8">
        <v>0</v>
      </c>
      <c r="AG14" s="1" t="s">
        <v>119</v>
      </c>
      <c r="AH14" s="1" t="s">
        <v>68</v>
      </c>
      <c r="AI14" s="1">
        <v>4</v>
      </c>
      <c r="AJ14" s="3">
        <v>45912</v>
      </c>
      <c r="AK14" s="3">
        <v>45908</v>
      </c>
      <c r="AL14" s="3">
        <v>45902</v>
      </c>
      <c r="AM14" s="3">
        <v>45909</v>
      </c>
      <c r="AN14" s="3">
        <v>45910</v>
      </c>
      <c r="AO14" s="3">
        <v>45910</v>
      </c>
      <c r="AP14" s="3">
        <v>45907</v>
      </c>
      <c r="AQ14" s="3">
        <v>45911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424</v>
      </c>
      <c r="AA15" s="8">
        <v>3841.7500000000005</v>
      </c>
      <c r="AB15" s="8">
        <v>3841.7500000000005</v>
      </c>
      <c r="AC15" s="8">
        <v>0</v>
      </c>
      <c r="AD15" s="8">
        <v>0</v>
      </c>
      <c r="AE15" s="8">
        <v>3841.7500000000005</v>
      </c>
      <c r="AF15" s="8" t="s">
        <v>58</v>
      </c>
      <c r="AG15" s="1" t="s">
        <v>61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425</v>
      </c>
      <c r="BD15" s="56">
        <v>0</v>
      </c>
    </row>
    <row r="16" spans="1:56" ht="27.75" customHeight="1" x14ac:dyDescent="0.45">
      <c r="A16" s="3">
        <v>45898</v>
      </c>
      <c r="B16" s="14" t="s">
        <v>414</v>
      </c>
      <c r="C16" s="9" t="s">
        <v>136</v>
      </c>
      <c r="D16" s="13" t="s">
        <v>124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45910</v>
      </c>
      <c r="U16" s="11">
        <v>50000</v>
      </c>
      <c r="V16" s="10">
        <v>0</v>
      </c>
      <c r="W16" s="10">
        <v>50000</v>
      </c>
      <c r="X16" s="10">
        <v>0</v>
      </c>
      <c r="Y16" s="10">
        <v>52500</v>
      </c>
      <c r="Z16" s="9" t="s">
        <v>168</v>
      </c>
      <c r="AA16" s="8">
        <v>44005.499999999993</v>
      </c>
      <c r="AB16" s="8">
        <v>0</v>
      </c>
      <c r="AC16" s="8">
        <v>44005.499999999993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45910</v>
      </c>
      <c r="AK16" s="3">
        <v>0</v>
      </c>
      <c r="AL16" s="3">
        <v>45901</v>
      </c>
      <c r="AM16" s="3">
        <v>45908</v>
      </c>
      <c r="AN16" s="3">
        <v>45909</v>
      </c>
      <c r="AO16" s="3">
        <v>45909</v>
      </c>
      <c r="AP16" s="3">
        <v>45905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3195.7771999999995</v>
      </c>
    </row>
    <row r="17" spans="1:56" ht="27.75" customHeight="1" x14ac:dyDescent="0.45">
      <c r="A17" s="3">
        <v>45898</v>
      </c>
      <c r="B17" s="14" t="s">
        <v>415</v>
      </c>
      <c r="C17" s="9" t="s">
        <v>136</v>
      </c>
      <c r="D17" s="13" t="s">
        <v>199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45910</v>
      </c>
      <c r="U17" s="11">
        <v>40000</v>
      </c>
      <c r="V17" s="10">
        <v>0</v>
      </c>
      <c r="W17" s="10">
        <v>40000</v>
      </c>
      <c r="X17" s="10">
        <v>9335</v>
      </c>
      <c r="Y17" s="10">
        <v>32198.25</v>
      </c>
      <c r="Z17" s="9" t="s">
        <v>168</v>
      </c>
      <c r="AA17" s="8">
        <v>28338.001807500001</v>
      </c>
      <c r="AB17" s="8">
        <v>24908</v>
      </c>
      <c r="AC17" s="8">
        <v>3430.0018075000007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45910</v>
      </c>
      <c r="AK17" s="3">
        <v>0</v>
      </c>
      <c r="AL17" s="3">
        <v>45901</v>
      </c>
      <c r="AM17" s="3">
        <v>45908</v>
      </c>
      <c r="AN17" s="3">
        <v>45909</v>
      </c>
      <c r="AO17" s="3">
        <v>45909</v>
      </c>
      <c r="AP17" s="3">
        <v>45905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249.09435348688899</v>
      </c>
    </row>
    <row r="18" spans="1:56" ht="27.75" customHeight="1" x14ac:dyDescent="0.45">
      <c r="A18" s="3" t="s">
        <v>135</v>
      </c>
      <c r="B18" s="14" t="s">
        <v>135</v>
      </c>
      <c r="C18" s="9" t="s">
        <v>237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45925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168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115</v>
      </c>
      <c r="AH18" s="1" t="s">
        <v>74</v>
      </c>
      <c r="AI18" s="1">
        <v>2</v>
      </c>
      <c r="AJ18" s="3">
        <v>45925</v>
      </c>
      <c r="AK18" s="3">
        <v>0</v>
      </c>
      <c r="AL18" s="3">
        <v>45916</v>
      </c>
      <c r="AM18" s="3">
        <v>45923</v>
      </c>
      <c r="AN18" s="3">
        <v>45924</v>
      </c>
      <c r="AO18" s="3">
        <v>45924</v>
      </c>
      <c r="AP18" s="3">
        <v>45920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45">
      <c r="A19" s="3" t="s">
        <v>135</v>
      </c>
      <c r="B19" s="14" t="s">
        <v>135</v>
      </c>
      <c r="C19" s="9" t="s">
        <v>204</v>
      </c>
      <c r="D19" s="13" t="s">
        <v>205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45925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168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115</v>
      </c>
      <c r="AH19" s="1" t="s">
        <v>72</v>
      </c>
      <c r="AI19" s="1">
        <v>3</v>
      </c>
      <c r="AJ19" s="3">
        <v>45925</v>
      </c>
      <c r="AK19" s="3">
        <v>0</v>
      </c>
      <c r="AL19" s="3">
        <v>45915</v>
      </c>
      <c r="AM19" s="3">
        <v>45922</v>
      </c>
      <c r="AN19" s="3">
        <v>45923</v>
      </c>
      <c r="AO19" s="3">
        <v>45923</v>
      </c>
      <c r="AP19" s="3">
        <v>45920</v>
      </c>
      <c r="AQ19" s="3">
        <v>45924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1343.6356095653334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168</v>
      </c>
      <c r="AA20" s="8">
        <v>126049.61613749999</v>
      </c>
      <c r="AB20" s="8">
        <v>24908</v>
      </c>
      <c r="AC20" s="8">
        <v>101141.61613749999</v>
      </c>
      <c r="AD20" s="8">
        <v>0</v>
      </c>
      <c r="AE20" s="8">
        <v>0</v>
      </c>
      <c r="AF20" s="8" t="s">
        <v>58</v>
      </c>
      <c r="AG20" s="1" t="s">
        <v>115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45896</v>
      </c>
      <c r="B21" s="14" t="s">
        <v>387</v>
      </c>
      <c r="C21" s="9" t="s">
        <v>73</v>
      </c>
      <c r="D21" s="13" t="s">
        <v>288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45906</v>
      </c>
      <c r="U21" s="11">
        <v>10000</v>
      </c>
      <c r="V21" s="10">
        <v>10000</v>
      </c>
      <c r="W21" s="10">
        <v>0</v>
      </c>
      <c r="X21" s="10">
        <v>10500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115</v>
      </c>
      <c r="AH21" s="1" t="s">
        <v>74</v>
      </c>
      <c r="AI21" s="1">
        <v>2</v>
      </c>
      <c r="AJ21" s="3">
        <v>45906</v>
      </c>
      <c r="AK21" s="3">
        <v>0</v>
      </c>
      <c r="AL21" s="3">
        <v>45897</v>
      </c>
      <c r="AM21" s="3">
        <v>45904</v>
      </c>
      <c r="AN21" s="3">
        <v>45905</v>
      </c>
      <c r="AO21" s="3">
        <v>45905</v>
      </c>
      <c r="AP21" s="3">
        <v>45901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45896</v>
      </c>
      <c r="B22" s="14" t="s">
        <v>387</v>
      </c>
      <c r="C22" s="9" t="s">
        <v>73</v>
      </c>
      <c r="D22" s="13" t="s">
        <v>282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45906</v>
      </c>
      <c r="U22" s="11">
        <v>5000</v>
      </c>
      <c r="V22" s="10">
        <v>5000</v>
      </c>
      <c r="W22" s="10">
        <v>0</v>
      </c>
      <c r="X22" s="10">
        <v>5400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115</v>
      </c>
      <c r="AH22" s="1" t="s">
        <v>74</v>
      </c>
      <c r="AI22" s="1">
        <v>2</v>
      </c>
      <c r="AJ22" s="3">
        <v>45906</v>
      </c>
      <c r="AK22" s="3">
        <v>0</v>
      </c>
      <c r="AL22" s="3">
        <v>45897</v>
      </c>
      <c r="AM22" s="3">
        <v>45904</v>
      </c>
      <c r="AN22" s="3">
        <v>45905</v>
      </c>
      <c r="AO22" s="3">
        <v>45905</v>
      </c>
      <c r="AP22" s="3">
        <v>45901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45896</v>
      </c>
      <c r="B23" s="14" t="s">
        <v>387</v>
      </c>
      <c r="C23" s="9" t="s">
        <v>73</v>
      </c>
      <c r="D23" s="13" t="s">
        <v>248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45906</v>
      </c>
      <c r="U23" s="11">
        <v>5000</v>
      </c>
      <c r="V23" s="10">
        <v>5746</v>
      </c>
      <c r="W23" s="10">
        <v>0</v>
      </c>
      <c r="X23" s="10">
        <v>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115</v>
      </c>
      <c r="AH23" s="1" t="s">
        <v>74</v>
      </c>
      <c r="AI23" s="1">
        <v>2</v>
      </c>
      <c r="AJ23" s="3">
        <v>45906</v>
      </c>
      <c r="AK23" s="3">
        <v>0</v>
      </c>
      <c r="AL23" s="3">
        <v>45897</v>
      </c>
      <c r="AM23" s="3">
        <v>45904</v>
      </c>
      <c r="AN23" s="3">
        <v>45905</v>
      </c>
      <c r="AO23" s="3">
        <v>45905</v>
      </c>
      <c r="AP23" s="3">
        <v>45901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45896</v>
      </c>
      <c r="B24" s="14" t="s">
        <v>387</v>
      </c>
      <c r="C24" s="9" t="s">
        <v>73</v>
      </c>
      <c r="D24" s="13" t="s">
        <v>393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45906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115</v>
      </c>
      <c r="AH24" s="1" t="s">
        <v>74</v>
      </c>
      <c r="AI24" s="1">
        <v>2</v>
      </c>
      <c r="AJ24" s="3">
        <v>45906</v>
      </c>
      <c r="AK24" s="3">
        <v>0</v>
      </c>
      <c r="AL24" s="3">
        <v>45897</v>
      </c>
      <c r="AM24" s="3">
        <v>45904</v>
      </c>
      <c r="AN24" s="3">
        <v>45905</v>
      </c>
      <c r="AO24" s="3">
        <v>45905</v>
      </c>
      <c r="AP24" s="3">
        <v>45901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45896</v>
      </c>
      <c r="B25" s="14" t="s">
        <v>387</v>
      </c>
      <c r="C25" s="9" t="s">
        <v>73</v>
      </c>
      <c r="D25" s="13" t="s">
        <v>305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45906</v>
      </c>
      <c r="U25" s="11">
        <v>5000</v>
      </c>
      <c r="V25" s="10">
        <v>5000</v>
      </c>
      <c r="W25" s="10">
        <v>0</v>
      </c>
      <c r="X25" s="10">
        <v>5400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115</v>
      </c>
      <c r="AH25" s="1" t="s">
        <v>74</v>
      </c>
      <c r="AI25" s="1">
        <v>2</v>
      </c>
      <c r="AJ25" s="3">
        <v>45906</v>
      </c>
      <c r="AK25" s="3">
        <v>0</v>
      </c>
      <c r="AL25" s="3">
        <v>45897</v>
      </c>
      <c r="AM25" s="3">
        <v>45904</v>
      </c>
      <c r="AN25" s="3">
        <v>45905</v>
      </c>
      <c r="AO25" s="3">
        <v>45905</v>
      </c>
      <c r="AP25" s="3">
        <v>45901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45896</v>
      </c>
      <c r="B26" s="14" t="s">
        <v>390</v>
      </c>
      <c r="C26" s="9" t="s">
        <v>73</v>
      </c>
      <c r="D26" s="13" t="s">
        <v>265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45906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117</v>
      </c>
      <c r="AH26" s="1" t="s">
        <v>74</v>
      </c>
      <c r="AI26" s="1">
        <v>2</v>
      </c>
      <c r="AJ26" s="3">
        <v>45906</v>
      </c>
      <c r="AK26" s="3">
        <v>0</v>
      </c>
      <c r="AL26" s="3">
        <v>45897</v>
      </c>
      <c r="AM26" s="3">
        <v>45904</v>
      </c>
      <c r="AN26" s="3">
        <v>45905</v>
      </c>
      <c r="AO26" s="3">
        <v>45905</v>
      </c>
      <c r="AP26" s="3">
        <v>45901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45896</v>
      </c>
      <c r="B27" s="14" t="s">
        <v>390</v>
      </c>
      <c r="C27" s="9" t="s">
        <v>73</v>
      </c>
      <c r="D27" s="13" t="s">
        <v>291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45906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115</v>
      </c>
      <c r="AH27" s="1" t="s">
        <v>74</v>
      </c>
      <c r="AI27" s="1">
        <v>2</v>
      </c>
      <c r="AJ27" s="3">
        <v>45906</v>
      </c>
      <c r="AK27" s="3">
        <v>0</v>
      </c>
      <c r="AL27" s="3">
        <v>45897</v>
      </c>
      <c r="AM27" s="3">
        <v>45904</v>
      </c>
      <c r="AN27" s="3">
        <v>45905</v>
      </c>
      <c r="AO27" s="3">
        <v>45905</v>
      </c>
      <c r="AP27" s="3">
        <v>45901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45896</v>
      </c>
      <c r="B28" s="14" t="s">
        <v>390</v>
      </c>
      <c r="C28" s="9" t="s">
        <v>73</v>
      </c>
      <c r="D28" s="13" t="s">
        <v>292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45906</v>
      </c>
      <c r="U28" s="11">
        <v>5000</v>
      </c>
      <c r="V28" s="10">
        <v>5000</v>
      </c>
      <c r="W28" s="10">
        <v>0</v>
      </c>
      <c r="X28" s="10">
        <v>5250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115</v>
      </c>
      <c r="AH28" s="1" t="s">
        <v>74</v>
      </c>
      <c r="AI28" s="1">
        <v>2</v>
      </c>
      <c r="AJ28" s="3">
        <v>45906</v>
      </c>
      <c r="AK28" s="3">
        <v>0</v>
      </c>
      <c r="AL28" s="3">
        <v>45897</v>
      </c>
      <c r="AM28" s="3">
        <v>45904</v>
      </c>
      <c r="AN28" s="3">
        <v>45905</v>
      </c>
      <c r="AO28" s="3">
        <v>45905</v>
      </c>
      <c r="AP28" s="3">
        <v>45901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45896</v>
      </c>
      <c r="B29" s="14" t="s">
        <v>387</v>
      </c>
      <c r="C29" s="9" t="s">
        <v>73</v>
      </c>
      <c r="D29" s="13" t="s">
        <v>289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45909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172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117</v>
      </c>
      <c r="AH29" s="1" t="s">
        <v>74</v>
      </c>
      <c r="AI29" s="1">
        <v>2</v>
      </c>
      <c r="AJ29" s="3">
        <v>45909</v>
      </c>
      <c r="AK29" s="3">
        <v>0</v>
      </c>
      <c r="AL29" s="3">
        <v>45900</v>
      </c>
      <c r="AM29" s="3">
        <v>45907</v>
      </c>
      <c r="AN29" s="3">
        <v>45908</v>
      </c>
      <c r="AO29" s="3">
        <v>45908</v>
      </c>
      <c r="AP29" s="3">
        <v>45904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45896</v>
      </c>
      <c r="B30" s="14" t="s">
        <v>387</v>
      </c>
      <c r="C30" s="9" t="s">
        <v>73</v>
      </c>
      <c r="D30" s="13" t="s">
        <v>281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45909</v>
      </c>
      <c r="U30" s="11">
        <v>5000</v>
      </c>
      <c r="V30" s="10">
        <v>5000</v>
      </c>
      <c r="W30" s="10">
        <v>0</v>
      </c>
      <c r="X30" s="10">
        <v>5250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115</v>
      </c>
      <c r="AH30" s="1" t="s">
        <v>74</v>
      </c>
      <c r="AI30" s="1">
        <v>2</v>
      </c>
      <c r="AJ30" s="3">
        <v>45909</v>
      </c>
      <c r="AK30" s="3">
        <v>0</v>
      </c>
      <c r="AL30" s="3">
        <v>45900</v>
      </c>
      <c r="AM30" s="3">
        <v>45907</v>
      </c>
      <c r="AN30" s="3">
        <v>45908</v>
      </c>
      <c r="AO30" s="3">
        <v>45908</v>
      </c>
      <c r="AP30" s="3">
        <v>45904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45896</v>
      </c>
      <c r="B31" s="14" t="s">
        <v>387</v>
      </c>
      <c r="C31" s="9" t="s">
        <v>73</v>
      </c>
      <c r="D31" s="13" t="s">
        <v>275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45909</v>
      </c>
      <c r="U31" s="11">
        <v>5000</v>
      </c>
      <c r="V31" s="10">
        <v>5000</v>
      </c>
      <c r="W31" s="10">
        <v>0</v>
      </c>
      <c r="X31" s="10">
        <v>5250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116</v>
      </c>
      <c r="AH31" s="1" t="s">
        <v>74</v>
      </c>
      <c r="AI31" s="1">
        <v>2</v>
      </c>
      <c r="AJ31" s="3">
        <v>45909</v>
      </c>
      <c r="AK31" s="3">
        <v>0</v>
      </c>
      <c r="AL31" s="3">
        <v>45900</v>
      </c>
      <c r="AM31" s="3">
        <v>45907</v>
      </c>
      <c r="AN31" s="3">
        <v>45908</v>
      </c>
      <c r="AO31" s="3">
        <v>45908</v>
      </c>
      <c r="AP31" s="3">
        <v>45904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45896</v>
      </c>
      <c r="B32" s="14" t="s">
        <v>387</v>
      </c>
      <c r="C32" s="9" t="s">
        <v>73</v>
      </c>
      <c r="D32" s="13" t="s">
        <v>301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45909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116</v>
      </c>
      <c r="AH32" s="1" t="s">
        <v>74</v>
      </c>
      <c r="AI32" s="1">
        <v>2</v>
      </c>
      <c r="AJ32" s="3">
        <v>45909</v>
      </c>
      <c r="AK32" s="3">
        <v>0</v>
      </c>
      <c r="AL32" s="3">
        <v>45900</v>
      </c>
      <c r="AM32" s="3">
        <v>45907</v>
      </c>
      <c r="AN32" s="3">
        <v>45908</v>
      </c>
      <c r="AO32" s="3">
        <v>45908</v>
      </c>
      <c r="AP32" s="3">
        <v>45904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45896</v>
      </c>
      <c r="B33" s="14" t="s">
        <v>387</v>
      </c>
      <c r="C33" s="9" t="s">
        <v>73</v>
      </c>
      <c r="D33" s="13" t="s">
        <v>292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45909</v>
      </c>
      <c r="U33" s="11">
        <v>5000</v>
      </c>
      <c r="V33" s="10">
        <v>5000</v>
      </c>
      <c r="W33" s="10">
        <v>0</v>
      </c>
      <c r="X33" s="10">
        <v>5250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115</v>
      </c>
      <c r="AH33" s="1" t="s">
        <v>74</v>
      </c>
      <c r="AI33" s="1">
        <v>2</v>
      </c>
      <c r="AJ33" s="3">
        <v>45909</v>
      </c>
      <c r="AK33" s="3">
        <v>0</v>
      </c>
      <c r="AL33" s="3">
        <v>45900</v>
      </c>
      <c r="AM33" s="3">
        <v>45907</v>
      </c>
      <c r="AN33" s="3">
        <v>45908</v>
      </c>
      <c r="AO33" s="3">
        <v>45908</v>
      </c>
      <c r="AP33" s="3">
        <v>45904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45898</v>
      </c>
      <c r="B34" s="14" t="s">
        <v>390</v>
      </c>
      <c r="C34" s="9" t="s">
        <v>73</v>
      </c>
      <c r="D34" s="13" t="s">
        <v>293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45909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>
        <v>0</v>
      </c>
      <c r="AG34" s="1" t="s">
        <v>118</v>
      </c>
      <c r="AH34" s="1" t="s">
        <v>74</v>
      </c>
      <c r="AI34" s="1">
        <v>2</v>
      </c>
      <c r="AJ34" s="3">
        <v>45909</v>
      </c>
      <c r="AK34" s="3">
        <v>0</v>
      </c>
      <c r="AL34" s="3">
        <v>45900</v>
      </c>
      <c r="AM34" s="3">
        <v>45907</v>
      </c>
      <c r="AN34" s="3">
        <v>45908</v>
      </c>
      <c r="AO34" s="3">
        <v>45908</v>
      </c>
      <c r="AP34" s="3">
        <v>45904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45898</v>
      </c>
      <c r="B35" s="14" t="s">
        <v>390</v>
      </c>
      <c r="C35" s="9" t="s">
        <v>73</v>
      </c>
      <c r="D35" s="13" t="s">
        <v>266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45909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172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>
        <v>0</v>
      </c>
      <c r="AG35" s="1" t="s">
        <v>118</v>
      </c>
      <c r="AH35" s="1" t="s">
        <v>74</v>
      </c>
      <c r="AI35" s="1">
        <v>2</v>
      </c>
      <c r="AJ35" s="3">
        <v>45909</v>
      </c>
      <c r="AK35" s="3">
        <v>0</v>
      </c>
      <c r="AL35" s="3">
        <v>45900</v>
      </c>
      <c r="AM35" s="3">
        <v>45907</v>
      </c>
      <c r="AN35" s="3">
        <v>45908</v>
      </c>
      <c r="AO35" s="3">
        <v>45908</v>
      </c>
      <c r="AP35" s="3">
        <v>45904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45898</v>
      </c>
      <c r="B36" s="14" t="s">
        <v>390</v>
      </c>
      <c r="C36" s="9" t="s">
        <v>73</v>
      </c>
      <c r="D36" s="13" t="s">
        <v>290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45909</v>
      </c>
      <c r="U36" s="11">
        <v>5000</v>
      </c>
      <c r="V36" s="10">
        <v>5000</v>
      </c>
      <c r="W36" s="10">
        <v>0</v>
      </c>
      <c r="X36" s="10">
        <v>5400</v>
      </c>
      <c r="Y36" s="10">
        <v>0</v>
      </c>
      <c r="Z36" s="9" t="s">
        <v>172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118</v>
      </c>
      <c r="AH36" s="1" t="s">
        <v>74</v>
      </c>
      <c r="AI36" s="1">
        <v>2</v>
      </c>
      <c r="AJ36" s="3">
        <v>45909</v>
      </c>
      <c r="AK36" s="3">
        <v>0</v>
      </c>
      <c r="AL36" s="3">
        <v>45900</v>
      </c>
      <c r="AM36" s="3">
        <v>45907</v>
      </c>
      <c r="AN36" s="3">
        <v>45908</v>
      </c>
      <c r="AO36" s="3">
        <v>45908</v>
      </c>
      <c r="AP36" s="3">
        <v>45904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45904</v>
      </c>
      <c r="B37" s="14" t="s">
        <v>453</v>
      </c>
      <c r="C37" s="9" t="s">
        <v>73</v>
      </c>
      <c r="D37" s="13" t="s">
        <v>59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454</v>
      </c>
      <c r="T37" s="12">
        <v>45915</v>
      </c>
      <c r="U37" s="11">
        <v>20000</v>
      </c>
      <c r="V37" s="10">
        <v>0</v>
      </c>
      <c r="W37" s="10">
        <v>20000</v>
      </c>
      <c r="X37" s="10">
        <v>0</v>
      </c>
      <c r="Y37" s="10">
        <v>0</v>
      </c>
      <c r="Z37" s="9" t="s">
        <v>172</v>
      </c>
      <c r="AA37" s="8">
        <v>18719.800000000003</v>
      </c>
      <c r="AB37" s="8">
        <v>18719.800000000003</v>
      </c>
      <c r="AC37" s="8">
        <v>0</v>
      </c>
      <c r="AD37" s="8">
        <v>0</v>
      </c>
      <c r="AE37" s="8">
        <v>0</v>
      </c>
      <c r="AF37" s="8">
        <v>0</v>
      </c>
      <c r="AG37" s="1" t="s">
        <v>118</v>
      </c>
      <c r="AH37" s="1" t="s">
        <v>77</v>
      </c>
      <c r="AI37" s="1">
        <v>1</v>
      </c>
      <c r="AJ37" s="3">
        <v>45915</v>
      </c>
      <c r="AK37" s="3">
        <v>0</v>
      </c>
      <c r="AL37" s="3">
        <v>0</v>
      </c>
      <c r="AM37" s="3">
        <v>0</v>
      </c>
      <c r="AN37" s="3">
        <v>0</v>
      </c>
      <c r="AO37" s="3">
        <v>45914</v>
      </c>
      <c r="AP37" s="3">
        <v>45910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45904</v>
      </c>
      <c r="B38" s="14" t="s">
        <v>453</v>
      </c>
      <c r="C38" s="9" t="s">
        <v>73</v>
      </c>
      <c r="D38" s="13" t="s">
        <v>59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454</v>
      </c>
      <c r="T38" s="12">
        <v>45924</v>
      </c>
      <c r="U38" s="11">
        <v>20000</v>
      </c>
      <c r="V38" s="10">
        <v>0</v>
      </c>
      <c r="W38" s="10">
        <v>20000</v>
      </c>
      <c r="X38" s="10">
        <v>0</v>
      </c>
      <c r="Y38" s="10">
        <v>0</v>
      </c>
      <c r="Z38" s="9" t="s">
        <v>172</v>
      </c>
      <c r="AA38" s="8">
        <v>18719.800000000003</v>
      </c>
      <c r="AB38" s="8">
        <v>18719.800000000003</v>
      </c>
      <c r="AC38" s="8">
        <v>0</v>
      </c>
      <c r="AD38" s="8">
        <v>0</v>
      </c>
      <c r="AE38" s="8">
        <v>0</v>
      </c>
      <c r="AF38" s="8">
        <v>0</v>
      </c>
      <c r="AG38" s="1" t="s">
        <v>116</v>
      </c>
      <c r="AH38" s="1" t="s">
        <v>77</v>
      </c>
      <c r="AI38" s="1">
        <v>1</v>
      </c>
      <c r="AJ38" s="3">
        <v>45924</v>
      </c>
      <c r="AK38" s="3">
        <v>0</v>
      </c>
      <c r="AL38" s="3">
        <v>0</v>
      </c>
      <c r="AM38" s="3">
        <v>0</v>
      </c>
      <c r="AN38" s="3">
        <v>0</v>
      </c>
      <c r="AO38" s="3">
        <v>45923</v>
      </c>
      <c r="AP38" s="3">
        <v>45919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7.75" customHeight="1" x14ac:dyDescent="0.45">
      <c r="A39" s="3">
        <v>45904</v>
      </c>
      <c r="B39" s="14" t="s">
        <v>455</v>
      </c>
      <c r="C39" s="9" t="s">
        <v>73</v>
      </c>
      <c r="D39" s="13" t="s">
        <v>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454</v>
      </c>
      <c r="T39" s="12">
        <v>45915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172</v>
      </c>
      <c r="AA39" s="8">
        <v>18719.800000000003</v>
      </c>
      <c r="AB39" s="8">
        <v>12462</v>
      </c>
      <c r="AC39" s="8">
        <v>6257.8000000000029</v>
      </c>
      <c r="AD39" s="8">
        <v>0</v>
      </c>
      <c r="AE39" s="8">
        <v>0</v>
      </c>
      <c r="AF39" s="8">
        <v>0</v>
      </c>
      <c r="AG39" s="1" t="s">
        <v>116</v>
      </c>
      <c r="AH39" s="1" t="s">
        <v>77</v>
      </c>
      <c r="AI39" s="1">
        <v>1</v>
      </c>
      <c r="AJ39" s="3">
        <v>45915</v>
      </c>
      <c r="AK39" s="3">
        <v>0</v>
      </c>
      <c r="AL39" s="3">
        <v>0</v>
      </c>
      <c r="AM39" s="3">
        <v>0</v>
      </c>
      <c r="AN39" s="3">
        <v>0</v>
      </c>
      <c r="AO39" s="3">
        <v>45914</v>
      </c>
      <c r="AP39" s="3">
        <v>45910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471.36530844444462</v>
      </c>
    </row>
    <row r="40" spans="1:56" ht="27.75" customHeight="1" x14ac:dyDescent="0.45">
      <c r="A40" s="3">
        <v>45904</v>
      </c>
      <c r="B40" s="14" t="s">
        <v>455</v>
      </c>
      <c r="C40" s="9" t="s">
        <v>73</v>
      </c>
      <c r="D40" s="13" t="s">
        <v>59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454</v>
      </c>
      <c r="T40" s="12">
        <v>45924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172</v>
      </c>
      <c r="AA40" s="8">
        <v>18719.800000000003</v>
      </c>
      <c r="AB40" s="8">
        <v>0</v>
      </c>
      <c r="AC40" s="8">
        <v>18719.800000000003</v>
      </c>
      <c r="AD40" s="8">
        <v>0</v>
      </c>
      <c r="AE40" s="8">
        <v>0</v>
      </c>
      <c r="AF40" s="8">
        <v>0</v>
      </c>
      <c r="AG40" s="1" t="s">
        <v>116</v>
      </c>
      <c r="AH40" s="1" t="s">
        <v>77</v>
      </c>
      <c r="AI40" s="1">
        <v>1</v>
      </c>
      <c r="AJ40" s="3">
        <v>45924</v>
      </c>
      <c r="AK40" s="3">
        <v>0</v>
      </c>
      <c r="AL40" s="3">
        <v>0</v>
      </c>
      <c r="AM40" s="3">
        <v>0</v>
      </c>
      <c r="AN40" s="3">
        <v>0</v>
      </c>
      <c r="AO40" s="3">
        <v>45923</v>
      </c>
      <c r="AP40" s="3">
        <v>45919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1410.0585351111113</v>
      </c>
    </row>
    <row r="41" spans="1:56" ht="27.75" customHeight="1" x14ac:dyDescent="0.45">
      <c r="A41" s="3">
        <v>45905</v>
      </c>
      <c r="B41" s="14" t="s">
        <v>468</v>
      </c>
      <c r="C41" s="9" t="s">
        <v>73</v>
      </c>
      <c r="D41" s="13" t="s">
        <v>469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45916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172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470</v>
      </c>
      <c r="AG41" s="1" t="s">
        <v>116</v>
      </c>
      <c r="AH41" s="1" t="s">
        <v>74</v>
      </c>
      <c r="AI41" s="1">
        <v>2</v>
      </c>
      <c r="AJ41" s="3">
        <v>45916</v>
      </c>
      <c r="AK41" s="3">
        <v>0</v>
      </c>
      <c r="AL41" s="3">
        <v>45907</v>
      </c>
      <c r="AM41" s="3">
        <v>45914</v>
      </c>
      <c r="AN41" s="3">
        <v>45915</v>
      </c>
      <c r="AO41" s="3">
        <v>45915</v>
      </c>
      <c r="AP41" s="3">
        <v>45911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352.51463377777782</v>
      </c>
    </row>
    <row r="42" spans="1:56" ht="27.75" customHeight="1" x14ac:dyDescent="0.45">
      <c r="A42" s="3">
        <v>45905</v>
      </c>
      <c r="B42" s="14" t="s">
        <v>468</v>
      </c>
      <c r="C42" s="9" t="s">
        <v>73</v>
      </c>
      <c r="D42" s="13" t="s">
        <v>471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45916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172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470</v>
      </c>
      <c r="AG42" s="1" t="s">
        <v>116</v>
      </c>
      <c r="AH42" s="1" t="s">
        <v>74</v>
      </c>
      <c r="AI42" s="1">
        <v>2</v>
      </c>
      <c r="AJ42" s="3">
        <v>45916</v>
      </c>
      <c r="AK42" s="3">
        <v>0</v>
      </c>
      <c r="AL42" s="3">
        <v>45907</v>
      </c>
      <c r="AM42" s="3">
        <v>45914</v>
      </c>
      <c r="AN42" s="3">
        <v>45915</v>
      </c>
      <c r="AO42" s="3">
        <v>45915</v>
      </c>
      <c r="AP42" s="3">
        <v>45911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352.51463377777782</v>
      </c>
    </row>
    <row r="43" spans="1:56" ht="27.75" customHeight="1" x14ac:dyDescent="0.45">
      <c r="A43" s="3">
        <v>45905</v>
      </c>
      <c r="B43" s="14" t="s">
        <v>468</v>
      </c>
      <c r="C43" s="9" t="s">
        <v>73</v>
      </c>
      <c r="D43" s="13" t="s">
        <v>393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45916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172</v>
      </c>
      <c r="AA43" s="8">
        <v>9359.9000000000015</v>
      </c>
      <c r="AB43" s="8">
        <v>0</v>
      </c>
      <c r="AC43" s="8">
        <v>9359.9000000000015</v>
      </c>
      <c r="AD43" s="8">
        <v>0</v>
      </c>
      <c r="AE43" s="8">
        <v>0</v>
      </c>
      <c r="AF43" s="8" t="s">
        <v>470</v>
      </c>
      <c r="AG43" s="1" t="s">
        <v>116</v>
      </c>
      <c r="AH43" s="1" t="s">
        <v>74</v>
      </c>
      <c r="AI43" s="1">
        <v>2</v>
      </c>
      <c r="AJ43" s="3">
        <v>45916</v>
      </c>
      <c r="AK43" s="3">
        <v>0</v>
      </c>
      <c r="AL43" s="3">
        <v>45907</v>
      </c>
      <c r="AM43" s="3">
        <v>45914</v>
      </c>
      <c r="AN43" s="3">
        <v>45915</v>
      </c>
      <c r="AO43" s="3">
        <v>45915</v>
      </c>
      <c r="AP43" s="3">
        <v>45911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705.02926755555563</v>
      </c>
    </row>
    <row r="44" spans="1:56" ht="27.75" customHeight="1" x14ac:dyDescent="0.45">
      <c r="A44" s="3">
        <v>45905</v>
      </c>
      <c r="B44" s="14" t="s">
        <v>468</v>
      </c>
      <c r="C44" s="9" t="s">
        <v>73</v>
      </c>
      <c r="D44" s="13" t="s">
        <v>472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45916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470</v>
      </c>
      <c r="AG44" s="1" t="s">
        <v>116</v>
      </c>
      <c r="AH44" s="1" t="s">
        <v>74</v>
      </c>
      <c r="AI44" s="1">
        <v>2</v>
      </c>
      <c r="AJ44" s="3">
        <v>45916</v>
      </c>
      <c r="AK44" s="3">
        <v>0</v>
      </c>
      <c r="AL44" s="3">
        <v>45907</v>
      </c>
      <c r="AM44" s="3">
        <v>45914</v>
      </c>
      <c r="AN44" s="3">
        <v>45915</v>
      </c>
      <c r="AO44" s="3">
        <v>45915</v>
      </c>
      <c r="AP44" s="3">
        <v>45911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352.51463377777782</v>
      </c>
    </row>
    <row r="45" spans="1:56" ht="27.75" customHeight="1" x14ac:dyDescent="0.45">
      <c r="A45" s="3">
        <v>45905</v>
      </c>
      <c r="B45" s="14" t="s">
        <v>468</v>
      </c>
      <c r="C45" s="9" t="s">
        <v>73</v>
      </c>
      <c r="D45" s="13" t="s">
        <v>266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45918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172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473</v>
      </c>
      <c r="AG45" s="1" t="s">
        <v>116</v>
      </c>
      <c r="AH45" s="1" t="s">
        <v>74</v>
      </c>
      <c r="AI45" s="1">
        <v>2</v>
      </c>
      <c r="AJ45" s="3">
        <v>45918</v>
      </c>
      <c r="AK45" s="3">
        <v>0</v>
      </c>
      <c r="AL45" s="3">
        <v>45909</v>
      </c>
      <c r="AM45" s="3">
        <v>45916</v>
      </c>
      <c r="AN45" s="3">
        <v>45917</v>
      </c>
      <c r="AO45" s="3">
        <v>45917</v>
      </c>
      <c r="AP45" s="3">
        <v>45913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352.51463377777782</v>
      </c>
    </row>
    <row r="46" spans="1:56" ht="27.75" customHeight="1" x14ac:dyDescent="0.45">
      <c r="A46" s="3">
        <v>45905</v>
      </c>
      <c r="B46" s="14" t="s">
        <v>468</v>
      </c>
      <c r="C46" s="9" t="s">
        <v>73</v>
      </c>
      <c r="D46" s="13" t="s">
        <v>474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45918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172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473</v>
      </c>
      <c r="AG46" s="1" t="s">
        <v>61</v>
      </c>
      <c r="AH46" s="1" t="s">
        <v>74</v>
      </c>
      <c r="AI46" s="1">
        <v>2</v>
      </c>
      <c r="AJ46" s="3">
        <v>45918</v>
      </c>
      <c r="AK46" s="3">
        <v>0</v>
      </c>
      <c r="AL46" s="3">
        <v>45909</v>
      </c>
      <c r="AM46" s="3">
        <v>45916</v>
      </c>
      <c r="AN46" s="3">
        <v>45917</v>
      </c>
      <c r="AO46" s="3">
        <v>45917</v>
      </c>
      <c r="AP46" s="3">
        <v>45913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352.51463377777782</v>
      </c>
    </row>
    <row r="47" spans="1:56" ht="27.75" customHeight="1" x14ac:dyDescent="0.45">
      <c r="A47" s="3">
        <v>45905</v>
      </c>
      <c r="B47" s="14" t="s">
        <v>468</v>
      </c>
      <c r="C47" s="9" t="s">
        <v>73</v>
      </c>
      <c r="D47" s="13" t="s">
        <v>288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141</v>
      </c>
      <c r="T47" s="12">
        <v>45918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172</v>
      </c>
      <c r="AA47" s="8">
        <v>9359.9000000000015</v>
      </c>
      <c r="AB47" s="8">
        <v>0</v>
      </c>
      <c r="AC47" s="8">
        <v>9359.9000000000015</v>
      </c>
      <c r="AD47" s="8">
        <v>0</v>
      </c>
      <c r="AE47" s="8">
        <v>0</v>
      </c>
      <c r="AF47" s="8" t="s">
        <v>473</v>
      </c>
      <c r="AG47" s="1" t="s">
        <v>115</v>
      </c>
      <c r="AH47" s="1" t="s">
        <v>74</v>
      </c>
      <c r="AI47" s="1">
        <v>2</v>
      </c>
      <c r="AJ47" s="3">
        <v>45918</v>
      </c>
      <c r="AK47" s="3">
        <v>0</v>
      </c>
      <c r="AL47" s="3">
        <v>45909</v>
      </c>
      <c r="AM47" s="3">
        <v>45916</v>
      </c>
      <c r="AN47" s="3">
        <v>45917</v>
      </c>
      <c r="AO47" s="3">
        <v>45917</v>
      </c>
      <c r="AP47" s="3">
        <v>45913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705.02926755555563</v>
      </c>
    </row>
    <row r="48" spans="1:56" ht="27.75" customHeight="1" x14ac:dyDescent="0.45">
      <c r="A48" s="3">
        <v>45905</v>
      </c>
      <c r="B48" s="14" t="s">
        <v>468</v>
      </c>
      <c r="C48" s="9" t="s">
        <v>73</v>
      </c>
      <c r="D48" s="13" t="s">
        <v>282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141</v>
      </c>
      <c r="T48" s="12">
        <v>45918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172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473</v>
      </c>
      <c r="AG48" s="1" t="s">
        <v>115</v>
      </c>
      <c r="AH48" s="1" t="s">
        <v>74</v>
      </c>
      <c r="AI48" s="1">
        <v>2</v>
      </c>
      <c r="AJ48" s="3">
        <v>45918</v>
      </c>
      <c r="AK48" s="3">
        <v>0</v>
      </c>
      <c r="AL48" s="3">
        <v>45909</v>
      </c>
      <c r="AM48" s="3">
        <v>45916</v>
      </c>
      <c r="AN48" s="3">
        <v>45917</v>
      </c>
      <c r="AO48" s="3">
        <v>45917</v>
      </c>
      <c r="AP48" s="3">
        <v>45913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352.51463377777782</v>
      </c>
    </row>
    <row r="49" spans="1:56" ht="27.75" customHeight="1" x14ac:dyDescent="0.45">
      <c r="A49" s="3" t="s">
        <v>135</v>
      </c>
      <c r="B49" s="14" t="s">
        <v>135</v>
      </c>
      <c r="C49" s="9" t="s">
        <v>73</v>
      </c>
      <c r="D49" s="13" t="s">
        <v>61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141</v>
      </c>
      <c r="T49" s="12">
        <v>45930</v>
      </c>
      <c r="U49" s="11">
        <v>140000</v>
      </c>
      <c r="V49" s="10">
        <v>0</v>
      </c>
      <c r="W49" s="10">
        <v>140000</v>
      </c>
      <c r="X49" s="10">
        <v>0</v>
      </c>
      <c r="Y49" s="10">
        <v>147000</v>
      </c>
      <c r="Z49" s="9" t="s">
        <v>172</v>
      </c>
      <c r="AA49" s="8">
        <v>131038.6</v>
      </c>
      <c r="AB49" s="8">
        <v>0</v>
      </c>
      <c r="AC49" s="8">
        <v>131038.6</v>
      </c>
      <c r="AD49" s="8">
        <v>0</v>
      </c>
      <c r="AE49" s="8">
        <v>0</v>
      </c>
      <c r="AF49" s="8">
        <v>0</v>
      </c>
      <c r="AG49" s="1" t="s">
        <v>116</v>
      </c>
      <c r="AH49" s="1" t="s">
        <v>74</v>
      </c>
      <c r="AI49" s="1">
        <v>2</v>
      </c>
      <c r="AJ49" s="3">
        <v>45930</v>
      </c>
      <c r="AK49" s="3">
        <v>0</v>
      </c>
      <c r="AL49" s="3">
        <v>45921</v>
      </c>
      <c r="AM49" s="3">
        <v>45928</v>
      </c>
      <c r="AN49" s="3">
        <v>45929</v>
      </c>
      <c r="AO49" s="3">
        <v>45929</v>
      </c>
      <c r="AP49" s="3">
        <v>45925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9870.4097457777771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63</v>
      </c>
      <c r="J50" s="9" t="s">
        <v>78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172</v>
      </c>
      <c r="AA50" s="8">
        <v>262077.2</v>
      </c>
      <c r="AB50" s="8">
        <v>59261.500000000007</v>
      </c>
      <c r="AC50" s="8">
        <v>202815.7</v>
      </c>
      <c r="AD50" s="8">
        <v>0</v>
      </c>
      <c r="AE50" s="8">
        <v>0</v>
      </c>
      <c r="AF50" s="8" t="s">
        <v>58</v>
      </c>
      <c r="AG50" s="1" t="s">
        <v>116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174</v>
      </c>
      <c r="BD50" s="56">
        <v>0</v>
      </c>
    </row>
    <row r="51" spans="1:56" ht="27.75" customHeight="1" x14ac:dyDescent="0.45">
      <c r="A51" s="3">
        <v>45905</v>
      </c>
      <c r="B51" s="14" t="s">
        <v>128</v>
      </c>
      <c r="C51" s="9" t="s">
        <v>139</v>
      </c>
      <c r="D51" s="13" t="s">
        <v>250</v>
      </c>
      <c r="E51" s="9">
        <v>19</v>
      </c>
      <c r="F51" s="9">
        <v>34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196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45920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112</v>
      </c>
      <c r="AA51" s="8">
        <v>4999.0247999999992</v>
      </c>
      <c r="AB51" s="8">
        <v>2960</v>
      </c>
      <c r="AC51" s="8">
        <v>2039.0247999999992</v>
      </c>
      <c r="AD51" s="8">
        <v>0</v>
      </c>
      <c r="AE51" s="8">
        <v>4999.0247999999992</v>
      </c>
      <c r="AF51" s="8">
        <v>0</v>
      </c>
      <c r="AG51" s="1" t="s">
        <v>115</v>
      </c>
      <c r="AH51" s="1" t="s">
        <v>75</v>
      </c>
      <c r="AI51" s="1">
        <v>4</v>
      </c>
      <c r="AJ51" s="3">
        <v>45920</v>
      </c>
      <c r="AK51" s="3">
        <v>45916</v>
      </c>
      <c r="AL51" s="3">
        <v>45909</v>
      </c>
      <c r="AM51" s="3">
        <v>45917</v>
      </c>
      <c r="AN51" s="3">
        <v>45918</v>
      </c>
      <c r="AO51" s="3">
        <v>45919</v>
      </c>
      <c r="AP51" s="3">
        <v>45915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191</v>
      </c>
      <c r="BD51" s="56">
        <v>172.18431644444436</v>
      </c>
    </row>
    <row r="52" spans="1:56" ht="27.75" customHeight="1" x14ac:dyDescent="0.45">
      <c r="A52" s="3">
        <v>45905</v>
      </c>
      <c r="B52" s="14" t="s">
        <v>128</v>
      </c>
      <c r="C52" s="9" t="s">
        <v>139</v>
      </c>
      <c r="D52" s="13" t="s">
        <v>456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196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45920</v>
      </c>
      <c r="U52" s="11">
        <v>5040</v>
      </c>
      <c r="V52" s="10">
        <v>0</v>
      </c>
      <c r="W52" s="10">
        <v>5040</v>
      </c>
      <c r="X52" s="10">
        <v>0</v>
      </c>
      <c r="Y52" s="10">
        <v>5292</v>
      </c>
      <c r="Z52" s="9" t="s">
        <v>112</v>
      </c>
      <c r="AA52" s="8">
        <v>4999.0247999999992</v>
      </c>
      <c r="AB52" s="8">
        <v>0</v>
      </c>
      <c r="AC52" s="8">
        <v>4999.0247999999992</v>
      </c>
      <c r="AD52" s="8">
        <v>0</v>
      </c>
      <c r="AE52" s="8">
        <v>4999.0247999999992</v>
      </c>
      <c r="AF52" s="8">
        <v>0</v>
      </c>
      <c r="AG52" s="1" t="s">
        <v>115</v>
      </c>
      <c r="AH52" s="1" t="s">
        <v>75</v>
      </c>
      <c r="AI52" s="1">
        <v>4</v>
      </c>
      <c r="AJ52" s="3">
        <v>45920</v>
      </c>
      <c r="AK52" s="3">
        <v>45916</v>
      </c>
      <c r="AL52" s="3">
        <v>45909</v>
      </c>
      <c r="AM52" s="3">
        <v>45917</v>
      </c>
      <c r="AN52" s="3">
        <v>45918</v>
      </c>
      <c r="AO52" s="3">
        <v>45919</v>
      </c>
      <c r="AP52" s="3">
        <v>45915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191</v>
      </c>
      <c r="BD52" s="56">
        <v>422.13987199999991</v>
      </c>
    </row>
    <row r="53" spans="1:56" ht="27.75" customHeight="1" x14ac:dyDescent="0.45">
      <c r="A53" s="3">
        <v>45796</v>
      </c>
      <c r="B53" s="14" t="s">
        <v>255</v>
      </c>
      <c r="C53" s="9" t="s">
        <v>139</v>
      </c>
      <c r="D53" s="13" t="s">
        <v>250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196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 t="s">
        <v>63</v>
      </c>
      <c r="U53" s="11">
        <v>503</v>
      </c>
      <c r="V53" s="10">
        <v>0</v>
      </c>
      <c r="W53" s="10">
        <v>503</v>
      </c>
      <c r="X53" s="10">
        <v>5250</v>
      </c>
      <c r="Y53" s="10">
        <v>0</v>
      </c>
      <c r="Z53" s="9" t="s">
        <v>112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115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191</v>
      </c>
      <c r="BD53" s="56">
        <v>0</v>
      </c>
    </row>
    <row r="54" spans="1:56" ht="27.75" customHeight="1" x14ac:dyDescent="0.45">
      <c r="A54" s="3">
        <v>0</v>
      </c>
      <c r="B54" s="14">
        <v>0</v>
      </c>
      <c r="C54" s="9">
        <v>0</v>
      </c>
      <c r="D54" s="13">
        <v>0</v>
      </c>
      <c r="E54" s="9">
        <v>19</v>
      </c>
      <c r="F54" s="9">
        <v>34</v>
      </c>
      <c r="G54" s="9" t="s">
        <v>60</v>
      </c>
      <c r="H54" s="9">
        <v>0</v>
      </c>
      <c r="I54" s="9">
        <v>80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112</v>
      </c>
      <c r="AA54" s="8">
        <v>9998.0495999999985</v>
      </c>
      <c r="AB54" s="8">
        <v>2960</v>
      </c>
      <c r="AC54" s="8">
        <v>7038.0495999999985</v>
      </c>
      <c r="AD54" s="8">
        <v>0</v>
      </c>
      <c r="AE54" s="8">
        <v>9998.0495999999985</v>
      </c>
      <c r="AF54" s="8" t="s">
        <v>58</v>
      </c>
      <c r="AG54" s="1" t="s">
        <v>115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192</v>
      </c>
      <c r="BD54" s="56">
        <v>0</v>
      </c>
    </row>
    <row r="55" spans="1:56" ht="27.75" customHeight="1" x14ac:dyDescent="0.45">
      <c r="A55" s="3">
        <v>45877</v>
      </c>
      <c r="B55" s="14" t="s">
        <v>319</v>
      </c>
      <c r="C55" s="9" t="s">
        <v>79</v>
      </c>
      <c r="D55" s="13" t="s">
        <v>320</v>
      </c>
      <c r="E55" s="9">
        <v>20</v>
      </c>
      <c r="F55" s="9">
        <v>38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45906</v>
      </c>
      <c r="U55" s="11">
        <v>3000</v>
      </c>
      <c r="V55" s="10">
        <v>3000</v>
      </c>
      <c r="W55" s="10">
        <v>0</v>
      </c>
      <c r="X55" s="10">
        <v>3300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116</v>
      </c>
      <c r="AH55" s="1" t="s">
        <v>75</v>
      </c>
      <c r="AI55" s="1">
        <v>4</v>
      </c>
      <c r="AJ55" s="3">
        <v>45906</v>
      </c>
      <c r="AK55" s="3">
        <v>45902</v>
      </c>
      <c r="AL55" s="3">
        <v>45895</v>
      </c>
      <c r="AM55" s="3">
        <v>45903</v>
      </c>
      <c r="AN55" s="3">
        <v>45904</v>
      </c>
      <c r="AO55" s="3">
        <v>45905</v>
      </c>
      <c r="AP55" s="3">
        <v>45901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45850</v>
      </c>
      <c r="B56" s="14" t="s">
        <v>284</v>
      </c>
      <c r="C56" s="9" t="s">
        <v>107</v>
      </c>
      <c r="D56" s="13" t="s">
        <v>285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45906</v>
      </c>
      <c r="U56" s="11">
        <v>3000</v>
      </c>
      <c r="V56" s="10">
        <v>3000</v>
      </c>
      <c r="W56" s="10">
        <v>0</v>
      </c>
      <c r="X56" s="10">
        <v>3300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45906</v>
      </c>
      <c r="AK56" s="3">
        <v>45902</v>
      </c>
      <c r="AL56" s="3">
        <v>45895</v>
      </c>
      <c r="AM56" s="3">
        <v>45903</v>
      </c>
      <c r="AN56" s="3">
        <v>45904</v>
      </c>
      <c r="AO56" s="3">
        <v>45905</v>
      </c>
      <c r="AP56" s="3">
        <v>45901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 t="s">
        <v>434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45905</v>
      </c>
      <c r="B57" s="14" t="s">
        <v>128</v>
      </c>
      <c r="C57" s="9" t="s">
        <v>139</v>
      </c>
      <c r="D57" s="13" t="s">
        <v>458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45919</v>
      </c>
      <c r="U57" s="11">
        <v>5040</v>
      </c>
      <c r="V57" s="10">
        <v>0</v>
      </c>
      <c r="W57" s="10">
        <v>5040</v>
      </c>
      <c r="X57" s="10">
        <v>0</v>
      </c>
      <c r="Y57" s="10">
        <v>5292</v>
      </c>
      <c r="Z57" s="9" t="s">
        <v>80</v>
      </c>
      <c r="AA57" s="8">
        <v>5280.6600000000008</v>
      </c>
      <c r="AB57" s="8">
        <v>0</v>
      </c>
      <c r="AC57" s="8">
        <v>5280.6600000000008</v>
      </c>
      <c r="AD57" s="8">
        <v>0</v>
      </c>
      <c r="AE57" s="8">
        <v>5280.6600000000008</v>
      </c>
      <c r="AF57" s="8">
        <v>0</v>
      </c>
      <c r="AG57" s="1" t="s">
        <v>116</v>
      </c>
      <c r="AH57" s="1" t="s">
        <v>75</v>
      </c>
      <c r="AI57" s="1">
        <v>4</v>
      </c>
      <c r="AJ57" s="3">
        <v>45919</v>
      </c>
      <c r="AK57" s="3">
        <v>45915</v>
      </c>
      <c r="AL57" s="3">
        <v>45908</v>
      </c>
      <c r="AM57" s="3">
        <v>45916</v>
      </c>
      <c r="AN57" s="3">
        <v>45917</v>
      </c>
      <c r="AO57" s="3">
        <v>45918</v>
      </c>
      <c r="AP57" s="3">
        <v>45914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398.98320000000001</v>
      </c>
    </row>
    <row r="58" spans="1:56" ht="27.75" customHeight="1" x14ac:dyDescent="0.45">
      <c r="A58" s="3">
        <v>45905</v>
      </c>
      <c r="B58" s="14" t="s">
        <v>128</v>
      </c>
      <c r="C58" s="9" t="s">
        <v>139</v>
      </c>
      <c r="D58" s="13" t="s">
        <v>306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45919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80</v>
      </c>
      <c r="AA58" s="8">
        <v>10477.5</v>
      </c>
      <c r="AB58" s="8">
        <v>0</v>
      </c>
      <c r="AC58" s="8">
        <v>10477.5</v>
      </c>
      <c r="AD58" s="8">
        <v>0</v>
      </c>
      <c r="AE58" s="8">
        <v>10477.5</v>
      </c>
      <c r="AF58" s="8">
        <v>0</v>
      </c>
      <c r="AG58" s="1" t="s">
        <v>115</v>
      </c>
      <c r="AH58" s="1" t="s">
        <v>75</v>
      </c>
      <c r="AI58" s="1">
        <v>4</v>
      </c>
      <c r="AJ58" s="3">
        <v>45919</v>
      </c>
      <c r="AK58" s="3">
        <v>45915</v>
      </c>
      <c r="AL58" s="3">
        <v>45908</v>
      </c>
      <c r="AM58" s="3">
        <v>45916</v>
      </c>
      <c r="AN58" s="3">
        <v>45917</v>
      </c>
      <c r="AO58" s="3">
        <v>45918</v>
      </c>
      <c r="AP58" s="3">
        <v>45914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791.63333333333321</v>
      </c>
    </row>
    <row r="59" spans="1:56" ht="27.75" customHeight="1" x14ac:dyDescent="0.45">
      <c r="A59" s="3">
        <v>45905</v>
      </c>
      <c r="B59" s="14" t="s">
        <v>128</v>
      </c>
      <c r="C59" s="9" t="s">
        <v>139</v>
      </c>
      <c r="D59" s="13" t="s">
        <v>459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45920</v>
      </c>
      <c r="U59" s="11">
        <v>5040</v>
      </c>
      <c r="V59" s="10">
        <v>0</v>
      </c>
      <c r="W59" s="10">
        <v>5040</v>
      </c>
      <c r="X59" s="10">
        <v>0</v>
      </c>
      <c r="Y59" s="10">
        <v>5292</v>
      </c>
      <c r="Z59" s="9" t="s">
        <v>80</v>
      </c>
      <c r="AA59" s="8">
        <v>5280.6600000000008</v>
      </c>
      <c r="AB59" s="8">
        <v>0</v>
      </c>
      <c r="AC59" s="8">
        <v>5280.6600000000008</v>
      </c>
      <c r="AD59" s="8">
        <v>0</v>
      </c>
      <c r="AE59" s="8">
        <v>5280.6600000000008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45920</v>
      </c>
      <c r="AK59" s="3">
        <v>45916</v>
      </c>
      <c r="AL59" s="3">
        <v>45909</v>
      </c>
      <c r="AM59" s="3">
        <v>45917</v>
      </c>
      <c r="AN59" s="3">
        <v>45918</v>
      </c>
      <c r="AO59" s="3">
        <v>45919</v>
      </c>
      <c r="AP59" s="3">
        <v>45915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398.98320000000001</v>
      </c>
    </row>
    <row r="60" spans="1:56" ht="27.75" customHeight="1" x14ac:dyDescent="0.45">
      <c r="A60" s="3">
        <v>45905</v>
      </c>
      <c r="B60" s="14" t="s">
        <v>128</v>
      </c>
      <c r="C60" s="9" t="s">
        <v>139</v>
      </c>
      <c r="D60" s="13" t="s">
        <v>251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45920</v>
      </c>
      <c r="U60" s="11">
        <v>5040</v>
      </c>
      <c r="V60" s="10">
        <v>0</v>
      </c>
      <c r="W60" s="10">
        <v>5040</v>
      </c>
      <c r="X60" s="10">
        <v>0</v>
      </c>
      <c r="Y60" s="10">
        <v>5292</v>
      </c>
      <c r="Z60" s="9" t="s">
        <v>80</v>
      </c>
      <c r="AA60" s="8">
        <v>5280.6600000000008</v>
      </c>
      <c r="AB60" s="8">
        <v>0</v>
      </c>
      <c r="AC60" s="8">
        <v>5280.6600000000008</v>
      </c>
      <c r="AD60" s="8">
        <v>0</v>
      </c>
      <c r="AE60" s="8">
        <v>5280.6600000000008</v>
      </c>
      <c r="AF60" s="8">
        <v>0</v>
      </c>
      <c r="AG60" s="1" t="s">
        <v>117</v>
      </c>
      <c r="AH60" s="1" t="s">
        <v>75</v>
      </c>
      <c r="AI60" s="1">
        <v>4</v>
      </c>
      <c r="AJ60" s="3">
        <v>45920</v>
      </c>
      <c r="AK60" s="3">
        <v>45916</v>
      </c>
      <c r="AL60" s="3">
        <v>45909</v>
      </c>
      <c r="AM60" s="3">
        <v>45917</v>
      </c>
      <c r="AN60" s="3">
        <v>45918</v>
      </c>
      <c r="AO60" s="3">
        <v>45919</v>
      </c>
      <c r="AP60" s="3">
        <v>45915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398.98320000000001</v>
      </c>
    </row>
    <row r="61" spans="1:56" ht="27.75" customHeight="1" x14ac:dyDescent="0.45">
      <c r="A61" s="3">
        <v>45796</v>
      </c>
      <c r="B61" s="14" t="s">
        <v>256</v>
      </c>
      <c r="C61" s="9" t="s">
        <v>139</v>
      </c>
      <c r="D61" s="13" t="s">
        <v>251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45915</v>
      </c>
      <c r="U61" s="11">
        <v>366</v>
      </c>
      <c r="V61" s="10">
        <v>0</v>
      </c>
      <c r="W61" s="10">
        <v>366</v>
      </c>
      <c r="X61" s="10">
        <v>0</v>
      </c>
      <c r="Y61" s="10">
        <v>384.3</v>
      </c>
      <c r="Z61" s="9" t="s">
        <v>80</v>
      </c>
      <c r="AA61" s="8">
        <v>383.47650000000004</v>
      </c>
      <c r="AB61" s="8">
        <v>0</v>
      </c>
      <c r="AC61" s="8">
        <v>383.47650000000004</v>
      </c>
      <c r="AD61" s="8">
        <v>0</v>
      </c>
      <c r="AE61" s="8">
        <v>383.47650000000004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45915</v>
      </c>
      <c r="AK61" s="3">
        <v>45911</v>
      </c>
      <c r="AL61" s="3">
        <v>45904</v>
      </c>
      <c r="AM61" s="3">
        <v>45912</v>
      </c>
      <c r="AN61" s="3">
        <v>45913</v>
      </c>
      <c r="AO61" s="3">
        <v>45914</v>
      </c>
      <c r="AP61" s="3">
        <v>45910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28.973779999999994</v>
      </c>
    </row>
    <row r="62" spans="1:56" ht="27.75" customHeight="1" x14ac:dyDescent="0.45">
      <c r="A62" s="3">
        <v>45892</v>
      </c>
      <c r="B62" s="14" t="s">
        <v>361</v>
      </c>
      <c r="C62" s="9" t="s">
        <v>139</v>
      </c>
      <c r="D62" s="13" t="s">
        <v>330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 t="s">
        <v>63</v>
      </c>
      <c r="U62" s="11">
        <v>640</v>
      </c>
      <c r="V62" s="10">
        <v>0</v>
      </c>
      <c r="W62" s="10">
        <v>640</v>
      </c>
      <c r="X62" s="10">
        <v>6000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117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371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45892</v>
      </c>
      <c r="B63" s="14" t="s">
        <v>363</v>
      </c>
      <c r="C63" s="9" t="s">
        <v>139</v>
      </c>
      <c r="D63" s="13" t="s">
        <v>131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 t="s">
        <v>63</v>
      </c>
      <c r="U63" s="11">
        <v>1840</v>
      </c>
      <c r="V63" s="10">
        <v>80</v>
      </c>
      <c r="W63" s="10">
        <v>1760</v>
      </c>
      <c r="X63" s="10">
        <v>10650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116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45782</v>
      </c>
      <c r="B64" s="14" t="s">
        <v>249</v>
      </c>
      <c r="C64" s="9" t="s">
        <v>79</v>
      </c>
      <c r="D64" s="13" t="s">
        <v>243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45909</v>
      </c>
      <c r="U64" s="11">
        <v>5000</v>
      </c>
      <c r="V64" s="10">
        <v>4473</v>
      </c>
      <c r="W64" s="10">
        <v>527</v>
      </c>
      <c r="X64" s="10">
        <v>5200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45909</v>
      </c>
      <c r="AK64" s="3">
        <v>45905</v>
      </c>
      <c r="AL64" s="3">
        <v>45898</v>
      </c>
      <c r="AM64" s="3">
        <v>45906</v>
      </c>
      <c r="AN64" s="3">
        <v>45907</v>
      </c>
      <c r="AO64" s="3">
        <v>45908</v>
      </c>
      <c r="AP64" s="3">
        <v>45904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45902</v>
      </c>
      <c r="B65" s="14" t="s">
        <v>445</v>
      </c>
      <c r="C65" s="9" t="s">
        <v>267</v>
      </c>
      <c r="D65" s="13" t="s">
        <v>435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45906</v>
      </c>
      <c r="U65" s="11">
        <v>10000</v>
      </c>
      <c r="V65" s="10">
        <v>5000</v>
      </c>
      <c r="W65" s="10">
        <v>5000</v>
      </c>
      <c r="X65" s="10">
        <v>10908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116</v>
      </c>
      <c r="AH65" s="1" t="s">
        <v>75</v>
      </c>
      <c r="AI65" s="1">
        <v>4</v>
      </c>
      <c r="AJ65" s="3">
        <v>45906</v>
      </c>
      <c r="AK65" s="3">
        <v>45902</v>
      </c>
      <c r="AL65" s="3">
        <v>45895</v>
      </c>
      <c r="AM65" s="3">
        <v>45903</v>
      </c>
      <c r="AN65" s="3">
        <v>45904</v>
      </c>
      <c r="AO65" s="3">
        <v>45905</v>
      </c>
      <c r="AP65" s="3">
        <v>45901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45902</v>
      </c>
      <c r="B66" s="14" t="s">
        <v>446</v>
      </c>
      <c r="C66" s="9" t="s">
        <v>267</v>
      </c>
      <c r="D66" s="13" t="s">
        <v>436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45906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80</v>
      </c>
      <c r="AA66" s="8">
        <v>10756.900000000001</v>
      </c>
      <c r="AB66" s="8">
        <v>10756.900000000001</v>
      </c>
      <c r="AC66" s="8">
        <v>0</v>
      </c>
      <c r="AD66" s="8">
        <v>10756.900000000001</v>
      </c>
      <c r="AE66" s="8">
        <v>0</v>
      </c>
      <c r="AF66" s="8">
        <v>0</v>
      </c>
      <c r="AG66" s="1" t="s">
        <v>116</v>
      </c>
      <c r="AH66" s="1" t="s">
        <v>75</v>
      </c>
      <c r="AI66" s="1">
        <v>4</v>
      </c>
      <c r="AJ66" s="3">
        <v>45906</v>
      </c>
      <c r="AK66" s="3">
        <v>45902</v>
      </c>
      <c r="AL66" s="3">
        <v>45895</v>
      </c>
      <c r="AM66" s="3">
        <v>45903</v>
      </c>
      <c r="AN66" s="3">
        <v>45904</v>
      </c>
      <c r="AO66" s="3">
        <v>45905</v>
      </c>
      <c r="AP66" s="3">
        <v>45901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45902</v>
      </c>
      <c r="B67" s="14" t="s">
        <v>445</v>
      </c>
      <c r="C67" s="9" t="s">
        <v>267</v>
      </c>
      <c r="D67" s="13" t="s">
        <v>435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45930</v>
      </c>
      <c r="U67" s="11">
        <v>20000</v>
      </c>
      <c r="V67" s="10">
        <v>0</v>
      </c>
      <c r="W67" s="10">
        <v>20000</v>
      </c>
      <c r="X67" s="10">
        <v>0</v>
      </c>
      <c r="Y67" s="10">
        <v>21000</v>
      </c>
      <c r="Z67" s="9" t="s">
        <v>80</v>
      </c>
      <c r="AA67" s="8">
        <v>21513.800000000003</v>
      </c>
      <c r="AB67" s="8">
        <v>21513.800000000003</v>
      </c>
      <c r="AC67" s="8">
        <v>0</v>
      </c>
      <c r="AD67" s="8">
        <v>0</v>
      </c>
      <c r="AE67" s="8">
        <v>21513.800000000003</v>
      </c>
      <c r="AF67" s="8">
        <v>0</v>
      </c>
      <c r="AG67" s="1" t="s">
        <v>116</v>
      </c>
      <c r="AH67" s="1" t="s">
        <v>75</v>
      </c>
      <c r="AI67" s="1">
        <v>4</v>
      </c>
      <c r="AJ67" s="3">
        <v>45930</v>
      </c>
      <c r="AK67" s="3">
        <v>45926</v>
      </c>
      <c r="AL67" s="3">
        <v>45919</v>
      </c>
      <c r="AM67" s="3">
        <v>45927</v>
      </c>
      <c r="AN67" s="3">
        <v>45928</v>
      </c>
      <c r="AO67" s="3">
        <v>45929</v>
      </c>
      <c r="AP67" s="3">
        <v>45925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45902</v>
      </c>
      <c r="B68" s="14" t="s">
        <v>446</v>
      </c>
      <c r="C68" s="9" t="s">
        <v>267</v>
      </c>
      <c r="D68" s="13" t="s">
        <v>436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45930</v>
      </c>
      <c r="U68" s="11">
        <v>20000</v>
      </c>
      <c r="V68" s="10">
        <v>0</v>
      </c>
      <c r="W68" s="10">
        <v>20000</v>
      </c>
      <c r="X68" s="10">
        <v>0</v>
      </c>
      <c r="Y68" s="10">
        <v>21000</v>
      </c>
      <c r="Z68" s="9" t="s">
        <v>80</v>
      </c>
      <c r="AA68" s="8">
        <v>21513.800000000003</v>
      </c>
      <c r="AB68" s="8">
        <v>21513.800000000003</v>
      </c>
      <c r="AC68" s="8">
        <v>0</v>
      </c>
      <c r="AD68" s="8">
        <v>0</v>
      </c>
      <c r="AE68" s="8">
        <v>21513.800000000003</v>
      </c>
      <c r="AF68" s="8">
        <v>0</v>
      </c>
      <c r="AG68" s="1" t="s">
        <v>116</v>
      </c>
      <c r="AH68" s="1" t="s">
        <v>75</v>
      </c>
      <c r="AI68" s="1">
        <v>4</v>
      </c>
      <c r="AJ68" s="3">
        <v>45930</v>
      </c>
      <c r="AK68" s="3">
        <v>45926</v>
      </c>
      <c r="AL68" s="3">
        <v>45919</v>
      </c>
      <c r="AM68" s="3">
        <v>45927</v>
      </c>
      <c r="AN68" s="3">
        <v>45928</v>
      </c>
      <c r="AO68" s="3">
        <v>45929</v>
      </c>
      <c r="AP68" s="3">
        <v>45925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45902</v>
      </c>
      <c r="B69" s="14" t="s">
        <v>445</v>
      </c>
      <c r="C69" s="9" t="s">
        <v>267</v>
      </c>
      <c r="D69" s="13" t="s">
        <v>437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45930</v>
      </c>
      <c r="U69" s="11">
        <v>20000</v>
      </c>
      <c r="V69" s="10">
        <v>0</v>
      </c>
      <c r="W69" s="10">
        <v>20000</v>
      </c>
      <c r="X69" s="10">
        <v>0</v>
      </c>
      <c r="Y69" s="10">
        <v>21000</v>
      </c>
      <c r="Z69" s="9" t="s">
        <v>80</v>
      </c>
      <c r="AA69" s="8">
        <v>21513.800000000003</v>
      </c>
      <c r="AB69" s="8">
        <v>21513.800000000003</v>
      </c>
      <c r="AC69" s="8">
        <v>0</v>
      </c>
      <c r="AD69" s="8">
        <v>0</v>
      </c>
      <c r="AE69" s="8">
        <v>21513.800000000003</v>
      </c>
      <c r="AF69" s="8">
        <v>0</v>
      </c>
      <c r="AG69" s="1" t="s">
        <v>116</v>
      </c>
      <c r="AH69" s="1" t="s">
        <v>75</v>
      </c>
      <c r="AI69" s="1">
        <v>4</v>
      </c>
      <c r="AJ69" s="3">
        <v>45930</v>
      </c>
      <c r="AK69" s="3">
        <v>45926</v>
      </c>
      <c r="AL69" s="3">
        <v>45919</v>
      </c>
      <c r="AM69" s="3">
        <v>45927</v>
      </c>
      <c r="AN69" s="3">
        <v>45928</v>
      </c>
      <c r="AO69" s="3">
        <v>45929</v>
      </c>
      <c r="AP69" s="3">
        <v>45925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45">
      <c r="A70" s="3">
        <v>45902</v>
      </c>
      <c r="B70" s="14" t="s">
        <v>445</v>
      </c>
      <c r="C70" s="9" t="s">
        <v>267</v>
      </c>
      <c r="D70" s="13" t="s">
        <v>438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45930</v>
      </c>
      <c r="U70" s="11">
        <v>10000</v>
      </c>
      <c r="V70" s="10">
        <v>0</v>
      </c>
      <c r="W70" s="10">
        <v>10000</v>
      </c>
      <c r="X70" s="10">
        <v>0</v>
      </c>
      <c r="Y70" s="10">
        <v>10500</v>
      </c>
      <c r="Z70" s="9" t="s">
        <v>80</v>
      </c>
      <c r="AA70" s="8">
        <v>10756.900000000001</v>
      </c>
      <c r="AB70" s="8">
        <v>10756.900000000001</v>
      </c>
      <c r="AC70" s="8">
        <v>0</v>
      </c>
      <c r="AD70" s="8">
        <v>0</v>
      </c>
      <c r="AE70" s="8">
        <v>10756.900000000001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45930</v>
      </c>
      <c r="AK70" s="3">
        <v>45926</v>
      </c>
      <c r="AL70" s="3">
        <v>45919</v>
      </c>
      <c r="AM70" s="3">
        <v>45927</v>
      </c>
      <c r="AN70" s="3">
        <v>45928</v>
      </c>
      <c r="AO70" s="3">
        <v>45929</v>
      </c>
      <c r="AP70" s="3">
        <v>45925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45">
      <c r="A71" s="3">
        <v>45902</v>
      </c>
      <c r="B71" s="14" t="s">
        <v>446</v>
      </c>
      <c r="C71" s="9" t="s">
        <v>267</v>
      </c>
      <c r="D71" s="13" t="s">
        <v>439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45930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80</v>
      </c>
      <c r="AA71" s="8">
        <v>10756.900000000001</v>
      </c>
      <c r="AB71" s="8">
        <v>10756.900000000001</v>
      </c>
      <c r="AC71" s="8">
        <v>0</v>
      </c>
      <c r="AD71" s="8">
        <v>0</v>
      </c>
      <c r="AE71" s="8">
        <v>10756.900000000001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45930</v>
      </c>
      <c r="AK71" s="3">
        <v>45926</v>
      </c>
      <c r="AL71" s="3">
        <v>45919</v>
      </c>
      <c r="AM71" s="3">
        <v>45927</v>
      </c>
      <c r="AN71" s="3">
        <v>45928</v>
      </c>
      <c r="AO71" s="3">
        <v>45929</v>
      </c>
      <c r="AP71" s="3">
        <v>45925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45902</v>
      </c>
      <c r="B72" s="14" t="s">
        <v>447</v>
      </c>
      <c r="C72" s="9" t="s">
        <v>267</v>
      </c>
      <c r="D72" s="13" t="s">
        <v>440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45930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80</v>
      </c>
      <c r="AA72" s="8">
        <v>10756.900000000001</v>
      </c>
      <c r="AB72" s="8">
        <v>5732</v>
      </c>
      <c r="AC72" s="8">
        <v>5024.9000000000015</v>
      </c>
      <c r="AD72" s="8">
        <v>0</v>
      </c>
      <c r="AE72" s="8">
        <v>10756.900000000001</v>
      </c>
      <c r="AF72" s="8">
        <v>0</v>
      </c>
      <c r="AG72" s="1" t="s">
        <v>117</v>
      </c>
      <c r="AH72" s="1" t="s">
        <v>75</v>
      </c>
      <c r="AI72" s="1">
        <v>4</v>
      </c>
      <c r="AJ72" s="3">
        <v>45930</v>
      </c>
      <c r="AK72" s="3">
        <v>45926</v>
      </c>
      <c r="AL72" s="3">
        <v>45919</v>
      </c>
      <c r="AM72" s="3">
        <v>45927</v>
      </c>
      <c r="AN72" s="3">
        <v>45928</v>
      </c>
      <c r="AO72" s="3">
        <v>45929</v>
      </c>
      <c r="AP72" s="3">
        <v>45925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379.6591111111112</v>
      </c>
    </row>
    <row r="73" spans="1:56" ht="27.75" customHeight="1" x14ac:dyDescent="0.45">
      <c r="A73" s="3">
        <v>45902</v>
      </c>
      <c r="B73" s="14" t="s">
        <v>447</v>
      </c>
      <c r="C73" s="9" t="s">
        <v>267</v>
      </c>
      <c r="D73" s="13" t="s">
        <v>441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45930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5378.4500000000007</v>
      </c>
      <c r="AB73" s="8">
        <v>0</v>
      </c>
      <c r="AC73" s="8">
        <v>5378.4500000000007</v>
      </c>
      <c r="AD73" s="8">
        <v>0</v>
      </c>
      <c r="AE73" s="8">
        <v>5378.4500000000007</v>
      </c>
      <c r="AF73" s="8">
        <v>0</v>
      </c>
      <c r="AG73" s="1" t="s">
        <v>116</v>
      </c>
      <c r="AH73" s="1" t="s">
        <v>75</v>
      </c>
      <c r="AI73" s="1">
        <v>4</v>
      </c>
      <c r="AJ73" s="3">
        <v>45930</v>
      </c>
      <c r="AK73" s="3">
        <v>45926</v>
      </c>
      <c r="AL73" s="3">
        <v>45919</v>
      </c>
      <c r="AM73" s="3">
        <v>45927</v>
      </c>
      <c r="AN73" s="3">
        <v>45928</v>
      </c>
      <c r="AO73" s="3">
        <v>45929</v>
      </c>
      <c r="AP73" s="3">
        <v>45925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406.37177777777782</v>
      </c>
    </row>
    <row r="74" spans="1:56" ht="27.75" customHeight="1" x14ac:dyDescent="0.45">
      <c r="A74" s="3">
        <v>45902</v>
      </c>
      <c r="B74" s="14" t="s">
        <v>447</v>
      </c>
      <c r="C74" s="9" t="s">
        <v>267</v>
      </c>
      <c r="D74" s="13" t="s">
        <v>442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45930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80</v>
      </c>
      <c r="AA74" s="8">
        <v>5378.4500000000007</v>
      </c>
      <c r="AB74" s="8">
        <v>0</v>
      </c>
      <c r="AC74" s="8">
        <v>5378.4500000000007</v>
      </c>
      <c r="AD74" s="8">
        <v>0</v>
      </c>
      <c r="AE74" s="8">
        <v>5378.4500000000007</v>
      </c>
      <c r="AF74" s="8">
        <v>0</v>
      </c>
      <c r="AG74" s="1" t="s">
        <v>116</v>
      </c>
      <c r="AH74" s="1" t="s">
        <v>75</v>
      </c>
      <c r="AI74" s="1">
        <v>4</v>
      </c>
      <c r="AJ74" s="3">
        <v>45930</v>
      </c>
      <c r="AK74" s="3">
        <v>45926</v>
      </c>
      <c r="AL74" s="3">
        <v>45919</v>
      </c>
      <c r="AM74" s="3">
        <v>45927</v>
      </c>
      <c r="AN74" s="3">
        <v>45928</v>
      </c>
      <c r="AO74" s="3">
        <v>45929</v>
      </c>
      <c r="AP74" s="3">
        <v>45925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406.37177777777782</v>
      </c>
    </row>
    <row r="75" spans="1:56" ht="27.75" customHeight="1" x14ac:dyDescent="0.45">
      <c r="A75" s="3">
        <v>45873</v>
      </c>
      <c r="B75" s="14" t="s">
        <v>308</v>
      </c>
      <c r="C75" s="9" t="s">
        <v>107</v>
      </c>
      <c r="D75" s="13" t="s">
        <v>309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45922</v>
      </c>
      <c r="U75" s="11">
        <v>4000</v>
      </c>
      <c r="V75" s="10">
        <v>0</v>
      </c>
      <c r="W75" s="10">
        <v>4000</v>
      </c>
      <c r="X75" s="10">
        <v>4130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307</v>
      </c>
      <c r="AG75" s="1" t="s">
        <v>116</v>
      </c>
      <c r="AH75" s="1" t="s">
        <v>75</v>
      </c>
      <c r="AI75" s="1">
        <v>4</v>
      </c>
      <c r="AJ75" s="3">
        <v>45922</v>
      </c>
      <c r="AK75" s="3">
        <v>45918</v>
      </c>
      <c r="AL75" s="3">
        <v>45911</v>
      </c>
      <c r="AM75" s="3">
        <v>45919</v>
      </c>
      <c r="AN75" s="3">
        <v>45920</v>
      </c>
      <c r="AO75" s="3">
        <v>45921</v>
      </c>
      <c r="AP75" s="3">
        <v>45917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45892</v>
      </c>
      <c r="B76" s="14" t="s">
        <v>364</v>
      </c>
      <c r="C76" s="9" t="s">
        <v>79</v>
      </c>
      <c r="D76" s="13" t="s">
        <v>365</v>
      </c>
      <c r="E76" s="9">
        <v>20</v>
      </c>
      <c r="F76" s="9">
        <v>37</v>
      </c>
      <c r="G76" s="9" t="s">
        <v>60</v>
      </c>
      <c r="H76" s="9" t="s">
        <v>76</v>
      </c>
      <c r="I76" s="9">
        <v>97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45930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80</v>
      </c>
      <c r="AA76" s="8">
        <v>3227.07</v>
      </c>
      <c r="AB76" s="8">
        <v>3227.07</v>
      </c>
      <c r="AC76" s="8">
        <v>0</v>
      </c>
      <c r="AD76" s="8">
        <v>3227.07</v>
      </c>
      <c r="AE76" s="8">
        <v>0</v>
      </c>
      <c r="AF76" s="8">
        <v>0</v>
      </c>
      <c r="AG76" s="1" t="s">
        <v>116</v>
      </c>
      <c r="AH76" s="1" t="s">
        <v>75</v>
      </c>
      <c r="AI76" s="1">
        <v>4</v>
      </c>
      <c r="AJ76" s="3">
        <v>45930</v>
      </c>
      <c r="AK76" s="3">
        <v>45926</v>
      </c>
      <c r="AL76" s="3">
        <v>45919</v>
      </c>
      <c r="AM76" s="3">
        <v>45927</v>
      </c>
      <c r="AN76" s="3">
        <v>45928</v>
      </c>
      <c r="AO76" s="3">
        <v>45929</v>
      </c>
      <c r="AP76" s="3">
        <v>45925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45891</v>
      </c>
      <c r="B77" s="14" t="s">
        <v>396</v>
      </c>
      <c r="C77" s="9" t="s">
        <v>79</v>
      </c>
      <c r="D77" s="13" t="s">
        <v>397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45930</v>
      </c>
      <c r="U77" s="11">
        <v>9000</v>
      </c>
      <c r="V77" s="10">
        <v>0</v>
      </c>
      <c r="W77" s="10">
        <v>9000</v>
      </c>
      <c r="X77" s="10">
        <v>0</v>
      </c>
      <c r="Y77" s="10">
        <v>9450</v>
      </c>
      <c r="Z77" s="9" t="s">
        <v>80</v>
      </c>
      <c r="AA77" s="8">
        <v>9932.67</v>
      </c>
      <c r="AB77" s="8">
        <v>0</v>
      </c>
      <c r="AC77" s="8">
        <v>9932.67</v>
      </c>
      <c r="AD77" s="8">
        <v>0</v>
      </c>
      <c r="AE77" s="8">
        <v>9932.67</v>
      </c>
      <c r="AF77" s="8">
        <v>0</v>
      </c>
      <c r="AG77" s="1" t="s">
        <v>61</v>
      </c>
      <c r="AH77" s="1" t="s">
        <v>75</v>
      </c>
      <c r="AI77" s="1">
        <v>5</v>
      </c>
      <c r="AJ77" s="3">
        <v>45930</v>
      </c>
      <c r="AK77" s="3">
        <v>45925</v>
      </c>
      <c r="AL77" s="3">
        <v>45918</v>
      </c>
      <c r="AM77" s="3">
        <v>45926</v>
      </c>
      <c r="AN77" s="3">
        <v>45927</v>
      </c>
      <c r="AO77" s="3">
        <v>45928</v>
      </c>
      <c r="AP77" s="3">
        <v>45925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750.46839999999997</v>
      </c>
    </row>
    <row r="78" spans="1:56" ht="27.75" customHeight="1" x14ac:dyDescent="0.45">
      <c r="A78" s="3">
        <v>45891</v>
      </c>
      <c r="B78" s="14" t="s">
        <v>398</v>
      </c>
      <c r="C78" s="9" t="s">
        <v>79</v>
      </c>
      <c r="D78" s="13" t="s">
        <v>399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45930</v>
      </c>
      <c r="U78" s="11">
        <v>4000</v>
      </c>
      <c r="V78" s="10">
        <v>0</v>
      </c>
      <c r="W78" s="10">
        <v>4000</v>
      </c>
      <c r="X78" s="10">
        <v>0</v>
      </c>
      <c r="Y78" s="10">
        <v>4200</v>
      </c>
      <c r="Z78" s="9" t="s">
        <v>80</v>
      </c>
      <c r="AA78" s="8">
        <v>4414.5199999999995</v>
      </c>
      <c r="AB78" s="8">
        <v>0</v>
      </c>
      <c r="AC78" s="8">
        <v>4414.5199999999995</v>
      </c>
      <c r="AD78" s="8">
        <v>0</v>
      </c>
      <c r="AE78" s="8">
        <v>4414.5199999999995</v>
      </c>
      <c r="AF78" s="8">
        <v>0</v>
      </c>
      <c r="AG78" s="1" t="s">
        <v>61</v>
      </c>
      <c r="AH78" s="1" t="s">
        <v>75</v>
      </c>
      <c r="AI78" s="1">
        <v>5</v>
      </c>
      <c r="AJ78" s="3">
        <v>45930</v>
      </c>
      <c r="AK78" s="3">
        <v>45925</v>
      </c>
      <c r="AL78" s="3">
        <v>45918</v>
      </c>
      <c r="AM78" s="3">
        <v>45926</v>
      </c>
      <c r="AN78" s="3">
        <v>45927</v>
      </c>
      <c r="AO78" s="3">
        <v>45928</v>
      </c>
      <c r="AP78" s="3">
        <v>45925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333.54151111111111</v>
      </c>
    </row>
    <row r="79" spans="1:56" ht="27.75" customHeight="1" x14ac:dyDescent="0.45">
      <c r="A79" s="3">
        <v>45891</v>
      </c>
      <c r="B79" s="14" t="s">
        <v>400</v>
      </c>
      <c r="C79" s="9" t="s">
        <v>79</v>
      </c>
      <c r="D79" s="13" t="s">
        <v>401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45930</v>
      </c>
      <c r="U79" s="11">
        <v>9000</v>
      </c>
      <c r="V79" s="10">
        <v>0</v>
      </c>
      <c r="W79" s="10">
        <v>9000</v>
      </c>
      <c r="X79" s="10">
        <v>0</v>
      </c>
      <c r="Y79" s="10">
        <v>9450</v>
      </c>
      <c r="Z79" s="9" t="s">
        <v>80</v>
      </c>
      <c r="AA79" s="8">
        <v>9932.67</v>
      </c>
      <c r="AB79" s="8">
        <v>0</v>
      </c>
      <c r="AC79" s="8">
        <v>9932.67</v>
      </c>
      <c r="AD79" s="8">
        <v>0</v>
      </c>
      <c r="AE79" s="8">
        <v>9932.67</v>
      </c>
      <c r="AF79" s="8">
        <v>0</v>
      </c>
      <c r="AG79" s="1" t="s">
        <v>61</v>
      </c>
      <c r="AH79" s="1" t="s">
        <v>75</v>
      </c>
      <c r="AI79" s="1">
        <v>5</v>
      </c>
      <c r="AJ79" s="3">
        <v>45930</v>
      </c>
      <c r="AK79" s="3">
        <v>45925</v>
      </c>
      <c r="AL79" s="3">
        <v>45918</v>
      </c>
      <c r="AM79" s="3">
        <v>45926</v>
      </c>
      <c r="AN79" s="3">
        <v>45927</v>
      </c>
      <c r="AO79" s="3">
        <v>45928</v>
      </c>
      <c r="AP79" s="3">
        <v>45925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750.46839999999997</v>
      </c>
    </row>
    <row r="80" spans="1:56" ht="27.75" customHeight="1" x14ac:dyDescent="0.45">
      <c r="A80" s="3" t="s">
        <v>135</v>
      </c>
      <c r="B80" s="14" t="s">
        <v>135</v>
      </c>
      <c r="C80" s="9" t="s">
        <v>139</v>
      </c>
      <c r="D80" s="13" t="s">
        <v>61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45930</v>
      </c>
      <c r="U80" s="11">
        <v>100000</v>
      </c>
      <c r="V80" s="10">
        <v>0</v>
      </c>
      <c r="W80" s="10">
        <v>100000</v>
      </c>
      <c r="X80" s="10">
        <v>0</v>
      </c>
      <c r="Y80" s="10">
        <v>105000</v>
      </c>
      <c r="Z80" s="9" t="s">
        <v>80</v>
      </c>
      <c r="AA80" s="8">
        <v>104775.00000000001</v>
      </c>
      <c r="AB80" s="8">
        <v>0</v>
      </c>
      <c r="AC80" s="8">
        <v>104775.00000000001</v>
      </c>
      <c r="AD80" s="8">
        <v>0</v>
      </c>
      <c r="AE80" s="8">
        <v>104775.00000000001</v>
      </c>
      <c r="AF80" s="8">
        <v>0</v>
      </c>
      <c r="AG80" s="1" t="s">
        <v>115</v>
      </c>
      <c r="AH80" s="1" t="s">
        <v>75</v>
      </c>
      <c r="AI80" s="1">
        <v>4</v>
      </c>
      <c r="AJ80" s="3">
        <v>45930</v>
      </c>
      <c r="AK80" s="3">
        <v>45926</v>
      </c>
      <c r="AL80" s="3">
        <v>45919</v>
      </c>
      <c r="AM80" s="3">
        <v>45927</v>
      </c>
      <c r="AN80" s="3">
        <v>45928</v>
      </c>
      <c r="AO80" s="3">
        <v>45929</v>
      </c>
      <c r="AP80" s="3">
        <v>45925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7916.333333333333</v>
      </c>
    </row>
    <row r="81" spans="1:56" ht="27.75" customHeight="1" x14ac:dyDescent="0.45">
      <c r="A81" s="3" t="s">
        <v>135</v>
      </c>
      <c r="B81" s="14" t="s">
        <v>135</v>
      </c>
      <c r="C81" s="9" t="s">
        <v>79</v>
      </c>
      <c r="D81" s="13" t="s">
        <v>61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45930</v>
      </c>
      <c r="U81" s="11">
        <v>20000</v>
      </c>
      <c r="V81" s="10">
        <v>0</v>
      </c>
      <c r="W81" s="10">
        <v>20000</v>
      </c>
      <c r="X81" s="10">
        <v>0</v>
      </c>
      <c r="Y81" s="10">
        <v>21000</v>
      </c>
      <c r="Z81" s="9" t="s">
        <v>80</v>
      </c>
      <c r="AA81" s="8">
        <v>22072.6</v>
      </c>
      <c r="AB81" s="8">
        <v>0</v>
      </c>
      <c r="AC81" s="8">
        <v>22072.6</v>
      </c>
      <c r="AD81" s="8">
        <v>0</v>
      </c>
      <c r="AE81" s="8">
        <v>22072.6</v>
      </c>
      <c r="AF81" s="8">
        <v>0</v>
      </c>
      <c r="AG81" s="1" t="s">
        <v>116</v>
      </c>
      <c r="AH81" s="1" t="s">
        <v>75</v>
      </c>
      <c r="AI81" s="1">
        <v>4</v>
      </c>
      <c r="AJ81" s="3">
        <v>45930</v>
      </c>
      <c r="AK81" s="3">
        <v>45926</v>
      </c>
      <c r="AL81" s="3">
        <v>45919</v>
      </c>
      <c r="AM81" s="3">
        <v>45927</v>
      </c>
      <c r="AN81" s="3">
        <v>45928</v>
      </c>
      <c r="AO81" s="3">
        <v>45929</v>
      </c>
      <c r="AP81" s="3">
        <v>45925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1667.7075555555555</v>
      </c>
    </row>
    <row r="82" spans="1:56" ht="27.75" customHeight="1" x14ac:dyDescent="0.45">
      <c r="A82" s="3" t="s">
        <v>135</v>
      </c>
      <c r="B82" s="14" t="s">
        <v>135</v>
      </c>
      <c r="C82" s="9" t="s">
        <v>97</v>
      </c>
      <c r="D82" s="13" t="s">
        <v>61</v>
      </c>
      <c r="E82" s="9">
        <v>20</v>
      </c>
      <c r="F82" s="9">
        <v>37</v>
      </c>
      <c r="G82" s="9" t="s">
        <v>60</v>
      </c>
      <c r="H82" s="9" t="s">
        <v>76</v>
      </c>
      <c r="I82" s="9">
        <v>97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71</v>
      </c>
      <c r="T82" s="12">
        <v>45930</v>
      </c>
      <c r="U82" s="11">
        <v>20000</v>
      </c>
      <c r="V82" s="10">
        <v>0</v>
      </c>
      <c r="W82" s="10">
        <v>20000</v>
      </c>
      <c r="X82" s="10">
        <v>0</v>
      </c>
      <c r="Y82" s="10">
        <v>21000</v>
      </c>
      <c r="Z82" s="9" t="s">
        <v>80</v>
      </c>
      <c r="AA82" s="8">
        <v>21513.800000000003</v>
      </c>
      <c r="AB82" s="8">
        <v>0</v>
      </c>
      <c r="AC82" s="8">
        <v>21513.800000000003</v>
      </c>
      <c r="AD82" s="8">
        <v>0</v>
      </c>
      <c r="AE82" s="8">
        <v>21513.800000000003</v>
      </c>
      <c r="AF82" s="8">
        <v>0</v>
      </c>
      <c r="AG82" s="1" t="s">
        <v>116</v>
      </c>
      <c r="AH82" s="1" t="s">
        <v>75</v>
      </c>
      <c r="AI82" s="1">
        <v>4</v>
      </c>
      <c r="AJ82" s="3">
        <v>45930</v>
      </c>
      <c r="AK82" s="3">
        <v>45926</v>
      </c>
      <c r="AL82" s="3">
        <v>45919</v>
      </c>
      <c r="AM82" s="3">
        <v>45927</v>
      </c>
      <c r="AN82" s="3">
        <v>45928</v>
      </c>
      <c r="AO82" s="3">
        <v>45929</v>
      </c>
      <c r="AP82" s="3">
        <v>45925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1625.4871111111113</v>
      </c>
    </row>
    <row r="83" spans="1:56" ht="27.75" customHeight="1" x14ac:dyDescent="0.45">
      <c r="A83" s="3">
        <v>45887</v>
      </c>
      <c r="B83" s="14" t="s">
        <v>346</v>
      </c>
      <c r="C83" s="9" t="s">
        <v>139</v>
      </c>
      <c r="D83" s="13" t="s">
        <v>224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 t="s">
        <v>63</v>
      </c>
      <c r="U83" s="11">
        <v>104</v>
      </c>
      <c r="V83" s="10">
        <v>0</v>
      </c>
      <c r="W83" s="10">
        <v>104</v>
      </c>
      <c r="X83" s="10">
        <v>11230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116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134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45896</v>
      </c>
      <c r="B84" s="14" t="s">
        <v>402</v>
      </c>
      <c r="C84" s="9" t="s">
        <v>79</v>
      </c>
      <c r="D84" s="13" t="s">
        <v>311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80</v>
      </c>
      <c r="AA84" s="8">
        <v>3310.89</v>
      </c>
      <c r="AB84" s="8">
        <v>0</v>
      </c>
      <c r="AC84" s="8">
        <v>3310.89</v>
      </c>
      <c r="AD84" s="8">
        <v>0</v>
      </c>
      <c r="AE84" s="8">
        <v>3310.89</v>
      </c>
      <c r="AF84" s="8">
        <v>0</v>
      </c>
      <c r="AG84" s="1" t="s">
        <v>115</v>
      </c>
      <c r="AH84" s="1" t="s">
        <v>75</v>
      </c>
      <c r="AI84" s="1">
        <v>5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250.15613333333337</v>
      </c>
    </row>
    <row r="85" spans="1:56" ht="27.75" customHeight="1" x14ac:dyDescent="0.45">
      <c r="A85" s="3">
        <v>45896</v>
      </c>
      <c r="B85" s="14" t="s">
        <v>403</v>
      </c>
      <c r="C85" s="9" t="s">
        <v>79</v>
      </c>
      <c r="D85" s="13" t="s">
        <v>404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8000</v>
      </c>
      <c r="V85" s="10">
        <v>0</v>
      </c>
      <c r="W85" s="10">
        <v>8000</v>
      </c>
      <c r="X85" s="10">
        <v>0</v>
      </c>
      <c r="Y85" s="10">
        <v>8400</v>
      </c>
      <c r="Z85" s="9" t="s">
        <v>80</v>
      </c>
      <c r="AA85" s="8">
        <v>8829.0399999999991</v>
      </c>
      <c r="AB85" s="8">
        <v>0</v>
      </c>
      <c r="AC85" s="8">
        <v>8829.0399999999991</v>
      </c>
      <c r="AD85" s="8">
        <v>0</v>
      </c>
      <c r="AE85" s="8">
        <v>8829.0399999999991</v>
      </c>
      <c r="AF85" s="8">
        <v>0</v>
      </c>
      <c r="AG85" s="1" t="s">
        <v>115</v>
      </c>
      <c r="AH85" s="1" t="s">
        <v>75</v>
      </c>
      <c r="AI85" s="1">
        <v>5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667.08302222222221</v>
      </c>
    </row>
    <row r="86" spans="1:56" ht="27.75" customHeight="1" x14ac:dyDescent="0.45">
      <c r="A86" s="3">
        <v>45892</v>
      </c>
      <c r="B86" s="14" t="s">
        <v>366</v>
      </c>
      <c r="C86" s="9" t="s">
        <v>79</v>
      </c>
      <c r="D86" s="13" t="s">
        <v>220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6000</v>
      </c>
      <c r="V86" s="10">
        <v>0</v>
      </c>
      <c r="W86" s="10">
        <v>6000</v>
      </c>
      <c r="X86" s="10">
        <v>0</v>
      </c>
      <c r="Y86" s="10">
        <v>6300</v>
      </c>
      <c r="Z86" s="9" t="s">
        <v>80</v>
      </c>
      <c r="AA86" s="8">
        <v>6621.78</v>
      </c>
      <c r="AB86" s="8">
        <v>0</v>
      </c>
      <c r="AC86" s="8">
        <v>6621.78</v>
      </c>
      <c r="AD86" s="8">
        <v>0</v>
      </c>
      <c r="AE86" s="8">
        <v>6621.78</v>
      </c>
      <c r="AF86" s="8">
        <v>0</v>
      </c>
      <c r="AG86" s="1" t="s">
        <v>116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500.31226666666674</v>
      </c>
    </row>
    <row r="87" spans="1:56" ht="27.75" customHeight="1" x14ac:dyDescent="0.45">
      <c r="A87" s="3">
        <v>45796</v>
      </c>
      <c r="B87" s="14" t="s">
        <v>258</v>
      </c>
      <c r="C87" s="9" t="s">
        <v>139</v>
      </c>
      <c r="D87" s="13" t="s">
        <v>145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 t="s">
        <v>63</v>
      </c>
      <c r="U87" s="11">
        <v>240</v>
      </c>
      <c r="V87" s="10">
        <v>0</v>
      </c>
      <c r="W87" s="10">
        <v>240</v>
      </c>
      <c r="X87" s="10">
        <v>0</v>
      </c>
      <c r="Y87" s="10">
        <v>252</v>
      </c>
      <c r="Z87" s="9" t="s">
        <v>80</v>
      </c>
      <c r="AA87" s="8">
        <v>251.46</v>
      </c>
      <c r="AB87" s="8">
        <v>0</v>
      </c>
      <c r="AC87" s="8">
        <v>251.46</v>
      </c>
      <c r="AD87" s="8">
        <v>0</v>
      </c>
      <c r="AE87" s="8">
        <v>251.46</v>
      </c>
      <c r="AF87" s="8">
        <v>0</v>
      </c>
      <c r="AG87" s="1" t="s">
        <v>61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254</v>
      </c>
      <c r="AZ87" s="2">
        <v>0</v>
      </c>
      <c r="BA87" s="2">
        <v>0</v>
      </c>
      <c r="BB87" s="2">
        <v>0</v>
      </c>
      <c r="BC87" s="1" t="s">
        <v>104</v>
      </c>
      <c r="BD87" s="56">
        <v>18.999199999999998</v>
      </c>
    </row>
    <row r="88" spans="1:56" ht="27.75" customHeight="1" x14ac:dyDescent="0.45">
      <c r="A88" s="3">
        <v>45876</v>
      </c>
      <c r="B88" s="14" t="s">
        <v>329</v>
      </c>
      <c r="C88" s="9" t="s">
        <v>107</v>
      </c>
      <c r="D88" s="13" t="s">
        <v>315</v>
      </c>
      <c r="E88" s="9">
        <v>20</v>
      </c>
      <c r="F88" s="9">
        <v>40</v>
      </c>
      <c r="G88" s="9" t="s">
        <v>60</v>
      </c>
      <c r="H88" s="9" t="s">
        <v>66</v>
      </c>
      <c r="I88" s="9">
        <v>108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3000</v>
      </c>
      <c r="V88" s="10">
        <v>3075</v>
      </c>
      <c r="W88" s="10">
        <v>0</v>
      </c>
      <c r="X88" s="10">
        <v>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115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45877</v>
      </c>
      <c r="B89" s="14" t="s">
        <v>319</v>
      </c>
      <c r="C89" s="9" t="s">
        <v>79</v>
      </c>
      <c r="D89" s="13" t="s">
        <v>320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7000</v>
      </c>
      <c r="V89" s="10">
        <v>0</v>
      </c>
      <c r="W89" s="10">
        <v>7000</v>
      </c>
      <c r="X89" s="10">
        <v>0</v>
      </c>
      <c r="Y89" s="10">
        <v>7350</v>
      </c>
      <c r="Z89" s="9" t="s">
        <v>80</v>
      </c>
      <c r="AA89" s="8">
        <v>7725.41</v>
      </c>
      <c r="AB89" s="8">
        <v>0</v>
      </c>
      <c r="AC89" s="8">
        <v>7725.41</v>
      </c>
      <c r="AD89" s="8">
        <v>0</v>
      </c>
      <c r="AE89" s="8">
        <v>7725.41</v>
      </c>
      <c r="AF89" s="8">
        <v>0</v>
      </c>
      <c r="AG89" s="1" t="s">
        <v>115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583.69764444444445</v>
      </c>
    </row>
    <row r="90" spans="1:56" ht="27.75" customHeight="1" x14ac:dyDescent="0.45">
      <c r="A90" s="3" t="s">
        <v>135</v>
      </c>
      <c r="B90" s="14" t="s">
        <v>135</v>
      </c>
      <c r="C90" s="9" t="s">
        <v>270</v>
      </c>
      <c r="D90" s="13" t="s">
        <v>61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110</v>
      </c>
      <c r="T90" s="12" t="s">
        <v>63</v>
      </c>
      <c r="U90" s="11">
        <v>100000</v>
      </c>
      <c r="V90" s="10">
        <v>0</v>
      </c>
      <c r="W90" s="10">
        <v>100000</v>
      </c>
      <c r="X90" s="10">
        <v>0</v>
      </c>
      <c r="Y90" s="10">
        <v>105000</v>
      </c>
      <c r="Z90" s="9" t="s">
        <v>80</v>
      </c>
      <c r="AA90" s="8">
        <v>110363</v>
      </c>
      <c r="AB90" s="8">
        <v>0</v>
      </c>
      <c r="AC90" s="8">
        <v>110363</v>
      </c>
      <c r="AD90" s="8">
        <v>0</v>
      </c>
      <c r="AE90" s="8">
        <v>110363</v>
      </c>
      <c r="AF90" s="8">
        <v>0</v>
      </c>
      <c r="AG90" s="1" t="s">
        <v>116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8338.5377777777776</v>
      </c>
    </row>
    <row r="91" spans="1:56" ht="27.75" customHeight="1" x14ac:dyDescent="0.45">
      <c r="A91" s="3">
        <v>45825</v>
      </c>
      <c r="B91" s="14" t="s">
        <v>269</v>
      </c>
      <c r="C91" s="9" t="s">
        <v>139</v>
      </c>
      <c r="D91" s="13" t="s">
        <v>239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246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 t="s">
        <v>63</v>
      </c>
      <c r="U91" s="11">
        <v>894</v>
      </c>
      <c r="V91" s="10">
        <v>525</v>
      </c>
      <c r="W91" s="10">
        <v>369</v>
      </c>
      <c r="X91" s="10">
        <v>6000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116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134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45796</v>
      </c>
      <c r="B92" s="14" t="s">
        <v>257</v>
      </c>
      <c r="C92" s="9" t="s">
        <v>139</v>
      </c>
      <c r="D92" s="13" t="s">
        <v>253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 t="s">
        <v>63</v>
      </c>
      <c r="U92" s="11">
        <v>302</v>
      </c>
      <c r="V92" s="10">
        <v>0</v>
      </c>
      <c r="W92" s="10">
        <v>302</v>
      </c>
      <c r="X92" s="10">
        <v>5300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115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45782</v>
      </c>
      <c r="B93" s="14" t="s">
        <v>249</v>
      </c>
      <c r="C93" s="9" t="s">
        <v>79</v>
      </c>
      <c r="D93" s="13" t="s">
        <v>243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0</v>
      </c>
      <c r="AC93" s="8">
        <v>5518.15</v>
      </c>
      <c r="AD93" s="8">
        <v>0</v>
      </c>
      <c r="AE93" s="8">
        <v>5518.15</v>
      </c>
      <c r="AF93" s="8">
        <v>0</v>
      </c>
      <c r="AG93" s="1" t="s">
        <v>115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134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416.92688888888887</v>
      </c>
    </row>
    <row r="94" spans="1:56" ht="27.75" customHeight="1" x14ac:dyDescent="0.45">
      <c r="A94" s="3">
        <v>45798</v>
      </c>
      <c r="B94" s="14" t="s">
        <v>263</v>
      </c>
      <c r="C94" s="9" t="s">
        <v>107</v>
      </c>
      <c r="D94" s="13" t="s">
        <v>261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0</v>
      </c>
      <c r="AC94" s="8">
        <v>5518.15</v>
      </c>
      <c r="AD94" s="8">
        <v>0</v>
      </c>
      <c r="AE94" s="8">
        <v>5518.15</v>
      </c>
      <c r="AF94" s="8">
        <v>0</v>
      </c>
      <c r="AG94" s="1" t="s">
        <v>117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134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416.92688888888887</v>
      </c>
    </row>
    <row r="95" spans="1:56" ht="27.75" customHeight="1" x14ac:dyDescent="0.45">
      <c r="A95" s="3">
        <v>45674</v>
      </c>
      <c r="B95" s="14" t="s">
        <v>226</v>
      </c>
      <c r="C95" s="9" t="s">
        <v>139</v>
      </c>
      <c r="D95" s="13" t="s">
        <v>225</v>
      </c>
      <c r="E95" s="9">
        <v>20</v>
      </c>
      <c r="F95" s="9">
        <v>35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196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 t="s">
        <v>63</v>
      </c>
      <c r="U95" s="11">
        <v>152</v>
      </c>
      <c r="V95" s="10">
        <v>0</v>
      </c>
      <c r="W95" s="10">
        <v>152</v>
      </c>
      <c r="X95" s="10">
        <v>6000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5987</v>
      </c>
      <c r="AG95" s="1" t="s">
        <v>115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235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45611</v>
      </c>
      <c r="B96" s="14" t="s">
        <v>195</v>
      </c>
      <c r="C96" s="9" t="s">
        <v>139</v>
      </c>
      <c r="D96" s="13" t="s">
        <v>194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 t="s">
        <v>63</v>
      </c>
      <c r="U96" s="11">
        <v>117</v>
      </c>
      <c r="V96" s="10">
        <v>0</v>
      </c>
      <c r="W96" s="10">
        <v>117</v>
      </c>
      <c r="X96" s="10">
        <v>10065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117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45523</v>
      </c>
      <c r="B97" s="14" t="s">
        <v>178</v>
      </c>
      <c r="C97" s="9" t="s">
        <v>139</v>
      </c>
      <c r="D97" s="13" t="s">
        <v>176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 t="s">
        <v>63</v>
      </c>
      <c r="U97" s="11">
        <v>1260</v>
      </c>
      <c r="V97" s="10">
        <v>0</v>
      </c>
      <c r="W97" s="10">
        <v>1260</v>
      </c>
      <c r="X97" s="10">
        <v>11095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117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45523</v>
      </c>
      <c r="B98" s="14" t="s">
        <v>178</v>
      </c>
      <c r="C98" s="9" t="s">
        <v>139</v>
      </c>
      <c r="D98" s="13" t="s">
        <v>177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 t="s">
        <v>63</v>
      </c>
      <c r="U98" s="11">
        <v>89</v>
      </c>
      <c r="V98" s="10">
        <v>0</v>
      </c>
      <c r="W98" s="10">
        <v>89</v>
      </c>
      <c r="X98" s="10">
        <v>11180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115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45799</v>
      </c>
      <c r="B99" s="14" t="s">
        <v>264</v>
      </c>
      <c r="C99" s="9" t="s">
        <v>259</v>
      </c>
      <c r="D99" s="13" t="s">
        <v>260</v>
      </c>
      <c r="E99" s="9">
        <v>20</v>
      </c>
      <c r="F99" s="9">
        <v>34</v>
      </c>
      <c r="G99" s="9" t="s">
        <v>60</v>
      </c>
      <c r="H99" s="9" t="s">
        <v>66</v>
      </c>
      <c r="I99" s="9">
        <v>95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 t="s">
        <v>132</v>
      </c>
      <c r="U99" s="11">
        <v>4000</v>
      </c>
      <c r="V99" s="10">
        <v>2840</v>
      </c>
      <c r="W99" s="10">
        <v>1160</v>
      </c>
      <c r="X99" s="10">
        <v>8450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210</v>
      </c>
      <c r="AG99" s="1" t="s">
        <v>115</v>
      </c>
      <c r="AH99" s="1" t="s">
        <v>75</v>
      </c>
      <c r="AI99" s="1">
        <v>4</v>
      </c>
      <c r="AJ99" s="3" t="s">
        <v>132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45799</v>
      </c>
      <c r="B100" s="14" t="s">
        <v>264</v>
      </c>
      <c r="C100" s="9" t="s">
        <v>259</v>
      </c>
      <c r="D100" s="13" t="s">
        <v>359</v>
      </c>
      <c r="E100" s="9">
        <v>20</v>
      </c>
      <c r="F100" s="9">
        <v>34</v>
      </c>
      <c r="G100" s="9" t="s">
        <v>60</v>
      </c>
      <c r="H100" s="9" t="s">
        <v>66</v>
      </c>
      <c r="I100" s="9">
        <v>95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 t="s">
        <v>132</v>
      </c>
      <c r="U100" s="11">
        <v>4000</v>
      </c>
      <c r="V100" s="10">
        <v>2654</v>
      </c>
      <c r="W100" s="10">
        <v>1346</v>
      </c>
      <c r="X100" s="10">
        <v>4000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210</v>
      </c>
      <c r="AG100" s="1" t="s">
        <v>115</v>
      </c>
      <c r="AH100" s="1" t="s">
        <v>75</v>
      </c>
      <c r="AI100" s="1">
        <v>4</v>
      </c>
      <c r="AJ100" s="3" t="s">
        <v>132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>
        <v>45741</v>
      </c>
      <c r="B101" s="14" t="s">
        <v>242</v>
      </c>
      <c r="C101" s="9" t="s">
        <v>107</v>
      </c>
      <c r="D101" s="13" t="s">
        <v>241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132</v>
      </c>
      <c r="U101" s="11">
        <v>4000</v>
      </c>
      <c r="V101" s="10">
        <v>3867</v>
      </c>
      <c r="W101" s="10">
        <v>133</v>
      </c>
      <c r="X101" s="10">
        <v>4200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115</v>
      </c>
      <c r="AH101" s="1" t="s">
        <v>75</v>
      </c>
      <c r="AI101" s="1">
        <v>4</v>
      </c>
      <c r="AJ101" s="3" t="s">
        <v>132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244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45720</v>
      </c>
      <c r="B102" s="14" t="s">
        <v>128</v>
      </c>
      <c r="C102" s="9" t="s">
        <v>107</v>
      </c>
      <c r="D102" s="13" t="s">
        <v>209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132</v>
      </c>
      <c r="U102" s="11">
        <v>4000</v>
      </c>
      <c r="V102" s="10">
        <v>4010</v>
      </c>
      <c r="W102" s="10">
        <v>0</v>
      </c>
      <c r="X102" s="10">
        <v>4470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115</v>
      </c>
      <c r="AH102" s="1" t="s">
        <v>75</v>
      </c>
      <c r="AI102" s="1">
        <v>4</v>
      </c>
      <c r="AJ102" s="3" t="s">
        <v>132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45720</v>
      </c>
      <c r="B103" s="14" t="s">
        <v>128</v>
      </c>
      <c r="C103" s="9" t="s">
        <v>107</v>
      </c>
      <c r="D103" s="13" t="s">
        <v>219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132</v>
      </c>
      <c r="U103" s="11">
        <v>3000</v>
      </c>
      <c r="V103" s="10">
        <v>3065</v>
      </c>
      <c r="W103" s="10">
        <v>0</v>
      </c>
      <c r="X103" s="10">
        <v>3300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115</v>
      </c>
      <c r="AH103" s="1" t="s">
        <v>75</v>
      </c>
      <c r="AI103" s="1">
        <v>4</v>
      </c>
      <c r="AJ103" s="3" t="s">
        <v>132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45541</v>
      </c>
      <c r="B104" s="14" t="s">
        <v>182</v>
      </c>
      <c r="C104" s="9" t="s">
        <v>107</v>
      </c>
      <c r="D104" s="13" t="s">
        <v>183</v>
      </c>
      <c r="E104" s="9">
        <v>20</v>
      </c>
      <c r="F104" s="9">
        <v>40</v>
      </c>
      <c r="G104" s="9" t="s">
        <v>60</v>
      </c>
      <c r="H104" s="9" t="s">
        <v>76</v>
      </c>
      <c r="I104" s="9">
        <v>108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132</v>
      </c>
      <c r="U104" s="11">
        <v>3000</v>
      </c>
      <c r="V104" s="10">
        <v>3318</v>
      </c>
      <c r="W104" s="10">
        <v>0</v>
      </c>
      <c r="X104" s="10">
        <v>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184</v>
      </c>
      <c r="AG104" s="1" t="s">
        <v>61</v>
      </c>
      <c r="AH104" s="1" t="s">
        <v>75</v>
      </c>
      <c r="AI104" s="1">
        <v>4</v>
      </c>
      <c r="AJ104" s="3" t="s">
        <v>132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>
        <v>0</v>
      </c>
      <c r="AY104" s="2" t="s">
        <v>222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>
        <v>45581</v>
      </c>
      <c r="B105" s="14" t="s">
        <v>187</v>
      </c>
      <c r="C105" s="9" t="s">
        <v>107</v>
      </c>
      <c r="D105" s="13" t="s">
        <v>188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132</v>
      </c>
      <c r="U105" s="11">
        <v>3000</v>
      </c>
      <c r="V105" s="10">
        <v>3194</v>
      </c>
      <c r="W105" s="10">
        <v>0</v>
      </c>
      <c r="X105" s="10">
        <v>5632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115</v>
      </c>
      <c r="AH105" s="1" t="s">
        <v>75</v>
      </c>
      <c r="AI105" s="1">
        <v>4</v>
      </c>
      <c r="AJ105" s="3" t="s">
        <v>132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45">
      <c r="A106" s="3">
        <v>0</v>
      </c>
      <c r="B106" s="14">
        <v>0</v>
      </c>
      <c r="C106" s="9">
        <v>0</v>
      </c>
      <c r="D106" s="13">
        <v>0</v>
      </c>
      <c r="E106" s="9">
        <v>20</v>
      </c>
      <c r="F106" s="9">
        <v>38</v>
      </c>
      <c r="G106" s="9">
        <v>0</v>
      </c>
      <c r="H106" s="9">
        <v>0</v>
      </c>
      <c r="I106" s="9">
        <v>84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80</v>
      </c>
      <c r="AA106" s="8">
        <v>469035.06650000007</v>
      </c>
      <c r="AB106" s="8">
        <v>105771.17000000001</v>
      </c>
      <c r="AC106" s="8">
        <v>363263.89650000009</v>
      </c>
      <c r="AD106" s="8">
        <v>13983.970000000001</v>
      </c>
      <c r="AE106" s="8">
        <v>455051.09650000004</v>
      </c>
      <c r="AF106" s="8" t="s">
        <v>58</v>
      </c>
      <c r="AG106" s="1" t="s">
        <v>115</v>
      </c>
      <c r="AH106" s="1">
        <v>0</v>
      </c>
      <c r="AI106" s="1" t="s">
        <v>15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45">
      <c r="A107" s="3" t="s">
        <v>135</v>
      </c>
      <c r="B107" s="14" t="s">
        <v>135</v>
      </c>
      <c r="C107" s="9" t="s">
        <v>270</v>
      </c>
      <c r="D107" s="13" t="s">
        <v>61</v>
      </c>
      <c r="E107" s="9">
        <v>20</v>
      </c>
      <c r="F107" s="9">
        <v>39</v>
      </c>
      <c r="G107" s="9" t="s">
        <v>60</v>
      </c>
      <c r="H107" s="9">
        <v>0</v>
      </c>
      <c r="I107" s="9">
        <v>84</v>
      </c>
      <c r="J107" s="9" t="s">
        <v>78</v>
      </c>
      <c r="K107" s="9">
        <v>0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110</v>
      </c>
      <c r="T107" s="12" t="s">
        <v>63</v>
      </c>
      <c r="U107" s="11">
        <v>100000</v>
      </c>
      <c r="V107" s="10">
        <v>0</v>
      </c>
      <c r="W107" s="10">
        <v>100000</v>
      </c>
      <c r="X107" s="10">
        <v>0</v>
      </c>
      <c r="Y107" s="10">
        <v>105000</v>
      </c>
      <c r="Z107" s="9" t="s">
        <v>271</v>
      </c>
      <c r="AA107" s="8">
        <v>113157.00000000001</v>
      </c>
      <c r="AB107" s="8">
        <v>88878</v>
      </c>
      <c r="AC107" s="8">
        <v>24279.000000000015</v>
      </c>
      <c r="AD107" s="8">
        <v>0</v>
      </c>
      <c r="AE107" s="8">
        <v>0</v>
      </c>
      <c r="AF107" s="8">
        <v>0</v>
      </c>
      <c r="AG107" s="1" t="s">
        <v>115</v>
      </c>
      <c r="AH107" s="1" t="s">
        <v>74</v>
      </c>
      <c r="AI107" s="1">
        <v>2</v>
      </c>
      <c r="AJ107" s="3" t="s">
        <v>63</v>
      </c>
      <c r="AK107" s="3">
        <v>0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272</v>
      </c>
      <c r="BD107" s="56">
        <v>1912.6456666666681</v>
      </c>
    </row>
    <row r="108" spans="1:56" ht="27.75" customHeight="1" x14ac:dyDescent="0.45">
      <c r="A108" s="3">
        <v>0</v>
      </c>
      <c r="B108" s="14">
        <v>0</v>
      </c>
      <c r="C108" s="9">
        <v>0</v>
      </c>
      <c r="D108" s="13">
        <v>0</v>
      </c>
      <c r="E108" s="9">
        <v>20</v>
      </c>
      <c r="F108" s="9">
        <v>38</v>
      </c>
      <c r="G108" s="9">
        <v>0</v>
      </c>
      <c r="H108" s="9">
        <v>0</v>
      </c>
      <c r="I108" s="9">
        <v>82</v>
      </c>
      <c r="J108" s="9" t="s">
        <v>78</v>
      </c>
      <c r="K108" s="9">
        <v>2</v>
      </c>
      <c r="L108" s="9">
        <v>0</v>
      </c>
      <c r="M108" s="10">
        <v>0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>
        <v>0</v>
      </c>
      <c r="T108" s="12"/>
      <c r="U108" s="11">
        <v>0</v>
      </c>
      <c r="V108" s="10">
        <v>0</v>
      </c>
      <c r="W108" s="10">
        <v>0</v>
      </c>
      <c r="X108" s="10">
        <v>0</v>
      </c>
      <c r="Y108" s="10">
        <v>0</v>
      </c>
      <c r="Z108" s="9" t="s">
        <v>271</v>
      </c>
      <c r="AA108" s="8">
        <v>113157.00000000001</v>
      </c>
      <c r="AB108" s="8">
        <v>88878</v>
      </c>
      <c r="AC108" s="8">
        <v>24279.000000000015</v>
      </c>
      <c r="AD108" s="8">
        <v>0</v>
      </c>
      <c r="AE108" s="8">
        <v>0</v>
      </c>
      <c r="AF108" s="8" t="s">
        <v>58</v>
      </c>
      <c r="AG108" s="1" t="s">
        <v>115</v>
      </c>
      <c r="AH108" s="1">
        <v>0</v>
      </c>
      <c r="AI108" s="1" t="s">
        <v>15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273</v>
      </c>
      <c r="BD108" s="56">
        <v>0</v>
      </c>
    </row>
    <row r="109" spans="1:56" ht="27.75" customHeight="1" x14ac:dyDescent="0.45">
      <c r="A109" s="3">
        <v>45896</v>
      </c>
      <c r="B109" s="14" t="s">
        <v>416</v>
      </c>
      <c r="C109" s="9" t="s">
        <v>73</v>
      </c>
      <c r="D109" s="13" t="s">
        <v>405</v>
      </c>
      <c r="E109" s="9">
        <v>20</v>
      </c>
      <c r="F109" s="9">
        <v>32</v>
      </c>
      <c r="G109" s="9" t="s">
        <v>60</v>
      </c>
      <c r="H109" s="9">
        <v>0</v>
      </c>
      <c r="I109" s="9">
        <v>72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141</v>
      </c>
      <c r="T109" s="12">
        <v>45906</v>
      </c>
      <c r="U109" s="11">
        <v>5000</v>
      </c>
      <c r="V109" s="10">
        <v>5000</v>
      </c>
      <c r="W109" s="10">
        <v>0</v>
      </c>
      <c r="X109" s="10">
        <v>5470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117</v>
      </c>
      <c r="AH109" s="1" t="s">
        <v>74</v>
      </c>
      <c r="AI109" s="1">
        <v>2</v>
      </c>
      <c r="AJ109" s="3">
        <v>45906</v>
      </c>
      <c r="AK109" s="3">
        <v>0</v>
      </c>
      <c r="AL109" s="3">
        <v>45897</v>
      </c>
      <c r="AM109" s="3">
        <v>45904</v>
      </c>
      <c r="AN109" s="3">
        <v>45905</v>
      </c>
      <c r="AO109" s="3">
        <v>45905</v>
      </c>
      <c r="AP109" s="3">
        <v>45901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45896</v>
      </c>
      <c r="B110" s="14" t="s">
        <v>416</v>
      </c>
      <c r="C110" s="9" t="s">
        <v>73</v>
      </c>
      <c r="D110" s="13" t="s">
        <v>406</v>
      </c>
      <c r="E110" s="9">
        <v>20</v>
      </c>
      <c r="F110" s="9">
        <v>32</v>
      </c>
      <c r="G110" s="9" t="s">
        <v>60</v>
      </c>
      <c r="H110" s="9">
        <v>0</v>
      </c>
      <c r="I110" s="9">
        <v>72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141</v>
      </c>
      <c r="T110" s="12">
        <v>45906</v>
      </c>
      <c r="U110" s="11">
        <v>5000</v>
      </c>
      <c r="V110" s="10">
        <v>5000</v>
      </c>
      <c r="W110" s="10">
        <v>0</v>
      </c>
      <c r="X110" s="10">
        <v>5400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117</v>
      </c>
      <c r="AH110" s="1" t="s">
        <v>74</v>
      </c>
      <c r="AI110" s="1">
        <v>2</v>
      </c>
      <c r="AJ110" s="3">
        <v>45906</v>
      </c>
      <c r="AK110" s="3">
        <v>0</v>
      </c>
      <c r="AL110" s="3">
        <v>45897</v>
      </c>
      <c r="AM110" s="3">
        <v>45904</v>
      </c>
      <c r="AN110" s="3">
        <v>45905</v>
      </c>
      <c r="AO110" s="3">
        <v>45905</v>
      </c>
      <c r="AP110" s="3">
        <v>45901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45892</v>
      </c>
      <c r="B111" s="14" t="s">
        <v>367</v>
      </c>
      <c r="C111" s="9" t="s">
        <v>139</v>
      </c>
      <c r="D111" s="13" t="s">
        <v>368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196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>
        <v>45908</v>
      </c>
      <c r="U111" s="11">
        <v>10000</v>
      </c>
      <c r="V111" s="10">
        <v>1196</v>
      </c>
      <c r="W111" s="10">
        <v>8804</v>
      </c>
      <c r="X111" s="10">
        <v>10696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210</v>
      </c>
      <c r="AG111" s="1" t="s">
        <v>117</v>
      </c>
      <c r="AH111" s="1" t="s">
        <v>74</v>
      </c>
      <c r="AI111" s="1">
        <v>2</v>
      </c>
      <c r="AJ111" s="3">
        <v>45908</v>
      </c>
      <c r="AK111" s="3">
        <v>0</v>
      </c>
      <c r="AL111" s="3">
        <v>45899</v>
      </c>
      <c r="AM111" s="3">
        <v>45906</v>
      </c>
      <c r="AN111" s="3">
        <v>45907</v>
      </c>
      <c r="AO111" s="3">
        <v>45907</v>
      </c>
      <c r="AP111" s="3">
        <v>45903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45">
      <c r="A112" s="3">
        <v>45887</v>
      </c>
      <c r="B112" s="14" t="s">
        <v>348</v>
      </c>
      <c r="C112" s="9" t="s">
        <v>139</v>
      </c>
      <c r="D112" s="13" t="s">
        <v>333</v>
      </c>
      <c r="E112" s="9">
        <v>20</v>
      </c>
      <c r="F112" s="9">
        <v>36</v>
      </c>
      <c r="G112" s="9" t="s">
        <v>60</v>
      </c>
      <c r="H112" s="9">
        <v>0</v>
      </c>
      <c r="I112" s="9">
        <v>78</v>
      </c>
      <c r="J112" s="9" t="s">
        <v>57</v>
      </c>
      <c r="K112" s="9">
        <v>5</v>
      </c>
      <c r="L112" s="9" t="s">
        <v>196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108</v>
      </c>
      <c r="T112" s="12">
        <v>45915</v>
      </c>
      <c r="U112" s="11">
        <v>9153</v>
      </c>
      <c r="V112" s="10">
        <v>0</v>
      </c>
      <c r="W112" s="10">
        <v>9153</v>
      </c>
      <c r="X112" s="10">
        <v>18825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210</v>
      </c>
      <c r="AG112" s="1" t="s">
        <v>117</v>
      </c>
      <c r="AH112" s="1" t="s">
        <v>74</v>
      </c>
      <c r="AI112" s="1">
        <v>2</v>
      </c>
      <c r="AJ112" s="3">
        <v>45915</v>
      </c>
      <c r="AK112" s="3">
        <v>0</v>
      </c>
      <c r="AL112" s="3">
        <v>45906</v>
      </c>
      <c r="AM112" s="3">
        <v>45913</v>
      </c>
      <c r="AN112" s="3">
        <v>45914</v>
      </c>
      <c r="AO112" s="3">
        <v>45914</v>
      </c>
      <c r="AP112" s="3">
        <v>45910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 t="s">
        <v>334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>
        <v>45887</v>
      </c>
      <c r="B113" s="14" t="s">
        <v>349</v>
      </c>
      <c r="C113" s="9" t="s">
        <v>139</v>
      </c>
      <c r="D113" s="13" t="s">
        <v>268</v>
      </c>
      <c r="E113" s="9">
        <v>20</v>
      </c>
      <c r="F113" s="9">
        <v>36</v>
      </c>
      <c r="G113" s="9" t="s">
        <v>60</v>
      </c>
      <c r="H113" s="9">
        <v>0</v>
      </c>
      <c r="I113" s="9">
        <v>78</v>
      </c>
      <c r="J113" s="9" t="s">
        <v>57</v>
      </c>
      <c r="K113" s="9">
        <v>5</v>
      </c>
      <c r="L113" s="9" t="s">
        <v>196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108</v>
      </c>
      <c r="T113" s="12">
        <v>45919</v>
      </c>
      <c r="U113" s="11">
        <v>17360</v>
      </c>
      <c r="V113" s="10">
        <v>0</v>
      </c>
      <c r="W113" s="10">
        <v>17360</v>
      </c>
      <c r="X113" s="10">
        <v>40982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210</v>
      </c>
      <c r="AG113" s="1" t="s">
        <v>116</v>
      </c>
      <c r="AH113" s="1" t="s">
        <v>74</v>
      </c>
      <c r="AI113" s="1">
        <v>2</v>
      </c>
      <c r="AJ113" s="3">
        <v>45919</v>
      </c>
      <c r="AK113" s="3">
        <v>0</v>
      </c>
      <c r="AL113" s="3">
        <v>45910</v>
      </c>
      <c r="AM113" s="3">
        <v>45917</v>
      </c>
      <c r="AN113" s="3">
        <v>45918</v>
      </c>
      <c r="AO113" s="3">
        <v>45918</v>
      </c>
      <c r="AP113" s="3">
        <v>45914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 t="s">
        <v>335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45">
      <c r="A114" s="3">
        <v>45887</v>
      </c>
      <c r="B114" s="14" t="s">
        <v>349</v>
      </c>
      <c r="C114" s="9" t="s">
        <v>139</v>
      </c>
      <c r="D114" s="13" t="s">
        <v>268</v>
      </c>
      <c r="E114" s="9">
        <v>20</v>
      </c>
      <c r="F114" s="9">
        <v>36</v>
      </c>
      <c r="G114" s="9" t="s">
        <v>60</v>
      </c>
      <c r="H114" s="9">
        <v>0</v>
      </c>
      <c r="I114" s="9">
        <v>78</v>
      </c>
      <c r="J114" s="9" t="s">
        <v>57</v>
      </c>
      <c r="K114" s="9">
        <v>5</v>
      </c>
      <c r="L114" s="9" t="s">
        <v>196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108</v>
      </c>
      <c r="T114" s="12">
        <v>45922</v>
      </c>
      <c r="U114" s="11">
        <v>30000</v>
      </c>
      <c r="V114" s="10">
        <v>0</v>
      </c>
      <c r="W114" s="10">
        <v>30000</v>
      </c>
      <c r="X114" s="10">
        <v>31000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210</v>
      </c>
      <c r="AG114" s="1" t="s">
        <v>61</v>
      </c>
      <c r="AH114" s="1" t="s">
        <v>74</v>
      </c>
      <c r="AI114" s="1">
        <v>2</v>
      </c>
      <c r="AJ114" s="3">
        <v>45922</v>
      </c>
      <c r="AK114" s="3">
        <v>0</v>
      </c>
      <c r="AL114" s="3">
        <v>45913</v>
      </c>
      <c r="AM114" s="3">
        <v>45920</v>
      </c>
      <c r="AN114" s="3">
        <v>45921</v>
      </c>
      <c r="AO114" s="3">
        <v>45921</v>
      </c>
      <c r="AP114" s="3">
        <v>45917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 t="s">
        <v>335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45">
      <c r="A115" s="3">
        <v>45887</v>
      </c>
      <c r="B115" s="14" t="s">
        <v>349</v>
      </c>
      <c r="C115" s="9" t="s">
        <v>139</v>
      </c>
      <c r="D115" s="13" t="s">
        <v>268</v>
      </c>
      <c r="E115" s="9">
        <v>20</v>
      </c>
      <c r="F115" s="9">
        <v>36</v>
      </c>
      <c r="G115" s="9" t="s">
        <v>60</v>
      </c>
      <c r="H115" s="9">
        <v>0</v>
      </c>
      <c r="I115" s="9">
        <v>78</v>
      </c>
      <c r="J115" s="9" t="s">
        <v>57</v>
      </c>
      <c r="K115" s="9">
        <v>5</v>
      </c>
      <c r="L115" s="9" t="s">
        <v>196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108</v>
      </c>
      <c r="T115" s="12">
        <v>45926</v>
      </c>
      <c r="U115" s="11">
        <v>20000</v>
      </c>
      <c r="V115" s="10">
        <v>0</v>
      </c>
      <c r="W115" s="10">
        <v>20000</v>
      </c>
      <c r="X115" s="10">
        <v>20056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210</v>
      </c>
      <c r="AG115" s="1" t="s">
        <v>115</v>
      </c>
      <c r="AH115" s="1" t="s">
        <v>74</v>
      </c>
      <c r="AI115" s="1">
        <v>2</v>
      </c>
      <c r="AJ115" s="3">
        <v>45926</v>
      </c>
      <c r="AK115" s="3">
        <v>0</v>
      </c>
      <c r="AL115" s="3">
        <v>45917</v>
      </c>
      <c r="AM115" s="3">
        <v>45924</v>
      </c>
      <c r="AN115" s="3">
        <v>45925</v>
      </c>
      <c r="AO115" s="3">
        <v>45925</v>
      </c>
      <c r="AP115" s="3">
        <v>45921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 t="s">
        <v>335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45">
      <c r="A116" s="3">
        <v>45905</v>
      </c>
      <c r="B116" s="14" t="s">
        <v>128</v>
      </c>
      <c r="C116" s="9" t="s">
        <v>139</v>
      </c>
      <c r="D116" s="13" t="s">
        <v>333</v>
      </c>
      <c r="E116" s="9">
        <v>20</v>
      </c>
      <c r="F116" s="9">
        <v>36</v>
      </c>
      <c r="G116" s="9" t="s">
        <v>60</v>
      </c>
      <c r="H116" s="9">
        <v>0</v>
      </c>
      <c r="I116" s="9">
        <v>78</v>
      </c>
      <c r="J116" s="9" t="s">
        <v>57</v>
      </c>
      <c r="K116" s="9">
        <v>5</v>
      </c>
      <c r="L116" s="9" t="s">
        <v>196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108</v>
      </c>
      <c r="T116" s="12">
        <v>45918</v>
      </c>
      <c r="U116" s="11">
        <v>30000</v>
      </c>
      <c r="V116" s="10">
        <v>0</v>
      </c>
      <c r="W116" s="10">
        <v>30000</v>
      </c>
      <c r="X116" s="10">
        <v>0</v>
      </c>
      <c r="Y116" s="10">
        <v>31500</v>
      </c>
      <c r="Z116" s="9" t="s">
        <v>81</v>
      </c>
      <c r="AA116" s="8">
        <v>31432.500000000004</v>
      </c>
      <c r="AB116" s="8">
        <v>31432.500000000004</v>
      </c>
      <c r="AC116" s="8">
        <v>0</v>
      </c>
      <c r="AD116" s="8">
        <v>0</v>
      </c>
      <c r="AE116" s="8">
        <v>0</v>
      </c>
      <c r="AF116" s="8" t="s">
        <v>210</v>
      </c>
      <c r="AG116" s="1" t="s">
        <v>115</v>
      </c>
      <c r="AH116" s="1" t="s">
        <v>74</v>
      </c>
      <c r="AI116" s="1">
        <v>2</v>
      </c>
      <c r="AJ116" s="3">
        <v>45918</v>
      </c>
      <c r="AK116" s="3">
        <v>0</v>
      </c>
      <c r="AL116" s="3">
        <v>45909</v>
      </c>
      <c r="AM116" s="3">
        <v>45916</v>
      </c>
      <c r="AN116" s="3">
        <v>45917</v>
      </c>
      <c r="AO116" s="3">
        <v>45917</v>
      </c>
      <c r="AP116" s="3">
        <v>45913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 t="s">
        <v>475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45">
      <c r="A117" s="3" t="s">
        <v>135</v>
      </c>
      <c r="B117" s="14" t="s">
        <v>135</v>
      </c>
      <c r="C117" s="9" t="s">
        <v>139</v>
      </c>
      <c r="D117" s="13" t="s">
        <v>61</v>
      </c>
      <c r="E117" s="9">
        <v>20</v>
      </c>
      <c r="F117" s="9">
        <v>36</v>
      </c>
      <c r="G117" s="9" t="s">
        <v>60</v>
      </c>
      <c r="H117" s="9">
        <v>0</v>
      </c>
      <c r="I117" s="9">
        <v>78</v>
      </c>
      <c r="J117" s="9" t="s">
        <v>57</v>
      </c>
      <c r="K117" s="9">
        <v>5</v>
      </c>
      <c r="L117" s="9" t="s">
        <v>196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108</v>
      </c>
      <c r="T117" s="12" t="s">
        <v>63</v>
      </c>
      <c r="U117" s="11">
        <v>290000</v>
      </c>
      <c r="V117" s="10">
        <v>0</v>
      </c>
      <c r="W117" s="10">
        <v>290000</v>
      </c>
      <c r="X117" s="10">
        <v>0</v>
      </c>
      <c r="Y117" s="10">
        <v>304500</v>
      </c>
      <c r="Z117" s="9" t="s">
        <v>81</v>
      </c>
      <c r="AA117" s="8">
        <v>303847.5</v>
      </c>
      <c r="AB117" s="8">
        <v>59416</v>
      </c>
      <c r="AC117" s="8">
        <v>244431.5</v>
      </c>
      <c r="AD117" s="8">
        <v>0</v>
      </c>
      <c r="AE117" s="8">
        <v>0</v>
      </c>
      <c r="AF117" s="8" t="s">
        <v>210</v>
      </c>
      <c r="AG117" s="1" t="s">
        <v>115</v>
      </c>
      <c r="AH117" s="1" t="s">
        <v>74</v>
      </c>
      <c r="AI117" s="1">
        <v>2</v>
      </c>
      <c r="AJ117" s="3" t="s">
        <v>63</v>
      </c>
      <c r="AK117" s="3">
        <v>0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18685.430222222225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20</v>
      </c>
      <c r="F118" s="9">
        <v>37</v>
      </c>
      <c r="G118" s="9">
        <v>0</v>
      </c>
      <c r="H118" s="9">
        <v>0</v>
      </c>
      <c r="I118" s="9">
        <v>80</v>
      </c>
      <c r="J118" s="9" t="s">
        <v>57</v>
      </c>
      <c r="K118" s="9">
        <v>3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81</v>
      </c>
      <c r="AA118" s="8">
        <v>335280</v>
      </c>
      <c r="AB118" s="8">
        <v>90848.5</v>
      </c>
      <c r="AC118" s="8">
        <v>244431.5</v>
      </c>
      <c r="AD118" s="8">
        <v>0</v>
      </c>
      <c r="AE118" s="8">
        <v>0</v>
      </c>
      <c r="AF118" s="8" t="s">
        <v>58</v>
      </c>
      <c r="AG118" s="1" t="s">
        <v>115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45">
      <c r="A119" s="3">
        <v>45903</v>
      </c>
      <c r="B119" s="14" t="s">
        <v>460</v>
      </c>
      <c r="C119" s="9" t="s">
        <v>448</v>
      </c>
      <c r="D119" s="13" t="s">
        <v>59</v>
      </c>
      <c r="E119" s="9">
        <v>21</v>
      </c>
      <c r="F119" s="9">
        <v>31</v>
      </c>
      <c r="G119" s="9" t="s">
        <v>60</v>
      </c>
      <c r="H119" s="9">
        <v>0</v>
      </c>
      <c r="I119" s="9">
        <v>60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123</v>
      </c>
      <c r="T119" s="12">
        <v>45906</v>
      </c>
      <c r="U119" s="11">
        <v>5000</v>
      </c>
      <c r="V119" s="10">
        <v>0</v>
      </c>
      <c r="W119" s="10">
        <v>5000</v>
      </c>
      <c r="X119" s="10">
        <v>0</v>
      </c>
      <c r="Y119" s="10">
        <v>0</v>
      </c>
      <c r="Z119" s="9" t="s">
        <v>130</v>
      </c>
      <c r="AA119" s="8">
        <v>4540.25</v>
      </c>
      <c r="AB119" s="8">
        <v>4540.25</v>
      </c>
      <c r="AC119" s="8">
        <v>0</v>
      </c>
      <c r="AD119" s="8">
        <v>0</v>
      </c>
      <c r="AE119" s="8">
        <v>0</v>
      </c>
      <c r="AF119" s="8" t="s">
        <v>210</v>
      </c>
      <c r="AG119" s="1" t="s">
        <v>115</v>
      </c>
      <c r="AH119" s="1" t="s">
        <v>77</v>
      </c>
      <c r="AI119" s="1">
        <v>1</v>
      </c>
      <c r="AJ119" s="3">
        <v>45906</v>
      </c>
      <c r="AK119" s="3">
        <v>0</v>
      </c>
      <c r="AL119" s="3">
        <v>0</v>
      </c>
      <c r="AM119" s="3">
        <v>0</v>
      </c>
      <c r="AN119" s="3">
        <v>0</v>
      </c>
      <c r="AO119" s="3">
        <v>45905</v>
      </c>
      <c r="AP119" s="3">
        <v>45901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</v>
      </c>
      <c r="AX119" s="2">
        <v>0</v>
      </c>
      <c r="AY119" s="2" t="s">
        <v>449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21</v>
      </c>
      <c r="F120" s="9">
        <v>37</v>
      </c>
      <c r="G120" s="9" t="s">
        <v>60</v>
      </c>
      <c r="H120" s="9">
        <v>0</v>
      </c>
      <c r="I120" s="9">
        <v>67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130</v>
      </c>
      <c r="AA120" s="8">
        <v>4540.25</v>
      </c>
      <c r="AB120" s="8">
        <v>4540.25</v>
      </c>
      <c r="AC120" s="8">
        <v>0</v>
      </c>
      <c r="AD120" s="8">
        <v>0</v>
      </c>
      <c r="AE120" s="8">
        <v>0</v>
      </c>
      <c r="AF120" s="8" t="s">
        <v>58</v>
      </c>
      <c r="AG120" s="1" t="s">
        <v>115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0</v>
      </c>
    </row>
    <row r="121" spans="1:56" ht="27.75" customHeight="1" x14ac:dyDescent="0.45">
      <c r="A121" s="3">
        <v>45892</v>
      </c>
      <c r="B121" s="14" t="s">
        <v>369</v>
      </c>
      <c r="C121" s="9" t="s">
        <v>79</v>
      </c>
      <c r="D121" s="13" t="s">
        <v>370</v>
      </c>
      <c r="E121" s="9">
        <v>21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42</v>
      </c>
      <c r="O121" s="9">
        <v>40</v>
      </c>
      <c r="P121" s="10">
        <v>0</v>
      </c>
      <c r="Q121" s="10">
        <v>0</v>
      </c>
      <c r="R121" s="10">
        <v>0</v>
      </c>
      <c r="S121" s="9" t="s">
        <v>67</v>
      </c>
      <c r="T121" s="12">
        <v>45906</v>
      </c>
      <c r="U121" s="11">
        <v>3000</v>
      </c>
      <c r="V121" s="10">
        <v>3000</v>
      </c>
      <c r="W121" s="10">
        <v>0</v>
      </c>
      <c r="X121" s="10">
        <v>3100</v>
      </c>
      <c r="Y121" s="10">
        <v>0</v>
      </c>
      <c r="Z121" s="9" t="s">
        <v>120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116</v>
      </c>
      <c r="AH121" s="1" t="s">
        <v>68</v>
      </c>
      <c r="AI121" s="1">
        <v>4</v>
      </c>
      <c r="AJ121" s="3">
        <v>45906</v>
      </c>
      <c r="AK121" s="3">
        <v>45902</v>
      </c>
      <c r="AL121" s="3">
        <v>45896</v>
      </c>
      <c r="AM121" s="3">
        <v>45903</v>
      </c>
      <c r="AN121" s="3">
        <v>45904</v>
      </c>
      <c r="AO121" s="3">
        <v>45904</v>
      </c>
      <c r="AP121" s="3">
        <v>45901</v>
      </c>
      <c r="AQ121" s="3">
        <v>45905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45876</v>
      </c>
      <c r="B122" s="14" t="s">
        <v>337</v>
      </c>
      <c r="C122" s="9" t="s">
        <v>107</v>
      </c>
      <c r="D122" s="13" t="s">
        <v>317</v>
      </c>
      <c r="E122" s="9">
        <v>21</v>
      </c>
      <c r="F122" s="9">
        <v>38</v>
      </c>
      <c r="G122" s="9" t="s">
        <v>60</v>
      </c>
      <c r="H122" s="9" t="s">
        <v>66</v>
      </c>
      <c r="I122" s="9">
        <v>102</v>
      </c>
      <c r="J122" s="9" t="s">
        <v>57</v>
      </c>
      <c r="K122" s="9">
        <v>5</v>
      </c>
      <c r="L122" s="9" t="s">
        <v>90</v>
      </c>
      <c r="M122" s="10">
        <v>22</v>
      </c>
      <c r="N122" s="9">
        <v>40</v>
      </c>
      <c r="O122" s="9">
        <v>40</v>
      </c>
      <c r="P122" s="10">
        <v>65.13122457599998</v>
      </c>
      <c r="Q122" s="10">
        <v>0</v>
      </c>
      <c r="R122" s="10">
        <v>65.13122457599998</v>
      </c>
      <c r="S122" s="9" t="s">
        <v>67</v>
      </c>
      <c r="T122" s="12">
        <v>45926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120</v>
      </c>
      <c r="AA122" s="8">
        <v>3310.89</v>
      </c>
      <c r="AB122" s="8">
        <v>3310.89</v>
      </c>
      <c r="AC122" s="8">
        <v>0</v>
      </c>
      <c r="AD122" s="8">
        <v>3310.89</v>
      </c>
      <c r="AE122" s="8">
        <v>0</v>
      </c>
      <c r="AF122" s="8">
        <v>0</v>
      </c>
      <c r="AG122" s="1" t="s">
        <v>116</v>
      </c>
      <c r="AH122" s="1" t="s">
        <v>68</v>
      </c>
      <c r="AI122" s="1">
        <v>4</v>
      </c>
      <c r="AJ122" s="3">
        <v>45926</v>
      </c>
      <c r="AK122" s="3">
        <v>45922</v>
      </c>
      <c r="AL122" s="3">
        <v>45916</v>
      </c>
      <c r="AM122" s="3">
        <v>45923</v>
      </c>
      <c r="AN122" s="3">
        <v>45924</v>
      </c>
      <c r="AO122" s="3">
        <v>45924</v>
      </c>
      <c r="AP122" s="3">
        <v>45921</v>
      </c>
      <c r="AQ122" s="3">
        <v>45925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45631</v>
      </c>
      <c r="B123" s="14" t="s">
        <v>203</v>
      </c>
      <c r="C123" s="9" t="s">
        <v>109</v>
      </c>
      <c r="D123" s="13" t="s">
        <v>144</v>
      </c>
      <c r="E123" s="9">
        <v>21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110</v>
      </c>
      <c r="T123" s="12" t="s">
        <v>63</v>
      </c>
      <c r="U123" s="11">
        <v>16000</v>
      </c>
      <c r="V123" s="10">
        <v>0</v>
      </c>
      <c r="W123" s="10">
        <v>16000</v>
      </c>
      <c r="X123" s="10">
        <v>0</v>
      </c>
      <c r="Y123" s="10">
        <v>16800</v>
      </c>
      <c r="Z123" s="9" t="s">
        <v>120</v>
      </c>
      <c r="AA123" s="8">
        <v>17211.04</v>
      </c>
      <c r="AB123" s="8">
        <v>17211.04</v>
      </c>
      <c r="AC123" s="8">
        <v>0</v>
      </c>
      <c r="AD123" s="8">
        <v>0</v>
      </c>
      <c r="AE123" s="8">
        <v>17211.04</v>
      </c>
      <c r="AF123" s="8">
        <v>0</v>
      </c>
      <c r="AG123" s="1" t="s">
        <v>61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218</v>
      </c>
      <c r="AZ123" s="2">
        <v>0</v>
      </c>
      <c r="BA123" s="2">
        <v>0</v>
      </c>
      <c r="BB123" s="2">
        <v>0</v>
      </c>
      <c r="BC123" s="1" t="s">
        <v>121</v>
      </c>
      <c r="BD123" s="56">
        <v>0</v>
      </c>
    </row>
    <row r="124" spans="1:56" ht="27.75" customHeight="1" x14ac:dyDescent="0.45">
      <c r="A124" s="3">
        <v>45631</v>
      </c>
      <c r="B124" s="14" t="s">
        <v>202</v>
      </c>
      <c r="C124" s="9" t="s">
        <v>109</v>
      </c>
      <c r="D124" s="13" t="s">
        <v>144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110</v>
      </c>
      <c r="T124" s="12" t="s">
        <v>63</v>
      </c>
      <c r="U124" s="11">
        <v>9000</v>
      </c>
      <c r="V124" s="10">
        <v>0</v>
      </c>
      <c r="W124" s="10">
        <v>9000</v>
      </c>
      <c r="X124" s="10">
        <v>0</v>
      </c>
      <c r="Y124" s="10">
        <v>9450</v>
      </c>
      <c r="Z124" s="9" t="s">
        <v>120</v>
      </c>
      <c r="AA124" s="8">
        <v>9681.2100000000009</v>
      </c>
      <c r="AB124" s="8">
        <v>9681.2100000000009</v>
      </c>
      <c r="AC124" s="8">
        <v>0</v>
      </c>
      <c r="AD124" s="8">
        <v>0</v>
      </c>
      <c r="AE124" s="8">
        <v>9681.2100000000009</v>
      </c>
      <c r="AF124" s="8">
        <v>0</v>
      </c>
      <c r="AG124" s="1" t="s">
        <v>116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217</v>
      </c>
      <c r="AZ124" s="2">
        <v>0</v>
      </c>
      <c r="BA124" s="2">
        <v>0</v>
      </c>
      <c r="BB124" s="2">
        <v>0</v>
      </c>
      <c r="BC124" s="1" t="s">
        <v>121</v>
      </c>
      <c r="BD124" s="56">
        <v>0</v>
      </c>
    </row>
    <row r="125" spans="1:56" ht="27.75" customHeight="1" x14ac:dyDescent="0.45">
      <c r="A125" s="3">
        <v>45904</v>
      </c>
      <c r="B125" s="14" t="s">
        <v>450</v>
      </c>
      <c r="C125" s="9" t="s">
        <v>461</v>
      </c>
      <c r="D125" s="13" t="s">
        <v>452</v>
      </c>
      <c r="E125" s="9">
        <v>21</v>
      </c>
      <c r="F125" s="9">
        <v>40</v>
      </c>
      <c r="G125" s="9" t="s">
        <v>60</v>
      </c>
      <c r="H125" s="9" t="s">
        <v>66</v>
      </c>
      <c r="I125" s="9">
        <v>108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45911</v>
      </c>
      <c r="U125" s="11">
        <v>4000</v>
      </c>
      <c r="V125" s="10">
        <v>0</v>
      </c>
      <c r="W125" s="10">
        <v>4000</v>
      </c>
      <c r="X125" s="10">
        <v>0</v>
      </c>
      <c r="Y125" s="10">
        <v>4200</v>
      </c>
      <c r="Z125" s="9" t="s">
        <v>120</v>
      </c>
      <c r="AA125" s="8">
        <v>4638.0400000000009</v>
      </c>
      <c r="AB125" s="8">
        <v>0</v>
      </c>
      <c r="AC125" s="8">
        <v>4638.0400000000009</v>
      </c>
      <c r="AD125" s="8">
        <v>0</v>
      </c>
      <c r="AE125" s="8">
        <v>4638.0400000000009</v>
      </c>
      <c r="AF125" s="8">
        <v>0</v>
      </c>
      <c r="AG125" s="1" t="s">
        <v>116</v>
      </c>
      <c r="AH125" s="1" t="s">
        <v>68</v>
      </c>
      <c r="AI125" s="1">
        <v>4</v>
      </c>
      <c r="AJ125" s="3">
        <v>45911</v>
      </c>
      <c r="AK125" s="3">
        <v>45907</v>
      </c>
      <c r="AL125" s="3">
        <v>45901</v>
      </c>
      <c r="AM125" s="3">
        <v>45908</v>
      </c>
      <c r="AN125" s="3">
        <v>45909</v>
      </c>
      <c r="AO125" s="3">
        <v>45909</v>
      </c>
      <c r="AP125" s="3">
        <v>45906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121</v>
      </c>
      <c r="BD125" s="56">
        <v>333.53691653333334</v>
      </c>
    </row>
    <row r="126" spans="1:56" ht="27.75" customHeight="1" x14ac:dyDescent="0.45">
      <c r="A126" s="3" t="s">
        <v>135</v>
      </c>
      <c r="B126" s="14" t="s">
        <v>135</v>
      </c>
      <c r="C126" s="9" t="s">
        <v>111</v>
      </c>
      <c r="D126" s="13" t="s">
        <v>61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45925</v>
      </c>
      <c r="U126" s="11">
        <v>100000</v>
      </c>
      <c r="V126" s="10">
        <v>0</v>
      </c>
      <c r="W126" s="10">
        <v>100000</v>
      </c>
      <c r="X126" s="10">
        <v>0</v>
      </c>
      <c r="Y126" s="10">
        <v>105000</v>
      </c>
      <c r="Z126" s="9" t="s">
        <v>120</v>
      </c>
      <c r="AA126" s="8">
        <v>107569.00000000001</v>
      </c>
      <c r="AB126" s="8">
        <v>107569.00000000001</v>
      </c>
      <c r="AC126" s="8">
        <v>0</v>
      </c>
      <c r="AD126" s="8">
        <v>107569.00000000001</v>
      </c>
      <c r="AE126" s="8">
        <v>0</v>
      </c>
      <c r="AF126" s="8">
        <v>0</v>
      </c>
      <c r="AG126" s="1" t="s">
        <v>116</v>
      </c>
      <c r="AH126" s="1" t="s">
        <v>68</v>
      </c>
      <c r="AI126" s="1">
        <v>4</v>
      </c>
      <c r="AJ126" s="3">
        <v>45925</v>
      </c>
      <c r="AK126" s="3">
        <v>45921</v>
      </c>
      <c r="AL126" s="3">
        <v>45915</v>
      </c>
      <c r="AM126" s="3">
        <v>45922</v>
      </c>
      <c r="AN126" s="3">
        <v>45923</v>
      </c>
      <c r="AO126" s="3">
        <v>45923</v>
      </c>
      <c r="AP126" s="3">
        <v>45920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121</v>
      </c>
      <c r="BD126" s="56">
        <v>0</v>
      </c>
    </row>
    <row r="127" spans="1:56" ht="27.75" customHeight="1" x14ac:dyDescent="0.45">
      <c r="A127" s="3">
        <v>45896</v>
      </c>
      <c r="B127" s="14" t="s">
        <v>407</v>
      </c>
      <c r="C127" s="9" t="s">
        <v>107</v>
      </c>
      <c r="D127" s="13" t="s">
        <v>408</v>
      </c>
      <c r="E127" s="9">
        <v>21</v>
      </c>
      <c r="F127" s="9">
        <v>38</v>
      </c>
      <c r="G127" s="9" t="s">
        <v>60</v>
      </c>
      <c r="H127" s="9" t="s">
        <v>66</v>
      </c>
      <c r="I127" s="9">
        <v>102</v>
      </c>
      <c r="J127" s="9" t="s">
        <v>57</v>
      </c>
      <c r="K127" s="9">
        <v>5</v>
      </c>
      <c r="L127" s="9" t="s">
        <v>90</v>
      </c>
      <c r="M127" s="10">
        <v>22</v>
      </c>
      <c r="N127" s="9">
        <v>40</v>
      </c>
      <c r="O127" s="9">
        <v>40</v>
      </c>
      <c r="P127" s="10">
        <v>65.13122457599998</v>
      </c>
      <c r="Q127" s="10">
        <v>0</v>
      </c>
      <c r="R127" s="10">
        <v>65.13122457599998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120</v>
      </c>
      <c r="AA127" s="8">
        <v>3310.89</v>
      </c>
      <c r="AB127" s="8">
        <v>3310.89</v>
      </c>
      <c r="AC127" s="8">
        <v>0</v>
      </c>
      <c r="AD127" s="8">
        <v>0</v>
      </c>
      <c r="AE127" s="8">
        <v>3310.89</v>
      </c>
      <c r="AF127" s="8">
        <v>0</v>
      </c>
      <c r="AG127" s="1" t="s">
        <v>116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121</v>
      </c>
      <c r="BD127" s="56">
        <v>0</v>
      </c>
    </row>
    <row r="128" spans="1:56" ht="27.75" customHeight="1" x14ac:dyDescent="0.45">
      <c r="A128" s="3">
        <v>45896</v>
      </c>
      <c r="B128" s="14" t="s">
        <v>409</v>
      </c>
      <c r="C128" s="9" t="s">
        <v>107</v>
      </c>
      <c r="D128" s="13" t="s">
        <v>314</v>
      </c>
      <c r="E128" s="9">
        <v>21</v>
      </c>
      <c r="F128" s="9">
        <v>38</v>
      </c>
      <c r="G128" s="9" t="s">
        <v>60</v>
      </c>
      <c r="H128" s="9" t="s">
        <v>66</v>
      </c>
      <c r="I128" s="9">
        <v>102</v>
      </c>
      <c r="J128" s="9" t="s">
        <v>57</v>
      </c>
      <c r="K128" s="9">
        <v>5</v>
      </c>
      <c r="L128" s="9" t="s">
        <v>90</v>
      </c>
      <c r="M128" s="10">
        <v>22</v>
      </c>
      <c r="N128" s="9">
        <v>40</v>
      </c>
      <c r="O128" s="9">
        <v>40</v>
      </c>
      <c r="P128" s="10">
        <v>108.55204095999999</v>
      </c>
      <c r="Q128" s="10">
        <v>0</v>
      </c>
      <c r="R128" s="10">
        <v>108.55204095999999</v>
      </c>
      <c r="S128" s="9" t="s">
        <v>67</v>
      </c>
      <c r="T128" s="12" t="s">
        <v>63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120</v>
      </c>
      <c r="AA128" s="8">
        <v>5518.15</v>
      </c>
      <c r="AB128" s="8">
        <v>5518.15</v>
      </c>
      <c r="AC128" s="8">
        <v>0</v>
      </c>
      <c r="AD128" s="8">
        <v>0</v>
      </c>
      <c r="AE128" s="8">
        <v>5518.15</v>
      </c>
      <c r="AF128" s="8">
        <v>0</v>
      </c>
      <c r="AG128" s="1" t="s">
        <v>116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121</v>
      </c>
      <c r="BD128" s="56">
        <v>0</v>
      </c>
    </row>
    <row r="129" spans="1:56" ht="27.75" customHeight="1" x14ac:dyDescent="0.45">
      <c r="A129" s="3">
        <v>45896</v>
      </c>
      <c r="B129" s="14" t="s">
        <v>410</v>
      </c>
      <c r="C129" s="9" t="s">
        <v>107</v>
      </c>
      <c r="D129" s="13" t="s">
        <v>411</v>
      </c>
      <c r="E129" s="9">
        <v>21</v>
      </c>
      <c r="F129" s="9">
        <v>38</v>
      </c>
      <c r="G129" s="9" t="s">
        <v>60</v>
      </c>
      <c r="H129" s="9" t="s">
        <v>66</v>
      </c>
      <c r="I129" s="9">
        <v>102</v>
      </c>
      <c r="J129" s="9" t="s">
        <v>57</v>
      </c>
      <c r="K129" s="9">
        <v>5</v>
      </c>
      <c r="L129" s="9" t="s">
        <v>90</v>
      </c>
      <c r="M129" s="10">
        <v>22</v>
      </c>
      <c r="N129" s="9">
        <v>40</v>
      </c>
      <c r="O129" s="9">
        <v>40</v>
      </c>
      <c r="P129" s="10">
        <v>65.13122457599998</v>
      </c>
      <c r="Q129" s="10">
        <v>0</v>
      </c>
      <c r="R129" s="10">
        <v>65.13122457599998</v>
      </c>
      <c r="S129" s="9" t="s">
        <v>67</v>
      </c>
      <c r="T129" s="12" t="s">
        <v>63</v>
      </c>
      <c r="U129" s="11">
        <v>3000</v>
      </c>
      <c r="V129" s="10">
        <v>0</v>
      </c>
      <c r="W129" s="10">
        <v>3000</v>
      </c>
      <c r="X129" s="10">
        <v>0</v>
      </c>
      <c r="Y129" s="10">
        <v>3150</v>
      </c>
      <c r="Z129" s="9" t="s">
        <v>120</v>
      </c>
      <c r="AA129" s="8">
        <v>3310.89</v>
      </c>
      <c r="AB129" s="8">
        <v>3310.89</v>
      </c>
      <c r="AC129" s="8">
        <v>0</v>
      </c>
      <c r="AD129" s="8">
        <v>0</v>
      </c>
      <c r="AE129" s="8">
        <v>3310.89</v>
      </c>
      <c r="AF129" s="8">
        <v>0</v>
      </c>
      <c r="AG129" s="1" t="s">
        <v>116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121</v>
      </c>
      <c r="BD129" s="56">
        <v>0</v>
      </c>
    </row>
    <row r="130" spans="1:56" ht="27.75" customHeight="1" x14ac:dyDescent="0.45">
      <c r="A130" s="3">
        <v>45876</v>
      </c>
      <c r="B130" s="14" t="s">
        <v>336</v>
      </c>
      <c r="C130" s="9" t="s">
        <v>107</v>
      </c>
      <c r="D130" s="13" t="s">
        <v>316</v>
      </c>
      <c r="E130" s="9">
        <v>21</v>
      </c>
      <c r="F130" s="9">
        <v>40</v>
      </c>
      <c r="G130" s="9" t="s">
        <v>60</v>
      </c>
      <c r="H130" s="9" t="s">
        <v>66</v>
      </c>
      <c r="I130" s="9">
        <v>108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42</v>
      </c>
      <c r="O130" s="9">
        <v>40</v>
      </c>
      <c r="P130" s="10">
        <v>68.387785804799989</v>
      </c>
      <c r="Q130" s="10">
        <v>0</v>
      </c>
      <c r="R130" s="10">
        <v>68.387785804799989</v>
      </c>
      <c r="S130" s="9" t="s">
        <v>71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120</v>
      </c>
      <c r="AA130" s="8">
        <v>3478.5300000000007</v>
      </c>
      <c r="AB130" s="8">
        <v>3478.5300000000007</v>
      </c>
      <c r="AC130" s="8">
        <v>0</v>
      </c>
      <c r="AD130" s="8">
        <v>0</v>
      </c>
      <c r="AE130" s="8">
        <v>3478.5300000000007</v>
      </c>
      <c r="AF130" s="8">
        <v>0</v>
      </c>
      <c r="AG130" s="1" t="s">
        <v>116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121</v>
      </c>
      <c r="BD130" s="56">
        <v>0</v>
      </c>
    </row>
    <row r="131" spans="1:56" ht="27.75" customHeight="1" x14ac:dyDescent="0.45">
      <c r="A131" s="3">
        <v>45876</v>
      </c>
      <c r="B131" s="14" t="s">
        <v>338</v>
      </c>
      <c r="C131" s="9" t="s">
        <v>107</v>
      </c>
      <c r="D131" s="13" t="s">
        <v>318</v>
      </c>
      <c r="E131" s="9">
        <v>21</v>
      </c>
      <c r="F131" s="9">
        <v>40</v>
      </c>
      <c r="G131" s="9" t="s">
        <v>60</v>
      </c>
      <c r="H131" s="9" t="s">
        <v>66</v>
      </c>
      <c r="I131" s="9">
        <v>108</v>
      </c>
      <c r="J131" s="9" t="s">
        <v>57</v>
      </c>
      <c r="K131" s="9">
        <v>5</v>
      </c>
      <c r="L131" s="9" t="s">
        <v>91</v>
      </c>
      <c r="M131" s="10">
        <v>22</v>
      </c>
      <c r="N131" s="9">
        <v>42</v>
      </c>
      <c r="O131" s="9">
        <v>40</v>
      </c>
      <c r="P131" s="10">
        <v>113.97964300799998</v>
      </c>
      <c r="Q131" s="10">
        <v>0</v>
      </c>
      <c r="R131" s="10">
        <v>113.97964300799998</v>
      </c>
      <c r="S131" s="9" t="s">
        <v>71</v>
      </c>
      <c r="T131" s="12" t="s">
        <v>63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120</v>
      </c>
      <c r="AA131" s="8">
        <v>5797.55</v>
      </c>
      <c r="AB131" s="8">
        <v>5797.55</v>
      </c>
      <c r="AC131" s="8">
        <v>0</v>
      </c>
      <c r="AD131" s="8">
        <v>0</v>
      </c>
      <c r="AE131" s="8">
        <v>5797.55</v>
      </c>
      <c r="AF131" s="8">
        <v>0</v>
      </c>
      <c r="AG131" s="1" t="s">
        <v>116</v>
      </c>
      <c r="AH131" s="1" t="s">
        <v>68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121</v>
      </c>
      <c r="BD131" s="56">
        <v>0</v>
      </c>
    </row>
    <row r="132" spans="1:56" ht="27.75" customHeight="1" x14ac:dyDescent="0.45">
      <c r="A132" s="3" t="s">
        <v>135</v>
      </c>
      <c r="B132" s="14" t="s">
        <v>135</v>
      </c>
      <c r="C132" s="9" t="s">
        <v>109</v>
      </c>
      <c r="D132" s="13" t="s">
        <v>144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110</v>
      </c>
      <c r="T132" s="12" t="s">
        <v>63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120</v>
      </c>
      <c r="AA132" s="8">
        <v>10756.900000000001</v>
      </c>
      <c r="AB132" s="8">
        <v>10756.900000000001</v>
      </c>
      <c r="AC132" s="8">
        <v>0</v>
      </c>
      <c r="AD132" s="8">
        <v>0</v>
      </c>
      <c r="AE132" s="8">
        <v>10756.900000000001</v>
      </c>
      <c r="AF132" s="8">
        <v>0</v>
      </c>
      <c r="AG132" s="1" t="s">
        <v>116</v>
      </c>
      <c r="AH132" s="1" t="s">
        <v>68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121</v>
      </c>
      <c r="BD132" s="56">
        <v>0</v>
      </c>
    </row>
    <row r="133" spans="1:56" ht="27.75" customHeight="1" x14ac:dyDescent="0.45">
      <c r="A133" s="3">
        <v>45854</v>
      </c>
      <c r="B133" s="14" t="s">
        <v>295</v>
      </c>
      <c r="C133" s="9" t="s">
        <v>79</v>
      </c>
      <c r="D133" s="13" t="s">
        <v>296</v>
      </c>
      <c r="E133" s="9">
        <v>21</v>
      </c>
      <c r="F133" s="9">
        <v>38</v>
      </c>
      <c r="G133" s="9" t="s">
        <v>60</v>
      </c>
      <c r="H133" s="9" t="s">
        <v>76</v>
      </c>
      <c r="I133" s="9">
        <v>102</v>
      </c>
      <c r="J133" s="9" t="s">
        <v>57</v>
      </c>
      <c r="K133" s="9">
        <v>5</v>
      </c>
      <c r="L133" s="9" t="s">
        <v>91</v>
      </c>
      <c r="M133" s="10">
        <v>22</v>
      </c>
      <c r="N133" s="9">
        <v>40</v>
      </c>
      <c r="O133" s="9">
        <v>40</v>
      </c>
      <c r="P133" s="10">
        <v>65.13122457599998</v>
      </c>
      <c r="Q133" s="10">
        <v>0</v>
      </c>
      <c r="R133" s="10">
        <v>65.13122457599998</v>
      </c>
      <c r="S133" s="9" t="s">
        <v>67</v>
      </c>
      <c r="T133" s="12" t="s">
        <v>63</v>
      </c>
      <c r="U133" s="11">
        <v>3000</v>
      </c>
      <c r="V133" s="10">
        <v>0</v>
      </c>
      <c r="W133" s="10">
        <v>3000</v>
      </c>
      <c r="X133" s="10">
        <v>0</v>
      </c>
      <c r="Y133" s="10">
        <v>3150</v>
      </c>
      <c r="Z133" s="9" t="s">
        <v>120</v>
      </c>
      <c r="AA133" s="8">
        <v>3310.89</v>
      </c>
      <c r="AB133" s="8">
        <v>3310.89</v>
      </c>
      <c r="AC133" s="8">
        <v>0</v>
      </c>
      <c r="AD133" s="8">
        <v>0</v>
      </c>
      <c r="AE133" s="8">
        <v>3310.89</v>
      </c>
      <c r="AF133" s="8">
        <v>0</v>
      </c>
      <c r="AG133" s="1" t="s">
        <v>116</v>
      </c>
      <c r="AH133" s="1" t="s">
        <v>68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 t="e">
        <v>#VALUE!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121</v>
      </c>
      <c r="BD133" s="56">
        <v>0</v>
      </c>
    </row>
    <row r="134" spans="1:56" ht="27.75" customHeight="1" x14ac:dyDescent="0.45">
      <c r="A134" s="3">
        <v>45854</v>
      </c>
      <c r="B134" s="14" t="s">
        <v>297</v>
      </c>
      <c r="C134" s="9" t="s">
        <v>79</v>
      </c>
      <c r="D134" s="13" t="s">
        <v>298</v>
      </c>
      <c r="E134" s="9">
        <v>21</v>
      </c>
      <c r="F134" s="9">
        <v>38</v>
      </c>
      <c r="G134" s="9" t="s">
        <v>60</v>
      </c>
      <c r="H134" s="9" t="s">
        <v>76</v>
      </c>
      <c r="I134" s="9">
        <v>102</v>
      </c>
      <c r="J134" s="9" t="s">
        <v>57</v>
      </c>
      <c r="K134" s="9">
        <v>5</v>
      </c>
      <c r="L134" s="9" t="s">
        <v>91</v>
      </c>
      <c r="M134" s="10">
        <v>22</v>
      </c>
      <c r="N134" s="9">
        <v>40</v>
      </c>
      <c r="O134" s="9">
        <v>40</v>
      </c>
      <c r="P134" s="10">
        <v>65.13122457599998</v>
      </c>
      <c r="Q134" s="10">
        <v>0</v>
      </c>
      <c r="R134" s="10">
        <v>65.13122457599998</v>
      </c>
      <c r="S134" s="9" t="s">
        <v>67</v>
      </c>
      <c r="T134" s="12" t="s">
        <v>63</v>
      </c>
      <c r="U134" s="11">
        <v>3000</v>
      </c>
      <c r="V134" s="10">
        <v>0</v>
      </c>
      <c r="W134" s="10">
        <v>3000</v>
      </c>
      <c r="X134" s="10">
        <v>0</v>
      </c>
      <c r="Y134" s="10">
        <v>3150</v>
      </c>
      <c r="Z134" s="9" t="s">
        <v>120</v>
      </c>
      <c r="AA134" s="8">
        <v>3310.89</v>
      </c>
      <c r="AB134" s="8">
        <v>3310.89</v>
      </c>
      <c r="AC134" s="8">
        <v>0</v>
      </c>
      <c r="AD134" s="8">
        <v>0</v>
      </c>
      <c r="AE134" s="8">
        <v>3310.89</v>
      </c>
      <c r="AF134" s="8">
        <v>0</v>
      </c>
      <c r="AG134" s="1" t="s">
        <v>115</v>
      </c>
      <c r="AH134" s="1" t="s">
        <v>68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 t="e">
        <v>#VALUE!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121</v>
      </c>
      <c r="BD134" s="56">
        <v>0</v>
      </c>
    </row>
    <row r="135" spans="1:56" ht="27.75" customHeight="1" x14ac:dyDescent="0.45">
      <c r="A135" s="3">
        <v>45826</v>
      </c>
      <c r="B135" s="14" t="s">
        <v>274</v>
      </c>
      <c r="C135" s="9" t="s">
        <v>107</v>
      </c>
      <c r="D135" s="13" t="s">
        <v>262</v>
      </c>
      <c r="E135" s="9">
        <v>21</v>
      </c>
      <c r="F135" s="9">
        <v>38</v>
      </c>
      <c r="G135" s="9" t="s">
        <v>60</v>
      </c>
      <c r="H135" s="9" t="s">
        <v>66</v>
      </c>
      <c r="I135" s="9">
        <v>102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40</v>
      </c>
      <c r="O135" s="9">
        <v>40</v>
      </c>
      <c r="P135" s="10">
        <v>163.47937368575995</v>
      </c>
      <c r="Q135" s="10">
        <v>0</v>
      </c>
      <c r="R135" s="10">
        <v>163.47937368575995</v>
      </c>
      <c r="S135" s="9" t="s">
        <v>67</v>
      </c>
      <c r="T135" s="12" t="s">
        <v>63</v>
      </c>
      <c r="U135" s="11">
        <v>8000</v>
      </c>
      <c r="V135" s="10">
        <v>470</v>
      </c>
      <c r="W135" s="10">
        <v>7530</v>
      </c>
      <c r="X135" s="10">
        <v>0</v>
      </c>
      <c r="Y135" s="10">
        <v>7906.5</v>
      </c>
      <c r="Z135" s="9" t="s">
        <v>120</v>
      </c>
      <c r="AA135" s="8">
        <v>8310.3338999999996</v>
      </c>
      <c r="AB135" s="8">
        <v>8310.3338999999996</v>
      </c>
      <c r="AC135" s="8">
        <v>0</v>
      </c>
      <c r="AD135" s="8">
        <v>0</v>
      </c>
      <c r="AE135" s="8">
        <v>8310.3338999999996</v>
      </c>
      <c r="AF135" s="8">
        <v>0</v>
      </c>
      <c r="AG135" s="1" t="s">
        <v>115</v>
      </c>
      <c r="AH135" s="1" t="s">
        <v>68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 t="e">
        <v>#VALUE!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121</v>
      </c>
      <c r="BD135" s="56">
        <v>0</v>
      </c>
    </row>
    <row r="136" spans="1:56" ht="27.75" customHeight="1" x14ac:dyDescent="0.45">
      <c r="A136" s="3">
        <v>45066</v>
      </c>
      <c r="B136" s="14" t="s">
        <v>126</v>
      </c>
      <c r="C136" s="9" t="s">
        <v>79</v>
      </c>
      <c r="D136" s="13" t="s">
        <v>125</v>
      </c>
      <c r="E136" s="9">
        <v>21</v>
      </c>
      <c r="F136" s="9">
        <v>38</v>
      </c>
      <c r="G136" s="9" t="s">
        <v>60</v>
      </c>
      <c r="H136" s="9" t="s">
        <v>76</v>
      </c>
      <c r="I136" s="9">
        <v>102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108.55204095999999</v>
      </c>
      <c r="Q136" s="10">
        <v>0</v>
      </c>
      <c r="R136" s="10">
        <v>108.55204095999999</v>
      </c>
      <c r="S136" s="9" t="s">
        <v>67</v>
      </c>
      <c r="T136" s="12" t="s">
        <v>63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120</v>
      </c>
      <c r="AA136" s="8">
        <v>5518.15</v>
      </c>
      <c r="AB136" s="8">
        <v>5518.15</v>
      </c>
      <c r="AC136" s="8">
        <v>0</v>
      </c>
      <c r="AD136" s="8">
        <v>0</v>
      </c>
      <c r="AE136" s="8">
        <v>5518.15</v>
      </c>
      <c r="AF136" s="8">
        <v>0</v>
      </c>
      <c r="AG136" s="1" t="s">
        <v>116</v>
      </c>
      <c r="AH136" s="1" t="s">
        <v>68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121</v>
      </c>
      <c r="BD136" s="56">
        <v>0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21</v>
      </c>
      <c r="F137" s="9">
        <v>37</v>
      </c>
      <c r="G137" s="9">
        <v>0</v>
      </c>
      <c r="H137" s="9">
        <v>0</v>
      </c>
      <c r="I137" s="9">
        <v>74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 t="s">
        <v>82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120</v>
      </c>
      <c r="AA137" s="8">
        <v>195033.35390000005</v>
      </c>
      <c r="AB137" s="8">
        <v>190395.31390000004</v>
      </c>
      <c r="AC137" s="8">
        <v>4638.0400000000009</v>
      </c>
      <c r="AD137" s="8">
        <v>110879.89000000001</v>
      </c>
      <c r="AE137" s="8">
        <v>84153.463900000002</v>
      </c>
      <c r="AF137" s="8" t="s">
        <v>58</v>
      </c>
      <c r="AG137" s="1" t="s">
        <v>61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122</v>
      </c>
      <c r="BD137" s="56">
        <v>0</v>
      </c>
    </row>
    <row r="138" spans="1:56" ht="27.75" customHeight="1" x14ac:dyDescent="0.45">
      <c r="A138" s="3" t="s">
        <v>135</v>
      </c>
      <c r="B138" s="14" t="s">
        <v>135</v>
      </c>
      <c r="C138" s="9" t="s">
        <v>216</v>
      </c>
      <c r="D138" s="13" t="s">
        <v>216</v>
      </c>
      <c r="E138" s="9">
        <v>23</v>
      </c>
      <c r="F138" s="9">
        <v>34</v>
      </c>
      <c r="G138" s="9" t="s">
        <v>60</v>
      </c>
      <c r="H138" s="9">
        <v>0</v>
      </c>
      <c r="I138" s="9">
        <v>68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45930</v>
      </c>
      <c r="U138" s="11">
        <v>30000</v>
      </c>
      <c r="V138" s="10">
        <v>0</v>
      </c>
      <c r="W138" s="10">
        <v>30000</v>
      </c>
      <c r="X138" s="10">
        <v>0</v>
      </c>
      <c r="Y138" s="10">
        <v>31500</v>
      </c>
      <c r="Z138" s="9" t="s">
        <v>83</v>
      </c>
      <c r="AA138" s="8">
        <v>29756.100000000002</v>
      </c>
      <c r="AB138" s="8">
        <v>29756.100000000002</v>
      </c>
      <c r="AC138" s="8">
        <v>0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74</v>
      </c>
      <c r="AI138" s="1">
        <v>2</v>
      </c>
      <c r="AJ138" s="3">
        <v>45930</v>
      </c>
      <c r="AK138" s="3">
        <v>0</v>
      </c>
      <c r="AL138" s="3">
        <v>45921</v>
      </c>
      <c r="AM138" s="3">
        <v>45928</v>
      </c>
      <c r="AN138" s="3">
        <v>45929</v>
      </c>
      <c r="AO138" s="3">
        <v>45929</v>
      </c>
      <c r="AP138" s="3">
        <v>45925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7.75" customHeight="1" x14ac:dyDescent="0.45">
      <c r="A139" s="3" t="s">
        <v>135</v>
      </c>
      <c r="B139" s="14" t="s">
        <v>135</v>
      </c>
      <c r="C139" s="9" t="s">
        <v>221</v>
      </c>
      <c r="D139" s="13" t="s">
        <v>61</v>
      </c>
      <c r="E139" s="9">
        <v>23</v>
      </c>
      <c r="F139" s="9">
        <v>34</v>
      </c>
      <c r="G139" s="9" t="s">
        <v>60</v>
      </c>
      <c r="H139" s="9">
        <v>0</v>
      </c>
      <c r="I139" s="9">
        <v>68</v>
      </c>
      <c r="J139" s="9" t="s">
        <v>57</v>
      </c>
      <c r="K139" s="9">
        <v>5</v>
      </c>
      <c r="L139" s="9" t="s">
        <v>92</v>
      </c>
      <c r="M139" s="10">
        <v>24</v>
      </c>
      <c r="N139" s="9">
        <v>37</v>
      </c>
      <c r="O139" s="9">
        <v>50</v>
      </c>
      <c r="P139" s="10">
        <v>821.54158271999995</v>
      </c>
      <c r="Q139" s="10">
        <v>0</v>
      </c>
      <c r="R139" s="10">
        <v>821.54158271999995</v>
      </c>
      <c r="S139" s="9" t="s">
        <v>123</v>
      </c>
      <c r="T139" s="12">
        <v>45930</v>
      </c>
      <c r="U139" s="11">
        <v>30000</v>
      </c>
      <c r="V139" s="10">
        <v>0</v>
      </c>
      <c r="W139" s="10">
        <v>30000</v>
      </c>
      <c r="X139" s="10">
        <v>0</v>
      </c>
      <c r="Y139" s="10">
        <v>31500</v>
      </c>
      <c r="Z139" s="9" t="s">
        <v>83</v>
      </c>
      <c r="AA139" s="8">
        <v>29756.100000000002</v>
      </c>
      <c r="AB139" s="8">
        <v>8028</v>
      </c>
      <c r="AC139" s="8">
        <v>21728.100000000002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72</v>
      </c>
      <c r="AI139" s="1">
        <v>3</v>
      </c>
      <c r="AJ139" s="3">
        <v>45930</v>
      </c>
      <c r="AK139" s="3">
        <v>0</v>
      </c>
      <c r="AL139" s="3">
        <v>45920</v>
      </c>
      <c r="AM139" s="3">
        <v>45927</v>
      </c>
      <c r="AN139" s="3">
        <v>45928</v>
      </c>
      <c r="AO139" s="3">
        <v>45928</v>
      </c>
      <c r="AP139" s="3">
        <v>45925</v>
      </c>
      <c r="AQ139" s="3">
        <v>45929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1624.1754749999998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23</v>
      </c>
      <c r="F140" s="9">
        <v>34</v>
      </c>
      <c r="G140" s="9" t="s">
        <v>60</v>
      </c>
      <c r="H140" s="9">
        <v>0</v>
      </c>
      <c r="I140" s="9">
        <v>68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83</v>
      </c>
      <c r="AA140" s="8">
        <v>59512.200000000004</v>
      </c>
      <c r="AB140" s="8">
        <v>37784.100000000006</v>
      </c>
      <c r="AC140" s="8">
        <v>21728.100000000002</v>
      </c>
      <c r="AD140" s="8">
        <v>0</v>
      </c>
      <c r="AE140" s="8">
        <v>0</v>
      </c>
      <c r="AF140" s="8" t="s">
        <v>58</v>
      </c>
      <c r="AG140" s="1" t="s">
        <v>115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7.75" customHeight="1" x14ac:dyDescent="0.45">
      <c r="A141" s="3">
        <v>45727</v>
      </c>
      <c r="B141" s="14" t="s">
        <v>240</v>
      </c>
      <c r="C141" s="9" t="s">
        <v>111</v>
      </c>
      <c r="D141" s="13" t="s">
        <v>59</v>
      </c>
      <c r="E141" s="9">
        <v>23</v>
      </c>
      <c r="F141" s="9">
        <v>40</v>
      </c>
      <c r="G141" s="9" t="s">
        <v>60</v>
      </c>
      <c r="H141" s="9" t="s">
        <v>66</v>
      </c>
      <c r="I141" s="9">
        <v>125</v>
      </c>
      <c r="J141" s="9" t="s">
        <v>57</v>
      </c>
      <c r="K141" s="9">
        <v>5</v>
      </c>
      <c r="L141" s="9" t="s">
        <v>196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1000</v>
      </c>
      <c r="V141" s="10">
        <v>0</v>
      </c>
      <c r="W141" s="10">
        <v>1000</v>
      </c>
      <c r="X141" s="10">
        <v>0</v>
      </c>
      <c r="Y141" s="10">
        <v>0</v>
      </c>
      <c r="Z141" s="9" t="s">
        <v>213</v>
      </c>
      <c r="AA141" s="8">
        <v>1159.5100000000002</v>
      </c>
      <c r="AB141" s="8">
        <v>1159.5100000000002</v>
      </c>
      <c r="AC141" s="8">
        <v>0</v>
      </c>
      <c r="AD141" s="8">
        <v>1159.5100000000002</v>
      </c>
      <c r="AE141" s="8">
        <v>0</v>
      </c>
      <c r="AF141" s="8" t="s">
        <v>215</v>
      </c>
      <c r="AG141" s="1" t="s">
        <v>115</v>
      </c>
      <c r="AH141" s="1" t="s">
        <v>146</v>
      </c>
      <c r="AI141" s="1">
        <v>2</v>
      </c>
      <c r="AJ141" s="3" t="s">
        <v>63</v>
      </c>
      <c r="AK141" s="3" t="e">
        <v>#VALUE!</v>
      </c>
      <c r="AL141" s="3">
        <v>0</v>
      </c>
      <c r="AM141" s="3">
        <v>0</v>
      </c>
      <c r="AN141" s="3">
        <v>0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143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105</v>
      </c>
      <c r="BD141" s="56">
        <v>0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23</v>
      </c>
      <c r="F142" s="9">
        <v>37</v>
      </c>
      <c r="G142" s="9">
        <v>0</v>
      </c>
      <c r="H142" s="9">
        <v>0</v>
      </c>
      <c r="I142" s="9">
        <v>85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213</v>
      </c>
      <c r="AA142" s="8">
        <v>1159.5100000000002</v>
      </c>
      <c r="AB142" s="8">
        <v>1159.5100000000002</v>
      </c>
      <c r="AC142" s="8">
        <v>0</v>
      </c>
      <c r="AD142" s="8">
        <v>1159.5100000000002</v>
      </c>
      <c r="AE142" s="8">
        <v>0</v>
      </c>
      <c r="AF142" s="8" t="s">
        <v>58</v>
      </c>
      <c r="AG142" s="1" t="s">
        <v>115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214</v>
      </c>
      <c r="BD142" s="56">
        <v>0</v>
      </c>
    </row>
    <row r="143" spans="1:56" ht="27.75" customHeight="1" x14ac:dyDescent="0.45">
      <c r="A143" s="3">
        <v>45601</v>
      </c>
      <c r="B143" s="14" t="s">
        <v>193</v>
      </c>
      <c r="C143" s="9" t="s">
        <v>93</v>
      </c>
      <c r="D143" s="13" t="s">
        <v>142</v>
      </c>
      <c r="E143" s="9">
        <v>23</v>
      </c>
      <c r="F143" s="9">
        <v>37</v>
      </c>
      <c r="G143" s="9" t="s">
        <v>60</v>
      </c>
      <c r="H143" s="9">
        <v>0</v>
      </c>
      <c r="I143" s="9">
        <v>130</v>
      </c>
      <c r="J143" s="9" t="s">
        <v>57</v>
      </c>
      <c r="K143" s="9">
        <v>5</v>
      </c>
      <c r="L143" s="9" t="s">
        <v>91</v>
      </c>
      <c r="M143" s="10">
        <v>24</v>
      </c>
      <c r="N143" s="9">
        <v>40</v>
      </c>
      <c r="O143" s="9">
        <v>55</v>
      </c>
      <c r="P143" s="10">
        <v>3207.7128103679997</v>
      </c>
      <c r="Q143" s="10">
        <v>0</v>
      </c>
      <c r="R143" s="10">
        <v>3207.7128103679997</v>
      </c>
      <c r="S143" s="9" t="s">
        <v>299</v>
      </c>
      <c r="T143" s="12" t="s">
        <v>63</v>
      </c>
      <c r="U143" s="11">
        <v>100000</v>
      </c>
      <c r="V143" s="10">
        <v>1500</v>
      </c>
      <c r="W143" s="10">
        <v>98500</v>
      </c>
      <c r="X143" s="10">
        <v>0</v>
      </c>
      <c r="Y143" s="10">
        <v>103425</v>
      </c>
      <c r="Z143" s="9" t="s">
        <v>99</v>
      </c>
      <c r="AA143" s="8">
        <v>105955.465</v>
      </c>
      <c r="AB143" s="8">
        <v>13611</v>
      </c>
      <c r="AC143" s="8">
        <v>92344.464999999997</v>
      </c>
      <c r="AD143" s="8">
        <v>0</v>
      </c>
      <c r="AE143" s="8">
        <v>0</v>
      </c>
      <c r="AF143" s="8">
        <v>0</v>
      </c>
      <c r="AG143" s="1" t="s">
        <v>115</v>
      </c>
      <c r="AH143" s="1" t="s">
        <v>72</v>
      </c>
      <c r="AI143" s="1">
        <v>3</v>
      </c>
      <c r="AJ143" s="3" t="s">
        <v>63</v>
      </c>
      <c r="AK143" s="3">
        <v>0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113</v>
      </c>
      <c r="BD143" s="56">
        <v>11829.65943262361</v>
      </c>
    </row>
    <row r="144" spans="1:56" ht="27.75" customHeight="1" x14ac:dyDescent="0.45">
      <c r="A144" s="3">
        <v>45601</v>
      </c>
      <c r="B144" s="14" t="s">
        <v>193</v>
      </c>
      <c r="C144" s="9" t="s">
        <v>93</v>
      </c>
      <c r="D144" s="13" t="s">
        <v>142</v>
      </c>
      <c r="E144" s="9">
        <v>23</v>
      </c>
      <c r="F144" s="9">
        <v>37</v>
      </c>
      <c r="G144" s="9" t="s">
        <v>60</v>
      </c>
      <c r="H144" s="9">
        <v>0</v>
      </c>
      <c r="I144" s="9">
        <v>130</v>
      </c>
      <c r="J144" s="9" t="s">
        <v>57</v>
      </c>
      <c r="K144" s="9">
        <v>5</v>
      </c>
      <c r="L144" s="9" t="s">
        <v>91</v>
      </c>
      <c r="M144" s="10">
        <v>24</v>
      </c>
      <c r="N144" s="9">
        <v>40</v>
      </c>
      <c r="O144" s="9">
        <v>55</v>
      </c>
      <c r="P144" s="10">
        <v>11003.203948644863</v>
      </c>
      <c r="Q144" s="10">
        <v>0</v>
      </c>
      <c r="R144" s="10">
        <v>11003.203948644863</v>
      </c>
      <c r="S144" s="9" t="s">
        <v>299</v>
      </c>
      <c r="T144" s="12" t="s">
        <v>63</v>
      </c>
      <c r="U144" s="11">
        <v>337878</v>
      </c>
      <c r="V144" s="10">
        <v>0</v>
      </c>
      <c r="W144" s="10">
        <v>337878</v>
      </c>
      <c r="X144" s="10">
        <v>0</v>
      </c>
      <c r="Y144" s="10">
        <v>354771.9</v>
      </c>
      <c r="Z144" s="9" t="s">
        <v>99</v>
      </c>
      <c r="AA144" s="8">
        <v>363451.98582000006</v>
      </c>
      <c r="AB144" s="8">
        <v>0</v>
      </c>
      <c r="AC144" s="8">
        <v>363451.98582000006</v>
      </c>
      <c r="AD144" s="8">
        <v>0</v>
      </c>
      <c r="AE144" s="8">
        <v>0</v>
      </c>
      <c r="AF144" s="8">
        <v>0</v>
      </c>
      <c r="AG144" s="1" t="s">
        <v>115</v>
      </c>
      <c r="AH144" s="1" t="s">
        <v>72</v>
      </c>
      <c r="AI144" s="1">
        <v>3</v>
      </c>
      <c r="AJ144" s="3" t="s">
        <v>63</v>
      </c>
      <c r="AK144" s="3">
        <v>0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 t="e">
        <v>#VALUE!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113</v>
      </c>
      <c r="BD144" s="56">
        <v>46559.511849046357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23</v>
      </c>
      <c r="F145" s="9">
        <v>37</v>
      </c>
      <c r="G145" s="9">
        <v>0</v>
      </c>
      <c r="H145" s="9">
        <v>0</v>
      </c>
      <c r="I145" s="9">
        <v>128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99</v>
      </c>
      <c r="AA145" s="8">
        <v>469407.45082000003</v>
      </c>
      <c r="AB145" s="8">
        <v>13611</v>
      </c>
      <c r="AC145" s="8">
        <v>455796.45082000003</v>
      </c>
      <c r="AD145" s="8">
        <v>0</v>
      </c>
      <c r="AE145" s="8">
        <v>0</v>
      </c>
      <c r="AF145" s="8" t="s">
        <v>58</v>
      </c>
      <c r="AG145" s="1" t="s">
        <v>115</v>
      </c>
      <c r="AH145" s="1">
        <v>0</v>
      </c>
      <c r="AI145" s="1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114</v>
      </c>
      <c r="BD145" s="56">
        <v>0</v>
      </c>
    </row>
    <row r="146" spans="1:56" ht="27.75" customHeight="1" x14ac:dyDescent="0.45">
      <c r="A146" s="3">
        <v>45894</v>
      </c>
      <c r="B146" s="14" t="s">
        <v>381</v>
      </c>
      <c r="C146" s="9" t="s">
        <v>137</v>
      </c>
      <c r="D146" s="13" t="s">
        <v>59</v>
      </c>
      <c r="E146" s="9">
        <v>26</v>
      </c>
      <c r="F146" s="9">
        <v>39</v>
      </c>
      <c r="G146" s="9" t="s">
        <v>60</v>
      </c>
      <c r="H146" s="9">
        <v>0</v>
      </c>
      <c r="I146" s="9">
        <v>93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123</v>
      </c>
      <c r="T146" s="12">
        <v>45910</v>
      </c>
      <c r="U146" s="11">
        <v>5000</v>
      </c>
      <c r="V146" s="10">
        <v>1800</v>
      </c>
      <c r="W146" s="10">
        <v>3200</v>
      </c>
      <c r="X146" s="10">
        <v>0</v>
      </c>
      <c r="Y146" s="10">
        <v>0</v>
      </c>
      <c r="Z146" s="9" t="s">
        <v>84</v>
      </c>
      <c r="AA146" s="8">
        <v>3621.0239999999999</v>
      </c>
      <c r="AB146" s="8">
        <v>3621.0239999999999</v>
      </c>
      <c r="AC146" s="8">
        <v>0</v>
      </c>
      <c r="AD146" s="8">
        <v>0</v>
      </c>
      <c r="AE146" s="8">
        <v>0</v>
      </c>
      <c r="AF146" s="8">
        <v>0</v>
      </c>
      <c r="AG146" s="1" t="s">
        <v>116</v>
      </c>
      <c r="AH146" s="1" t="s">
        <v>77</v>
      </c>
      <c r="AI146" s="1">
        <v>1</v>
      </c>
      <c r="AJ146" s="3">
        <v>45910</v>
      </c>
      <c r="AK146" s="3">
        <v>0</v>
      </c>
      <c r="AL146" s="3">
        <v>0</v>
      </c>
      <c r="AM146" s="3">
        <v>0</v>
      </c>
      <c r="AN146" s="3">
        <v>0</v>
      </c>
      <c r="AO146" s="3">
        <v>45909</v>
      </c>
      <c r="AP146" s="3">
        <v>45905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0</v>
      </c>
    </row>
    <row r="147" spans="1:56" ht="27.75" customHeight="1" x14ac:dyDescent="0.45">
      <c r="A147" s="3" t="s">
        <v>135</v>
      </c>
      <c r="B147" s="14" t="s">
        <v>135</v>
      </c>
      <c r="C147" s="9" t="s">
        <v>179</v>
      </c>
      <c r="D147" s="13" t="s">
        <v>61</v>
      </c>
      <c r="E147" s="9">
        <v>26</v>
      </c>
      <c r="F147" s="9">
        <v>41</v>
      </c>
      <c r="G147" s="9" t="s">
        <v>60</v>
      </c>
      <c r="H147" s="9">
        <v>0</v>
      </c>
      <c r="I147" s="9">
        <v>97</v>
      </c>
      <c r="J147" s="9" t="s">
        <v>57</v>
      </c>
      <c r="K147" s="9">
        <v>5</v>
      </c>
      <c r="L147" s="9" t="s">
        <v>91</v>
      </c>
      <c r="M147" s="10">
        <v>27</v>
      </c>
      <c r="N147" s="9">
        <v>43</v>
      </c>
      <c r="O147" s="9">
        <v>40</v>
      </c>
      <c r="P147" s="10">
        <v>229.14349009919997</v>
      </c>
      <c r="Q147" s="10">
        <v>0</v>
      </c>
      <c r="R147" s="10">
        <v>229.14349009919997</v>
      </c>
      <c r="S147" s="9" t="s">
        <v>185</v>
      </c>
      <c r="T147" s="12">
        <v>45930</v>
      </c>
      <c r="U147" s="11">
        <v>8000</v>
      </c>
      <c r="V147" s="10">
        <v>0</v>
      </c>
      <c r="W147" s="10">
        <v>8000</v>
      </c>
      <c r="X147" s="10">
        <v>0</v>
      </c>
      <c r="Y147" s="10">
        <v>8400</v>
      </c>
      <c r="Z147" s="9" t="s">
        <v>84</v>
      </c>
      <c r="AA147" s="8">
        <v>9499.6</v>
      </c>
      <c r="AB147" s="8">
        <v>0</v>
      </c>
      <c r="AC147" s="8">
        <v>9499.6</v>
      </c>
      <c r="AD147" s="8">
        <v>0</v>
      </c>
      <c r="AE147" s="8">
        <v>0</v>
      </c>
      <c r="AF147" s="8">
        <v>0</v>
      </c>
      <c r="AG147" s="1" t="s">
        <v>115</v>
      </c>
      <c r="AH147" s="1" t="s">
        <v>72</v>
      </c>
      <c r="AI147" s="1">
        <v>3</v>
      </c>
      <c r="AJ147" s="3">
        <v>45930</v>
      </c>
      <c r="AK147" s="3">
        <v>0</v>
      </c>
      <c r="AL147" s="3">
        <v>45920</v>
      </c>
      <c r="AM147" s="3">
        <v>45927</v>
      </c>
      <c r="AN147" s="3">
        <v>45928</v>
      </c>
      <c r="AO147" s="3">
        <v>45928</v>
      </c>
      <c r="AP147" s="3">
        <v>45925</v>
      </c>
      <c r="AQ147" s="3">
        <v>45929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767.03992444444452</v>
      </c>
    </row>
    <row r="148" spans="1:56" ht="27.7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26</v>
      </c>
      <c r="F148" s="9">
        <v>43</v>
      </c>
      <c r="G148" s="9" t="s">
        <v>60</v>
      </c>
      <c r="H148" s="9">
        <v>0</v>
      </c>
      <c r="I148" s="9">
        <v>102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84</v>
      </c>
      <c r="AA148" s="8">
        <v>13120.624</v>
      </c>
      <c r="AB148" s="8">
        <v>3621.0239999999999</v>
      </c>
      <c r="AC148" s="8">
        <v>9499.6</v>
      </c>
      <c r="AD148" s="8">
        <v>0</v>
      </c>
      <c r="AE148" s="8">
        <v>0</v>
      </c>
      <c r="AF148" s="8" t="s">
        <v>58</v>
      </c>
      <c r="AG148" s="1" t="s">
        <v>115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0</v>
      </c>
    </row>
    <row r="149" spans="1:56" ht="27.75" customHeight="1" x14ac:dyDescent="0.45">
      <c r="A149" s="3">
        <v>45904</v>
      </c>
      <c r="B149" s="14" t="s">
        <v>462</v>
      </c>
      <c r="C149" s="9" t="s">
        <v>463</v>
      </c>
      <c r="D149" s="13" t="s">
        <v>464</v>
      </c>
      <c r="E149" s="9">
        <v>26</v>
      </c>
      <c r="F149" s="9">
        <v>43</v>
      </c>
      <c r="G149" s="9" t="s">
        <v>60</v>
      </c>
      <c r="H149" s="9" t="s">
        <v>66</v>
      </c>
      <c r="I149" s="9">
        <v>140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465</v>
      </c>
      <c r="T149" s="12">
        <v>45912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466</v>
      </c>
      <c r="AA149" s="8">
        <v>12433.3</v>
      </c>
      <c r="AB149" s="8">
        <v>7225</v>
      </c>
      <c r="AC149" s="8">
        <v>5208.2999999999993</v>
      </c>
      <c r="AD149" s="8">
        <v>0</v>
      </c>
      <c r="AE149" s="8">
        <v>12433.3</v>
      </c>
      <c r="AF149" s="8" t="s">
        <v>467</v>
      </c>
      <c r="AG149" s="1" t="s">
        <v>115</v>
      </c>
      <c r="AH149" s="1" t="s">
        <v>75</v>
      </c>
      <c r="AI149" s="1">
        <v>4</v>
      </c>
      <c r="AJ149" s="3">
        <v>45912</v>
      </c>
      <c r="AK149" s="3">
        <v>45908</v>
      </c>
      <c r="AL149" s="3">
        <v>45901</v>
      </c>
      <c r="AM149" s="3">
        <v>45909</v>
      </c>
      <c r="AN149" s="3">
        <v>45910</v>
      </c>
      <c r="AO149" s="3">
        <v>45911</v>
      </c>
      <c r="AP149" s="3">
        <v>45907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457</v>
      </c>
      <c r="BD149" s="56">
        <v>467.9368199999999</v>
      </c>
    </row>
    <row r="150" spans="1:56" ht="27.75" customHeight="1" x14ac:dyDescent="0.45">
      <c r="A150" s="3">
        <v>0</v>
      </c>
      <c r="B150" s="14">
        <v>0</v>
      </c>
      <c r="C150" s="9">
        <v>0</v>
      </c>
      <c r="D150" s="13">
        <v>0</v>
      </c>
      <c r="E150" s="9">
        <v>26</v>
      </c>
      <c r="F150" s="9">
        <v>43</v>
      </c>
      <c r="G150" s="9">
        <v>0</v>
      </c>
      <c r="H150" s="9">
        <v>0</v>
      </c>
      <c r="I150" s="9">
        <v>100</v>
      </c>
      <c r="J150" s="9" t="s">
        <v>57</v>
      </c>
      <c r="K150" s="9">
        <v>5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466</v>
      </c>
      <c r="AA150" s="8">
        <v>12433.3</v>
      </c>
      <c r="AB150" s="8">
        <v>7225</v>
      </c>
      <c r="AC150" s="8">
        <v>5208.2999999999993</v>
      </c>
      <c r="AD150" s="8">
        <v>0</v>
      </c>
      <c r="AE150" s="8">
        <v>12433.3</v>
      </c>
      <c r="AF150" s="8" t="s">
        <v>58</v>
      </c>
      <c r="AG150" s="1" t="s">
        <v>118</v>
      </c>
      <c r="AH150" s="1">
        <v>0</v>
      </c>
      <c r="AI150" s="1" t="s">
        <v>15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457</v>
      </c>
      <c r="BD150" s="56">
        <v>0</v>
      </c>
    </row>
    <row r="151" spans="1:56" ht="27.75" customHeight="1" x14ac:dyDescent="0.45">
      <c r="A151" s="3" t="s">
        <v>135</v>
      </c>
      <c r="B151" s="14" t="s">
        <v>135</v>
      </c>
      <c r="C151" s="9" t="s">
        <v>109</v>
      </c>
      <c r="D151" s="13" t="s">
        <v>59</v>
      </c>
      <c r="E151" s="9">
        <v>26</v>
      </c>
      <c r="F151" s="9">
        <v>43</v>
      </c>
      <c r="G151" s="9" t="s">
        <v>60</v>
      </c>
      <c r="H151" s="9">
        <v>0</v>
      </c>
      <c r="I151" s="9">
        <v>116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110</v>
      </c>
      <c r="T151" s="12">
        <v>45925</v>
      </c>
      <c r="U151" s="11">
        <v>10000</v>
      </c>
      <c r="V151" s="10">
        <v>0</v>
      </c>
      <c r="W151" s="10">
        <v>10000</v>
      </c>
      <c r="X151" s="10">
        <v>0</v>
      </c>
      <c r="Y151" s="10">
        <v>0</v>
      </c>
      <c r="Z151" s="9" t="s">
        <v>197</v>
      </c>
      <c r="AA151" s="8">
        <v>12433.3</v>
      </c>
      <c r="AB151" s="8">
        <v>12433.3</v>
      </c>
      <c r="AC151" s="8">
        <v>0</v>
      </c>
      <c r="AD151" s="8">
        <v>0</v>
      </c>
      <c r="AE151" s="8">
        <v>0</v>
      </c>
      <c r="AF151" s="8">
        <v>0</v>
      </c>
      <c r="AG151" s="1" t="s">
        <v>118</v>
      </c>
      <c r="AH151" s="1" t="s">
        <v>77</v>
      </c>
      <c r="AI151" s="1">
        <v>1</v>
      </c>
      <c r="AJ151" s="3">
        <v>45925</v>
      </c>
      <c r="AK151" s="3">
        <v>0</v>
      </c>
      <c r="AL151" s="3">
        <v>0</v>
      </c>
      <c r="AM151" s="3">
        <v>0</v>
      </c>
      <c r="AN151" s="3">
        <v>0</v>
      </c>
      <c r="AO151" s="3">
        <v>45924</v>
      </c>
      <c r="AP151" s="3">
        <v>45920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102</v>
      </c>
      <c r="BD151" s="56">
        <v>0</v>
      </c>
    </row>
    <row r="152" spans="1:56" ht="27.7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26</v>
      </c>
      <c r="F152" s="9">
        <v>43</v>
      </c>
      <c r="G152" s="9">
        <v>0</v>
      </c>
      <c r="H152" s="9">
        <v>0</v>
      </c>
      <c r="I152" s="9">
        <v>116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197</v>
      </c>
      <c r="AA152" s="8">
        <v>12433.3</v>
      </c>
      <c r="AB152" s="8">
        <v>12433.3</v>
      </c>
      <c r="AC152" s="8">
        <v>0</v>
      </c>
      <c r="AD152" s="8">
        <v>0</v>
      </c>
      <c r="AE152" s="8">
        <v>0</v>
      </c>
      <c r="AF152" s="8" t="s">
        <v>58</v>
      </c>
      <c r="AG152" s="1" t="s">
        <v>118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198</v>
      </c>
      <c r="BD152" s="56">
        <v>0</v>
      </c>
    </row>
    <row r="153" spans="1:56" ht="27.75" customHeight="1" x14ac:dyDescent="0.45">
      <c r="A153" s="3">
        <v>45901</v>
      </c>
      <c r="B153" s="14" t="s">
        <v>427</v>
      </c>
      <c r="C153" s="9" t="s">
        <v>109</v>
      </c>
      <c r="D153" s="13" t="s">
        <v>144</v>
      </c>
      <c r="E153" s="9">
        <v>26</v>
      </c>
      <c r="F153" s="9">
        <v>43</v>
      </c>
      <c r="G153" s="9" t="s">
        <v>60</v>
      </c>
      <c r="H153" s="9" t="s">
        <v>66</v>
      </c>
      <c r="I153" s="9">
        <v>150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110</v>
      </c>
      <c r="T153" s="12">
        <v>45908</v>
      </c>
      <c r="U153" s="11">
        <v>30000</v>
      </c>
      <c r="V153" s="10">
        <v>15000</v>
      </c>
      <c r="W153" s="10">
        <v>15000</v>
      </c>
      <c r="X153" s="10">
        <v>32730</v>
      </c>
      <c r="Y153" s="10">
        <v>0</v>
      </c>
      <c r="Z153" s="9" t="s">
        <v>88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116</v>
      </c>
      <c r="AH153" s="1" t="s">
        <v>75</v>
      </c>
      <c r="AI153" s="1">
        <v>4</v>
      </c>
      <c r="AJ153" s="3">
        <v>45908</v>
      </c>
      <c r="AK153" s="3">
        <v>45904</v>
      </c>
      <c r="AL153" s="3">
        <v>45897</v>
      </c>
      <c r="AM153" s="3">
        <v>45905</v>
      </c>
      <c r="AN153" s="3">
        <v>45906</v>
      </c>
      <c r="AO153" s="3">
        <v>45907</v>
      </c>
      <c r="AP153" s="3">
        <v>45903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>
        <v>0</v>
      </c>
      <c r="AY153" s="2" t="s">
        <v>443</v>
      </c>
      <c r="AZ153" s="2">
        <v>0</v>
      </c>
      <c r="BA153" s="2">
        <v>0</v>
      </c>
      <c r="BB153" s="2">
        <v>0</v>
      </c>
      <c r="BC153" s="1" t="s">
        <v>104</v>
      </c>
      <c r="BD153" s="56">
        <v>0</v>
      </c>
    </row>
    <row r="154" spans="1:56" ht="27.75" customHeight="1" x14ac:dyDescent="0.45">
      <c r="A154" s="3">
        <v>45898</v>
      </c>
      <c r="B154" s="14" t="s">
        <v>420</v>
      </c>
      <c r="C154" s="9" t="s">
        <v>109</v>
      </c>
      <c r="D154" s="13" t="s">
        <v>59</v>
      </c>
      <c r="E154" s="9">
        <v>26</v>
      </c>
      <c r="F154" s="9">
        <v>43</v>
      </c>
      <c r="G154" s="9" t="s">
        <v>60</v>
      </c>
      <c r="H154" s="9" t="s">
        <v>66</v>
      </c>
      <c r="I154" s="9">
        <v>150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110</v>
      </c>
      <c r="T154" s="12">
        <v>45909</v>
      </c>
      <c r="U154" s="11">
        <v>15000</v>
      </c>
      <c r="V154" s="10">
        <v>10000</v>
      </c>
      <c r="W154" s="10">
        <v>5000</v>
      </c>
      <c r="X154" s="10">
        <v>0</v>
      </c>
      <c r="Y154" s="10">
        <v>0</v>
      </c>
      <c r="Z154" s="9" t="s">
        <v>88</v>
      </c>
      <c r="AA154" s="8">
        <v>6216.65</v>
      </c>
      <c r="AB154" s="8">
        <v>6216.65</v>
      </c>
      <c r="AC154" s="8">
        <v>0</v>
      </c>
      <c r="AD154" s="8">
        <v>6216.65</v>
      </c>
      <c r="AE154" s="8">
        <v>0</v>
      </c>
      <c r="AF154" s="8">
        <v>0</v>
      </c>
      <c r="AG154" s="1" t="s">
        <v>116</v>
      </c>
      <c r="AH154" s="1" t="s">
        <v>146</v>
      </c>
      <c r="AI154" s="1">
        <v>2</v>
      </c>
      <c r="AJ154" s="3">
        <v>45909</v>
      </c>
      <c r="AK154" s="3">
        <v>45907</v>
      </c>
      <c r="AL154" s="3">
        <v>0</v>
      </c>
      <c r="AM154" s="3">
        <v>0</v>
      </c>
      <c r="AN154" s="3">
        <v>0</v>
      </c>
      <c r="AO154" s="3">
        <v>45908</v>
      </c>
      <c r="AP154" s="3">
        <v>45904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143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0</v>
      </c>
    </row>
    <row r="155" spans="1:56" ht="27.75" customHeight="1" x14ac:dyDescent="0.45">
      <c r="A155" s="3">
        <v>45898</v>
      </c>
      <c r="B155" s="14" t="s">
        <v>421</v>
      </c>
      <c r="C155" s="9" t="s">
        <v>109</v>
      </c>
      <c r="D155" s="13" t="s">
        <v>59</v>
      </c>
      <c r="E155" s="9">
        <v>26</v>
      </c>
      <c r="F155" s="9">
        <v>43</v>
      </c>
      <c r="G155" s="9" t="s">
        <v>60</v>
      </c>
      <c r="H155" s="9" t="s">
        <v>66</v>
      </c>
      <c r="I155" s="9">
        <v>150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110</v>
      </c>
      <c r="T155" s="12">
        <v>45917</v>
      </c>
      <c r="U155" s="11">
        <v>15000</v>
      </c>
      <c r="V155" s="10">
        <v>0</v>
      </c>
      <c r="W155" s="10">
        <v>15000</v>
      </c>
      <c r="X155" s="10">
        <v>0</v>
      </c>
      <c r="Y155" s="10">
        <v>0</v>
      </c>
      <c r="Z155" s="9" t="s">
        <v>88</v>
      </c>
      <c r="AA155" s="8">
        <v>18649.949999999997</v>
      </c>
      <c r="AB155" s="8">
        <v>18649.949999999997</v>
      </c>
      <c r="AC155" s="8">
        <v>0</v>
      </c>
      <c r="AD155" s="8">
        <v>0</v>
      </c>
      <c r="AE155" s="8">
        <v>18649.949999999997</v>
      </c>
      <c r="AF155" s="8">
        <v>0</v>
      </c>
      <c r="AG155" s="1" t="s">
        <v>115</v>
      </c>
      <c r="AH155" s="1" t="s">
        <v>146</v>
      </c>
      <c r="AI155" s="1">
        <v>2</v>
      </c>
      <c r="AJ155" s="3">
        <v>45917</v>
      </c>
      <c r="AK155" s="3">
        <v>45915</v>
      </c>
      <c r="AL155" s="3">
        <v>0</v>
      </c>
      <c r="AM155" s="3">
        <v>0</v>
      </c>
      <c r="AN155" s="3">
        <v>0</v>
      </c>
      <c r="AO155" s="3">
        <v>45916</v>
      </c>
      <c r="AP155" s="3">
        <v>45912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143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0</v>
      </c>
    </row>
    <row r="156" spans="1:56" ht="27.75" customHeight="1" x14ac:dyDescent="0.45">
      <c r="A156" s="3">
        <v>45901</v>
      </c>
      <c r="B156" s="14" t="s">
        <v>428</v>
      </c>
      <c r="C156" s="9" t="s">
        <v>109</v>
      </c>
      <c r="D156" s="13" t="s">
        <v>144</v>
      </c>
      <c r="E156" s="9">
        <v>26</v>
      </c>
      <c r="F156" s="9">
        <v>43</v>
      </c>
      <c r="G156" s="9" t="s">
        <v>60</v>
      </c>
      <c r="H156" s="9" t="s">
        <v>66</v>
      </c>
      <c r="I156" s="9">
        <v>150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110</v>
      </c>
      <c r="T156" s="12">
        <v>45930</v>
      </c>
      <c r="U156" s="11">
        <v>30000</v>
      </c>
      <c r="V156" s="10">
        <v>0</v>
      </c>
      <c r="W156" s="10">
        <v>30000</v>
      </c>
      <c r="X156" s="10">
        <v>0</v>
      </c>
      <c r="Y156" s="10">
        <v>31500</v>
      </c>
      <c r="Z156" s="9" t="s">
        <v>88</v>
      </c>
      <c r="AA156" s="8">
        <v>37299.899999999994</v>
      </c>
      <c r="AB156" s="8">
        <v>0</v>
      </c>
      <c r="AC156" s="8">
        <v>37299.899999999994</v>
      </c>
      <c r="AD156" s="8">
        <v>0</v>
      </c>
      <c r="AE156" s="8">
        <v>37299.899999999994</v>
      </c>
      <c r="AF156" s="8">
        <v>0</v>
      </c>
      <c r="AG156" s="1" t="s">
        <v>115</v>
      </c>
      <c r="AH156" s="1" t="s">
        <v>75</v>
      </c>
      <c r="AI156" s="1">
        <v>4</v>
      </c>
      <c r="AJ156" s="3">
        <v>45930</v>
      </c>
      <c r="AK156" s="3">
        <v>45926</v>
      </c>
      <c r="AL156" s="3">
        <v>45919</v>
      </c>
      <c r="AM156" s="3">
        <v>45927</v>
      </c>
      <c r="AN156" s="3">
        <v>45928</v>
      </c>
      <c r="AO156" s="3">
        <v>45929</v>
      </c>
      <c r="AP156" s="3">
        <v>45925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3846.8630200000002</v>
      </c>
    </row>
    <row r="157" spans="1:56" ht="27.75" customHeight="1" x14ac:dyDescent="0.45">
      <c r="A157" s="3">
        <v>45901</v>
      </c>
      <c r="B157" s="14" t="s">
        <v>429</v>
      </c>
      <c r="C157" s="9" t="s">
        <v>109</v>
      </c>
      <c r="D157" s="13" t="s">
        <v>144</v>
      </c>
      <c r="E157" s="9">
        <v>26</v>
      </c>
      <c r="F157" s="9">
        <v>43</v>
      </c>
      <c r="G157" s="9" t="s">
        <v>60</v>
      </c>
      <c r="H157" s="9" t="s">
        <v>66</v>
      </c>
      <c r="I157" s="9">
        <v>150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110</v>
      </c>
      <c r="T157" s="12">
        <v>45945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88</v>
      </c>
      <c r="AA157" s="8">
        <v>12433.3</v>
      </c>
      <c r="AB157" s="8">
        <v>0</v>
      </c>
      <c r="AC157" s="8">
        <v>12433.3</v>
      </c>
      <c r="AD157" s="8">
        <v>0</v>
      </c>
      <c r="AE157" s="8">
        <v>12433.3</v>
      </c>
      <c r="AF157" s="8">
        <v>0</v>
      </c>
      <c r="AG157" s="1" t="s">
        <v>115</v>
      </c>
      <c r="AH157" s="1" t="s">
        <v>75</v>
      </c>
      <c r="AI157" s="1">
        <v>4</v>
      </c>
      <c r="AJ157" s="3">
        <v>45945</v>
      </c>
      <c r="AK157" s="3">
        <v>45941</v>
      </c>
      <c r="AL157" s="3">
        <v>45934</v>
      </c>
      <c r="AM157" s="3">
        <v>45942</v>
      </c>
      <c r="AN157" s="3">
        <v>45943</v>
      </c>
      <c r="AO157" s="3">
        <v>45944</v>
      </c>
      <c r="AP157" s="3">
        <v>45940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1282.2876733333333</v>
      </c>
    </row>
    <row r="158" spans="1:56" ht="27.7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26</v>
      </c>
      <c r="F158" s="9">
        <v>43</v>
      </c>
      <c r="G158" s="9">
        <v>0</v>
      </c>
      <c r="H158" s="9">
        <v>0</v>
      </c>
      <c r="I158" s="9">
        <v>120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88</v>
      </c>
      <c r="AA158" s="8">
        <v>74599.799999999988</v>
      </c>
      <c r="AB158" s="8">
        <v>24866.6</v>
      </c>
      <c r="AC158" s="8">
        <v>49733.2</v>
      </c>
      <c r="AD158" s="8">
        <v>6216.65</v>
      </c>
      <c r="AE158" s="8">
        <v>68383.149999999994</v>
      </c>
      <c r="AF158" s="8" t="s">
        <v>58</v>
      </c>
      <c r="AG158" s="1" t="s">
        <v>116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0</v>
      </c>
    </row>
    <row r="159" spans="1:56" ht="27.75" customHeight="1" x14ac:dyDescent="0.45">
      <c r="A159" s="3">
        <v>45895</v>
      </c>
      <c r="B159" s="14" t="s">
        <v>382</v>
      </c>
      <c r="C159" s="9" t="s">
        <v>147</v>
      </c>
      <c r="D159" s="13" t="s">
        <v>148</v>
      </c>
      <c r="E159" s="9">
        <v>28</v>
      </c>
      <c r="F159" s="9">
        <v>41</v>
      </c>
      <c r="G159" s="9" t="s">
        <v>60</v>
      </c>
      <c r="H159" s="9">
        <v>0</v>
      </c>
      <c r="I159" s="9">
        <v>120</v>
      </c>
      <c r="J159" s="9" t="s">
        <v>78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45909</v>
      </c>
      <c r="U159" s="11">
        <v>13000</v>
      </c>
      <c r="V159" s="10">
        <v>13000</v>
      </c>
      <c r="W159" s="10">
        <v>0</v>
      </c>
      <c r="X159" s="10">
        <v>53544</v>
      </c>
      <c r="Y159" s="10">
        <v>0</v>
      </c>
      <c r="Z159" s="9" t="s">
        <v>127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115</v>
      </c>
      <c r="AH159" s="1" t="s">
        <v>74</v>
      </c>
      <c r="AI159" s="1">
        <v>2</v>
      </c>
      <c r="AJ159" s="3">
        <v>45909</v>
      </c>
      <c r="AK159" s="3">
        <v>0</v>
      </c>
      <c r="AL159" s="3">
        <v>45900</v>
      </c>
      <c r="AM159" s="3">
        <v>45907</v>
      </c>
      <c r="AN159" s="3">
        <v>45908</v>
      </c>
      <c r="AO159" s="3">
        <v>45908</v>
      </c>
      <c r="AP159" s="3">
        <v>45904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 t="s">
        <v>476</v>
      </c>
      <c r="AZ159" s="2">
        <v>0</v>
      </c>
      <c r="BA159" s="2">
        <v>0</v>
      </c>
      <c r="BB159" s="2">
        <v>0</v>
      </c>
      <c r="BC159" s="1" t="s">
        <v>104</v>
      </c>
      <c r="BD159" s="56">
        <v>0</v>
      </c>
    </row>
    <row r="160" spans="1:56" ht="27.75" customHeight="1" x14ac:dyDescent="0.45">
      <c r="A160" s="3" t="s">
        <v>135</v>
      </c>
      <c r="B160" s="14" t="s">
        <v>135</v>
      </c>
      <c r="C160" s="9" t="s">
        <v>147</v>
      </c>
      <c r="D160" s="13" t="s">
        <v>148</v>
      </c>
      <c r="E160" s="9">
        <v>28</v>
      </c>
      <c r="F160" s="9">
        <v>41</v>
      </c>
      <c r="G160" s="9" t="s">
        <v>60</v>
      </c>
      <c r="H160" s="9">
        <v>0</v>
      </c>
      <c r="I160" s="9">
        <v>120</v>
      </c>
      <c r="J160" s="9" t="s">
        <v>78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45920</v>
      </c>
      <c r="U160" s="11">
        <v>50000</v>
      </c>
      <c r="V160" s="10">
        <v>0</v>
      </c>
      <c r="W160" s="10">
        <v>50000</v>
      </c>
      <c r="X160" s="10">
        <v>0</v>
      </c>
      <c r="Y160" s="10">
        <v>52500</v>
      </c>
      <c r="Z160" s="9" t="s">
        <v>127</v>
      </c>
      <c r="AA160" s="8">
        <v>59372.5</v>
      </c>
      <c r="AB160" s="8">
        <v>12130</v>
      </c>
      <c r="AC160" s="8">
        <v>47242.5</v>
      </c>
      <c r="AD160" s="8">
        <v>0</v>
      </c>
      <c r="AE160" s="8">
        <v>0</v>
      </c>
      <c r="AF160" s="8">
        <v>0</v>
      </c>
      <c r="AG160" s="1" t="s">
        <v>115</v>
      </c>
      <c r="AH160" s="1" t="s">
        <v>74</v>
      </c>
      <c r="AI160" s="1">
        <v>2</v>
      </c>
      <c r="AJ160" s="3">
        <v>45920</v>
      </c>
      <c r="AK160" s="3">
        <v>0</v>
      </c>
      <c r="AL160" s="3">
        <v>45911</v>
      </c>
      <c r="AM160" s="3">
        <v>45918</v>
      </c>
      <c r="AN160" s="3">
        <v>45919</v>
      </c>
      <c r="AO160" s="3">
        <v>45919</v>
      </c>
      <c r="AP160" s="3">
        <v>45915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5309.5320833333335</v>
      </c>
    </row>
    <row r="161" spans="1:56" ht="27.75" customHeight="1" x14ac:dyDescent="0.45">
      <c r="A161" s="3" t="s">
        <v>135</v>
      </c>
      <c r="B161" s="14" t="s">
        <v>135</v>
      </c>
      <c r="C161" s="9" t="s">
        <v>109</v>
      </c>
      <c r="D161" s="13" t="s">
        <v>59</v>
      </c>
      <c r="E161" s="9">
        <v>28</v>
      </c>
      <c r="F161" s="9">
        <v>47</v>
      </c>
      <c r="G161" s="9" t="s">
        <v>60</v>
      </c>
      <c r="H161" s="9" t="s">
        <v>66</v>
      </c>
      <c r="I161" s="9">
        <v>180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110</v>
      </c>
      <c r="T161" s="12">
        <v>45925</v>
      </c>
      <c r="U161" s="11">
        <v>5000</v>
      </c>
      <c r="V161" s="10">
        <v>0</v>
      </c>
      <c r="W161" s="10">
        <v>5000</v>
      </c>
      <c r="X161" s="10">
        <v>0</v>
      </c>
      <c r="Y161" s="10">
        <v>0</v>
      </c>
      <c r="Z161" s="9" t="s">
        <v>127</v>
      </c>
      <c r="AA161" s="8">
        <v>6775.4500000000007</v>
      </c>
      <c r="AB161" s="8">
        <v>0</v>
      </c>
      <c r="AC161" s="8">
        <v>6775.4500000000007</v>
      </c>
      <c r="AD161" s="8">
        <v>0</v>
      </c>
      <c r="AE161" s="8">
        <v>6775.4500000000007</v>
      </c>
      <c r="AF161" s="8">
        <v>0</v>
      </c>
      <c r="AG161" s="1">
        <v>0</v>
      </c>
      <c r="AH161" s="1" t="s">
        <v>146</v>
      </c>
      <c r="AI161" s="1">
        <v>2</v>
      </c>
      <c r="AJ161" s="3">
        <v>45925</v>
      </c>
      <c r="AK161" s="3">
        <v>45923</v>
      </c>
      <c r="AL161" s="3">
        <v>0</v>
      </c>
      <c r="AM161" s="3">
        <v>0</v>
      </c>
      <c r="AN161" s="3">
        <v>0</v>
      </c>
      <c r="AO161" s="3">
        <v>45924</v>
      </c>
      <c r="AP161" s="3">
        <v>45920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143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761.48529722222236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28</v>
      </c>
      <c r="F162" s="9">
        <v>43</v>
      </c>
      <c r="G162" s="9">
        <v>0</v>
      </c>
      <c r="H162" s="9">
        <v>0</v>
      </c>
      <c r="I162" s="9">
        <v>130</v>
      </c>
      <c r="J162" s="9" t="s">
        <v>57</v>
      </c>
      <c r="K162" s="9">
        <v>3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127</v>
      </c>
      <c r="AA162" s="8">
        <v>66147.95</v>
      </c>
      <c r="AB162" s="8">
        <v>12130</v>
      </c>
      <c r="AC162" s="8">
        <v>54017.95</v>
      </c>
      <c r="AD162" s="8">
        <v>0</v>
      </c>
      <c r="AE162" s="8">
        <v>6775.4500000000007</v>
      </c>
      <c r="AF162" s="8" t="s">
        <v>58</v>
      </c>
      <c r="AG162" s="1">
        <v>0</v>
      </c>
      <c r="AH162" s="1">
        <v>0</v>
      </c>
      <c r="AI162" s="1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149</v>
      </c>
      <c r="BD162" s="56">
        <v>0</v>
      </c>
    </row>
  </sheetData>
  <autoFilter ref="A5:BD162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62">
    <cfRule type="expression" dxfId="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A371C-F6B1-4723-88B4-4DD58F97E567}">
  <sheetPr>
    <tabColor rgb="FFFFFF00"/>
  </sheetPr>
  <dimension ref="A1:BD146"/>
  <sheetViews>
    <sheetView topLeftCell="A94" zoomScale="80" zoomScaleNormal="80" workbookViewId="0">
      <selection activeCell="Z111" sqref="Z11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45904</v>
      </c>
      <c r="E3" s="82" t="s">
        <v>52</v>
      </c>
      <c r="F3" s="82"/>
      <c r="G3" s="83">
        <v>10.01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383</v>
      </c>
      <c r="C6" s="9" t="s">
        <v>233</v>
      </c>
      <c r="D6" s="13" t="s">
        <v>379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>
        <v>45908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234</v>
      </c>
      <c r="AA6" s="8">
        <v>3702.0499999999997</v>
      </c>
      <c r="AB6" s="8">
        <v>3702.0499999999997</v>
      </c>
      <c r="AC6" s="8">
        <v>0</v>
      </c>
      <c r="AD6" s="8">
        <v>0</v>
      </c>
      <c r="AE6" s="8">
        <v>3702.0499999999997</v>
      </c>
      <c r="AF6" s="8">
        <v>0</v>
      </c>
      <c r="AG6" s="1" t="s">
        <v>119</v>
      </c>
      <c r="AH6" s="1" t="s">
        <v>68</v>
      </c>
      <c r="AI6" s="1">
        <v>4</v>
      </c>
      <c r="AJ6" s="3">
        <v>45908</v>
      </c>
      <c r="AK6" s="3">
        <v>45904</v>
      </c>
      <c r="AL6" s="3">
        <v>45898</v>
      </c>
      <c r="AM6" s="3">
        <v>45905</v>
      </c>
      <c r="AN6" s="3">
        <v>45906</v>
      </c>
      <c r="AO6" s="3">
        <v>45906</v>
      </c>
      <c r="AP6" s="3">
        <v>45903</v>
      </c>
      <c r="AQ6" s="3">
        <v>45907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360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3702.0499999999997</v>
      </c>
      <c r="AF7" s="8" t="s">
        <v>58</v>
      </c>
      <c r="AG7" s="1" t="s">
        <v>116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384</v>
      </c>
      <c r="C8" s="9" t="s">
        <v>73</v>
      </c>
      <c r="D8" s="13" t="s">
        <v>412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45909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386</v>
      </c>
      <c r="AA8" s="8">
        <v>3702.0499999999997</v>
      </c>
      <c r="AB8" s="8">
        <v>2500</v>
      </c>
      <c r="AC8" s="8">
        <v>1202.0499999999997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45909</v>
      </c>
      <c r="AK8" s="3">
        <v>0</v>
      </c>
      <c r="AL8" s="3">
        <v>45900</v>
      </c>
      <c r="AM8" s="3">
        <v>45907</v>
      </c>
      <c r="AN8" s="3">
        <v>45908</v>
      </c>
      <c r="AO8" s="3">
        <v>45908</v>
      </c>
      <c r="AP8" s="3">
        <v>45904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73.512035555555556</v>
      </c>
    </row>
    <row r="9" spans="1:56" ht="27.75" customHeight="1" x14ac:dyDescent="0.45">
      <c r="A9" s="3">
        <v>45897</v>
      </c>
      <c r="B9" s="14" t="s">
        <v>384</v>
      </c>
      <c r="C9" s="9" t="s">
        <v>73</v>
      </c>
      <c r="D9" s="13" t="s">
        <v>413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141</v>
      </c>
      <c r="T9" s="12">
        <v>45909</v>
      </c>
      <c r="U9" s="11">
        <v>5000</v>
      </c>
      <c r="V9" s="10">
        <v>0</v>
      </c>
      <c r="W9" s="10">
        <v>5000</v>
      </c>
      <c r="X9" s="10">
        <v>735</v>
      </c>
      <c r="Y9" s="10">
        <v>4478.25</v>
      </c>
      <c r="Z9" s="9" t="s">
        <v>386</v>
      </c>
      <c r="AA9" s="8">
        <v>3315.7410825000002</v>
      </c>
      <c r="AB9" s="8">
        <v>0</v>
      </c>
      <c r="AC9" s="8">
        <v>3315.7410825000002</v>
      </c>
      <c r="AD9" s="8">
        <v>0</v>
      </c>
      <c r="AE9" s="8">
        <v>0</v>
      </c>
      <c r="AF9" s="8">
        <v>0</v>
      </c>
      <c r="AG9" s="1" t="s">
        <v>115</v>
      </c>
      <c r="AH9" s="1" t="s">
        <v>74</v>
      </c>
      <c r="AI9" s="1">
        <v>2</v>
      </c>
      <c r="AJ9" s="3">
        <v>45909</v>
      </c>
      <c r="AK9" s="3">
        <v>0</v>
      </c>
      <c r="AL9" s="3">
        <v>45900</v>
      </c>
      <c r="AM9" s="3">
        <v>45907</v>
      </c>
      <c r="AN9" s="3">
        <v>45908</v>
      </c>
      <c r="AO9" s="3">
        <v>45908</v>
      </c>
      <c r="AP9" s="3">
        <v>45904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202.77598797866671</v>
      </c>
    </row>
    <row r="10" spans="1:56" ht="27.75" customHeight="1" x14ac:dyDescent="0.45">
      <c r="A10" s="3">
        <v>45897</v>
      </c>
      <c r="B10" s="14" t="s">
        <v>384</v>
      </c>
      <c r="C10" s="9" t="s">
        <v>73</v>
      </c>
      <c r="D10" s="13" t="s">
        <v>432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141</v>
      </c>
      <c r="T10" s="12">
        <v>45925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386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45925</v>
      </c>
      <c r="AK10" s="3">
        <v>0</v>
      </c>
      <c r="AL10" s="3">
        <v>45916</v>
      </c>
      <c r="AM10" s="3">
        <v>45923</v>
      </c>
      <c r="AN10" s="3">
        <v>45924</v>
      </c>
      <c r="AO10" s="3">
        <v>45924</v>
      </c>
      <c r="AP10" s="3">
        <v>45920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226.40092444444446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386</v>
      </c>
      <c r="AA11" s="8">
        <v>10719.841082499999</v>
      </c>
      <c r="AB11" s="8">
        <v>2500</v>
      </c>
      <c r="AC11" s="8">
        <v>8219.8410824999992</v>
      </c>
      <c r="AD11" s="8">
        <v>0</v>
      </c>
      <c r="AE11" s="8">
        <v>0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129</v>
      </c>
      <c r="BD11" s="56">
        <v>0</v>
      </c>
    </row>
    <row r="12" spans="1:56" ht="27.75" customHeight="1" x14ac:dyDescent="0.45">
      <c r="A12" s="3" t="s">
        <v>135</v>
      </c>
      <c r="B12" s="14" t="s">
        <v>135</v>
      </c>
      <c r="C12" s="9" t="s">
        <v>211</v>
      </c>
      <c r="D12" s="13" t="s">
        <v>236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133</v>
      </c>
      <c r="AA12" s="8">
        <v>13201.65</v>
      </c>
      <c r="AB12" s="8">
        <v>2599</v>
      </c>
      <c r="AC12" s="8">
        <v>10602.65</v>
      </c>
      <c r="AD12" s="8">
        <v>0</v>
      </c>
      <c r="AE12" s="8">
        <v>0</v>
      </c>
      <c r="AF12" s="8">
        <v>0</v>
      </c>
      <c r="AG12" s="1" t="s">
        <v>115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729.46232000000009</v>
      </c>
    </row>
    <row r="13" spans="1:56" ht="27.75" customHeight="1" x14ac:dyDescent="0.45">
      <c r="A13" s="3">
        <v>0</v>
      </c>
      <c r="B13" s="14">
        <v>0</v>
      </c>
      <c r="C13" s="9" t="s">
        <v>201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133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45901</v>
      </c>
      <c r="B14" s="14" t="s">
        <v>433</v>
      </c>
      <c r="C14" s="9" t="s">
        <v>422</v>
      </c>
      <c r="D14" s="13" t="s">
        <v>444</v>
      </c>
      <c r="E14" s="9">
        <v>18</v>
      </c>
      <c r="F14" s="9">
        <v>26</v>
      </c>
      <c r="G14" s="9" t="s">
        <v>60</v>
      </c>
      <c r="H14" s="9" t="s">
        <v>66</v>
      </c>
      <c r="I14" s="9">
        <v>65</v>
      </c>
      <c r="J14" s="9" t="s">
        <v>57</v>
      </c>
      <c r="K14" s="9">
        <v>5</v>
      </c>
      <c r="L14" s="9" t="s">
        <v>91</v>
      </c>
      <c r="M14" s="10">
        <v>19</v>
      </c>
      <c r="N14" s="9">
        <v>29</v>
      </c>
      <c r="O14" s="9">
        <v>40</v>
      </c>
      <c r="P14" s="10">
        <v>67.968380191999998</v>
      </c>
      <c r="Q14" s="10">
        <v>0</v>
      </c>
      <c r="R14" s="10">
        <v>67.968380191999998</v>
      </c>
      <c r="S14" s="9" t="s">
        <v>67</v>
      </c>
      <c r="T14" s="12">
        <v>45912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424</v>
      </c>
      <c r="AA14" s="8">
        <v>3841.7500000000005</v>
      </c>
      <c r="AB14" s="8">
        <v>3841.7500000000005</v>
      </c>
      <c r="AC14" s="8">
        <v>0</v>
      </c>
      <c r="AD14" s="8">
        <v>0</v>
      </c>
      <c r="AE14" s="8">
        <v>3841.7500000000005</v>
      </c>
      <c r="AF14" s="8">
        <v>0</v>
      </c>
      <c r="AG14" s="1" t="s">
        <v>116</v>
      </c>
      <c r="AH14" s="1" t="s">
        <v>68</v>
      </c>
      <c r="AI14" s="1">
        <v>4</v>
      </c>
      <c r="AJ14" s="3">
        <v>45912</v>
      </c>
      <c r="AK14" s="3">
        <v>45908</v>
      </c>
      <c r="AL14" s="3">
        <v>45902</v>
      </c>
      <c r="AM14" s="3">
        <v>45909</v>
      </c>
      <c r="AN14" s="3">
        <v>45910</v>
      </c>
      <c r="AO14" s="3">
        <v>45910</v>
      </c>
      <c r="AP14" s="3">
        <v>45907</v>
      </c>
      <c r="AQ14" s="3">
        <v>45911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424</v>
      </c>
      <c r="AA15" s="8">
        <v>3841.7500000000005</v>
      </c>
      <c r="AB15" s="8">
        <v>3841.7500000000005</v>
      </c>
      <c r="AC15" s="8">
        <v>0</v>
      </c>
      <c r="AD15" s="8">
        <v>0</v>
      </c>
      <c r="AE15" s="8">
        <v>3841.7500000000005</v>
      </c>
      <c r="AF15" s="8" t="s">
        <v>58</v>
      </c>
      <c r="AG15" s="1" t="s">
        <v>61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425</v>
      </c>
      <c r="BD15" s="56">
        <v>0</v>
      </c>
    </row>
    <row r="16" spans="1:56" ht="27.75" customHeight="1" x14ac:dyDescent="0.45">
      <c r="A16" s="3">
        <v>45898</v>
      </c>
      <c r="B16" s="14" t="s">
        <v>414</v>
      </c>
      <c r="C16" s="9" t="s">
        <v>136</v>
      </c>
      <c r="D16" s="13" t="s">
        <v>124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45910</v>
      </c>
      <c r="U16" s="11">
        <v>50000</v>
      </c>
      <c r="V16" s="10">
        <v>0</v>
      </c>
      <c r="W16" s="10">
        <v>50000</v>
      </c>
      <c r="X16" s="10">
        <v>0</v>
      </c>
      <c r="Y16" s="10">
        <v>52500</v>
      </c>
      <c r="Z16" s="9" t="s">
        <v>168</v>
      </c>
      <c r="AA16" s="8">
        <v>44005.499999999993</v>
      </c>
      <c r="AB16" s="8">
        <v>24047</v>
      </c>
      <c r="AC16" s="8">
        <v>19958.499999999993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45910</v>
      </c>
      <c r="AK16" s="3">
        <v>0</v>
      </c>
      <c r="AL16" s="3">
        <v>45901</v>
      </c>
      <c r="AM16" s="3">
        <v>45908</v>
      </c>
      <c r="AN16" s="3">
        <v>45909</v>
      </c>
      <c r="AO16" s="3">
        <v>45909</v>
      </c>
      <c r="AP16" s="3">
        <v>45905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1449.4306222222219</v>
      </c>
    </row>
    <row r="17" spans="1:56" ht="27.75" customHeight="1" x14ac:dyDescent="0.45">
      <c r="A17" s="3">
        <v>45898</v>
      </c>
      <c r="B17" s="14" t="s">
        <v>415</v>
      </c>
      <c r="C17" s="9" t="s">
        <v>136</v>
      </c>
      <c r="D17" s="13" t="s">
        <v>199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45910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168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45910</v>
      </c>
      <c r="AK17" s="3">
        <v>0</v>
      </c>
      <c r="AL17" s="3">
        <v>45901</v>
      </c>
      <c r="AM17" s="3">
        <v>45908</v>
      </c>
      <c r="AN17" s="3">
        <v>45909</v>
      </c>
      <c r="AO17" s="3">
        <v>45909</v>
      </c>
      <c r="AP17" s="3">
        <v>45905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2556.6217600000009</v>
      </c>
    </row>
    <row r="18" spans="1:56" ht="27.75" customHeight="1" x14ac:dyDescent="0.45">
      <c r="A18" s="3" t="s">
        <v>135</v>
      </c>
      <c r="B18" s="14" t="s">
        <v>135</v>
      </c>
      <c r="C18" s="9" t="s">
        <v>237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45925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168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115</v>
      </c>
      <c r="AH18" s="1" t="s">
        <v>74</v>
      </c>
      <c r="AI18" s="1">
        <v>2</v>
      </c>
      <c r="AJ18" s="3">
        <v>45925</v>
      </c>
      <c r="AK18" s="3">
        <v>0</v>
      </c>
      <c r="AL18" s="3">
        <v>45916</v>
      </c>
      <c r="AM18" s="3">
        <v>45923</v>
      </c>
      <c r="AN18" s="3">
        <v>45924</v>
      </c>
      <c r="AO18" s="3">
        <v>45924</v>
      </c>
      <c r="AP18" s="3">
        <v>45920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45">
      <c r="A19" s="3" t="s">
        <v>135</v>
      </c>
      <c r="B19" s="14" t="s">
        <v>135</v>
      </c>
      <c r="C19" s="9" t="s">
        <v>204</v>
      </c>
      <c r="D19" s="13" t="s">
        <v>205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45925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168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117</v>
      </c>
      <c r="AH19" s="1" t="s">
        <v>72</v>
      </c>
      <c r="AI19" s="1">
        <v>3</v>
      </c>
      <c r="AJ19" s="3">
        <v>45925</v>
      </c>
      <c r="AK19" s="3">
        <v>0</v>
      </c>
      <c r="AL19" s="3">
        <v>45915</v>
      </c>
      <c r="AM19" s="3">
        <v>45922</v>
      </c>
      <c r="AN19" s="3">
        <v>45923</v>
      </c>
      <c r="AO19" s="3">
        <v>45923</v>
      </c>
      <c r="AP19" s="3">
        <v>45920</v>
      </c>
      <c r="AQ19" s="3">
        <v>45924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1343.6356095653334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168</v>
      </c>
      <c r="AA20" s="8">
        <v>132916.01432999998</v>
      </c>
      <c r="AB20" s="8">
        <v>24047</v>
      </c>
      <c r="AC20" s="8">
        <v>108869.01432999999</v>
      </c>
      <c r="AD20" s="8">
        <v>0</v>
      </c>
      <c r="AE20" s="8">
        <v>0</v>
      </c>
      <c r="AF20" s="8" t="s">
        <v>58</v>
      </c>
      <c r="AG20" s="1" t="s">
        <v>115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45896</v>
      </c>
      <c r="B21" s="14" t="s">
        <v>387</v>
      </c>
      <c r="C21" s="9" t="s">
        <v>73</v>
      </c>
      <c r="D21" s="13" t="s">
        <v>288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45906</v>
      </c>
      <c r="U21" s="11">
        <v>10000</v>
      </c>
      <c r="V21" s="10">
        <v>10000</v>
      </c>
      <c r="W21" s="10">
        <v>0</v>
      </c>
      <c r="X21" s="10">
        <v>10500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115</v>
      </c>
      <c r="AH21" s="1" t="s">
        <v>74</v>
      </c>
      <c r="AI21" s="1">
        <v>2</v>
      </c>
      <c r="AJ21" s="3">
        <v>45906</v>
      </c>
      <c r="AK21" s="3">
        <v>0</v>
      </c>
      <c r="AL21" s="3">
        <v>45897</v>
      </c>
      <c r="AM21" s="3">
        <v>45904</v>
      </c>
      <c r="AN21" s="3">
        <v>45905</v>
      </c>
      <c r="AO21" s="3">
        <v>45905</v>
      </c>
      <c r="AP21" s="3">
        <v>45901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45896</v>
      </c>
      <c r="B22" s="14" t="s">
        <v>387</v>
      </c>
      <c r="C22" s="9" t="s">
        <v>73</v>
      </c>
      <c r="D22" s="13" t="s">
        <v>282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45906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116</v>
      </c>
      <c r="AH22" s="1" t="s">
        <v>74</v>
      </c>
      <c r="AI22" s="1">
        <v>2</v>
      </c>
      <c r="AJ22" s="3">
        <v>45906</v>
      </c>
      <c r="AK22" s="3">
        <v>0</v>
      </c>
      <c r="AL22" s="3">
        <v>45897</v>
      </c>
      <c r="AM22" s="3">
        <v>45904</v>
      </c>
      <c r="AN22" s="3">
        <v>45905</v>
      </c>
      <c r="AO22" s="3">
        <v>45905</v>
      </c>
      <c r="AP22" s="3">
        <v>45901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45896</v>
      </c>
      <c r="B23" s="14" t="s">
        <v>387</v>
      </c>
      <c r="C23" s="9" t="s">
        <v>73</v>
      </c>
      <c r="D23" s="13" t="s">
        <v>248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45906</v>
      </c>
      <c r="U23" s="11">
        <v>5000</v>
      </c>
      <c r="V23" s="10">
        <v>5746</v>
      </c>
      <c r="W23" s="10">
        <v>0</v>
      </c>
      <c r="X23" s="10">
        <v>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117</v>
      </c>
      <c r="AH23" s="1" t="s">
        <v>74</v>
      </c>
      <c r="AI23" s="1">
        <v>2</v>
      </c>
      <c r="AJ23" s="3">
        <v>45906</v>
      </c>
      <c r="AK23" s="3">
        <v>0</v>
      </c>
      <c r="AL23" s="3">
        <v>45897</v>
      </c>
      <c r="AM23" s="3">
        <v>45904</v>
      </c>
      <c r="AN23" s="3">
        <v>45905</v>
      </c>
      <c r="AO23" s="3">
        <v>45905</v>
      </c>
      <c r="AP23" s="3">
        <v>45901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45896</v>
      </c>
      <c r="B24" s="14" t="s">
        <v>387</v>
      </c>
      <c r="C24" s="9" t="s">
        <v>73</v>
      </c>
      <c r="D24" s="13" t="s">
        <v>393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45906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116</v>
      </c>
      <c r="AH24" s="1" t="s">
        <v>74</v>
      </c>
      <c r="AI24" s="1">
        <v>2</v>
      </c>
      <c r="AJ24" s="3">
        <v>45906</v>
      </c>
      <c r="AK24" s="3">
        <v>0</v>
      </c>
      <c r="AL24" s="3">
        <v>45897</v>
      </c>
      <c r="AM24" s="3">
        <v>45904</v>
      </c>
      <c r="AN24" s="3">
        <v>45905</v>
      </c>
      <c r="AO24" s="3">
        <v>45905</v>
      </c>
      <c r="AP24" s="3">
        <v>45901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45896</v>
      </c>
      <c r="B25" s="14" t="s">
        <v>387</v>
      </c>
      <c r="C25" s="9" t="s">
        <v>73</v>
      </c>
      <c r="D25" s="13" t="s">
        <v>305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45906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172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>
        <v>0</v>
      </c>
      <c r="AG25" s="1" t="s">
        <v>115</v>
      </c>
      <c r="AH25" s="1" t="s">
        <v>74</v>
      </c>
      <c r="AI25" s="1">
        <v>2</v>
      </c>
      <c r="AJ25" s="3">
        <v>45906</v>
      </c>
      <c r="AK25" s="3">
        <v>0</v>
      </c>
      <c r="AL25" s="3">
        <v>45897</v>
      </c>
      <c r="AM25" s="3">
        <v>45904</v>
      </c>
      <c r="AN25" s="3">
        <v>45905</v>
      </c>
      <c r="AO25" s="3">
        <v>45905</v>
      </c>
      <c r="AP25" s="3">
        <v>45901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45896</v>
      </c>
      <c r="B26" s="14" t="s">
        <v>390</v>
      </c>
      <c r="C26" s="9" t="s">
        <v>73</v>
      </c>
      <c r="D26" s="13" t="s">
        <v>265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45906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116</v>
      </c>
      <c r="AH26" s="1" t="s">
        <v>74</v>
      </c>
      <c r="AI26" s="1">
        <v>2</v>
      </c>
      <c r="AJ26" s="3">
        <v>45906</v>
      </c>
      <c r="AK26" s="3">
        <v>0</v>
      </c>
      <c r="AL26" s="3">
        <v>45897</v>
      </c>
      <c r="AM26" s="3">
        <v>45904</v>
      </c>
      <c r="AN26" s="3">
        <v>45905</v>
      </c>
      <c r="AO26" s="3">
        <v>45905</v>
      </c>
      <c r="AP26" s="3">
        <v>45901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45896</v>
      </c>
      <c r="B27" s="14" t="s">
        <v>390</v>
      </c>
      <c r="C27" s="9" t="s">
        <v>73</v>
      </c>
      <c r="D27" s="13" t="s">
        <v>291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45906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172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>
        <v>0</v>
      </c>
      <c r="AG27" s="1" t="s">
        <v>115</v>
      </c>
      <c r="AH27" s="1" t="s">
        <v>74</v>
      </c>
      <c r="AI27" s="1">
        <v>2</v>
      </c>
      <c r="AJ27" s="3">
        <v>45906</v>
      </c>
      <c r="AK27" s="3">
        <v>0</v>
      </c>
      <c r="AL27" s="3">
        <v>45897</v>
      </c>
      <c r="AM27" s="3">
        <v>45904</v>
      </c>
      <c r="AN27" s="3">
        <v>45905</v>
      </c>
      <c r="AO27" s="3">
        <v>45905</v>
      </c>
      <c r="AP27" s="3">
        <v>45901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45896</v>
      </c>
      <c r="B28" s="14" t="s">
        <v>390</v>
      </c>
      <c r="C28" s="9" t="s">
        <v>73</v>
      </c>
      <c r="D28" s="13" t="s">
        <v>292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45906</v>
      </c>
      <c r="U28" s="11">
        <v>5000</v>
      </c>
      <c r="V28" s="10">
        <v>4500</v>
      </c>
      <c r="W28" s="10">
        <v>500</v>
      </c>
      <c r="X28" s="10">
        <v>5250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115</v>
      </c>
      <c r="AH28" s="1" t="s">
        <v>74</v>
      </c>
      <c r="AI28" s="1">
        <v>2</v>
      </c>
      <c r="AJ28" s="3">
        <v>45906</v>
      </c>
      <c r="AK28" s="3">
        <v>0</v>
      </c>
      <c r="AL28" s="3">
        <v>45897</v>
      </c>
      <c r="AM28" s="3">
        <v>45904</v>
      </c>
      <c r="AN28" s="3">
        <v>45905</v>
      </c>
      <c r="AO28" s="3">
        <v>45905</v>
      </c>
      <c r="AP28" s="3">
        <v>45901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45896</v>
      </c>
      <c r="B29" s="14" t="s">
        <v>387</v>
      </c>
      <c r="C29" s="9" t="s">
        <v>73</v>
      </c>
      <c r="D29" s="13" t="s">
        <v>289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45909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172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>
        <v>0</v>
      </c>
      <c r="AG29" s="1" t="s">
        <v>117</v>
      </c>
      <c r="AH29" s="1" t="s">
        <v>74</v>
      </c>
      <c r="AI29" s="1">
        <v>2</v>
      </c>
      <c r="AJ29" s="3">
        <v>45909</v>
      </c>
      <c r="AK29" s="3">
        <v>0</v>
      </c>
      <c r="AL29" s="3">
        <v>45900</v>
      </c>
      <c r="AM29" s="3">
        <v>45907</v>
      </c>
      <c r="AN29" s="3">
        <v>45908</v>
      </c>
      <c r="AO29" s="3">
        <v>45908</v>
      </c>
      <c r="AP29" s="3">
        <v>45904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45896</v>
      </c>
      <c r="B30" s="14" t="s">
        <v>387</v>
      </c>
      <c r="C30" s="9" t="s">
        <v>73</v>
      </c>
      <c r="D30" s="13" t="s">
        <v>281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45909</v>
      </c>
      <c r="U30" s="11">
        <v>5000</v>
      </c>
      <c r="V30" s="10">
        <v>5000</v>
      </c>
      <c r="W30" s="10">
        <v>0</v>
      </c>
      <c r="X30" s="10">
        <v>5250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115</v>
      </c>
      <c r="AH30" s="1" t="s">
        <v>74</v>
      </c>
      <c r="AI30" s="1">
        <v>2</v>
      </c>
      <c r="AJ30" s="3">
        <v>45909</v>
      </c>
      <c r="AK30" s="3">
        <v>0</v>
      </c>
      <c r="AL30" s="3">
        <v>45900</v>
      </c>
      <c r="AM30" s="3">
        <v>45907</v>
      </c>
      <c r="AN30" s="3">
        <v>45908</v>
      </c>
      <c r="AO30" s="3">
        <v>45908</v>
      </c>
      <c r="AP30" s="3">
        <v>45904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45896</v>
      </c>
      <c r="B31" s="14" t="s">
        <v>387</v>
      </c>
      <c r="C31" s="9" t="s">
        <v>73</v>
      </c>
      <c r="D31" s="13" t="s">
        <v>275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45909</v>
      </c>
      <c r="U31" s="11">
        <v>5000</v>
      </c>
      <c r="V31" s="10">
        <v>5000</v>
      </c>
      <c r="W31" s="10">
        <v>0</v>
      </c>
      <c r="X31" s="10">
        <v>5250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116</v>
      </c>
      <c r="AH31" s="1" t="s">
        <v>74</v>
      </c>
      <c r="AI31" s="1">
        <v>2</v>
      </c>
      <c r="AJ31" s="3">
        <v>45909</v>
      </c>
      <c r="AK31" s="3">
        <v>0</v>
      </c>
      <c r="AL31" s="3">
        <v>45900</v>
      </c>
      <c r="AM31" s="3">
        <v>45907</v>
      </c>
      <c r="AN31" s="3">
        <v>45908</v>
      </c>
      <c r="AO31" s="3">
        <v>45908</v>
      </c>
      <c r="AP31" s="3">
        <v>45904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45896</v>
      </c>
      <c r="B32" s="14" t="s">
        <v>387</v>
      </c>
      <c r="C32" s="9" t="s">
        <v>73</v>
      </c>
      <c r="D32" s="13" t="s">
        <v>301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45909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116</v>
      </c>
      <c r="AH32" s="1" t="s">
        <v>74</v>
      </c>
      <c r="AI32" s="1">
        <v>2</v>
      </c>
      <c r="AJ32" s="3">
        <v>45909</v>
      </c>
      <c r="AK32" s="3">
        <v>0</v>
      </c>
      <c r="AL32" s="3">
        <v>45900</v>
      </c>
      <c r="AM32" s="3">
        <v>45907</v>
      </c>
      <c r="AN32" s="3">
        <v>45908</v>
      </c>
      <c r="AO32" s="3">
        <v>45908</v>
      </c>
      <c r="AP32" s="3">
        <v>45904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45896</v>
      </c>
      <c r="B33" s="14" t="s">
        <v>387</v>
      </c>
      <c r="C33" s="9" t="s">
        <v>73</v>
      </c>
      <c r="D33" s="13" t="s">
        <v>292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45909</v>
      </c>
      <c r="U33" s="11">
        <v>5000</v>
      </c>
      <c r="V33" s="10">
        <v>5000</v>
      </c>
      <c r="W33" s="10">
        <v>0</v>
      </c>
      <c r="X33" s="10">
        <v>5250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117</v>
      </c>
      <c r="AH33" s="1" t="s">
        <v>74</v>
      </c>
      <c r="AI33" s="1">
        <v>2</v>
      </c>
      <c r="AJ33" s="3">
        <v>45909</v>
      </c>
      <c r="AK33" s="3">
        <v>0</v>
      </c>
      <c r="AL33" s="3">
        <v>45900</v>
      </c>
      <c r="AM33" s="3">
        <v>45907</v>
      </c>
      <c r="AN33" s="3">
        <v>45908</v>
      </c>
      <c r="AO33" s="3">
        <v>45908</v>
      </c>
      <c r="AP33" s="3">
        <v>45904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45898</v>
      </c>
      <c r="B34" s="14" t="s">
        <v>390</v>
      </c>
      <c r="C34" s="9" t="s">
        <v>73</v>
      </c>
      <c r="D34" s="13" t="s">
        <v>293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45909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>
        <v>0</v>
      </c>
      <c r="AG34" s="1" t="s">
        <v>61</v>
      </c>
      <c r="AH34" s="1" t="s">
        <v>74</v>
      </c>
      <c r="AI34" s="1">
        <v>2</v>
      </c>
      <c r="AJ34" s="3">
        <v>45909</v>
      </c>
      <c r="AK34" s="3">
        <v>0</v>
      </c>
      <c r="AL34" s="3">
        <v>45900</v>
      </c>
      <c r="AM34" s="3">
        <v>45907</v>
      </c>
      <c r="AN34" s="3">
        <v>45908</v>
      </c>
      <c r="AO34" s="3">
        <v>45908</v>
      </c>
      <c r="AP34" s="3">
        <v>45904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45898</v>
      </c>
      <c r="B35" s="14" t="s">
        <v>390</v>
      </c>
      <c r="C35" s="9" t="s">
        <v>73</v>
      </c>
      <c r="D35" s="13" t="s">
        <v>266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45909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172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>
        <v>0</v>
      </c>
      <c r="AG35" s="1" t="s">
        <v>115</v>
      </c>
      <c r="AH35" s="1" t="s">
        <v>74</v>
      </c>
      <c r="AI35" s="1">
        <v>2</v>
      </c>
      <c r="AJ35" s="3">
        <v>45909</v>
      </c>
      <c r="AK35" s="3">
        <v>0</v>
      </c>
      <c r="AL35" s="3">
        <v>45900</v>
      </c>
      <c r="AM35" s="3">
        <v>45907</v>
      </c>
      <c r="AN35" s="3">
        <v>45908</v>
      </c>
      <c r="AO35" s="3">
        <v>45908</v>
      </c>
      <c r="AP35" s="3">
        <v>45904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45898</v>
      </c>
      <c r="B36" s="14" t="s">
        <v>390</v>
      </c>
      <c r="C36" s="9" t="s">
        <v>73</v>
      </c>
      <c r="D36" s="13" t="s">
        <v>290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45909</v>
      </c>
      <c r="U36" s="11">
        <v>5000</v>
      </c>
      <c r="V36" s="10">
        <v>0</v>
      </c>
      <c r="W36" s="10">
        <v>5000</v>
      </c>
      <c r="X36" s="10">
        <v>5400</v>
      </c>
      <c r="Y36" s="10">
        <v>0</v>
      </c>
      <c r="Z36" s="9" t="s">
        <v>172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115</v>
      </c>
      <c r="AH36" s="1" t="s">
        <v>74</v>
      </c>
      <c r="AI36" s="1">
        <v>2</v>
      </c>
      <c r="AJ36" s="3">
        <v>45909</v>
      </c>
      <c r="AK36" s="3">
        <v>0</v>
      </c>
      <c r="AL36" s="3">
        <v>45900</v>
      </c>
      <c r="AM36" s="3">
        <v>45907</v>
      </c>
      <c r="AN36" s="3">
        <v>45908</v>
      </c>
      <c r="AO36" s="3">
        <v>45908</v>
      </c>
      <c r="AP36" s="3">
        <v>45904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 t="s">
        <v>135</v>
      </c>
      <c r="B37" s="14" t="s">
        <v>135</v>
      </c>
      <c r="C37" s="9" t="s">
        <v>73</v>
      </c>
      <c r="D37" s="13" t="s">
        <v>61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45930</v>
      </c>
      <c r="U37" s="11">
        <v>270000</v>
      </c>
      <c r="V37" s="10">
        <v>0</v>
      </c>
      <c r="W37" s="10">
        <v>270000</v>
      </c>
      <c r="X37" s="10">
        <v>0</v>
      </c>
      <c r="Y37" s="10">
        <v>283500</v>
      </c>
      <c r="Z37" s="9" t="s">
        <v>172</v>
      </c>
      <c r="AA37" s="8">
        <v>252717.30000000002</v>
      </c>
      <c r="AB37" s="8">
        <v>42261</v>
      </c>
      <c r="AC37" s="8">
        <v>210456.30000000002</v>
      </c>
      <c r="AD37" s="8">
        <v>0</v>
      </c>
      <c r="AE37" s="8">
        <v>0</v>
      </c>
      <c r="AF37" s="8">
        <v>0</v>
      </c>
      <c r="AG37" s="1" t="s">
        <v>115</v>
      </c>
      <c r="AH37" s="1" t="s">
        <v>74</v>
      </c>
      <c r="AI37" s="1">
        <v>2</v>
      </c>
      <c r="AJ37" s="3">
        <v>45930</v>
      </c>
      <c r="AK37" s="3">
        <v>0</v>
      </c>
      <c r="AL37" s="3">
        <v>45921</v>
      </c>
      <c r="AM37" s="3">
        <v>45928</v>
      </c>
      <c r="AN37" s="3">
        <v>45929</v>
      </c>
      <c r="AO37" s="3">
        <v>45929</v>
      </c>
      <c r="AP37" s="3">
        <v>45925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15852.503877333334</v>
      </c>
    </row>
    <row r="38" spans="1:56" ht="27.75" customHeight="1" x14ac:dyDescent="0.45">
      <c r="A38" s="3">
        <v>0</v>
      </c>
      <c r="B38" s="14">
        <v>0</v>
      </c>
      <c r="C38" s="9">
        <v>0</v>
      </c>
      <c r="D38" s="13">
        <v>0</v>
      </c>
      <c r="E38" s="9">
        <v>19</v>
      </c>
      <c r="F38" s="9">
        <v>30</v>
      </c>
      <c r="G38" s="9">
        <v>0</v>
      </c>
      <c r="H38" s="9">
        <v>0</v>
      </c>
      <c r="I38" s="9">
        <v>63</v>
      </c>
      <c r="J38" s="9" t="s">
        <v>78</v>
      </c>
      <c r="K38" s="9">
        <v>5</v>
      </c>
      <c r="L38" s="9">
        <v>0</v>
      </c>
      <c r="M38" s="10">
        <v>0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>
        <v>0</v>
      </c>
      <c r="T38" s="12"/>
      <c r="U38" s="11">
        <v>0</v>
      </c>
      <c r="V38" s="10">
        <v>0</v>
      </c>
      <c r="W38" s="10">
        <v>0</v>
      </c>
      <c r="X38" s="10">
        <v>0</v>
      </c>
      <c r="Y38" s="10">
        <v>0</v>
      </c>
      <c r="Z38" s="9" t="s">
        <v>172</v>
      </c>
      <c r="AA38" s="8">
        <v>276117.05000000005</v>
      </c>
      <c r="AB38" s="8">
        <v>65660.75</v>
      </c>
      <c r="AC38" s="8">
        <v>210456.30000000002</v>
      </c>
      <c r="AD38" s="8">
        <v>0</v>
      </c>
      <c r="AE38" s="8">
        <v>0</v>
      </c>
      <c r="AF38" s="8" t="s">
        <v>58</v>
      </c>
      <c r="AG38" s="1" t="s">
        <v>115</v>
      </c>
      <c r="AH38" s="1">
        <v>0</v>
      </c>
      <c r="AI38" s="1" t="s">
        <v>15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174</v>
      </c>
      <c r="BD38" s="56">
        <v>0</v>
      </c>
    </row>
    <row r="39" spans="1:56" ht="27.75" customHeight="1" x14ac:dyDescent="0.45">
      <c r="A39" s="3">
        <v>45796</v>
      </c>
      <c r="B39" s="14" t="s">
        <v>255</v>
      </c>
      <c r="C39" s="9" t="s">
        <v>139</v>
      </c>
      <c r="D39" s="13" t="s">
        <v>250</v>
      </c>
      <c r="E39" s="9">
        <v>19</v>
      </c>
      <c r="F39" s="9">
        <v>34</v>
      </c>
      <c r="G39" s="9" t="s">
        <v>60</v>
      </c>
      <c r="H39" s="9" t="s">
        <v>76</v>
      </c>
      <c r="I39" s="9">
        <v>100</v>
      </c>
      <c r="J39" s="9" t="s">
        <v>57</v>
      </c>
      <c r="K39" s="9">
        <v>5</v>
      </c>
      <c r="L39" s="9" t="s">
        <v>196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108</v>
      </c>
      <c r="T39" s="12" t="s">
        <v>63</v>
      </c>
      <c r="U39" s="11">
        <v>503</v>
      </c>
      <c r="V39" s="10">
        <v>0</v>
      </c>
      <c r="W39" s="10">
        <v>503</v>
      </c>
      <c r="X39" s="10">
        <v>5250</v>
      </c>
      <c r="Y39" s="10">
        <v>0</v>
      </c>
      <c r="Z39" s="9" t="s">
        <v>112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115</v>
      </c>
      <c r="AH39" s="1" t="s">
        <v>75</v>
      </c>
      <c r="AI39" s="1">
        <v>4</v>
      </c>
      <c r="AJ39" s="3" t="s">
        <v>63</v>
      </c>
      <c r="AK39" s="3" t="e">
        <v>#VALUE!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191</v>
      </c>
      <c r="BD39" s="56">
        <v>0</v>
      </c>
    </row>
    <row r="40" spans="1:56" ht="27.75" customHeight="1" x14ac:dyDescent="0.45">
      <c r="A40" s="3">
        <v>0</v>
      </c>
      <c r="B40" s="14">
        <v>0</v>
      </c>
      <c r="C40" s="9">
        <v>0</v>
      </c>
      <c r="D40" s="13">
        <v>0</v>
      </c>
      <c r="E40" s="9">
        <v>19</v>
      </c>
      <c r="F40" s="9">
        <v>34</v>
      </c>
      <c r="G40" s="9" t="s">
        <v>60</v>
      </c>
      <c r="H40" s="9">
        <v>0</v>
      </c>
      <c r="I40" s="9">
        <v>80</v>
      </c>
      <c r="J40" s="9" t="s">
        <v>57</v>
      </c>
      <c r="K40" s="9">
        <v>5</v>
      </c>
      <c r="L40" s="9">
        <v>0</v>
      </c>
      <c r="M40" s="10">
        <v>0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>
        <v>0</v>
      </c>
      <c r="T40" s="12"/>
      <c r="U40" s="11">
        <v>0</v>
      </c>
      <c r="V40" s="10">
        <v>0</v>
      </c>
      <c r="W40" s="10">
        <v>0</v>
      </c>
      <c r="X40" s="10">
        <v>0</v>
      </c>
      <c r="Y40" s="10">
        <v>0</v>
      </c>
      <c r="Z40" s="9" t="s">
        <v>112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58</v>
      </c>
      <c r="AG40" s="1" t="s">
        <v>115</v>
      </c>
      <c r="AH40" s="1">
        <v>0</v>
      </c>
      <c r="AI40" s="1" t="s">
        <v>15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192</v>
      </c>
      <c r="BD40" s="56">
        <v>0</v>
      </c>
    </row>
    <row r="41" spans="1:56" ht="27.75" customHeight="1" x14ac:dyDescent="0.45">
      <c r="A41" s="3">
        <v>45887</v>
      </c>
      <c r="B41" s="14" t="s">
        <v>347</v>
      </c>
      <c r="C41" s="9" t="s">
        <v>139</v>
      </c>
      <c r="D41" s="13" t="s">
        <v>181</v>
      </c>
      <c r="E41" s="9">
        <v>20</v>
      </c>
      <c r="F41" s="9">
        <v>35</v>
      </c>
      <c r="G41" s="9" t="s">
        <v>60</v>
      </c>
      <c r="H41" s="9" t="s">
        <v>76</v>
      </c>
      <c r="I41" s="9">
        <v>97</v>
      </c>
      <c r="J41" s="9" t="s">
        <v>57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108</v>
      </c>
      <c r="T41" s="12">
        <v>45905</v>
      </c>
      <c r="U41" s="11">
        <v>5040</v>
      </c>
      <c r="V41" s="10">
        <v>5040</v>
      </c>
      <c r="W41" s="10">
        <v>0</v>
      </c>
      <c r="X41" s="10">
        <v>10200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395</v>
      </c>
      <c r="AG41" s="1" t="s">
        <v>115</v>
      </c>
      <c r="AH41" s="1" t="s">
        <v>75</v>
      </c>
      <c r="AI41" s="1">
        <v>4</v>
      </c>
      <c r="AJ41" s="3">
        <v>45905</v>
      </c>
      <c r="AK41" s="3">
        <v>45901</v>
      </c>
      <c r="AL41" s="3">
        <v>45894</v>
      </c>
      <c r="AM41" s="3">
        <v>45902</v>
      </c>
      <c r="AN41" s="3">
        <v>45903</v>
      </c>
      <c r="AO41" s="3">
        <v>45904</v>
      </c>
      <c r="AP41" s="3">
        <v>45900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134</v>
      </c>
      <c r="AY41" s="2">
        <v>0</v>
      </c>
      <c r="AZ41" s="2">
        <v>0</v>
      </c>
      <c r="BA41" s="2">
        <v>0</v>
      </c>
      <c r="BB41" s="2">
        <v>0</v>
      </c>
      <c r="BC41" s="1" t="s">
        <v>104</v>
      </c>
      <c r="BD41" s="56">
        <v>0</v>
      </c>
    </row>
    <row r="42" spans="1:56" ht="27.75" customHeight="1" x14ac:dyDescent="0.45">
      <c r="A42" s="3">
        <v>45877</v>
      </c>
      <c r="B42" s="14" t="s">
        <v>319</v>
      </c>
      <c r="C42" s="9" t="s">
        <v>79</v>
      </c>
      <c r="D42" s="13" t="s">
        <v>320</v>
      </c>
      <c r="E42" s="9">
        <v>20</v>
      </c>
      <c r="F42" s="9">
        <v>38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45906</v>
      </c>
      <c r="U42" s="11">
        <v>3000</v>
      </c>
      <c r="V42" s="10">
        <v>3000</v>
      </c>
      <c r="W42" s="10">
        <v>0</v>
      </c>
      <c r="X42" s="10">
        <v>3300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115</v>
      </c>
      <c r="AH42" s="1" t="s">
        <v>75</v>
      </c>
      <c r="AI42" s="1">
        <v>4</v>
      </c>
      <c r="AJ42" s="3">
        <v>45906</v>
      </c>
      <c r="AK42" s="3">
        <v>45902</v>
      </c>
      <c r="AL42" s="3">
        <v>45895</v>
      </c>
      <c r="AM42" s="3">
        <v>45903</v>
      </c>
      <c r="AN42" s="3">
        <v>45904</v>
      </c>
      <c r="AO42" s="3">
        <v>45905</v>
      </c>
      <c r="AP42" s="3">
        <v>45901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104</v>
      </c>
      <c r="BD42" s="56">
        <v>0</v>
      </c>
    </row>
    <row r="43" spans="1:56" ht="27.75" customHeight="1" x14ac:dyDescent="0.45">
      <c r="A43" s="3">
        <v>45892</v>
      </c>
      <c r="B43" s="14" t="s">
        <v>372</v>
      </c>
      <c r="C43" s="9" t="s">
        <v>356</v>
      </c>
      <c r="D43" s="13" t="s">
        <v>357</v>
      </c>
      <c r="E43" s="9">
        <v>20</v>
      </c>
      <c r="F43" s="9">
        <v>30</v>
      </c>
      <c r="G43" s="9" t="s">
        <v>60</v>
      </c>
      <c r="H43" s="9" t="s">
        <v>66</v>
      </c>
      <c r="I43" s="9">
        <v>80</v>
      </c>
      <c r="J43" s="9" t="s">
        <v>57</v>
      </c>
      <c r="K43" s="9">
        <v>5</v>
      </c>
      <c r="L43" s="9" t="s">
        <v>358</v>
      </c>
      <c r="M43" s="10">
        <v>21</v>
      </c>
      <c r="N43" s="9">
        <v>33</v>
      </c>
      <c r="O43" s="9">
        <v>40</v>
      </c>
      <c r="P43" s="10">
        <v>0</v>
      </c>
      <c r="Q43" s="10">
        <v>0</v>
      </c>
      <c r="R43" s="10">
        <v>0</v>
      </c>
      <c r="S43" s="9" t="s">
        <v>71</v>
      </c>
      <c r="T43" s="12">
        <v>45905</v>
      </c>
      <c r="U43" s="11">
        <v>10000</v>
      </c>
      <c r="V43" s="10">
        <v>10000</v>
      </c>
      <c r="W43" s="10">
        <v>0</v>
      </c>
      <c r="X43" s="10">
        <v>10500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117</v>
      </c>
      <c r="AH43" s="1" t="s">
        <v>68</v>
      </c>
      <c r="AI43" s="1">
        <v>4</v>
      </c>
      <c r="AJ43" s="3">
        <v>45905</v>
      </c>
      <c r="AK43" s="3">
        <v>45901</v>
      </c>
      <c r="AL43" s="3">
        <v>45895</v>
      </c>
      <c r="AM43" s="3">
        <v>45902</v>
      </c>
      <c r="AN43" s="3">
        <v>45903</v>
      </c>
      <c r="AO43" s="3">
        <v>45903</v>
      </c>
      <c r="AP43" s="3">
        <v>45900</v>
      </c>
      <c r="AQ43" s="3">
        <v>45904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104</v>
      </c>
      <c r="BD43" s="56">
        <v>0</v>
      </c>
    </row>
    <row r="44" spans="1:56" ht="27.75" customHeight="1" x14ac:dyDescent="0.45">
      <c r="A44" s="3">
        <v>45850</v>
      </c>
      <c r="B44" s="14" t="s">
        <v>284</v>
      </c>
      <c r="C44" s="9" t="s">
        <v>107</v>
      </c>
      <c r="D44" s="13" t="s">
        <v>285</v>
      </c>
      <c r="E44" s="9">
        <v>20</v>
      </c>
      <c r="F44" s="9">
        <v>38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45906</v>
      </c>
      <c r="U44" s="11">
        <v>3000</v>
      </c>
      <c r="V44" s="10">
        <v>3000</v>
      </c>
      <c r="W44" s="10">
        <v>0</v>
      </c>
      <c r="X44" s="10">
        <v>3300</v>
      </c>
      <c r="Y44" s="10">
        <v>0</v>
      </c>
      <c r="Z44" s="9" t="s">
        <v>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115</v>
      </c>
      <c r="AH44" s="1" t="s">
        <v>75</v>
      </c>
      <c r="AI44" s="1">
        <v>4</v>
      </c>
      <c r="AJ44" s="3">
        <v>45906</v>
      </c>
      <c r="AK44" s="3">
        <v>45902</v>
      </c>
      <c r="AL44" s="3">
        <v>45895</v>
      </c>
      <c r="AM44" s="3">
        <v>45903</v>
      </c>
      <c r="AN44" s="3">
        <v>45904</v>
      </c>
      <c r="AO44" s="3">
        <v>45905</v>
      </c>
      <c r="AP44" s="3">
        <v>45901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 t="s">
        <v>434</v>
      </c>
      <c r="AZ44" s="2">
        <v>0</v>
      </c>
      <c r="BA44" s="2">
        <v>0</v>
      </c>
      <c r="BB44" s="2">
        <v>0</v>
      </c>
      <c r="BC44" s="1" t="s">
        <v>104</v>
      </c>
      <c r="BD44" s="56">
        <v>0</v>
      </c>
    </row>
    <row r="45" spans="1:56" ht="27.75" customHeight="1" x14ac:dyDescent="0.45">
      <c r="A45" s="3">
        <v>45892</v>
      </c>
      <c r="B45" s="14" t="s">
        <v>361</v>
      </c>
      <c r="C45" s="9" t="s">
        <v>139</v>
      </c>
      <c r="D45" s="13" t="s">
        <v>330</v>
      </c>
      <c r="E45" s="9">
        <v>20</v>
      </c>
      <c r="F45" s="9">
        <v>36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108</v>
      </c>
      <c r="T45" s="12" t="s">
        <v>63</v>
      </c>
      <c r="U45" s="11">
        <v>640</v>
      </c>
      <c r="V45" s="10">
        <v>0</v>
      </c>
      <c r="W45" s="10">
        <v>640</v>
      </c>
      <c r="X45" s="10">
        <v>6000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116</v>
      </c>
      <c r="AH45" s="1" t="s">
        <v>75</v>
      </c>
      <c r="AI45" s="1">
        <v>4</v>
      </c>
      <c r="AJ45" s="3" t="s">
        <v>63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 t="s">
        <v>371</v>
      </c>
      <c r="AZ45" s="2">
        <v>0</v>
      </c>
      <c r="BA45" s="2">
        <v>0</v>
      </c>
      <c r="BB45" s="2">
        <v>0</v>
      </c>
      <c r="BC45" s="1" t="s">
        <v>104</v>
      </c>
      <c r="BD45" s="56">
        <v>0</v>
      </c>
    </row>
    <row r="46" spans="1:56" ht="27.75" customHeight="1" x14ac:dyDescent="0.45">
      <c r="A46" s="3">
        <v>45892</v>
      </c>
      <c r="B46" s="14" t="s">
        <v>363</v>
      </c>
      <c r="C46" s="9" t="s">
        <v>139</v>
      </c>
      <c r="D46" s="13" t="s">
        <v>131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108</v>
      </c>
      <c r="T46" s="12">
        <v>45908</v>
      </c>
      <c r="U46" s="11">
        <v>1840</v>
      </c>
      <c r="V46" s="10">
        <v>80</v>
      </c>
      <c r="W46" s="10">
        <v>1760</v>
      </c>
      <c r="X46" s="10">
        <v>10650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116</v>
      </c>
      <c r="AH46" s="1" t="s">
        <v>75</v>
      </c>
      <c r="AI46" s="1">
        <v>4</v>
      </c>
      <c r="AJ46" s="3">
        <v>45908</v>
      </c>
      <c r="AK46" s="3">
        <v>45904</v>
      </c>
      <c r="AL46" s="3">
        <v>45897</v>
      </c>
      <c r="AM46" s="3">
        <v>45905</v>
      </c>
      <c r="AN46" s="3">
        <v>45906</v>
      </c>
      <c r="AO46" s="3">
        <v>45907</v>
      </c>
      <c r="AP46" s="3">
        <v>45903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104</v>
      </c>
      <c r="BD46" s="56">
        <v>0</v>
      </c>
    </row>
    <row r="47" spans="1:56" ht="27.75" customHeight="1" x14ac:dyDescent="0.45">
      <c r="A47" s="3">
        <v>45782</v>
      </c>
      <c r="B47" s="14" t="s">
        <v>249</v>
      </c>
      <c r="C47" s="9" t="s">
        <v>79</v>
      </c>
      <c r="D47" s="13" t="s">
        <v>243</v>
      </c>
      <c r="E47" s="9">
        <v>20</v>
      </c>
      <c r="F47" s="9">
        <v>38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45909</v>
      </c>
      <c r="U47" s="11">
        <v>5000</v>
      </c>
      <c r="V47" s="10">
        <v>4473</v>
      </c>
      <c r="W47" s="10">
        <v>527</v>
      </c>
      <c r="X47" s="10">
        <v>5200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116</v>
      </c>
      <c r="AH47" s="1" t="s">
        <v>75</v>
      </c>
      <c r="AI47" s="1">
        <v>4</v>
      </c>
      <c r="AJ47" s="3">
        <v>45909</v>
      </c>
      <c r="AK47" s="3">
        <v>45905</v>
      </c>
      <c r="AL47" s="3">
        <v>45898</v>
      </c>
      <c r="AM47" s="3">
        <v>45906</v>
      </c>
      <c r="AN47" s="3">
        <v>45907</v>
      </c>
      <c r="AO47" s="3">
        <v>45908</v>
      </c>
      <c r="AP47" s="3">
        <v>45904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104</v>
      </c>
      <c r="BD47" s="56">
        <v>0</v>
      </c>
    </row>
    <row r="48" spans="1:56" ht="27.75" customHeight="1" x14ac:dyDescent="0.45">
      <c r="A48" s="3">
        <v>45902</v>
      </c>
      <c r="B48" s="14" t="s">
        <v>445</v>
      </c>
      <c r="C48" s="9" t="s">
        <v>267</v>
      </c>
      <c r="D48" s="13" t="s">
        <v>435</v>
      </c>
      <c r="E48" s="9">
        <v>20</v>
      </c>
      <c r="F48" s="9">
        <v>37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45906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80</v>
      </c>
      <c r="AA48" s="8">
        <v>10756.900000000001</v>
      </c>
      <c r="AB48" s="8">
        <v>10756.900000000001</v>
      </c>
      <c r="AC48" s="8">
        <v>0</v>
      </c>
      <c r="AD48" s="8">
        <v>0</v>
      </c>
      <c r="AE48" s="8">
        <v>10756.900000000001</v>
      </c>
      <c r="AF48" s="8">
        <v>0</v>
      </c>
      <c r="AG48" s="1" t="s">
        <v>116</v>
      </c>
      <c r="AH48" s="1" t="s">
        <v>75</v>
      </c>
      <c r="AI48" s="1">
        <v>4</v>
      </c>
      <c r="AJ48" s="3">
        <v>45906</v>
      </c>
      <c r="AK48" s="3">
        <v>45902</v>
      </c>
      <c r="AL48" s="3">
        <v>45895</v>
      </c>
      <c r="AM48" s="3">
        <v>45903</v>
      </c>
      <c r="AN48" s="3">
        <v>45904</v>
      </c>
      <c r="AO48" s="3">
        <v>45905</v>
      </c>
      <c r="AP48" s="3">
        <v>45901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0</v>
      </c>
    </row>
    <row r="49" spans="1:56" ht="27.75" customHeight="1" x14ac:dyDescent="0.45">
      <c r="A49" s="3">
        <v>45902</v>
      </c>
      <c r="B49" s="14" t="s">
        <v>446</v>
      </c>
      <c r="C49" s="9" t="s">
        <v>267</v>
      </c>
      <c r="D49" s="13" t="s">
        <v>436</v>
      </c>
      <c r="E49" s="9">
        <v>20</v>
      </c>
      <c r="F49" s="9">
        <v>37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45906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80</v>
      </c>
      <c r="AA49" s="8">
        <v>10756.900000000001</v>
      </c>
      <c r="AB49" s="8">
        <v>10756.900000000001</v>
      </c>
      <c r="AC49" s="8">
        <v>0</v>
      </c>
      <c r="AD49" s="8">
        <v>0</v>
      </c>
      <c r="AE49" s="8">
        <v>10756.900000000001</v>
      </c>
      <c r="AF49" s="8">
        <v>0</v>
      </c>
      <c r="AG49" s="1" t="s">
        <v>116</v>
      </c>
      <c r="AH49" s="1" t="s">
        <v>75</v>
      </c>
      <c r="AI49" s="1">
        <v>4</v>
      </c>
      <c r="AJ49" s="3">
        <v>45906</v>
      </c>
      <c r="AK49" s="3">
        <v>45902</v>
      </c>
      <c r="AL49" s="3">
        <v>45895</v>
      </c>
      <c r="AM49" s="3">
        <v>45903</v>
      </c>
      <c r="AN49" s="3">
        <v>45904</v>
      </c>
      <c r="AO49" s="3">
        <v>45905</v>
      </c>
      <c r="AP49" s="3">
        <v>45901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0</v>
      </c>
    </row>
    <row r="50" spans="1:56" ht="27.75" customHeight="1" x14ac:dyDescent="0.45">
      <c r="A50" s="3">
        <v>45902</v>
      </c>
      <c r="B50" s="14" t="s">
        <v>445</v>
      </c>
      <c r="C50" s="9" t="s">
        <v>267</v>
      </c>
      <c r="D50" s="13" t="s">
        <v>435</v>
      </c>
      <c r="E50" s="9">
        <v>20</v>
      </c>
      <c r="F50" s="9">
        <v>37</v>
      </c>
      <c r="G50" s="9" t="s">
        <v>60</v>
      </c>
      <c r="H50" s="9" t="s">
        <v>66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67</v>
      </c>
      <c r="T50" s="12">
        <v>45930</v>
      </c>
      <c r="U50" s="11">
        <v>20000</v>
      </c>
      <c r="V50" s="10">
        <v>0</v>
      </c>
      <c r="W50" s="10">
        <v>20000</v>
      </c>
      <c r="X50" s="10">
        <v>0</v>
      </c>
      <c r="Y50" s="10">
        <v>21000</v>
      </c>
      <c r="Z50" s="9" t="s">
        <v>80</v>
      </c>
      <c r="AA50" s="8">
        <v>21513.800000000003</v>
      </c>
      <c r="AB50" s="8">
        <v>21513.800000000003</v>
      </c>
      <c r="AC50" s="8">
        <v>0</v>
      </c>
      <c r="AD50" s="8">
        <v>0</v>
      </c>
      <c r="AE50" s="8">
        <v>21513.800000000003</v>
      </c>
      <c r="AF50" s="8">
        <v>0</v>
      </c>
      <c r="AG50" s="1" t="s">
        <v>116</v>
      </c>
      <c r="AH50" s="1" t="s">
        <v>75</v>
      </c>
      <c r="AI50" s="1">
        <v>4</v>
      </c>
      <c r="AJ50" s="3">
        <v>45930</v>
      </c>
      <c r="AK50" s="3">
        <v>45926</v>
      </c>
      <c r="AL50" s="3">
        <v>45919</v>
      </c>
      <c r="AM50" s="3">
        <v>45927</v>
      </c>
      <c r="AN50" s="3">
        <v>45928</v>
      </c>
      <c r="AO50" s="3">
        <v>45929</v>
      </c>
      <c r="AP50" s="3">
        <v>45925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104</v>
      </c>
      <c r="BD50" s="56">
        <v>0</v>
      </c>
    </row>
    <row r="51" spans="1:56" ht="27.75" customHeight="1" x14ac:dyDescent="0.45">
      <c r="A51" s="3">
        <v>45902</v>
      </c>
      <c r="B51" s="14" t="s">
        <v>446</v>
      </c>
      <c r="C51" s="9" t="s">
        <v>267</v>
      </c>
      <c r="D51" s="13" t="s">
        <v>436</v>
      </c>
      <c r="E51" s="9">
        <v>20</v>
      </c>
      <c r="F51" s="9">
        <v>37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45930</v>
      </c>
      <c r="U51" s="11">
        <v>20000</v>
      </c>
      <c r="V51" s="10">
        <v>0</v>
      </c>
      <c r="W51" s="10">
        <v>20000</v>
      </c>
      <c r="X51" s="10">
        <v>0</v>
      </c>
      <c r="Y51" s="10">
        <v>21000</v>
      </c>
      <c r="Z51" s="9" t="s">
        <v>80</v>
      </c>
      <c r="AA51" s="8">
        <v>21513.800000000003</v>
      </c>
      <c r="AB51" s="8">
        <v>21513.800000000003</v>
      </c>
      <c r="AC51" s="8">
        <v>0</v>
      </c>
      <c r="AD51" s="8">
        <v>0</v>
      </c>
      <c r="AE51" s="8">
        <v>21513.800000000003</v>
      </c>
      <c r="AF51" s="8">
        <v>0</v>
      </c>
      <c r="AG51" s="1" t="s">
        <v>116</v>
      </c>
      <c r="AH51" s="1" t="s">
        <v>75</v>
      </c>
      <c r="AI51" s="1">
        <v>4</v>
      </c>
      <c r="AJ51" s="3">
        <v>45930</v>
      </c>
      <c r="AK51" s="3">
        <v>45926</v>
      </c>
      <c r="AL51" s="3">
        <v>45919</v>
      </c>
      <c r="AM51" s="3">
        <v>45927</v>
      </c>
      <c r="AN51" s="3">
        <v>45928</v>
      </c>
      <c r="AO51" s="3">
        <v>45929</v>
      </c>
      <c r="AP51" s="3">
        <v>45925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0</v>
      </c>
    </row>
    <row r="52" spans="1:56" ht="27.75" customHeight="1" x14ac:dyDescent="0.45">
      <c r="A52" s="3">
        <v>45902</v>
      </c>
      <c r="B52" s="14" t="s">
        <v>445</v>
      </c>
      <c r="C52" s="9" t="s">
        <v>267</v>
      </c>
      <c r="D52" s="13" t="s">
        <v>437</v>
      </c>
      <c r="E52" s="9">
        <v>20</v>
      </c>
      <c r="F52" s="9">
        <v>37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45930</v>
      </c>
      <c r="U52" s="11">
        <v>20000</v>
      </c>
      <c r="V52" s="10">
        <v>0</v>
      </c>
      <c r="W52" s="10">
        <v>20000</v>
      </c>
      <c r="X52" s="10">
        <v>0</v>
      </c>
      <c r="Y52" s="10">
        <v>21000</v>
      </c>
      <c r="Z52" s="9" t="s">
        <v>80</v>
      </c>
      <c r="AA52" s="8">
        <v>21513.800000000003</v>
      </c>
      <c r="AB52" s="8">
        <v>14096</v>
      </c>
      <c r="AC52" s="8">
        <v>7417.8000000000029</v>
      </c>
      <c r="AD52" s="8">
        <v>0</v>
      </c>
      <c r="AE52" s="8">
        <v>21513.800000000003</v>
      </c>
      <c r="AF52" s="8">
        <v>0</v>
      </c>
      <c r="AG52" s="1" t="s">
        <v>116</v>
      </c>
      <c r="AH52" s="1" t="s">
        <v>75</v>
      </c>
      <c r="AI52" s="1">
        <v>4</v>
      </c>
      <c r="AJ52" s="3">
        <v>45930</v>
      </c>
      <c r="AK52" s="3">
        <v>45926</v>
      </c>
      <c r="AL52" s="3">
        <v>45919</v>
      </c>
      <c r="AM52" s="3">
        <v>45927</v>
      </c>
      <c r="AN52" s="3">
        <v>45928</v>
      </c>
      <c r="AO52" s="3">
        <v>45929</v>
      </c>
      <c r="AP52" s="3">
        <v>45925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560.45600000000024</v>
      </c>
    </row>
    <row r="53" spans="1:56" ht="27.75" customHeight="1" x14ac:dyDescent="0.45">
      <c r="A53" s="3">
        <v>45902</v>
      </c>
      <c r="B53" s="14" t="s">
        <v>445</v>
      </c>
      <c r="C53" s="9" t="s">
        <v>267</v>
      </c>
      <c r="D53" s="13" t="s">
        <v>438</v>
      </c>
      <c r="E53" s="9">
        <v>20</v>
      </c>
      <c r="F53" s="9">
        <v>37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45930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80</v>
      </c>
      <c r="AA53" s="8">
        <v>10756.900000000001</v>
      </c>
      <c r="AB53" s="8">
        <v>0</v>
      </c>
      <c r="AC53" s="8">
        <v>10756.900000000001</v>
      </c>
      <c r="AD53" s="8">
        <v>0</v>
      </c>
      <c r="AE53" s="8">
        <v>10756.900000000001</v>
      </c>
      <c r="AF53" s="8">
        <v>0</v>
      </c>
      <c r="AG53" s="1" t="s">
        <v>116</v>
      </c>
      <c r="AH53" s="1" t="s">
        <v>75</v>
      </c>
      <c r="AI53" s="1">
        <v>4</v>
      </c>
      <c r="AJ53" s="3">
        <v>45930</v>
      </c>
      <c r="AK53" s="3">
        <v>45926</v>
      </c>
      <c r="AL53" s="3">
        <v>45919</v>
      </c>
      <c r="AM53" s="3">
        <v>45927</v>
      </c>
      <c r="AN53" s="3">
        <v>45928</v>
      </c>
      <c r="AO53" s="3">
        <v>45929</v>
      </c>
      <c r="AP53" s="3">
        <v>45925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812.74355555555564</v>
      </c>
    </row>
    <row r="54" spans="1:56" ht="27.75" customHeight="1" x14ac:dyDescent="0.45">
      <c r="A54" s="3">
        <v>45902</v>
      </c>
      <c r="B54" s="14" t="s">
        <v>446</v>
      </c>
      <c r="C54" s="9" t="s">
        <v>267</v>
      </c>
      <c r="D54" s="13" t="s">
        <v>439</v>
      </c>
      <c r="E54" s="9">
        <v>20</v>
      </c>
      <c r="F54" s="9">
        <v>37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45930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80</v>
      </c>
      <c r="AA54" s="8">
        <v>10756.900000000001</v>
      </c>
      <c r="AB54" s="8">
        <v>0</v>
      </c>
      <c r="AC54" s="8">
        <v>10756.900000000001</v>
      </c>
      <c r="AD54" s="8">
        <v>0</v>
      </c>
      <c r="AE54" s="8">
        <v>10756.900000000001</v>
      </c>
      <c r="AF54" s="8">
        <v>0</v>
      </c>
      <c r="AG54" s="1" t="s">
        <v>116</v>
      </c>
      <c r="AH54" s="1" t="s">
        <v>75</v>
      </c>
      <c r="AI54" s="1">
        <v>4</v>
      </c>
      <c r="AJ54" s="3">
        <v>45930</v>
      </c>
      <c r="AK54" s="3">
        <v>45926</v>
      </c>
      <c r="AL54" s="3">
        <v>45919</v>
      </c>
      <c r="AM54" s="3">
        <v>45927</v>
      </c>
      <c r="AN54" s="3">
        <v>45928</v>
      </c>
      <c r="AO54" s="3">
        <v>45929</v>
      </c>
      <c r="AP54" s="3">
        <v>45925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812.74355555555564</v>
      </c>
    </row>
    <row r="55" spans="1:56" ht="27.75" customHeight="1" x14ac:dyDescent="0.45">
      <c r="A55" s="3">
        <v>45902</v>
      </c>
      <c r="B55" s="14" t="s">
        <v>447</v>
      </c>
      <c r="C55" s="9" t="s">
        <v>267</v>
      </c>
      <c r="D55" s="13" t="s">
        <v>440</v>
      </c>
      <c r="E55" s="9">
        <v>20</v>
      </c>
      <c r="F55" s="9">
        <v>37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45930</v>
      </c>
      <c r="U55" s="11">
        <v>10000</v>
      </c>
      <c r="V55" s="10">
        <v>0</v>
      </c>
      <c r="W55" s="10">
        <v>10000</v>
      </c>
      <c r="X55" s="10">
        <v>0</v>
      </c>
      <c r="Y55" s="10">
        <v>10500</v>
      </c>
      <c r="Z55" s="9" t="s">
        <v>80</v>
      </c>
      <c r="AA55" s="8">
        <v>10756.900000000001</v>
      </c>
      <c r="AB55" s="8">
        <v>0</v>
      </c>
      <c r="AC55" s="8">
        <v>10756.900000000001</v>
      </c>
      <c r="AD55" s="8">
        <v>0</v>
      </c>
      <c r="AE55" s="8">
        <v>10756.900000000001</v>
      </c>
      <c r="AF55" s="8">
        <v>0</v>
      </c>
      <c r="AG55" s="1" t="s">
        <v>116</v>
      </c>
      <c r="AH55" s="1" t="s">
        <v>75</v>
      </c>
      <c r="AI55" s="1">
        <v>4</v>
      </c>
      <c r="AJ55" s="3">
        <v>45930</v>
      </c>
      <c r="AK55" s="3">
        <v>45926</v>
      </c>
      <c r="AL55" s="3">
        <v>45919</v>
      </c>
      <c r="AM55" s="3">
        <v>45927</v>
      </c>
      <c r="AN55" s="3">
        <v>45928</v>
      </c>
      <c r="AO55" s="3">
        <v>45929</v>
      </c>
      <c r="AP55" s="3">
        <v>45925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812.74355555555564</v>
      </c>
    </row>
    <row r="56" spans="1:56" ht="27.75" customHeight="1" x14ac:dyDescent="0.45">
      <c r="A56" s="3">
        <v>45902</v>
      </c>
      <c r="B56" s="14" t="s">
        <v>447</v>
      </c>
      <c r="C56" s="9" t="s">
        <v>267</v>
      </c>
      <c r="D56" s="13" t="s">
        <v>441</v>
      </c>
      <c r="E56" s="9">
        <v>20</v>
      </c>
      <c r="F56" s="9">
        <v>37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45930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80</v>
      </c>
      <c r="AA56" s="8">
        <v>5378.4500000000007</v>
      </c>
      <c r="AB56" s="8">
        <v>0</v>
      </c>
      <c r="AC56" s="8">
        <v>5378.4500000000007</v>
      </c>
      <c r="AD56" s="8">
        <v>0</v>
      </c>
      <c r="AE56" s="8">
        <v>5378.4500000000007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45930</v>
      </c>
      <c r="AK56" s="3">
        <v>45926</v>
      </c>
      <c r="AL56" s="3">
        <v>45919</v>
      </c>
      <c r="AM56" s="3">
        <v>45927</v>
      </c>
      <c r="AN56" s="3">
        <v>45928</v>
      </c>
      <c r="AO56" s="3">
        <v>45929</v>
      </c>
      <c r="AP56" s="3">
        <v>45925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406.37177777777782</v>
      </c>
    </row>
    <row r="57" spans="1:56" ht="27.75" customHeight="1" x14ac:dyDescent="0.45">
      <c r="A57" s="3">
        <v>45902</v>
      </c>
      <c r="B57" s="14" t="s">
        <v>447</v>
      </c>
      <c r="C57" s="9" t="s">
        <v>267</v>
      </c>
      <c r="D57" s="13" t="s">
        <v>442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45930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80</v>
      </c>
      <c r="AA57" s="8">
        <v>5378.4500000000007</v>
      </c>
      <c r="AB57" s="8">
        <v>0</v>
      </c>
      <c r="AC57" s="8">
        <v>5378.4500000000007</v>
      </c>
      <c r="AD57" s="8">
        <v>0</v>
      </c>
      <c r="AE57" s="8">
        <v>5378.4500000000007</v>
      </c>
      <c r="AF57" s="8">
        <v>0</v>
      </c>
      <c r="AG57" s="1" t="s">
        <v>116</v>
      </c>
      <c r="AH57" s="1" t="s">
        <v>75</v>
      </c>
      <c r="AI57" s="1">
        <v>4</v>
      </c>
      <c r="AJ57" s="3">
        <v>45930</v>
      </c>
      <c r="AK57" s="3">
        <v>45926</v>
      </c>
      <c r="AL57" s="3">
        <v>45919</v>
      </c>
      <c r="AM57" s="3">
        <v>45927</v>
      </c>
      <c r="AN57" s="3">
        <v>45928</v>
      </c>
      <c r="AO57" s="3">
        <v>45929</v>
      </c>
      <c r="AP57" s="3">
        <v>45925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406.37177777777782</v>
      </c>
    </row>
    <row r="58" spans="1:56" ht="27.75" customHeight="1" x14ac:dyDescent="0.45">
      <c r="A58" s="3">
        <v>45873</v>
      </c>
      <c r="B58" s="14" t="s">
        <v>308</v>
      </c>
      <c r="C58" s="9" t="s">
        <v>107</v>
      </c>
      <c r="D58" s="13" t="s">
        <v>309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45922</v>
      </c>
      <c r="U58" s="11">
        <v>4000</v>
      </c>
      <c r="V58" s="10">
        <v>0</v>
      </c>
      <c r="W58" s="10">
        <v>4000</v>
      </c>
      <c r="X58" s="10">
        <v>0</v>
      </c>
      <c r="Y58" s="10">
        <v>4200</v>
      </c>
      <c r="Z58" s="9" t="s">
        <v>80</v>
      </c>
      <c r="AA58" s="8">
        <v>4414.5199999999995</v>
      </c>
      <c r="AB58" s="8">
        <v>4414.5199999999995</v>
      </c>
      <c r="AC58" s="8">
        <v>0</v>
      </c>
      <c r="AD58" s="8">
        <v>4414.5199999999995</v>
      </c>
      <c r="AE58" s="8">
        <v>0</v>
      </c>
      <c r="AF58" s="8" t="s">
        <v>307</v>
      </c>
      <c r="AG58" s="1" t="s">
        <v>116</v>
      </c>
      <c r="AH58" s="1" t="s">
        <v>75</v>
      </c>
      <c r="AI58" s="1">
        <v>4</v>
      </c>
      <c r="AJ58" s="3">
        <v>45922</v>
      </c>
      <c r="AK58" s="3">
        <v>45918</v>
      </c>
      <c r="AL58" s="3">
        <v>45911</v>
      </c>
      <c r="AM58" s="3">
        <v>45919</v>
      </c>
      <c r="AN58" s="3">
        <v>45920</v>
      </c>
      <c r="AO58" s="3">
        <v>45921</v>
      </c>
      <c r="AP58" s="3">
        <v>45917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45892</v>
      </c>
      <c r="B59" s="14" t="s">
        <v>364</v>
      </c>
      <c r="C59" s="9" t="s">
        <v>79</v>
      </c>
      <c r="D59" s="13" t="s">
        <v>365</v>
      </c>
      <c r="E59" s="9">
        <v>20</v>
      </c>
      <c r="F59" s="9">
        <v>37</v>
      </c>
      <c r="G59" s="9" t="s">
        <v>60</v>
      </c>
      <c r="H59" s="9" t="s">
        <v>76</v>
      </c>
      <c r="I59" s="9">
        <v>97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45930</v>
      </c>
      <c r="U59" s="11">
        <v>3000</v>
      </c>
      <c r="V59" s="10">
        <v>0</v>
      </c>
      <c r="W59" s="10">
        <v>3000</v>
      </c>
      <c r="X59" s="10">
        <v>0</v>
      </c>
      <c r="Y59" s="10">
        <v>3150</v>
      </c>
      <c r="Z59" s="9" t="s">
        <v>80</v>
      </c>
      <c r="AA59" s="8">
        <v>3227.07</v>
      </c>
      <c r="AB59" s="8">
        <v>3227.07</v>
      </c>
      <c r="AC59" s="8">
        <v>0</v>
      </c>
      <c r="AD59" s="8">
        <v>3227.07</v>
      </c>
      <c r="AE59" s="8">
        <v>0</v>
      </c>
      <c r="AF59" s="8">
        <v>0</v>
      </c>
      <c r="AG59" s="1" t="s">
        <v>116</v>
      </c>
      <c r="AH59" s="1" t="s">
        <v>75</v>
      </c>
      <c r="AI59" s="1">
        <v>4</v>
      </c>
      <c r="AJ59" s="3">
        <v>45930</v>
      </c>
      <c r="AK59" s="3">
        <v>45926</v>
      </c>
      <c r="AL59" s="3">
        <v>45919</v>
      </c>
      <c r="AM59" s="3">
        <v>45927</v>
      </c>
      <c r="AN59" s="3">
        <v>45928</v>
      </c>
      <c r="AO59" s="3">
        <v>45929</v>
      </c>
      <c r="AP59" s="3">
        <v>45925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45891</v>
      </c>
      <c r="B60" s="14" t="s">
        <v>396</v>
      </c>
      <c r="C60" s="9" t="s">
        <v>79</v>
      </c>
      <c r="D60" s="13" t="s">
        <v>397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9000</v>
      </c>
      <c r="V60" s="10">
        <v>0</v>
      </c>
      <c r="W60" s="10">
        <v>9000</v>
      </c>
      <c r="X60" s="10">
        <v>0</v>
      </c>
      <c r="Y60" s="10">
        <v>9450</v>
      </c>
      <c r="Z60" s="9" t="s">
        <v>80</v>
      </c>
      <c r="AA60" s="8">
        <v>9932.67</v>
      </c>
      <c r="AB60" s="8">
        <v>0</v>
      </c>
      <c r="AC60" s="8">
        <v>9932.67</v>
      </c>
      <c r="AD60" s="8">
        <v>0</v>
      </c>
      <c r="AE60" s="8">
        <v>9932.67</v>
      </c>
      <c r="AF60" s="8">
        <v>0</v>
      </c>
      <c r="AG60" s="1" t="s">
        <v>61</v>
      </c>
      <c r="AH60" s="1" t="s">
        <v>75</v>
      </c>
      <c r="AI60" s="1">
        <v>5</v>
      </c>
      <c r="AJ60" s="3">
        <v>45930</v>
      </c>
      <c r="AK60" s="3">
        <v>45925</v>
      </c>
      <c r="AL60" s="3">
        <v>45918</v>
      </c>
      <c r="AM60" s="3">
        <v>45926</v>
      </c>
      <c r="AN60" s="3">
        <v>45927</v>
      </c>
      <c r="AO60" s="3">
        <v>45928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750.46839999999997</v>
      </c>
    </row>
    <row r="61" spans="1:56" ht="27.75" customHeight="1" x14ac:dyDescent="0.45">
      <c r="A61" s="3">
        <v>45891</v>
      </c>
      <c r="B61" s="14" t="s">
        <v>398</v>
      </c>
      <c r="C61" s="9" t="s">
        <v>79</v>
      </c>
      <c r="D61" s="13" t="s">
        <v>399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45930</v>
      </c>
      <c r="U61" s="11">
        <v>4000</v>
      </c>
      <c r="V61" s="10">
        <v>0</v>
      </c>
      <c r="W61" s="10">
        <v>4000</v>
      </c>
      <c r="X61" s="10">
        <v>0</v>
      </c>
      <c r="Y61" s="10">
        <v>4200</v>
      </c>
      <c r="Z61" s="9" t="s">
        <v>80</v>
      </c>
      <c r="AA61" s="8">
        <v>4414.5199999999995</v>
      </c>
      <c r="AB61" s="8">
        <v>0</v>
      </c>
      <c r="AC61" s="8">
        <v>4414.5199999999995</v>
      </c>
      <c r="AD61" s="8">
        <v>0</v>
      </c>
      <c r="AE61" s="8">
        <v>4414.5199999999995</v>
      </c>
      <c r="AF61" s="8">
        <v>0</v>
      </c>
      <c r="AG61" s="1" t="s">
        <v>61</v>
      </c>
      <c r="AH61" s="1" t="s">
        <v>75</v>
      </c>
      <c r="AI61" s="1">
        <v>5</v>
      </c>
      <c r="AJ61" s="3">
        <v>45930</v>
      </c>
      <c r="AK61" s="3">
        <v>45925</v>
      </c>
      <c r="AL61" s="3">
        <v>45918</v>
      </c>
      <c r="AM61" s="3">
        <v>45926</v>
      </c>
      <c r="AN61" s="3">
        <v>45927</v>
      </c>
      <c r="AO61" s="3">
        <v>45928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333.54151111111111</v>
      </c>
    </row>
    <row r="62" spans="1:56" ht="27.75" customHeight="1" x14ac:dyDescent="0.45">
      <c r="A62" s="3">
        <v>45891</v>
      </c>
      <c r="B62" s="14" t="s">
        <v>400</v>
      </c>
      <c r="C62" s="9" t="s">
        <v>79</v>
      </c>
      <c r="D62" s="13" t="s">
        <v>401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45930</v>
      </c>
      <c r="U62" s="11">
        <v>9000</v>
      </c>
      <c r="V62" s="10">
        <v>0</v>
      </c>
      <c r="W62" s="10">
        <v>9000</v>
      </c>
      <c r="X62" s="10">
        <v>0</v>
      </c>
      <c r="Y62" s="10">
        <v>9450</v>
      </c>
      <c r="Z62" s="9" t="s">
        <v>80</v>
      </c>
      <c r="AA62" s="8">
        <v>9932.67</v>
      </c>
      <c r="AB62" s="8">
        <v>0</v>
      </c>
      <c r="AC62" s="8">
        <v>9932.67</v>
      </c>
      <c r="AD62" s="8">
        <v>0</v>
      </c>
      <c r="AE62" s="8">
        <v>9932.67</v>
      </c>
      <c r="AF62" s="8">
        <v>0</v>
      </c>
      <c r="AG62" s="1" t="s">
        <v>61</v>
      </c>
      <c r="AH62" s="1" t="s">
        <v>75</v>
      </c>
      <c r="AI62" s="1">
        <v>5</v>
      </c>
      <c r="AJ62" s="3">
        <v>45930</v>
      </c>
      <c r="AK62" s="3">
        <v>45925</v>
      </c>
      <c r="AL62" s="3">
        <v>45918</v>
      </c>
      <c r="AM62" s="3">
        <v>45926</v>
      </c>
      <c r="AN62" s="3">
        <v>45927</v>
      </c>
      <c r="AO62" s="3">
        <v>45928</v>
      </c>
      <c r="AP62" s="3">
        <v>45925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750.46839999999997</v>
      </c>
    </row>
    <row r="63" spans="1:56" ht="27.75" customHeight="1" x14ac:dyDescent="0.45">
      <c r="A63" s="3" t="s">
        <v>135</v>
      </c>
      <c r="B63" s="14" t="s">
        <v>135</v>
      </c>
      <c r="C63" s="9" t="s">
        <v>139</v>
      </c>
      <c r="D63" s="13" t="s">
        <v>61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45930</v>
      </c>
      <c r="U63" s="11">
        <v>100000</v>
      </c>
      <c r="V63" s="10">
        <v>0</v>
      </c>
      <c r="W63" s="10">
        <v>100000</v>
      </c>
      <c r="X63" s="10">
        <v>0</v>
      </c>
      <c r="Y63" s="10">
        <v>105000</v>
      </c>
      <c r="Z63" s="9" t="s">
        <v>80</v>
      </c>
      <c r="AA63" s="8">
        <v>104775.00000000001</v>
      </c>
      <c r="AB63" s="8">
        <v>0</v>
      </c>
      <c r="AC63" s="8">
        <v>104775.00000000001</v>
      </c>
      <c r="AD63" s="8">
        <v>0</v>
      </c>
      <c r="AE63" s="8">
        <v>104775.00000000001</v>
      </c>
      <c r="AF63" s="8">
        <v>0</v>
      </c>
      <c r="AG63" s="1" t="s">
        <v>115</v>
      </c>
      <c r="AH63" s="1" t="s">
        <v>75</v>
      </c>
      <c r="AI63" s="1">
        <v>4</v>
      </c>
      <c r="AJ63" s="3">
        <v>45930</v>
      </c>
      <c r="AK63" s="3">
        <v>45926</v>
      </c>
      <c r="AL63" s="3">
        <v>45919</v>
      </c>
      <c r="AM63" s="3">
        <v>45927</v>
      </c>
      <c r="AN63" s="3">
        <v>45928</v>
      </c>
      <c r="AO63" s="3">
        <v>45929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7916.333333333333</v>
      </c>
    </row>
    <row r="64" spans="1:56" ht="27.75" customHeight="1" x14ac:dyDescent="0.45">
      <c r="A64" s="3" t="s">
        <v>135</v>
      </c>
      <c r="B64" s="14" t="s">
        <v>135</v>
      </c>
      <c r="C64" s="9" t="s">
        <v>79</v>
      </c>
      <c r="D64" s="13" t="s">
        <v>61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45930</v>
      </c>
      <c r="U64" s="11">
        <v>20000</v>
      </c>
      <c r="V64" s="10">
        <v>0</v>
      </c>
      <c r="W64" s="10">
        <v>20000</v>
      </c>
      <c r="X64" s="10">
        <v>0</v>
      </c>
      <c r="Y64" s="10">
        <v>21000</v>
      </c>
      <c r="Z64" s="9" t="s">
        <v>80</v>
      </c>
      <c r="AA64" s="8">
        <v>22072.6</v>
      </c>
      <c r="AB64" s="8">
        <v>0</v>
      </c>
      <c r="AC64" s="8">
        <v>22072.6</v>
      </c>
      <c r="AD64" s="8">
        <v>0</v>
      </c>
      <c r="AE64" s="8">
        <v>22072.6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45930</v>
      </c>
      <c r="AK64" s="3">
        <v>45926</v>
      </c>
      <c r="AL64" s="3">
        <v>45919</v>
      </c>
      <c r="AM64" s="3">
        <v>45927</v>
      </c>
      <c r="AN64" s="3">
        <v>45928</v>
      </c>
      <c r="AO64" s="3">
        <v>45929</v>
      </c>
      <c r="AP64" s="3">
        <v>45925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1667.7075555555555</v>
      </c>
    </row>
    <row r="65" spans="1:56" ht="27.75" customHeight="1" x14ac:dyDescent="0.45">
      <c r="A65" s="3" t="s">
        <v>135</v>
      </c>
      <c r="B65" s="14" t="s">
        <v>135</v>
      </c>
      <c r="C65" s="9" t="s">
        <v>97</v>
      </c>
      <c r="D65" s="13" t="s">
        <v>61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>
        <v>45930</v>
      </c>
      <c r="U65" s="11">
        <v>20000</v>
      </c>
      <c r="V65" s="10">
        <v>0</v>
      </c>
      <c r="W65" s="10">
        <v>20000</v>
      </c>
      <c r="X65" s="10">
        <v>0</v>
      </c>
      <c r="Y65" s="10">
        <v>21000</v>
      </c>
      <c r="Z65" s="9" t="s">
        <v>80</v>
      </c>
      <c r="AA65" s="8">
        <v>21513.800000000003</v>
      </c>
      <c r="AB65" s="8">
        <v>0</v>
      </c>
      <c r="AC65" s="8">
        <v>21513.800000000003</v>
      </c>
      <c r="AD65" s="8">
        <v>0</v>
      </c>
      <c r="AE65" s="8">
        <v>21513.800000000003</v>
      </c>
      <c r="AF65" s="8">
        <v>0</v>
      </c>
      <c r="AG65" s="1" t="s">
        <v>116</v>
      </c>
      <c r="AH65" s="1" t="s">
        <v>75</v>
      </c>
      <c r="AI65" s="1">
        <v>4</v>
      </c>
      <c r="AJ65" s="3">
        <v>45930</v>
      </c>
      <c r="AK65" s="3">
        <v>45926</v>
      </c>
      <c r="AL65" s="3">
        <v>45919</v>
      </c>
      <c r="AM65" s="3">
        <v>45927</v>
      </c>
      <c r="AN65" s="3">
        <v>45928</v>
      </c>
      <c r="AO65" s="3">
        <v>45929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1625.4871111111113</v>
      </c>
    </row>
    <row r="66" spans="1:56" ht="27.75" customHeight="1" x14ac:dyDescent="0.45">
      <c r="A66" s="3">
        <v>45887</v>
      </c>
      <c r="B66" s="14" t="s">
        <v>346</v>
      </c>
      <c r="C66" s="9" t="s">
        <v>139</v>
      </c>
      <c r="D66" s="13" t="s">
        <v>224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 t="s">
        <v>63</v>
      </c>
      <c r="U66" s="11">
        <v>104</v>
      </c>
      <c r="V66" s="10">
        <v>0</v>
      </c>
      <c r="W66" s="10">
        <v>104</v>
      </c>
      <c r="X66" s="10">
        <v>11230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116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134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45896</v>
      </c>
      <c r="B67" s="14" t="s">
        <v>402</v>
      </c>
      <c r="C67" s="9" t="s">
        <v>79</v>
      </c>
      <c r="D67" s="13" t="s">
        <v>311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63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80</v>
      </c>
      <c r="AA67" s="8">
        <v>3310.89</v>
      </c>
      <c r="AB67" s="8">
        <v>0</v>
      </c>
      <c r="AC67" s="8">
        <v>3310.89</v>
      </c>
      <c r="AD67" s="8">
        <v>0</v>
      </c>
      <c r="AE67" s="8">
        <v>3310.89</v>
      </c>
      <c r="AF67" s="8">
        <v>0</v>
      </c>
      <c r="AG67" s="1" t="s">
        <v>115</v>
      </c>
      <c r="AH67" s="1" t="s">
        <v>75</v>
      </c>
      <c r="AI67" s="1">
        <v>5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250.15613333333337</v>
      </c>
    </row>
    <row r="68" spans="1:56" ht="27.75" customHeight="1" x14ac:dyDescent="0.45">
      <c r="A68" s="3">
        <v>45896</v>
      </c>
      <c r="B68" s="14" t="s">
        <v>403</v>
      </c>
      <c r="C68" s="9" t="s">
        <v>79</v>
      </c>
      <c r="D68" s="13" t="s">
        <v>404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63</v>
      </c>
      <c r="U68" s="11">
        <v>8000</v>
      </c>
      <c r="V68" s="10">
        <v>0</v>
      </c>
      <c r="W68" s="10">
        <v>8000</v>
      </c>
      <c r="X68" s="10">
        <v>0</v>
      </c>
      <c r="Y68" s="10">
        <v>8400</v>
      </c>
      <c r="Z68" s="9" t="s">
        <v>80</v>
      </c>
      <c r="AA68" s="8">
        <v>8829.0399999999991</v>
      </c>
      <c r="AB68" s="8">
        <v>0</v>
      </c>
      <c r="AC68" s="8">
        <v>8829.0399999999991</v>
      </c>
      <c r="AD68" s="8">
        <v>0</v>
      </c>
      <c r="AE68" s="8">
        <v>8829.0399999999991</v>
      </c>
      <c r="AF68" s="8">
        <v>0</v>
      </c>
      <c r="AG68" s="1" t="s">
        <v>115</v>
      </c>
      <c r="AH68" s="1" t="s">
        <v>75</v>
      </c>
      <c r="AI68" s="1">
        <v>5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667.08302222222221</v>
      </c>
    </row>
    <row r="69" spans="1:56" ht="27.75" customHeight="1" x14ac:dyDescent="0.45">
      <c r="A69" s="3">
        <v>45892</v>
      </c>
      <c r="B69" s="14" t="s">
        <v>366</v>
      </c>
      <c r="C69" s="9" t="s">
        <v>79</v>
      </c>
      <c r="D69" s="13" t="s">
        <v>220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63</v>
      </c>
      <c r="U69" s="11">
        <v>6000</v>
      </c>
      <c r="V69" s="10">
        <v>0</v>
      </c>
      <c r="W69" s="10">
        <v>6000</v>
      </c>
      <c r="X69" s="10">
        <v>0</v>
      </c>
      <c r="Y69" s="10">
        <v>6300</v>
      </c>
      <c r="Z69" s="9" t="s">
        <v>80</v>
      </c>
      <c r="AA69" s="8">
        <v>6621.78</v>
      </c>
      <c r="AB69" s="8">
        <v>0</v>
      </c>
      <c r="AC69" s="8">
        <v>6621.78</v>
      </c>
      <c r="AD69" s="8">
        <v>0</v>
      </c>
      <c r="AE69" s="8">
        <v>6621.78</v>
      </c>
      <c r="AF69" s="8">
        <v>0</v>
      </c>
      <c r="AG69" s="1" t="s">
        <v>116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500.31226666666674</v>
      </c>
    </row>
    <row r="70" spans="1:56" ht="27.75" customHeight="1" x14ac:dyDescent="0.45">
      <c r="A70" s="3">
        <v>45796</v>
      </c>
      <c r="B70" s="14" t="s">
        <v>258</v>
      </c>
      <c r="C70" s="9" t="s">
        <v>139</v>
      </c>
      <c r="D70" s="13" t="s">
        <v>145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 t="s">
        <v>63</v>
      </c>
      <c r="U70" s="11">
        <v>240</v>
      </c>
      <c r="V70" s="10">
        <v>0</v>
      </c>
      <c r="W70" s="10">
        <v>240</v>
      </c>
      <c r="X70" s="10">
        <v>0</v>
      </c>
      <c r="Y70" s="10">
        <v>252</v>
      </c>
      <c r="Z70" s="9" t="s">
        <v>80</v>
      </c>
      <c r="AA70" s="8">
        <v>251.46</v>
      </c>
      <c r="AB70" s="8">
        <v>0</v>
      </c>
      <c r="AC70" s="8">
        <v>251.46</v>
      </c>
      <c r="AD70" s="8">
        <v>0</v>
      </c>
      <c r="AE70" s="8">
        <v>251.46</v>
      </c>
      <c r="AF70" s="8">
        <v>0</v>
      </c>
      <c r="AG70" s="1" t="s">
        <v>61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 t="s">
        <v>254</v>
      </c>
      <c r="AZ70" s="2">
        <v>0</v>
      </c>
      <c r="BA70" s="2">
        <v>0</v>
      </c>
      <c r="BB70" s="2">
        <v>0</v>
      </c>
      <c r="BC70" s="1" t="s">
        <v>104</v>
      </c>
      <c r="BD70" s="56">
        <v>18.999199999999998</v>
      </c>
    </row>
    <row r="71" spans="1:56" ht="27.75" customHeight="1" x14ac:dyDescent="0.45">
      <c r="A71" s="3">
        <v>45876</v>
      </c>
      <c r="B71" s="14" t="s">
        <v>329</v>
      </c>
      <c r="C71" s="9" t="s">
        <v>107</v>
      </c>
      <c r="D71" s="13" t="s">
        <v>315</v>
      </c>
      <c r="E71" s="9">
        <v>20</v>
      </c>
      <c r="F71" s="9">
        <v>40</v>
      </c>
      <c r="G71" s="9" t="s">
        <v>60</v>
      </c>
      <c r="H71" s="9" t="s">
        <v>66</v>
      </c>
      <c r="I71" s="9">
        <v>108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3000</v>
      </c>
      <c r="V71" s="10">
        <v>3075</v>
      </c>
      <c r="W71" s="10">
        <v>0</v>
      </c>
      <c r="X71" s="10">
        <v>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115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45877</v>
      </c>
      <c r="B72" s="14" t="s">
        <v>319</v>
      </c>
      <c r="C72" s="9" t="s">
        <v>79</v>
      </c>
      <c r="D72" s="13" t="s">
        <v>320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63</v>
      </c>
      <c r="U72" s="11">
        <v>7000</v>
      </c>
      <c r="V72" s="10">
        <v>0</v>
      </c>
      <c r="W72" s="10">
        <v>7000</v>
      </c>
      <c r="X72" s="10">
        <v>0</v>
      </c>
      <c r="Y72" s="10">
        <v>7350</v>
      </c>
      <c r="Z72" s="9" t="s">
        <v>80</v>
      </c>
      <c r="AA72" s="8">
        <v>7725.41</v>
      </c>
      <c r="AB72" s="8">
        <v>0</v>
      </c>
      <c r="AC72" s="8">
        <v>7725.41</v>
      </c>
      <c r="AD72" s="8">
        <v>0</v>
      </c>
      <c r="AE72" s="8">
        <v>7725.41</v>
      </c>
      <c r="AF72" s="8">
        <v>0</v>
      </c>
      <c r="AG72" s="1" t="s">
        <v>115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583.69764444444445</v>
      </c>
    </row>
    <row r="73" spans="1:56" ht="27.75" customHeight="1" x14ac:dyDescent="0.45">
      <c r="A73" s="3" t="s">
        <v>135</v>
      </c>
      <c r="B73" s="14" t="s">
        <v>135</v>
      </c>
      <c r="C73" s="9" t="s">
        <v>270</v>
      </c>
      <c r="D73" s="13" t="s">
        <v>61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110</v>
      </c>
      <c r="T73" s="12" t="s">
        <v>63</v>
      </c>
      <c r="U73" s="11">
        <v>100000</v>
      </c>
      <c r="V73" s="10">
        <v>0</v>
      </c>
      <c r="W73" s="10">
        <v>100000</v>
      </c>
      <c r="X73" s="10">
        <v>0</v>
      </c>
      <c r="Y73" s="10">
        <v>105000</v>
      </c>
      <c r="Z73" s="9" t="s">
        <v>80</v>
      </c>
      <c r="AA73" s="8">
        <v>110363</v>
      </c>
      <c r="AB73" s="8">
        <v>0</v>
      </c>
      <c r="AC73" s="8">
        <v>110363</v>
      </c>
      <c r="AD73" s="8">
        <v>0</v>
      </c>
      <c r="AE73" s="8">
        <v>110363</v>
      </c>
      <c r="AF73" s="8">
        <v>0</v>
      </c>
      <c r="AG73" s="1" t="s">
        <v>115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8338.5377777777776</v>
      </c>
    </row>
    <row r="74" spans="1:56" ht="27.75" customHeight="1" x14ac:dyDescent="0.45">
      <c r="A74" s="3">
        <v>45825</v>
      </c>
      <c r="B74" s="14" t="s">
        <v>269</v>
      </c>
      <c r="C74" s="9" t="s">
        <v>139</v>
      </c>
      <c r="D74" s="13" t="s">
        <v>239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246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 t="s">
        <v>63</v>
      </c>
      <c r="U74" s="11">
        <v>894</v>
      </c>
      <c r="V74" s="10">
        <v>525</v>
      </c>
      <c r="W74" s="10">
        <v>369</v>
      </c>
      <c r="X74" s="10">
        <v>6000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116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134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>
        <v>45796</v>
      </c>
      <c r="B75" s="14" t="s">
        <v>256</v>
      </c>
      <c r="C75" s="9" t="s">
        <v>139</v>
      </c>
      <c r="D75" s="13" t="s">
        <v>251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 t="s">
        <v>63</v>
      </c>
      <c r="U75" s="11">
        <v>366</v>
      </c>
      <c r="V75" s="10">
        <v>0</v>
      </c>
      <c r="W75" s="10">
        <v>366</v>
      </c>
      <c r="X75" s="10">
        <v>5113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116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45796</v>
      </c>
      <c r="B76" s="14" t="s">
        <v>257</v>
      </c>
      <c r="C76" s="9" t="s">
        <v>139</v>
      </c>
      <c r="D76" s="13" t="s">
        <v>253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 t="s">
        <v>63</v>
      </c>
      <c r="U76" s="11">
        <v>302</v>
      </c>
      <c r="V76" s="10">
        <v>0</v>
      </c>
      <c r="W76" s="10">
        <v>302</v>
      </c>
      <c r="X76" s="10">
        <v>5300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115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45782</v>
      </c>
      <c r="B77" s="14" t="s">
        <v>249</v>
      </c>
      <c r="C77" s="9" t="s">
        <v>79</v>
      </c>
      <c r="D77" s="13" t="s">
        <v>243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80</v>
      </c>
      <c r="AA77" s="8">
        <v>5518.15</v>
      </c>
      <c r="AB77" s="8">
        <v>0</v>
      </c>
      <c r="AC77" s="8">
        <v>5518.15</v>
      </c>
      <c r="AD77" s="8">
        <v>0</v>
      </c>
      <c r="AE77" s="8">
        <v>5518.15</v>
      </c>
      <c r="AF77" s="8">
        <v>0</v>
      </c>
      <c r="AG77" s="1" t="s">
        <v>115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134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416.92688888888887</v>
      </c>
    </row>
    <row r="78" spans="1:56" ht="27.75" customHeight="1" x14ac:dyDescent="0.45">
      <c r="A78" s="3">
        <v>45798</v>
      </c>
      <c r="B78" s="14" t="s">
        <v>263</v>
      </c>
      <c r="C78" s="9" t="s">
        <v>107</v>
      </c>
      <c r="D78" s="13" t="s">
        <v>261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0</v>
      </c>
      <c r="AC78" s="8">
        <v>5518.15</v>
      </c>
      <c r="AD78" s="8">
        <v>0</v>
      </c>
      <c r="AE78" s="8">
        <v>5518.15</v>
      </c>
      <c r="AF78" s="8">
        <v>0</v>
      </c>
      <c r="AG78" s="1" t="s">
        <v>117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134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416.92688888888887</v>
      </c>
    </row>
    <row r="79" spans="1:56" ht="27.75" customHeight="1" x14ac:dyDescent="0.45">
      <c r="A79" s="3">
        <v>45674</v>
      </c>
      <c r="B79" s="14" t="s">
        <v>226</v>
      </c>
      <c r="C79" s="9" t="s">
        <v>139</v>
      </c>
      <c r="D79" s="13" t="s">
        <v>225</v>
      </c>
      <c r="E79" s="9">
        <v>20</v>
      </c>
      <c r="F79" s="9">
        <v>35</v>
      </c>
      <c r="G79" s="9" t="s">
        <v>60</v>
      </c>
      <c r="H79" s="9" t="s">
        <v>76</v>
      </c>
      <c r="I79" s="9">
        <v>97</v>
      </c>
      <c r="J79" s="9" t="s">
        <v>57</v>
      </c>
      <c r="K79" s="9">
        <v>5</v>
      </c>
      <c r="L79" s="9" t="s">
        <v>196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 t="s">
        <v>63</v>
      </c>
      <c r="U79" s="11">
        <v>152</v>
      </c>
      <c r="V79" s="10">
        <v>0</v>
      </c>
      <c r="W79" s="10">
        <v>152</v>
      </c>
      <c r="X79" s="10">
        <v>6000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5987</v>
      </c>
      <c r="AG79" s="1" t="s">
        <v>115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 t="s">
        <v>235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45611</v>
      </c>
      <c r="B80" s="14" t="s">
        <v>195</v>
      </c>
      <c r="C80" s="9" t="s">
        <v>139</v>
      </c>
      <c r="D80" s="13" t="s">
        <v>194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 t="s">
        <v>63</v>
      </c>
      <c r="U80" s="11">
        <v>117</v>
      </c>
      <c r="V80" s="10">
        <v>0</v>
      </c>
      <c r="W80" s="10">
        <v>117</v>
      </c>
      <c r="X80" s="10">
        <v>10065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117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45523</v>
      </c>
      <c r="B81" s="14" t="s">
        <v>178</v>
      </c>
      <c r="C81" s="9" t="s">
        <v>139</v>
      </c>
      <c r="D81" s="13" t="s">
        <v>176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 t="s">
        <v>63</v>
      </c>
      <c r="U81" s="11">
        <v>1260</v>
      </c>
      <c r="V81" s="10">
        <v>0</v>
      </c>
      <c r="W81" s="10">
        <v>1260</v>
      </c>
      <c r="X81" s="10">
        <v>11095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117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45523</v>
      </c>
      <c r="B82" s="14" t="s">
        <v>178</v>
      </c>
      <c r="C82" s="9" t="s">
        <v>139</v>
      </c>
      <c r="D82" s="13" t="s">
        <v>177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 t="s">
        <v>63</v>
      </c>
      <c r="U82" s="11">
        <v>89</v>
      </c>
      <c r="V82" s="10">
        <v>0</v>
      </c>
      <c r="W82" s="10">
        <v>89</v>
      </c>
      <c r="X82" s="10">
        <v>11180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115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45799</v>
      </c>
      <c r="B83" s="14" t="s">
        <v>264</v>
      </c>
      <c r="C83" s="9" t="s">
        <v>259</v>
      </c>
      <c r="D83" s="13" t="s">
        <v>260</v>
      </c>
      <c r="E83" s="9">
        <v>20</v>
      </c>
      <c r="F83" s="9">
        <v>34</v>
      </c>
      <c r="G83" s="9" t="s">
        <v>60</v>
      </c>
      <c r="H83" s="9" t="s">
        <v>66</v>
      </c>
      <c r="I83" s="9">
        <v>95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71</v>
      </c>
      <c r="T83" s="12" t="s">
        <v>132</v>
      </c>
      <c r="U83" s="11">
        <v>4000</v>
      </c>
      <c r="V83" s="10">
        <v>2840</v>
      </c>
      <c r="W83" s="10">
        <v>1160</v>
      </c>
      <c r="X83" s="10">
        <v>8450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 t="s">
        <v>210</v>
      </c>
      <c r="AG83" s="1" t="s">
        <v>115</v>
      </c>
      <c r="AH83" s="1" t="s">
        <v>75</v>
      </c>
      <c r="AI83" s="1">
        <v>4</v>
      </c>
      <c r="AJ83" s="3" t="s">
        <v>132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45799</v>
      </c>
      <c r="B84" s="14" t="s">
        <v>264</v>
      </c>
      <c r="C84" s="9" t="s">
        <v>259</v>
      </c>
      <c r="D84" s="13" t="s">
        <v>359</v>
      </c>
      <c r="E84" s="9">
        <v>20</v>
      </c>
      <c r="F84" s="9">
        <v>34</v>
      </c>
      <c r="G84" s="9" t="s">
        <v>60</v>
      </c>
      <c r="H84" s="9" t="s">
        <v>66</v>
      </c>
      <c r="I84" s="9">
        <v>95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71</v>
      </c>
      <c r="T84" s="12" t="s">
        <v>132</v>
      </c>
      <c r="U84" s="11">
        <v>4000</v>
      </c>
      <c r="V84" s="10">
        <v>2654</v>
      </c>
      <c r="W84" s="10">
        <v>1346</v>
      </c>
      <c r="X84" s="10">
        <v>4000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210</v>
      </c>
      <c r="AG84" s="1" t="s">
        <v>115</v>
      </c>
      <c r="AH84" s="1" t="s">
        <v>75</v>
      </c>
      <c r="AI84" s="1">
        <v>4</v>
      </c>
      <c r="AJ84" s="3" t="s">
        <v>132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45741</v>
      </c>
      <c r="B85" s="14" t="s">
        <v>242</v>
      </c>
      <c r="C85" s="9" t="s">
        <v>107</v>
      </c>
      <c r="D85" s="13" t="s">
        <v>241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132</v>
      </c>
      <c r="U85" s="11">
        <v>4000</v>
      </c>
      <c r="V85" s="10">
        <v>3867</v>
      </c>
      <c r="W85" s="10">
        <v>133</v>
      </c>
      <c r="X85" s="10">
        <v>4200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115</v>
      </c>
      <c r="AH85" s="1" t="s">
        <v>75</v>
      </c>
      <c r="AI85" s="1">
        <v>4</v>
      </c>
      <c r="AJ85" s="3" t="s">
        <v>132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 t="s">
        <v>244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45720</v>
      </c>
      <c r="B86" s="14" t="s">
        <v>128</v>
      </c>
      <c r="C86" s="9" t="s">
        <v>107</v>
      </c>
      <c r="D86" s="13" t="s">
        <v>209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132</v>
      </c>
      <c r="U86" s="11">
        <v>4000</v>
      </c>
      <c r="V86" s="10">
        <v>4010</v>
      </c>
      <c r="W86" s="10">
        <v>0</v>
      </c>
      <c r="X86" s="10">
        <v>4470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132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45720</v>
      </c>
      <c r="B87" s="14" t="s">
        <v>128</v>
      </c>
      <c r="C87" s="9" t="s">
        <v>107</v>
      </c>
      <c r="D87" s="13" t="s">
        <v>219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132</v>
      </c>
      <c r="U87" s="11">
        <v>3000</v>
      </c>
      <c r="V87" s="10">
        <v>3065</v>
      </c>
      <c r="W87" s="10">
        <v>0</v>
      </c>
      <c r="X87" s="10">
        <v>3300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115</v>
      </c>
      <c r="AH87" s="1" t="s">
        <v>75</v>
      </c>
      <c r="AI87" s="1">
        <v>4</v>
      </c>
      <c r="AJ87" s="3" t="s">
        <v>132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45541</v>
      </c>
      <c r="B88" s="14" t="s">
        <v>182</v>
      </c>
      <c r="C88" s="9" t="s">
        <v>107</v>
      </c>
      <c r="D88" s="13" t="s">
        <v>183</v>
      </c>
      <c r="E88" s="9">
        <v>20</v>
      </c>
      <c r="F88" s="9">
        <v>40</v>
      </c>
      <c r="G88" s="9" t="s">
        <v>60</v>
      </c>
      <c r="H88" s="9" t="s">
        <v>76</v>
      </c>
      <c r="I88" s="9">
        <v>108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132</v>
      </c>
      <c r="U88" s="11">
        <v>3000</v>
      </c>
      <c r="V88" s="10">
        <v>3318</v>
      </c>
      <c r="W88" s="10">
        <v>0</v>
      </c>
      <c r="X88" s="10">
        <v>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184</v>
      </c>
      <c r="AG88" s="1" t="s">
        <v>61</v>
      </c>
      <c r="AH88" s="1" t="s">
        <v>75</v>
      </c>
      <c r="AI88" s="1">
        <v>4</v>
      </c>
      <c r="AJ88" s="3" t="s">
        <v>132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>
        <v>0</v>
      </c>
      <c r="AY88" s="2" t="s">
        <v>222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45581</v>
      </c>
      <c r="B89" s="14" t="s">
        <v>187</v>
      </c>
      <c r="C89" s="9" t="s">
        <v>107</v>
      </c>
      <c r="D89" s="13" t="s">
        <v>188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132</v>
      </c>
      <c r="U89" s="11">
        <v>3000</v>
      </c>
      <c r="V89" s="10">
        <v>3194</v>
      </c>
      <c r="W89" s="10">
        <v>0</v>
      </c>
      <c r="X89" s="10">
        <v>5632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115</v>
      </c>
      <c r="AH89" s="1" t="s">
        <v>75</v>
      </c>
      <c r="AI89" s="1">
        <v>4</v>
      </c>
      <c r="AJ89" s="3" t="s">
        <v>132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0</v>
      </c>
      <c r="B90" s="14">
        <v>0</v>
      </c>
      <c r="C90" s="9">
        <v>0</v>
      </c>
      <c r="D90" s="13">
        <v>0</v>
      </c>
      <c r="E90" s="9">
        <v>20</v>
      </c>
      <c r="F90" s="9">
        <v>38</v>
      </c>
      <c r="G90" s="9">
        <v>0</v>
      </c>
      <c r="H90" s="9">
        <v>0</v>
      </c>
      <c r="I90" s="9">
        <v>84</v>
      </c>
      <c r="J90" s="9" t="s">
        <v>57</v>
      </c>
      <c r="K90" s="9">
        <v>5</v>
      </c>
      <c r="L90" s="9">
        <v>0</v>
      </c>
      <c r="M90" s="10">
        <v>0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>
        <v>0</v>
      </c>
      <c r="T90" s="12"/>
      <c r="U90" s="11">
        <v>0</v>
      </c>
      <c r="V90" s="10">
        <v>0</v>
      </c>
      <c r="W90" s="10">
        <v>0</v>
      </c>
      <c r="X90" s="10">
        <v>0</v>
      </c>
      <c r="Y90" s="10">
        <v>0</v>
      </c>
      <c r="Z90" s="9" t="s">
        <v>80</v>
      </c>
      <c r="AA90" s="8">
        <v>457503.53</v>
      </c>
      <c r="AB90" s="8">
        <v>86278.99000000002</v>
      </c>
      <c r="AC90" s="8">
        <v>371224.5400000001</v>
      </c>
      <c r="AD90" s="8">
        <v>7641.59</v>
      </c>
      <c r="AE90" s="8">
        <v>449861.94000000006</v>
      </c>
      <c r="AF90" s="8" t="s">
        <v>58</v>
      </c>
      <c r="AG90" s="1" t="s">
        <v>115</v>
      </c>
      <c r="AH90" s="1">
        <v>0</v>
      </c>
      <c r="AI90" s="1" t="s">
        <v>15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 t="s">
        <v>135</v>
      </c>
      <c r="B91" s="14" t="s">
        <v>135</v>
      </c>
      <c r="C91" s="9" t="s">
        <v>270</v>
      </c>
      <c r="D91" s="13" t="s">
        <v>61</v>
      </c>
      <c r="E91" s="9">
        <v>20</v>
      </c>
      <c r="F91" s="9">
        <v>39</v>
      </c>
      <c r="G91" s="9" t="s">
        <v>60</v>
      </c>
      <c r="H91" s="9">
        <v>0</v>
      </c>
      <c r="I91" s="9">
        <v>84</v>
      </c>
      <c r="J91" s="9" t="s">
        <v>78</v>
      </c>
      <c r="K91" s="9">
        <v>0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110</v>
      </c>
      <c r="T91" s="12" t="s">
        <v>63</v>
      </c>
      <c r="U91" s="11">
        <v>100000</v>
      </c>
      <c r="V91" s="10">
        <v>0</v>
      </c>
      <c r="W91" s="10">
        <v>100000</v>
      </c>
      <c r="X91" s="10">
        <v>0</v>
      </c>
      <c r="Y91" s="10">
        <v>105000</v>
      </c>
      <c r="Z91" s="9" t="s">
        <v>271</v>
      </c>
      <c r="AA91" s="8">
        <v>113157.00000000001</v>
      </c>
      <c r="AB91" s="8">
        <v>73689</v>
      </c>
      <c r="AC91" s="8">
        <v>39468.000000000015</v>
      </c>
      <c r="AD91" s="8">
        <v>0</v>
      </c>
      <c r="AE91" s="8">
        <v>0</v>
      </c>
      <c r="AF91" s="8">
        <v>0</v>
      </c>
      <c r="AG91" s="1" t="s">
        <v>115</v>
      </c>
      <c r="AH91" s="1" t="s">
        <v>74</v>
      </c>
      <c r="AI91" s="1">
        <v>2</v>
      </c>
      <c r="AJ91" s="3" t="s">
        <v>63</v>
      </c>
      <c r="AK91" s="3">
        <v>0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272</v>
      </c>
      <c r="BD91" s="56">
        <v>3109.2013333333348</v>
      </c>
    </row>
    <row r="92" spans="1:56" ht="27.75" customHeight="1" x14ac:dyDescent="0.45">
      <c r="A92" s="3">
        <v>0</v>
      </c>
      <c r="B92" s="14">
        <v>0</v>
      </c>
      <c r="C92" s="9">
        <v>0</v>
      </c>
      <c r="D92" s="13">
        <v>0</v>
      </c>
      <c r="E92" s="9">
        <v>20</v>
      </c>
      <c r="F92" s="9">
        <v>38</v>
      </c>
      <c r="G92" s="9">
        <v>0</v>
      </c>
      <c r="H92" s="9">
        <v>0</v>
      </c>
      <c r="I92" s="9">
        <v>82</v>
      </c>
      <c r="J92" s="9" t="s">
        <v>78</v>
      </c>
      <c r="K92" s="9">
        <v>2</v>
      </c>
      <c r="L92" s="9">
        <v>0</v>
      </c>
      <c r="M92" s="10">
        <v>0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>
        <v>0</v>
      </c>
      <c r="T92" s="12"/>
      <c r="U92" s="11">
        <v>0</v>
      </c>
      <c r="V92" s="10">
        <v>0</v>
      </c>
      <c r="W92" s="10">
        <v>0</v>
      </c>
      <c r="X92" s="10">
        <v>0</v>
      </c>
      <c r="Y92" s="10">
        <v>0</v>
      </c>
      <c r="Z92" s="9" t="s">
        <v>271</v>
      </c>
      <c r="AA92" s="8">
        <v>113157.00000000001</v>
      </c>
      <c r="AB92" s="8">
        <v>73689</v>
      </c>
      <c r="AC92" s="8">
        <v>39468.000000000015</v>
      </c>
      <c r="AD92" s="8">
        <v>0</v>
      </c>
      <c r="AE92" s="8">
        <v>0</v>
      </c>
      <c r="AF92" s="8" t="s">
        <v>58</v>
      </c>
      <c r="AG92" s="1" t="s">
        <v>115</v>
      </c>
      <c r="AH92" s="1">
        <v>0</v>
      </c>
      <c r="AI92" s="1" t="s">
        <v>15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273</v>
      </c>
      <c r="BD92" s="56">
        <v>0</v>
      </c>
    </row>
    <row r="93" spans="1:56" ht="27.75" customHeight="1" x14ac:dyDescent="0.45">
      <c r="A93" s="3">
        <v>45887</v>
      </c>
      <c r="B93" s="14" t="s">
        <v>349</v>
      </c>
      <c r="C93" s="9" t="s">
        <v>139</v>
      </c>
      <c r="D93" s="13" t="s">
        <v>268</v>
      </c>
      <c r="E93" s="9">
        <v>20</v>
      </c>
      <c r="F93" s="9">
        <v>36</v>
      </c>
      <c r="G93" s="9" t="s">
        <v>60</v>
      </c>
      <c r="H93" s="9">
        <v>0</v>
      </c>
      <c r="I93" s="9">
        <v>78</v>
      </c>
      <c r="J93" s="9" t="s">
        <v>57</v>
      </c>
      <c r="K93" s="9">
        <v>5</v>
      </c>
      <c r="L93" s="9" t="s">
        <v>196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45905</v>
      </c>
      <c r="U93" s="11">
        <v>6080</v>
      </c>
      <c r="V93" s="10">
        <v>6080</v>
      </c>
      <c r="W93" s="10">
        <v>0</v>
      </c>
      <c r="X93" s="10">
        <v>31160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210</v>
      </c>
      <c r="AG93" s="1" t="s">
        <v>117</v>
      </c>
      <c r="AH93" s="1" t="s">
        <v>74</v>
      </c>
      <c r="AI93" s="1">
        <v>2</v>
      </c>
      <c r="AJ93" s="3">
        <v>45905</v>
      </c>
      <c r="AK93" s="3">
        <v>0</v>
      </c>
      <c r="AL93" s="3">
        <v>45896</v>
      </c>
      <c r="AM93" s="3">
        <v>45903</v>
      </c>
      <c r="AN93" s="3">
        <v>45904</v>
      </c>
      <c r="AO93" s="3">
        <v>45904</v>
      </c>
      <c r="AP93" s="3">
        <v>45900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 t="s">
        <v>335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45">
      <c r="A94" s="3">
        <v>45896</v>
      </c>
      <c r="B94" s="14" t="s">
        <v>416</v>
      </c>
      <c r="C94" s="9" t="s">
        <v>73</v>
      </c>
      <c r="D94" s="13" t="s">
        <v>405</v>
      </c>
      <c r="E94" s="9">
        <v>20</v>
      </c>
      <c r="F94" s="9">
        <v>32</v>
      </c>
      <c r="G94" s="9" t="s">
        <v>60</v>
      </c>
      <c r="H94" s="9">
        <v>0</v>
      </c>
      <c r="I94" s="9">
        <v>72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141</v>
      </c>
      <c r="T94" s="12">
        <v>45906</v>
      </c>
      <c r="U94" s="11">
        <v>5000</v>
      </c>
      <c r="V94" s="10">
        <v>5000</v>
      </c>
      <c r="W94" s="10">
        <v>0</v>
      </c>
      <c r="X94" s="10">
        <v>5470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117</v>
      </c>
      <c r="AH94" s="1" t="s">
        <v>74</v>
      </c>
      <c r="AI94" s="1">
        <v>2</v>
      </c>
      <c r="AJ94" s="3">
        <v>45906</v>
      </c>
      <c r="AK94" s="3">
        <v>0</v>
      </c>
      <c r="AL94" s="3">
        <v>45897</v>
      </c>
      <c r="AM94" s="3">
        <v>45904</v>
      </c>
      <c r="AN94" s="3">
        <v>45905</v>
      </c>
      <c r="AO94" s="3">
        <v>45905</v>
      </c>
      <c r="AP94" s="3">
        <v>45901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45">
      <c r="A95" s="3">
        <v>45896</v>
      </c>
      <c r="B95" s="14" t="s">
        <v>416</v>
      </c>
      <c r="C95" s="9" t="s">
        <v>73</v>
      </c>
      <c r="D95" s="13" t="s">
        <v>406</v>
      </c>
      <c r="E95" s="9">
        <v>20</v>
      </c>
      <c r="F95" s="9">
        <v>32</v>
      </c>
      <c r="G95" s="9" t="s">
        <v>60</v>
      </c>
      <c r="H95" s="9">
        <v>0</v>
      </c>
      <c r="I95" s="9">
        <v>72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141</v>
      </c>
      <c r="T95" s="12">
        <v>45906</v>
      </c>
      <c r="U95" s="11">
        <v>5000</v>
      </c>
      <c r="V95" s="10">
        <v>5000</v>
      </c>
      <c r="W95" s="10">
        <v>0</v>
      </c>
      <c r="X95" s="10">
        <v>5400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117</v>
      </c>
      <c r="AH95" s="1" t="s">
        <v>74</v>
      </c>
      <c r="AI95" s="1">
        <v>2</v>
      </c>
      <c r="AJ95" s="3">
        <v>45906</v>
      </c>
      <c r="AK95" s="3">
        <v>0</v>
      </c>
      <c r="AL95" s="3">
        <v>45897</v>
      </c>
      <c r="AM95" s="3">
        <v>45904</v>
      </c>
      <c r="AN95" s="3">
        <v>45905</v>
      </c>
      <c r="AO95" s="3">
        <v>45905</v>
      </c>
      <c r="AP95" s="3">
        <v>45901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45">
      <c r="A96" s="3">
        <v>45892</v>
      </c>
      <c r="B96" s="14" t="s">
        <v>367</v>
      </c>
      <c r="C96" s="9" t="s">
        <v>139</v>
      </c>
      <c r="D96" s="13" t="s">
        <v>368</v>
      </c>
      <c r="E96" s="9">
        <v>20</v>
      </c>
      <c r="F96" s="9">
        <v>36</v>
      </c>
      <c r="G96" s="9" t="s">
        <v>60</v>
      </c>
      <c r="H96" s="9">
        <v>0</v>
      </c>
      <c r="I96" s="9">
        <v>78</v>
      </c>
      <c r="J96" s="9" t="s">
        <v>57</v>
      </c>
      <c r="K96" s="9">
        <v>5</v>
      </c>
      <c r="L96" s="9" t="s">
        <v>196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45908</v>
      </c>
      <c r="U96" s="11">
        <v>10000</v>
      </c>
      <c r="V96" s="10">
        <v>1196</v>
      </c>
      <c r="W96" s="10">
        <v>8804</v>
      </c>
      <c r="X96" s="10">
        <v>10696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210</v>
      </c>
      <c r="AG96" s="1" t="s">
        <v>117</v>
      </c>
      <c r="AH96" s="1" t="s">
        <v>74</v>
      </c>
      <c r="AI96" s="1">
        <v>2</v>
      </c>
      <c r="AJ96" s="3">
        <v>45908</v>
      </c>
      <c r="AK96" s="3">
        <v>0</v>
      </c>
      <c r="AL96" s="3">
        <v>45899</v>
      </c>
      <c r="AM96" s="3">
        <v>45906</v>
      </c>
      <c r="AN96" s="3">
        <v>45907</v>
      </c>
      <c r="AO96" s="3">
        <v>45907</v>
      </c>
      <c r="AP96" s="3">
        <v>45903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45">
      <c r="A97" s="3">
        <v>45887</v>
      </c>
      <c r="B97" s="14" t="s">
        <v>348</v>
      </c>
      <c r="C97" s="9" t="s">
        <v>139</v>
      </c>
      <c r="D97" s="13" t="s">
        <v>333</v>
      </c>
      <c r="E97" s="9">
        <v>20</v>
      </c>
      <c r="F97" s="9">
        <v>36</v>
      </c>
      <c r="G97" s="9" t="s">
        <v>60</v>
      </c>
      <c r="H97" s="9">
        <v>0</v>
      </c>
      <c r="I97" s="9">
        <v>78</v>
      </c>
      <c r="J97" s="9" t="s">
        <v>57</v>
      </c>
      <c r="K97" s="9">
        <v>5</v>
      </c>
      <c r="L97" s="9" t="s">
        <v>196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>
        <v>45915</v>
      </c>
      <c r="U97" s="11">
        <v>16374</v>
      </c>
      <c r="V97" s="10">
        <v>5040</v>
      </c>
      <c r="W97" s="10">
        <v>11334</v>
      </c>
      <c r="X97" s="10">
        <v>18825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210</v>
      </c>
      <c r="AG97" s="1" t="s">
        <v>119</v>
      </c>
      <c r="AH97" s="1" t="s">
        <v>74</v>
      </c>
      <c r="AI97" s="1">
        <v>2</v>
      </c>
      <c r="AJ97" s="3">
        <v>45915</v>
      </c>
      <c r="AK97" s="3">
        <v>0</v>
      </c>
      <c r="AL97" s="3">
        <v>45906</v>
      </c>
      <c r="AM97" s="3">
        <v>45913</v>
      </c>
      <c r="AN97" s="3">
        <v>45914</v>
      </c>
      <c r="AO97" s="3">
        <v>45914</v>
      </c>
      <c r="AP97" s="3">
        <v>45910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 t="s">
        <v>334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45">
      <c r="A98" s="3">
        <v>45887</v>
      </c>
      <c r="B98" s="14" t="s">
        <v>349</v>
      </c>
      <c r="C98" s="9" t="s">
        <v>139</v>
      </c>
      <c r="D98" s="13" t="s">
        <v>268</v>
      </c>
      <c r="E98" s="9">
        <v>20</v>
      </c>
      <c r="F98" s="9">
        <v>36</v>
      </c>
      <c r="G98" s="9" t="s">
        <v>60</v>
      </c>
      <c r="H98" s="9">
        <v>0</v>
      </c>
      <c r="I98" s="9">
        <v>78</v>
      </c>
      <c r="J98" s="9" t="s">
        <v>57</v>
      </c>
      <c r="K98" s="9">
        <v>5</v>
      </c>
      <c r="L98" s="9" t="s">
        <v>196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45919</v>
      </c>
      <c r="U98" s="11">
        <v>40000</v>
      </c>
      <c r="V98" s="10">
        <v>20000</v>
      </c>
      <c r="W98" s="10">
        <v>20000</v>
      </c>
      <c r="X98" s="10">
        <v>40982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210</v>
      </c>
      <c r="AG98" s="1" t="s">
        <v>61</v>
      </c>
      <c r="AH98" s="1" t="s">
        <v>74</v>
      </c>
      <c r="AI98" s="1">
        <v>2</v>
      </c>
      <c r="AJ98" s="3">
        <v>45919</v>
      </c>
      <c r="AK98" s="3">
        <v>0</v>
      </c>
      <c r="AL98" s="3">
        <v>45910</v>
      </c>
      <c r="AM98" s="3">
        <v>45917</v>
      </c>
      <c r="AN98" s="3">
        <v>45918</v>
      </c>
      <c r="AO98" s="3">
        <v>45918</v>
      </c>
      <c r="AP98" s="3">
        <v>45914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 t="s">
        <v>335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45887</v>
      </c>
      <c r="B99" s="14" t="s">
        <v>349</v>
      </c>
      <c r="C99" s="9" t="s">
        <v>139</v>
      </c>
      <c r="D99" s="13" t="s">
        <v>268</v>
      </c>
      <c r="E99" s="9">
        <v>20</v>
      </c>
      <c r="F99" s="9">
        <v>36</v>
      </c>
      <c r="G99" s="9" t="s">
        <v>60</v>
      </c>
      <c r="H99" s="9">
        <v>0</v>
      </c>
      <c r="I99" s="9">
        <v>78</v>
      </c>
      <c r="J99" s="9" t="s">
        <v>57</v>
      </c>
      <c r="K99" s="9">
        <v>5</v>
      </c>
      <c r="L99" s="9" t="s">
        <v>196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45922</v>
      </c>
      <c r="U99" s="11">
        <v>30000</v>
      </c>
      <c r="V99" s="10">
        <v>0</v>
      </c>
      <c r="W99" s="10">
        <v>30000</v>
      </c>
      <c r="X99" s="10">
        <v>31500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210</v>
      </c>
      <c r="AG99" s="1" t="s">
        <v>115</v>
      </c>
      <c r="AH99" s="1" t="s">
        <v>74</v>
      </c>
      <c r="AI99" s="1">
        <v>2</v>
      </c>
      <c r="AJ99" s="3">
        <v>45922</v>
      </c>
      <c r="AK99" s="3">
        <v>0</v>
      </c>
      <c r="AL99" s="3">
        <v>45913</v>
      </c>
      <c r="AM99" s="3">
        <v>45920</v>
      </c>
      <c r="AN99" s="3">
        <v>45921</v>
      </c>
      <c r="AO99" s="3">
        <v>45921</v>
      </c>
      <c r="AP99" s="3">
        <v>45917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 t="s">
        <v>335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45">
      <c r="A100" s="3">
        <v>45887</v>
      </c>
      <c r="B100" s="14" t="s">
        <v>349</v>
      </c>
      <c r="C100" s="9" t="s">
        <v>139</v>
      </c>
      <c r="D100" s="13" t="s">
        <v>268</v>
      </c>
      <c r="E100" s="9">
        <v>20</v>
      </c>
      <c r="F100" s="9">
        <v>36</v>
      </c>
      <c r="G100" s="9" t="s">
        <v>60</v>
      </c>
      <c r="H100" s="9">
        <v>0</v>
      </c>
      <c r="I100" s="9">
        <v>78</v>
      </c>
      <c r="J100" s="9" t="s">
        <v>57</v>
      </c>
      <c r="K100" s="9">
        <v>5</v>
      </c>
      <c r="L100" s="9" t="s">
        <v>196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45926</v>
      </c>
      <c r="U100" s="11">
        <v>20000</v>
      </c>
      <c r="V100" s="10">
        <v>0</v>
      </c>
      <c r="W100" s="10">
        <v>20000</v>
      </c>
      <c r="X100" s="10">
        <v>16526</v>
      </c>
      <c r="Y100" s="10">
        <v>3647.7000000000003</v>
      </c>
      <c r="Z100" s="9" t="s">
        <v>81</v>
      </c>
      <c r="AA100" s="8">
        <v>3821.8776750000006</v>
      </c>
      <c r="AB100" s="8">
        <v>3821.8776750000006</v>
      </c>
      <c r="AC100" s="8">
        <v>0</v>
      </c>
      <c r="AD100" s="8">
        <v>0</v>
      </c>
      <c r="AE100" s="8">
        <v>0</v>
      </c>
      <c r="AF100" s="8" t="s">
        <v>210</v>
      </c>
      <c r="AG100" s="1" t="s">
        <v>115</v>
      </c>
      <c r="AH100" s="1" t="s">
        <v>74</v>
      </c>
      <c r="AI100" s="1">
        <v>2</v>
      </c>
      <c r="AJ100" s="3">
        <v>45926</v>
      </c>
      <c r="AK100" s="3">
        <v>0</v>
      </c>
      <c r="AL100" s="3">
        <v>45917</v>
      </c>
      <c r="AM100" s="3">
        <v>45924</v>
      </c>
      <c r="AN100" s="3">
        <v>45925</v>
      </c>
      <c r="AO100" s="3">
        <v>45925</v>
      </c>
      <c r="AP100" s="3">
        <v>45921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 t="s">
        <v>335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45">
      <c r="A101" s="3" t="s">
        <v>135</v>
      </c>
      <c r="B101" s="14" t="s">
        <v>135</v>
      </c>
      <c r="C101" s="9" t="s">
        <v>139</v>
      </c>
      <c r="D101" s="13" t="s">
        <v>61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196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 t="s">
        <v>63</v>
      </c>
      <c r="U101" s="11">
        <v>290000</v>
      </c>
      <c r="V101" s="10">
        <v>0</v>
      </c>
      <c r="W101" s="10">
        <v>290000</v>
      </c>
      <c r="X101" s="10">
        <v>0</v>
      </c>
      <c r="Y101" s="10">
        <v>304500</v>
      </c>
      <c r="Z101" s="9" t="s">
        <v>81</v>
      </c>
      <c r="AA101" s="8">
        <v>303847.5</v>
      </c>
      <c r="AB101" s="8">
        <v>67779</v>
      </c>
      <c r="AC101" s="8">
        <v>236068.5</v>
      </c>
      <c r="AD101" s="8">
        <v>0</v>
      </c>
      <c r="AE101" s="8">
        <v>0</v>
      </c>
      <c r="AF101" s="8" t="s">
        <v>210</v>
      </c>
      <c r="AG101" s="1" t="s">
        <v>115</v>
      </c>
      <c r="AH101" s="1" t="s">
        <v>74</v>
      </c>
      <c r="AI101" s="1">
        <v>2</v>
      </c>
      <c r="AJ101" s="3" t="s">
        <v>63</v>
      </c>
      <c r="AK101" s="3">
        <v>0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18046.125333333333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37</v>
      </c>
      <c r="G102" s="9">
        <v>0</v>
      </c>
      <c r="H102" s="9">
        <v>0</v>
      </c>
      <c r="I102" s="9">
        <v>80</v>
      </c>
      <c r="J102" s="9" t="s">
        <v>57</v>
      </c>
      <c r="K102" s="9">
        <v>3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81</v>
      </c>
      <c r="AA102" s="8">
        <v>307669.377675</v>
      </c>
      <c r="AB102" s="8">
        <v>71600.877674999996</v>
      </c>
      <c r="AC102" s="8">
        <v>236068.5</v>
      </c>
      <c r="AD102" s="8">
        <v>0</v>
      </c>
      <c r="AE102" s="8">
        <v>0</v>
      </c>
      <c r="AF102" s="8" t="s">
        <v>58</v>
      </c>
      <c r="AG102" s="1" t="s">
        <v>115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45903</v>
      </c>
      <c r="B103" s="14" t="s">
        <v>128</v>
      </c>
      <c r="C103" s="9" t="s">
        <v>448</v>
      </c>
      <c r="D103" s="13" t="s">
        <v>59</v>
      </c>
      <c r="E103" s="9">
        <v>21</v>
      </c>
      <c r="F103" s="9">
        <v>31</v>
      </c>
      <c r="G103" s="9" t="s">
        <v>60</v>
      </c>
      <c r="H103" s="9">
        <v>0</v>
      </c>
      <c r="I103" s="9">
        <v>60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123</v>
      </c>
      <c r="T103" s="12">
        <v>45906</v>
      </c>
      <c r="U103" s="11">
        <v>5000</v>
      </c>
      <c r="V103" s="10">
        <v>0</v>
      </c>
      <c r="W103" s="10">
        <v>5000</v>
      </c>
      <c r="X103" s="10">
        <v>0</v>
      </c>
      <c r="Y103" s="10">
        <v>0</v>
      </c>
      <c r="Z103" s="9" t="s">
        <v>130</v>
      </c>
      <c r="AA103" s="8">
        <v>4540.25</v>
      </c>
      <c r="AB103" s="8">
        <v>4540.25</v>
      </c>
      <c r="AC103" s="8">
        <v>0</v>
      </c>
      <c r="AD103" s="8">
        <v>0</v>
      </c>
      <c r="AE103" s="8">
        <v>0</v>
      </c>
      <c r="AF103" s="8" t="s">
        <v>210</v>
      </c>
      <c r="AG103" s="1" t="s">
        <v>115</v>
      </c>
      <c r="AH103" s="1" t="s">
        <v>77</v>
      </c>
      <c r="AI103" s="1">
        <v>1</v>
      </c>
      <c r="AJ103" s="3">
        <v>45906</v>
      </c>
      <c r="AK103" s="3">
        <v>0</v>
      </c>
      <c r="AL103" s="3">
        <v>0</v>
      </c>
      <c r="AM103" s="3">
        <v>0</v>
      </c>
      <c r="AN103" s="3">
        <v>0</v>
      </c>
      <c r="AO103" s="3">
        <v>45905</v>
      </c>
      <c r="AP103" s="3">
        <v>45901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</v>
      </c>
      <c r="AX103" s="2">
        <v>0</v>
      </c>
      <c r="AY103" s="2" t="s">
        <v>449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7.75" customHeight="1" x14ac:dyDescent="0.45">
      <c r="A104" s="3">
        <v>0</v>
      </c>
      <c r="B104" s="14">
        <v>0</v>
      </c>
      <c r="C104" s="9">
        <v>0</v>
      </c>
      <c r="D104" s="13">
        <v>0</v>
      </c>
      <c r="E104" s="9">
        <v>21</v>
      </c>
      <c r="F104" s="9">
        <v>37</v>
      </c>
      <c r="G104" s="9" t="s">
        <v>60</v>
      </c>
      <c r="H104" s="9">
        <v>0</v>
      </c>
      <c r="I104" s="9">
        <v>67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130</v>
      </c>
      <c r="AA104" s="8">
        <v>4540.25</v>
      </c>
      <c r="AB104" s="8">
        <v>4540.25</v>
      </c>
      <c r="AC104" s="8">
        <v>0</v>
      </c>
      <c r="AD104" s="8">
        <v>0</v>
      </c>
      <c r="AE104" s="8">
        <v>0</v>
      </c>
      <c r="AF104" s="8" t="s">
        <v>58</v>
      </c>
      <c r="AG104" s="1" t="s">
        <v>115</v>
      </c>
      <c r="AH104" s="1">
        <v>0</v>
      </c>
      <c r="AI104" s="1" t="s">
        <v>15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7.75" customHeight="1" x14ac:dyDescent="0.45">
      <c r="A105" s="3">
        <v>45876</v>
      </c>
      <c r="B105" s="14" t="s">
        <v>325</v>
      </c>
      <c r="C105" s="9" t="s">
        <v>303</v>
      </c>
      <c r="D105" s="13" t="s">
        <v>312</v>
      </c>
      <c r="E105" s="9">
        <v>21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0</v>
      </c>
      <c r="Q105" s="10">
        <v>0</v>
      </c>
      <c r="R105" s="10">
        <v>0</v>
      </c>
      <c r="S105" s="9" t="s">
        <v>71</v>
      </c>
      <c r="T105" s="12">
        <v>45905</v>
      </c>
      <c r="U105" s="11">
        <v>20000</v>
      </c>
      <c r="V105" s="10">
        <v>20006</v>
      </c>
      <c r="W105" s="10">
        <v>0</v>
      </c>
      <c r="X105" s="10">
        <v>21000</v>
      </c>
      <c r="Y105" s="10">
        <v>0</v>
      </c>
      <c r="Z105" s="9" t="s">
        <v>120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116</v>
      </c>
      <c r="AH105" s="1" t="s">
        <v>68</v>
      </c>
      <c r="AI105" s="1">
        <v>4</v>
      </c>
      <c r="AJ105" s="3">
        <v>45905</v>
      </c>
      <c r="AK105" s="3">
        <v>45901</v>
      </c>
      <c r="AL105" s="3">
        <v>45895</v>
      </c>
      <c r="AM105" s="3">
        <v>45902</v>
      </c>
      <c r="AN105" s="3">
        <v>45903</v>
      </c>
      <c r="AO105" s="3">
        <v>45903</v>
      </c>
      <c r="AP105" s="3">
        <v>45900</v>
      </c>
      <c r="AQ105" s="3">
        <v>45904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 t="s">
        <v>132</v>
      </c>
      <c r="AZ105" s="2">
        <v>0</v>
      </c>
      <c r="BA105" s="2">
        <v>0</v>
      </c>
      <c r="BB105" s="2">
        <v>0</v>
      </c>
      <c r="BC105" s="1" t="s">
        <v>121</v>
      </c>
      <c r="BD105" s="56">
        <v>0</v>
      </c>
    </row>
    <row r="106" spans="1:56" ht="27.75" customHeight="1" x14ac:dyDescent="0.45">
      <c r="A106" s="3">
        <v>45876</v>
      </c>
      <c r="B106" s="14" t="s">
        <v>326</v>
      </c>
      <c r="C106" s="9" t="s">
        <v>303</v>
      </c>
      <c r="D106" s="13" t="s">
        <v>304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1.6065702062079996</v>
      </c>
      <c r="Q106" s="10">
        <v>0</v>
      </c>
      <c r="R106" s="10">
        <v>1.6065702062079996</v>
      </c>
      <c r="S106" s="9" t="s">
        <v>71</v>
      </c>
      <c r="T106" s="12">
        <v>45905</v>
      </c>
      <c r="U106" s="11">
        <v>10000</v>
      </c>
      <c r="V106" s="10">
        <v>9926</v>
      </c>
      <c r="W106" s="10">
        <v>74</v>
      </c>
      <c r="X106" s="10">
        <v>10500</v>
      </c>
      <c r="Y106" s="10">
        <v>0</v>
      </c>
      <c r="Z106" s="9" t="s">
        <v>120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116</v>
      </c>
      <c r="AH106" s="1" t="s">
        <v>68</v>
      </c>
      <c r="AI106" s="1">
        <v>4</v>
      </c>
      <c r="AJ106" s="3">
        <v>45905</v>
      </c>
      <c r="AK106" s="3">
        <v>45901</v>
      </c>
      <c r="AL106" s="3">
        <v>45895</v>
      </c>
      <c r="AM106" s="3">
        <v>45902</v>
      </c>
      <c r="AN106" s="3">
        <v>45903</v>
      </c>
      <c r="AO106" s="3">
        <v>45903</v>
      </c>
      <c r="AP106" s="3">
        <v>45900</v>
      </c>
      <c r="AQ106" s="3">
        <v>45904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132</v>
      </c>
      <c r="AZ106" s="2">
        <v>0</v>
      </c>
      <c r="BA106" s="2">
        <v>0</v>
      </c>
      <c r="BB106" s="2">
        <v>0</v>
      </c>
      <c r="BC106" s="1" t="s">
        <v>121</v>
      </c>
      <c r="BD106" s="56">
        <v>0</v>
      </c>
    </row>
    <row r="107" spans="1:56" ht="27.75" customHeight="1" x14ac:dyDescent="0.45">
      <c r="A107" s="3">
        <v>45892</v>
      </c>
      <c r="B107" s="14" t="s">
        <v>369</v>
      </c>
      <c r="C107" s="9" t="s">
        <v>79</v>
      </c>
      <c r="D107" s="13" t="s">
        <v>370</v>
      </c>
      <c r="E107" s="9">
        <v>21</v>
      </c>
      <c r="F107" s="9">
        <v>40</v>
      </c>
      <c r="G107" s="9" t="s">
        <v>60</v>
      </c>
      <c r="H107" s="9" t="s">
        <v>76</v>
      </c>
      <c r="I107" s="9">
        <v>108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42</v>
      </c>
      <c r="O107" s="9">
        <v>40</v>
      </c>
      <c r="P107" s="10">
        <v>0</v>
      </c>
      <c r="Q107" s="10">
        <v>0</v>
      </c>
      <c r="R107" s="10">
        <v>0</v>
      </c>
      <c r="S107" s="9" t="s">
        <v>67</v>
      </c>
      <c r="T107" s="12">
        <v>45906</v>
      </c>
      <c r="U107" s="11">
        <v>3000</v>
      </c>
      <c r="V107" s="10">
        <v>3000</v>
      </c>
      <c r="W107" s="10">
        <v>0</v>
      </c>
      <c r="X107" s="10">
        <v>3100</v>
      </c>
      <c r="Y107" s="10">
        <v>0</v>
      </c>
      <c r="Z107" s="9" t="s">
        <v>120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116</v>
      </c>
      <c r="AH107" s="1" t="s">
        <v>68</v>
      </c>
      <c r="AI107" s="1">
        <v>4</v>
      </c>
      <c r="AJ107" s="3">
        <v>45906</v>
      </c>
      <c r="AK107" s="3">
        <v>45902</v>
      </c>
      <c r="AL107" s="3">
        <v>45896</v>
      </c>
      <c r="AM107" s="3">
        <v>45903</v>
      </c>
      <c r="AN107" s="3">
        <v>45904</v>
      </c>
      <c r="AO107" s="3">
        <v>45904</v>
      </c>
      <c r="AP107" s="3">
        <v>45901</v>
      </c>
      <c r="AQ107" s="3">
        <v>45905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121</v>
      </c>
      <c r="BD107" s="56">
        <v>0</v>
      </c>
    </row>
    <row r="108" spans="1:56" ht="27.75" customHeight="1" x14ac:dyDescent="0.45">
      <c r="A108" s="3">
        <v>45876</v>
      </c>
      <c r="B108" s="14" t="s">
        <v>337</v>
      </c>
      <c r="C108" s="9" t="s">
        <v>107</v>
      </c>
      <c r="D108" s="13" t="s">
        <v>317</v>
      </c>
      <c r="E108" s="9">
        <v>21</v>
      </c>
      <c r="F108" s="9">
        <v>38</v>
      </c>
      <c r="G108" s="9" t="s">
        <v>60</v>
      </c>
      <c r="H108" s="9" t="s">
        <v>66</v>
      </c>
      <c r="I108" s="9">
        <v>102</v>
      </c>
      <c r="J108" s="9" t="s">
        <v>57</v>
      </c>
      <c r="K108" s="9">
        <v>5</v>
      </c>
      <c r="L108" s="9" t="s">
        <v>90</v>
      </c>
      <c r="M108" s="10">
        <v>22</v>
      </c>
      <c r="N108" s="9">
        <v>40</v>
      </c>
      <c r="O108" s="9">
        <v>40</v>
      </c>
      <c r="P108" s="10">
        <v>65.13122457599998</v>
      </c>
      <c r="Q108" s="10">
        <v>0</v>
      </c>
      <c r="R108" s="10">
        <v>65.13122457599998</v>
      </c>
      <c r="S108" s="9" t="s">
        <v>67</v>
      </c>
      <c r="T108" s="12">
        <v>45926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120</v>
      </c>
      <c r="AA108" s="8">
        <v>3310.89</v>
      </c>
      <c r="AB108" s="8">
        <v>3310.89</v>
      </c>
      <c r="AC108" s="8">
        <v>0</v>
      </c>
      <c r="AD108" s="8">
        <v>3310.89</v>
      </c>
      <c r="AE108" s="8">
        <v>0</v>
      </c>
      <c r="AF108" s="8">
        <v>0</v>
      </c>
      <c r="AG108" s="1" t="s">
        <v>61</v>
      </c>
      <c r="AH108" s="1" t="s">
        <v>68</v>
      </c>
      <c r="AI108" s="1">
        <v>4</v>
      </c>
      <c r="AJ108" s="3">
        <v>45926</v>
      </c>
      <c r="AK108" s="3">
        <v>45922</v>
      </c>
      <c r="AL108" s="3">
        <v>45916</v>
      </c>
      <c r="AM108" s="3">
        <v>45923</v>
      </c>
      <c r="AN108" s="3">
        <v>45924</v>
      </c>
      <c r="AO108" s="3">
        <v>45924</v>
      </c>
      <c r="AP108" s="3">
        <v>45921</v>
      </c>
      <c r="AQ108" s="3">
        <v>45925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121</v>
      </c>
      <c r="BD108" s="56">
        <v>0</v>
      </c>
    </row>
    <row r="109" spans="1:56" ht="27.75" customHeight="1" x14ac:dyDescent="0.45">
      <c r="A109" s="3">
        <v>45631</v>
      </c>
      <c r="B109" s="14" t="s">
        <v>203</v>
      </c>
      <c r="C109" s="9" t="s">
        <v>109</v>
      </c>
      <c r="D109" s="13" t="s">
        <v>144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110</v>
      </c>
      <c r="T109" s="12" t="s">
        <v>63</v>
      </c>
      <c r="U109" s="11">
        <v>16000</v>
      </c>
      <c r="V109" s="10">
        <v>0</v>
      </c>
      <c r="W109" s="10">
        <v>16000</v>
      </c>
      <c r="X109" s="10">
        <v>0</v>
      </c>
      <c r="Y109" s="10">
        <v>16800</v>
      </c>
      <c r="Z109" s="9" t="s">
        <v>120</v>
      </c>
      <c r="AA109" s="8">
        <v>17211.04</v>
      </c>
      <c r="AB109" s="8">
        <v>17211.04</v>
      </c>
      <c r="AC109" s="8">
        <v>0</v>
      </c>
      <c r="AD109" s="8">
        <v>0</v>
      </c>
      <c r="AE109" s="8">
        <v>17211.04</v>
      </c>
      <c r="AF109" s="8">
        <v>0</v>
      </c>
      <c r="AG109" s="1" t="s">
        <v>116</v>
      </c>
      <c r="AH109" s="1" t="s">
        <v>68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218</v>
      </c>
      <c r="AZ109" s="2">
        <v>0</v>
      </c>
      <c r="BA109" s="2">
        <v>0</v>
      </c>
      <c r="BB109" s="2">
        <v>0</v>
      </c>
      <c r="BC109" s="1" t="s">
        <v>121</v>
      </c>
      <c r="BD109" s="56">
        <v>0</v>
      </c>
    </row>
    <row r="110" spans="1:56" ht="27.75" customHeight="1" x14ac:dyDescent="0.45">
      <c r="A110" s="3">
        <v>45631</v>
      </c>
      <c r="B110" s="14" t="s">
        <v>202</v>
      </c>
      <c r="C110" s="9" t="s">
        <v>109</v>
      </c>
      <c r="D110" s="13" t="s">
        <v>144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110</v>
      </c>
      <c r="T110" s="12" t="s">
        <v>63</v>
      </c>
      <c r="U110" s="11">
        <v>9000</v>
      </c>
      <c r="V110" s="10">
        <v>0</v>
      </c>
      <c r="W110" s="10">
        <v>9000</v>
      </c>
      <c r="X110" s="10">
        <v>0</v>
      </c>
      <c r="Y110" s="10">
        <v>9450</v>
      </c>
      <c r="Z110" s="9" t="s">
        <v>120</v>
      </c>
      <c r="AA110" s="8">
        <v>9681.2100000000009</v>
      </c>
      <c r="AB110" s="8">
        <v>9681.2100000000009</v>
      </c>
      <c r="AC110" s="8">
        <v>0</v>
      </c>
      <c r="AD110" s="8">
        <v>0</v>
      </c>
      <c r="AE110" s="8">
        <v>9681.2100000000009</v>
      </c>
      <c r="AF110" s="8">
        <v>0</v>
      </c>
      <c r="AG110" s="1" t="s">
        <v>116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217</v>
      </c>
      <c r="AZ110" s="2">
        <v>0</v>
      </c>
      <c r="BA110" s="2">
        <v>0</v>
      </c>
      <c r="BB110" s="2">
        <v>0</v>
      </c>
      <c r="BC110" s="1" t="s">
        <v>121</v>
      </c>
      <c r="BD110" s="56">
        <v>0</v>
      </c>
    </row>
    <row r="111" spans="1:56" ht="27.75" customHeight="1" x14ac:dyDescent="0.45">
      <c r="A111" s="3" t="s">
        <v>135</v>
      </c>
      <c r="B111" s="14" t="s">
        <v>450</v>
      </c>
      <c r="C111" s="9" t="s">
        <v>451</v>
      </c>
      <c r="D111" s="13" t="s">
        <v>452</v>
      </c>
      <c r="E111" s="9">
        <v>21</v>
      </c>
      <c r="F111" s="9">
        <v>40</v>
      </c>
      <c r="G111" s="9" t="s">
        <v>60</v>
      </c>
      <c r="H111" s="9" t="s">
        <v>66</v>
      </c>
      <c r="I111" s="9">
        <v>108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71</v>
      </c>
      <c r="T111" s="12">
        <v>45911</v>
      </c>
      <c r="U111" s="11">
        <v>4000</v>
      </c>
      <c r="V111" s="10">
        <v>0</v>
      </c>
      <c r="W111" s="10">
        <v>4000</v>
      </c>
      <c r="X111" s="10">
        <v>0</v>
      </c>
      <c r="Y111" s="10">
        <v>4200</v>
      </c>
      <c r="Z111" s="9" t="s">
        <v>120</v>
      </c>
      <c r="AA111" s="8">
        <v>4000</v>
      </c>
      <c r="AB111" s="8">
        <v>4000</v>
      </c>
      <c r="AC111" s="8">
        <v>0</v>
      </c>
      <c r="AD111" s="8">
        <v>4000</v>
      </c>
      <c r="AE111" s="8">
        <v>0</v>
      </c>
      <c r="AF111" s="8">
        <v>0</v>
      </c>
      <c r="AG111" s="1" t="s">
        <v>116</v>
      </c>
      <c r="AH111" s="1" t="s">
        <v>68</v>
      </c>
      <c r="AI111" s="1">
        <v>4</v>
      </c>
      <c r="AJ111" s="3">
        <v>45925</v>
      </c>
      <c r="AK111" s="3">
        <v>45921</v>
      </c>
      <c r="AL111" s="3">
        <v>45915</v>
      </c>
      <c r="AM111" s="3">
        <v>45922</v>
      </c>
      <c r="AN111" s="3">
        <v>45923</v>
      </c>
      <c r="AO111" s="3">
        <v>45923</v>
      </c>
      <c r="AP111" s="3">
        <v>45920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121</v>
      </c>
      <c r="BD111" s="56">
        <v>0</v>
      </c>
    </row>
    <row r="112" spans="1:56" ht="27.75" customHeight="1" x14ac:dyDescent="0.45">
      <c r="A112" s="3" t="s">
        <v>135</v>
      </c>
      <c r="B112" s="14" t="s">
        <v>135</v>
      </c>
      <c r="C112" s="9" t="s">
        <v>111</v>
      </c>
      <c r="D112" s="13" t="s">
        <v>61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45925</v>
      </c>
      <c r="U112" s="11">
        <v>100000</v>
      </c>
      <c r="V112" s="10">
        <v>0</v>
      </c>
      <c r="W112" s="10">
        <v>100000</v>
      </c>
      <c r="X112" s="10">
        <v>0</v>
      </c>
      <c r="Y112" s="10">
        <v>105000</v>
      </c>
      <c r="Z112" s="9" t="s">
        <v>120</v>
      </c>
      <c r="AA112" s="8">
        <v>107569.00000000001</v>
      </c>
      <c r="AB112" s="8">
        <v>107569.00000000001</v>
      </c>
      <c r="AC112" s="8">
        <v>0</v>
      </c>
      <c r="AD112" s="8">
        <v>107569.00000000001</v>
      </c>
      <c r="AE112" s="8">
        <v>0</v>
      </c>
      <c r="AF112" s="8">
        <v>0</v>
      </c>
      <c r="AG112" s="1" t="s">
        <v>116</v>
      </c>
      <c r="AH112" s="1" t="s">
        <v>68</v>
      </c>
      <c r="AI112" s="1">
        <v>4</v>
      </c>
      <c r="AJ112" s="3">
        <v>45925</v>
      </c>
      <c r="AK112" s="3">
        <v>45921</v>
      </c>
      <c r="AL112" s="3">
        <v>45915</v>
      </c>
      <c r="AM112" s="3">
        <v>45922</v>
      </c>
      <c r="AN112" s="3">
        <v>45923</v>
      </c>
      <c r="AO112" s="3">
        <v>45923</v>
      </c>
      <c r="AP112" s="3">
        <v>45920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121</v>
      </c>
      <c r="BD112" s="56">
        <v>0</v>
      </c>
    </row>
    <row r="113" spans="1:56" ht="27.75" customHeight="1" x14ac:dyDescent="0.45">
      <c r="A113" s="3">
        <v>45896</v>
      </c>
      <c r="B113" s="14" t="s">
        <v>407</v>
      </c>
      <c r="C113" s="9" t="s">
        <v>107</v>
      </c>
      <c r="D113" s="13" t="s">
        <v>408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90</v>
      </c>
      <c r="M113" s="10">
        <v>22</v>
      </c>
      <c r="N113" s="9">
        <v>40</v>
      </c>
      <c r="O113" s="9">
        <v>40</v>
      </c>
      <c r="P113" s="10">
        <v>65.13122457599998</v>
      </c>
      <c r="Q113" s="10">
        <v>0</v>
      </c>
      <c r="R113" s="10">
        <v>65.13122457599998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120</v>
      </c>
      <c r="AA113" s="8">
        <v>3310.89</v>
      </c>
      <c r="AB113" s="8">
        <v>3310.89</v>
      </c>
      <c r="AC113" s="8">
        <v>0</v>
      </c>
      <c r="AD113" s="8">
        <v>0</v>
      </c>
      <c r="AE113" s="8">
        <v>3310.89</v>
      </c>
      <c r="AF113" s="8">
        <v>0</v>
      </c>
      <c r="AG113" s="1" t="s">
        <v>116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45896</v>
      </c>
      <c r="B114" s="14" t="s">
        <v>409</v>
      </c>
      <c r="C114" s="9" t="s">
        <v>107</v>
      </c>
      <c r="D114" s="13" t="s">
        <v>314</v>
      </c>
      <c r="E114" s="9">
        <v>21</v>
      </c>
      <c r="F114" s="9">
        <v>38</v>
      </c>
      <c r="G114" s="9" t="s">
        <v>60</v>
      </c>
      <c r="H114" s="9" t="s">
        <v>66</v>
      </c>
      <c r="I114" s="9">
        <v>102</v>
      </c>
      <c r="J114" s="9" t="s">
        <v>57</v>
      </c>
      <c r="K114" s="9">
        <v>5</v>
      </c>
      <c r="L114" s="9" t="s">
        <v>90</v>
      </c>
      <c r="M114" s="10">
        <v>22</v>
      </c>
      <c r="N114" s="9">
        <v>40</v>
      </c>
      <c r="O114" s="9">
        <v>40</v>
      </c>
      <c r="P114" s="10">
        <v>108.55204095999999</v>
      </c>
      <c r="Q114" s="10">
        <v>0</v>
      </c>
      <c r="R114" s="10">
        <v>108.55204095999999</v>
      </c>
      <c r="S114" s="9" t="s">
        <v>67</v>
      </c>
      <c r="T114" s="12" t="s">
        <v>63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120</v>
      </c>
      <c r="AA114" s="8">
        <v>5518.15</v>
      </c>
      <c r="AB114" s="8">
        <v>5518.15</v>
      </c>
      <c r="AC114" s="8">
        <v>0</v>
      </c>
      <c r="AD114" s="8">
        <v>0</v>
      </c>
      <c r="AE114" s="8">
        <v>5518.15</v>
      </c>
      <c r="AF114" s="8">
        <v>0</v>
      </c>
      <c r="AG114" s="1" t="s">
        <v>116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45896</v>
      </c>
      <c r="B115" s="14" t="s">
        <v>410</v>
      </c>
      <c r="C115" s="9" t="s">
        <v>107</v>
      </c>
      <c r="D115" s="13" t="s">
        <v>411</v>
      </c>
      <c r="E115" s="9">
        <v>21</v>
      </c>
      <c r="F115" s="9">
        <v>38</v>
      </c>
      <c r="G115" s="9" t="s">
        <v>60</v>
      </c>
      <c r="H115" s="9" t="s">
        <v>66</v>
      </c>
      <c r="I115" s="9">
        <v>102</v>
      </c>
      <c r="J115" s="9" t="s">
        <v>57</v>
      </c>
      <c r="K115" s="9">
        <v>5</v>
      </c>
      <c r="L115" s="9" t="s">
        <v>90</v>
      </c>
      <c r="M115" s="10">
        <v>22</v>
      </c>
      <c r="N115" s="9">
        <v>40</v>
      </c>
      <c r="O115" s="9">
        <v>40</v>
      </c>
      <c r="P115" s="10">
        <v>65.13122457599998</v>
      </c>
      <c r="Q115" s="10">
        <v>0</v>
      </c>
      <c r="R115" s="10">
        <v>65.13122457599998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120</v>
      </c>
      <c r="AA115" s="8">
        <v>3310.89</v>
      </c>
      <c r="AB115" s="8">
        <v>3310.89</v>
      </c>
      <c r="AC115" s="8">
        <v>0</v>
      </c>
      <c r="AD115" s="8">
        <v>0</v>
      </c>
      <c r="AE115" s="8">
        <v>3310.89</v>
      </c>
      <c r="AF115" s="8">
        <v>0</v>
      </c>
      <c r="AG115" s="1" t="s">
        <v>116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45876</v>
      </c>
      <c r="B116" s="14" t="s">
        <v>336</v>
      </c>
      <c r="C116" s="9" t="s">
        <v>107</v>
      </c>
      <c r="D116" s="13" t="s">
        <v>316</v>
      </c>
      <c r="E116" s="9">
        <v>21</v>
      </c>
      <c r="F116" s="9">
        <v>40</v>
      </c>
      <c r="G116" s="9" t="s">
        <v>60</v>
      </c>
      <c r="H116" s="9" t="s">
        <v>66</v>
      </c>
      <c r="I116" s="9">
        <v>108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42</v>
      </c>
      <c r="O116" s="9">
        <v>40</v>
      </c>
      <c r="P116" s="10">
        <v>68.387785804799989</v>
      </c>
      <c r="Q116" s="10">
        <v>0</v>
      </c>
      <c r="R116" s="10">
        <v>68.387785804799989</v>
      </c>
      <c r="S116" s="9" t="s">
        <v>71</v>
      </c>
      <c r="T116" s="12" t="s">
        <v>63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120</v>
      </c>
      <c r="AA116" s="8">
        <v>3478.5300000000007</v>
      </c>
      <c r="AB116" s="8">
        <v>3478.5300000000007</v>
      </c>
      <c r="AC116" s="8">
        <v>0</v>
      </c>
      <c r="AD116" s="8">
        <v>0</v>
      </c>
      <c r="AE116" s="8">
        <v>3478.5300000000007</v>
      </c>
      <c r="AF116" s="8">
        <v>0</v>
      </c>
      <c r="AG116" s="1" t="s">
        <v>116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 t="e">
        <v>#VALUE!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45876</v>
      </c>
      <c r="B117" s="14" t="s">
        <v>338</v>
      </c>
      <c r="C117" s="9" t="s">
        <v>107</v>
      </c>
      <c r="D117" s="13" t="s">
        <v>318</v>
      </c>
      <c r="E117" s="9">
        <v>21</v>
      </c>
      <c r="F117" s="9">
        <v>40</v>
      </c>
      <c r="G117" s="9" t="s">
        <v>60</v>
      </c>
      <c r="H117" s="9" t="s">
        <v>66</v>
      </c>
      <c r="I117" s="9">
        <v>108</v>
      </c>
      <c r="J117" s="9" t="s">
        <v>57</v>
      </c>
      <c r="K117" s="9">
        <v>5</v>
      </c>
      <c r="L117" s="9" t="s">
        <v>91</v>
      </c>
      <c r="M117" s="10">
        <v>22</v>
      </c>
      <c r="N117" s="9">
        <v>42</v>
      </c>
      <c r="O117" s="9">
        <v>40</v>
      </c>
      <c r="P117" s="10">
        <v>113.97964300799998</v>
      </c>
      <c r="Q117" s="10">
        <v>0</v>
      </c>
      <c r="R117" s="10">
        <v>113.97964300799998</v>
      </c>
      <c r="S117" s="9" t="s">
        <v>71</v>
      </c>
      <c r="T117" s="12" t="s">
        <v>63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120</v>
      </c>
      <c r="AA117" s="8">
        <v>5797.55</v>
      </c>
      <c r="AB117" s="8">
        <v>5797.55</v>
      </c>
      <c r="AC117" s="8">
        <v>0</v>
      </c>
      <c r="AD117" s="8">
        <v>0</v>
      </c>
      <c r="AE117" s="8">
        <v>5797.55</v>
      </c>
      <c r="AF117" s="8">
        <v>0</v>
      </c>
      <c r="AG117" s="1" t="s">
        <v>116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 t="s">
        <v>135</v>
      </c>
      <c r="B118" s="14" t="s">
        <v>135</v>
      </c>
      <c r="C118" s="9" t="s">
        <v>109</v>
      </c>
      <c r="D118" s="13" t="s">
        <v>144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 t="s">
        <v>63</v>
      </c>
      <c r="U118" s="11">
        <v>10000</v>
      </c>
      <c r="V118" s="10">
        <v>0</v>
      </c>
      <c r="W118" s="10">
        <v>10000</v>
      </c>
      <c r="X118" s="10">
        <v>0</v>
      </c>
      <c r="Y118" s="10">
        <v>10500</v>
      </c>
      <c r="Z118" s="9" t="s">
        <v>120</v>
      </c>
      <c r="AA118" s="8">
        <v>10756.900000000001</v>
      </c>
      <c r="AB118" s="8">
        <v>10756.900000000001</v>
      </c>
      <c r="AC118" s="8">
        <v>0</v>
      </c>
      <c r="AD118" s="8">
        <v>0</v>
      </c>
      <c r="AE118" s="8">
        <v>10756.900000000001</v>
      </c>
      <c r="AF118" s="8">
        <v>0</v>
      </c>
      <c r="AG118" s="1" t="s">
        <v>116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45854</v>
      </c>
      <c r="B119" s="14" t="s">
        <v>295</v>
      </c>
      <c r="C119" s="9" t="s">
        <v>79</v>
      </c>
      <c r="D119" s="13" t="s">
        <v>296</v>
      </c>
      <c r="E119" s="9">
        <v>21</v>
      </c>
      <c r="F119" s="9">
        <v>38</v>
      </c>
      <c r="G119" s="9" t="s">
        <v>60</v>
      </c>
      <c r="H119" s="9" t="s">
        <v>76</v>
      </c>
      <c r="I119" s="9">
        <v>102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40</v>
      </c>
      <c r="O119" s="9">
        <v>40</v>
      </c>
      <c r="P119" s="10">
        <v>65.13122457599998</v>
      </c>
      <c r="Q119" s="10">
        <v>0</v>
      </c>
      <c r="R119" s="10">
        <v>65.13122457599998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120</v>
      </c>
      <c r="AA119" s="8">
        <v>3310.89</v>
      </c>
      <c r="AB119" s="8">
        <v>3310.89</v>
      </c>
      <c r="AC119" s="8">
        <v>0</v>
      </c>
      <c r="AD119" s="8">
        <v>0</v>
      </c>
      <c r="AE119" s="8">
        <v>3310.89</v>
      </c>
      <c r="AF119" s="8">
        <v>0</v>
      </c>
      <c r="AG119" s="1" t="s">
        <v>116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45854</v>
      </c>
      <c r="B120" s="14" t="s">
        <v>297</v>
      </c>
      <c r="C120" s="9" t="s">
        <v>79</v>
      </c>
      <c r="D120" s="13" t="s">
        <v>298</v>
      </c>
      <c r="E120" s="9">
        <v>21</v>
      </c>
      <c r="F120" s="9">
        <v>38</v>
      </c>
      <c r="G120" s="9" t="s">
        <v>60</v>
      </c>
      <c r="H120" s="9" t="s">
        <v>76</v>
      </c>
      <c r="I120" s="9">
        <v>102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40</v>
      </c>
      <c r="O120" s="9">
        <v>40</v>
      </c>
      <c r="P120" s="10">
        <v>65.13122457599998</v>
      </c>
      <c r="Q120" s="10">
        <v>0</v>
      </c>
      <c r="R120" s="10">
        <v>65.13122457599998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120</v>
      </c>
      <c r="AA120" s="8">
        <v>3310.89</v>
      </c>
      <c r="AB120" s="8">
        <v>3310.89</v>
      </c>
      <c r="AC120" s="8">
        <v>0</v>
      </c>
      <c r="AD120" s="8">
        <v>0</v>
      </c>
      <c r="AE120" s="8">
        <v>3310.89</v>
      </c>
      <c r="AF120" s="8">
        <v>0</v>
      </c>
      <c r="AG120" s="1" t="s">
        <v>115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45826</v>
      </c>
      <c r="B121" s="14" t="s">
        <v>274</v>
      </c>
      <c r="C121" s="9" t="s">
        <v>107</v>
      </c>
      <c r="D121" s="13" t="s">
        <v>262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102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40</v>
      </c>
      <c r="O121" s="9">
        <v>40</v>
      </c>
      <c r="P121" s="10">
        <v>163.47937368575995</v>
      </c>
      <c r="Q121" s="10">
        <v>0</v>
      </c>
      <c r="R121" s="10">
        <v>163.47937368575995</v>
      </c>
      <c r="S121" s="9" t="s">
        <v>67</v>
      </c>
      <c r="T121" s="12" t="s">
        <v>63</v>
      </c>
      <c r="U121" s="11">
        <v>8000</v>
      </c>
      <c r="V121" s="10">
        <v>470</v>
      </c>
      <c r="W121" s="10">
        <v>7530</v>
      </c>
      <c r="X121" s="10">
        <v>0</v>
      </c>
      <c r="Y121" s="10">
        <v>7906.5</v>
      </c>
      <c r="Z121" s="9" t="s">
        <v>120</v>
      </c>
      <c r="AA121" s="8">
        <v>8310.3338999999996</v>
      </c>
      <c r="AB121" s="8">
        <v>8310.3338999999996</v>
      </c>
      <c r="AC121" s="8">
        <v>0</v>
      </c>
      <c r="AD121" s="8">
        <v>0</v>
      </c>
      <c r="AE121" s="8">
        <v>8310.3338999999996</v>
      </c>
      <c r="AF121" s="8">
        <v>0</v>
      </c>
      <c r="AG121" s="1" t="s">
        <v>115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45066</v>
      </c>
      <c r="B122" s="14" t="s">
        <v>126</v>
      </c>
      <c r="C122" s="9" t="s">
        <v>79</v>
      </c>
      <c r="D122" s="13" t="s">
        <v>125</v>
      </c>
      <c r="E122" s="9">
        <v>21</v>
      </c>
      <c r="F122" s="9">
        <v>38</v>
      </c>
      <c r="G122" s="9" t="s">
        <v>60</v>
      </c>
      <c r="H122" s="9" t="s">
        <v>76</v>
      </c>
      <c r="I122" s="9">
        <v>102</v>
      </c>
      <c r="J122" s="9" t="s">
        <v>57</v>
      </c>
      <c r="K122" s="9">
        <v>5</v>
      </c>
      <c r="L122" s="9" t="s">
        <v>91</v>
      </c>
      <c r="M122" s="10">
        <v>22</v>
      </c>
      <c r="N122" s="9">
        <v>40</v>
      </c>
      <c r="O122" s="9">
        <v>40</v>
      </c>
      <c r="P122" s="10">
        <v>108.55204095999999</v>
      </c>
      <c r="Q122" s="10">
        <v>0</v>
      </c>
      <c r="R122" s="10">
        <v>108.55204095999999</v>
      </c>
      <c r="S122" s="9" t="s">
        <v>67</v>
      </c>
      <c r="T122" s="12" t="s">
        <v>63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120</v>
      </c>
      <c r="AA122" s="8">
        <v>5518.15</v>
      </c>
      <c r="AB122" s="8">
        <v>5518.15</v>
      </c>
      <c r="AC122" s="8">
        <v>0</v>
      </c>
      <c r="AD122" s="8">
        <v>0</v>
      </c>
      <c r="AE122" s="8">
        <v>5518.15</v>
      </c>
      <c r="AF122" s="8">
        <v>0</v>
      </c>
      <c r="AG122" s="1" t="s">
        <v>116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21</v>
      </c>
      <c r="F123" s="9">
        <v>37</v>
      </c>
      <c r="G123" s="9">
        <v>0</v>
      </c>
      <c r="H123" s="9">
        <v>0</v>
      </c>
      <c r="I123" s="9">
        <v>74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 t="s">
        <v>82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120</v>
      </c>
      <c r="AA123" s="8">
        <v>190395.31390000004</v>
      </c>
      <c r="AB123" s="8">
        <v>190395.31390000004</v>
      </c>
      <c r="AC123" s="8">
        <v>0</v>
      </c>
      <c r="AD123" s="8">
        <v>110879.89000000001</v>
      </c>
      <c r="AE123" s="8">
        <v>79515.423899999994</v>
      </c>
      <c r="AF123" s="8" t="s">
        <v>58</v>
      </c>
      <c r="AG123" s="1" t="s">
        <v>61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122</v>
      </c>
      <c r="BD123" s="56">
        <v>0</v>
      </c>
    </row>
    <row r="124" spans="1:56" ht="27.75" customHeight="1" x14ac:dyDescent="0.45">
      <c r="A124" s="3" t="s">
        <v>135</v>
      </c>
      <c r="B124" s="14" t="s">
        <v>135</v>
      </c>
      <c r="C124" s="9" t="s">
        <v>216</v>
      </c>
      <c r="D124" s="13" t="s">
        <v>216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45930</v>
      </c>
      <c r="U124" s="11">
        <v>30000</v>
      </c>
      <c r="V124" s="10">
        <v>0</v>
      </c>
      <c r="W124" s="10">
        <v>30000</v>
      </c>
      <c r="X124" s="10">
        <v>0</v>
      </c>
      <c r="Y124" s="10">
        <v>31500</v>
      </c>
      <c r="Z124" s="9" t="s">
        <v>83</v>
      </c>
      <c r="AA124" s="8">
        <v>29756.100000000002</v>
      </c>
      <c r="AB124" s="8">
        <v>29756.100000000002</v>
      </c>
      <c r="AC124" s="8">
        <v>0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74</v>
      </c>
      <c r="AI124" s="1">
        <v>2</v>
      </c>
      <c r="AJ124" s="3">
        <v>45930</v>
      </c>
      <c r="AK124" s="3">
        <v>0</v>
      </c>
      <c r="AL124" s="3">
        <v>45921</v>
      </c>
      <c r="AM124" s="3">
        <v>45928</v>
      </c>
      <c r="AN124" s="3">
        <v>45929</v>
      </c>
      <c r="AO124" s="3">
        <v>45929</v>
      </c>
      <c r="AP124" s="3">
        <v>45925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7.75" customHeight="1" x14ac:dyDescent="0.45">
      <c r="A125" s="3" t="s">
        <v>135</v>
      </c>
      <c r="B125" s="14" t="s">
        <v>135</v>
      </c>
      <c r="C125" s="9" t="s">
        <v>221</v>
      </c>
      <c r="D125" s="13" t="s">
        <v>61</v>
      </c>
      <c r="E125" s="9">
        <v>23</v>
      </c>
      <c r="F125" s="9">
        <v>34</v>
      </c>
      <c r="G125" s="9" t="s">
        <v>60</v>
      </c>
      <c r="H125" s="9">
        <v>0</v>
      </c>
      <c r="I125" s="9">
        <v>68</v>
      </c>
      <c r="J125" s="9" t="s">
        <v>57</v>
      </c>
      <c r="K125" s="9">
        <v>5</v>
      </c>
      <c r="L125" s="9" t="s">
        <v>92</v>
      </c>
      <c r="M125" s="10">
        <v>24</v>
      </c>
      <c r="N125" s="9">
        <v>37</v>
      </c>
      <c r="O125" s="9">
        <v>50</v>
      </c>
      <c r="P125" s="10">
        <v>821.54158271999995</v>
      </c>
      <c r="Q125" s="10">
        <v>0</v>
      </c>
      <c r="R125" s="10">
        <v>821.54158271999995</v>
      </c>
      <c r="S125" s="9" t="s">
        <v>123</v>
      </c>
      <c r="T125" s="12">
        <v>45930</v>
      </c>
      <c r="U125" s="11">
        <v>30000</v>
      </c>
      <c r="V125" s="10">
        <v>0</v>
      </c>
      <c r="W125" s="10">
        <v>30000</v>
      </c>
      <c r="X125" s="10">
        <v>0</v>
      </c>
      <c r="Y125" s="10">
        <v>31500</v>
      </c>
      <c r="Z125" s="9" t="s">
        <v>83</v>
      </c>
      <c r="AA125" s="8">
        <v>29756.100000000002</v>
      </c>
      <c r="AB125" s="8">
        <v>5398</v>
      </c>
      <c r="AC125" s="8">
        <v>24358.100000000002</v>
      </c>
      <c r="AD125" s="8">
        <v>0</v>
      </c>
      <c r="AE125" s="8">
        <v>0</v>
      </c>
      <c r="AF125" s="8">
        <v>0</v>
      </c>
      <c r="AG125" s="1" t="s">
        <v>115</v>
      </c>
      <c r="AH125" s="1" t="s">
        <v>72</v>
      </c>
      <c r="AI125" s="1">
        <v>3</v>
      </c>
      <c r="AJ125" s="3">
        <v>45930</v>
      </c>
      <c r="AK125" s="3">
        <v>0</v>
      </c>
      <c r="AL125" s="3">
        <v>45920</v>
      </c>
      <c r="AM125" s="3">
        <v>45927</v>
      </c>
      <c r="AN125" s="3">
        <v>45928</v>
      </c>
      <c r="AO125" s="3">
        <v>45928</v>
      </c>
      <c r="AP125" s="3">
        <v>45925</v>
      </c>
      <c r="AQ125" s="3">
        <v>45929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1820.7679749999995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23</v>
      </c>
      <c r="F126" s="9">
        <v>34</v>
      </c>
      <c r="G126" s="9" t="s">
        <v>60</v>
      </c>
      <c r="H126" s="9">
        <v>0</v>
      </c>
      <c r="I126" s="9">
        <v>68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83</v>
      </c>
      <c r="AA126" s="8">
        <v>59512.200000000004</v>
      </c>
      <c r="AB126" s="8">
        <v>35154.100000000006</v>
      </c>
      <c r="AC126" s="8">
        <v>24358.100000000002</v>
      </c>
      <c r="AD126" s="8">
        <v>0</v>
      </c>
      <c r="AE126" s="8">
        <v>0</v>
      </c>
      <c r="AF126" s="8" t="s">
        <v>58</v>
      </c>
      <c r="AG126" s="1" t="s">
        <v>115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7.75" customHeight="1" x14ac:dyDescent="0.45">
      <c r="A127" s="3">
        <v>45727</v>
      </c>
      <c r="B127" s="14" t="s">
        <v>240</v>
      </c>
      <c r="C127" s="9" t="s">
        <v>111</v>
      </c>
      <c r="D127" s="13" t="s">
        <v>59</v>
      </c>
      <c r="E127" s="9">
        <v>23</v>
      </c>
      <c r="F127" s="9">
        <v>40</v>
      </c>
      <c r="G127" s="9" t="s">
        <v>60</v>
      </c>
      <c r="H127" s="9" t="s">
        <v>66</v>
      </c>
      <c r="I127" s="9">
        <v>125</v>
      </c>
      <c r="J127" s="9" t="s">
        <v>57</v>
      </c>
      <c r="K127" s="9">
        <v>5</v>
      </c>
      <c r="L127" s="9" t="s">
        <v>196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1000</v>
      </c>
      <c r="V127" s="10">
        <v>0</v>
      </c>
      <c r="W127" s="10">
        <v>1000</v>
      </c>
      <c r="X127" s="10">
        <v>0</v>
      </c>
      <c r="Y127" s="10">
        <v>0</v>
      </c>
      <c r="Z127" s="9" t="s">
        <v>213</v>
      </c>
      <c r="AA127" s="8">
        <v>1159.5100000000002</v>
      </c>
      <c r="AB127" s="8">
        <v>1159.5100000000002</v>
      </c>
      <c r="AC127" s="8">
        <v>0</v>
      </c>
      <c r="AD127" s="8">
        <v>1159.5100000000002</v>
      </c>
      <c r="AE127" s="8">
        <v>0</v>
      </c>
      <c r="AF127" s="8" t="s">
        <v>215</v>
      </c>
      <c r="AG127" s="1" t="s">
        <v>115</v>
      </c>
      <c r="AH127" s="1" t="s">
        <v>146</v>
      </c>
      <c r="AI127" s="1">
        <v>2</v>
      </c>
      <c r="AJ127" s="3" t="s">
        <v>63</v>
      </c>
      <c r="AK127" s="3" t="e">
        <v>#VALUE!</v>
      </c>
      <c r="AL127" s="3">
        <v>0</v>
      </c>
      <c r="AM127" s="3">
        <v>0</v>
      </c>
      <c r="AN127" s="3">
        <v>0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143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105</v>
      </c>
      <c r="BD127" s="56">
        <v>0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23</v>
      </c>
      <c r="F128" s="9">
        <v>37</v>
      </c>
      <c r="G128" s="9">
        <v>0</v>
      </c>
      <c r="H128" s="9">
        <v>0</v>
      </c>
      <c r="I128" s="9">
        <v>85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213</v>
      </c>
      <c r="AA128" s="8">
        <v>1159.5100000000002</v>
      </c>
      <c r="AB128" s="8">
        <v>1159.5100000000002</v>
      </c>
      <c r="AC128" s="8">
        <v>0</v>
      </c>
      <c r="AD128" s="8">
        <v>1159.5100000000002</v>
      </c>
      <c r="AE128" s="8">
        <v>0</v>
      </c>
      <c r="AF128" s="8" t="s">
        <v>58</v>
      </c>
      <c r="AG128" s="1" t="s">
        <v>115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214</v>
      </c>
      <c r="BD128" s="56">
        <v>0</v>
      </c>
    </row>
    <row r="129" spans="1:56" ht="27.75" customHeight="1" x14ac:dyDescent="0.45">
      <c r="A129" s="3">
        <v>45601</v>
      </c>
      <c r="B129" s="14" t="s">
        <v>193</v>
      </c>
      <c r="C129" s="9" t="s">
        <v>93</v>
      </c>
      <c r="D129" s="13" t="s">
        <v>142</v>
      </c>
      <c r="E129" s="9">
        <v>23</v>
      </c>
      <c r="F129" s="9">
        <v>37</v>
      </c>
      <c r="G129" s="9" t="s">
        <v>60</v>
      </c>
      <c r="H129" s="9">
        <v>0</v>
      </c>
      <c r="I129" s="9">
        <v>130</v>
      </c>
      <c r="J129" s="9" t="s">
        <v>57</v>
      </c>
      <c r="K129" s="9">
        <v>5</v>
      </c>
      <c r="L129" s="9" t="s">
        <v>91</v>
      </c>
      <c r="M129" s="10">
        <v>24</v>
      </c>
      <c r="N129" s="9">
        <v>40</v>
      </c>
      <c r="O129" s="9">
        <v>55</v>
      </c>
      <c r="P129" s="10">
        <v>3207.7128103679997</v>
      </c>
      <c r="Q129" s="10">
        <v>0</v>
      </c>
      <c r="R129" s="10">
        <v>3207.7128103679997</v>
      </c>
      <c r="S129" s="9" t="s">
        <v>299</v>
      </c>
      <c r="T129" s="12" t="s">
        <v>63</v>
      </c>
      <c r="U129" s="11">
        <v>100000</v>
      </c>
      <c r="V129" s="10">
        <v>1500</v>
      </c>
      <c r="W129" s="10">
        <v>98500</v>
      </c>
      <c r="X129" s="10">
        <v>0</v>
      </c>
      <c r="Y129" s="10">
        <v>103425</v>
      </c>
      <c r="Z129" s="9" t="s">
        <v>99</v>
      </c>
      <c r="AA129" s="8">
        <v>105955.465</v>
      </c>
      <c r="AB129" s="8">
        <v>7595</v>
      </c>
      <c r="AC129" s="8">
        <v>98360.464999999997</v>
      </c>
      <c r="AD129" s="8">
        <v>0</v>
      </c>
      <c r="AE129" s="8">
        <v>0</v>
      </c>
      <c r="AF129" s="8">
        <v>0</v>
      </c>
      <c r="AG129" s="1" t="s">
        <v>115</v>
      </c>
      <c r="AH129" s="1" t="s">
        <v>72</v>
      </c>
      <c r="AI129" s="1">
        <v>3</v>
      </c>
      <c r="AJ129" s="3" t="s">
        <v>63</v>
      </c>
      <c r="AK129" s="3">
        <v>0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113</v>
      </c>
      <c r="BD129" s="56">
        <v>12600.330757068057</v>
      </c>
    </row>
    <row r="130" spans="1:56" ht="27.75" customHeight="1" x14ac:dyDescent="0.45">
      <c r="A130" s="3">
        <v>45601</v>
      </c>
      <c r="B130" s="14" t="s">
        <v>193</v>
      </c>
      <c r="C130" s="9" t="s">
        <v>93</v>
      </c>
      <c r="D130" s="13" t="s">
        <v>142</v>
      </c>
      <c r="E130" s="9">
        <v>23</v>
      </c>
      <c r="F130" s="9">
        <v>37</v>
      </c>
      <c r="G130" s="9" t="s">
        <v>60</v>
      </c>
      <c r="H130" s="9">
        <v>0</v>
      </c>
      <c r="I130" s="9">
        <v>130</v>
      </c>
      <c r="J130" s="9" t="s">
        <v>57</v>
      </c>
      <c r="K130" s="9">
        <v>5</v>
      </c>
      <c r="L130" s="9" t="s">
        <v>91</v>
      </c>
      <c r="M130" s="10">
        <v>24</v>
      </c>
      <c r="N130" s="9">
        <v>40</v>
      </c>
      <c r="O130" s="9">
        <v>55</v>
      </c>
      <c r="P130" s="10">
        <v>11003.203948644863</v>
      </c>
      <c r="Q130" s="10">
        <v>0</v>
      </c>
      <c r="R130" s="10">
        <v>11003.203948644863</v>
      </c>
      <c r="S130" s="9" t="s">
        <v>299</v>
      </c>
      <c r="T130" s="12" t="s">
        <v>63</v>
      </c>
      <c r="U130" s="11">
        <v>337878</v>
      </c>
      <c r="V130" s="10">
        <v>0</v>
      </c>
      <c r="W130" s="10">
        <v>337878</v>
      </c>
      <c r="X130" s="10">
        <v>0</v>
      </c>
      <c r="Y130" s="10">
        <v>354771.9</v>
      </c>
      <c r="Z130" s="9" t="s">
        <v>99</v>
      </c>
      <c r="AA130" s="8">
        <v>363451.98582000006</v>
      </c>
      <c r="AB130" s="8">
        <v>0</v>
      </c>
      <c r="AC130" s="8">
        <v>363451.98582000006</v>
      </c>
      <c r="AD130" s="8">
        <v>0</v>
      </c>
      <c r="AE130" s="8">
        <v>0</v>
      </c>
      <c r="AF130" s="8">
        <v>0</v>
      </c>
      <c r="AG130" s="1" t="s">
        <v>115</v>
      </c>
      <c r="AH130" s="1" t="s">
        <v>72</v>
      </c>
      <c r="AI130" s="1">
        <v>3</v>
      </c>
      <c r="AJ130" s="3" t="s">
        <v>63</v>
      </c>
      <c r="AK130" s="3">
        <v>0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113</v>
      </c>
      <c r="BD130" s="56">
        <v>46559.511849046357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23</v>
      </c>
      <c r="F131" s="9">
        <v>37</v>
      </c>
      <c r="G131" s="9">
        <v>0</v>
      </c>
      <c r="H131" s="9">
        <v>0</v>
      </c>
      <c r="I131" s="9">
        <v>128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99</v>
      </c>
      <c r="AA131" s="8">
        <v>469407.45082000003</v>
      </c>
      <c r="AB131" s="8">
        <v>7595</v>
      </c>
      <c r="AC131" s="8">
        <v>461812.45082000003</v>
      </c>
      <c r="AD131" s="8">
        <v>0</v>
      </c>
      <c r="AE131" s="8">
        <v>0</v>
      </c>
      <c r="AF131" s="8" t="s">
        <v>58</v>
      </c>
      <c r="AG131" s="1" t="s">
        <v>115</v>
      </c>
      <c r="AH131" s="1">
        <v>0</v>
      </c>
      <c r="AI131" s="1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114</v>
      </c>
      <c r="BD131" s="56">
        <v>0</v>
      </c>
    </row>
    <row r="132" spans="1:56" ht="27.75" customHeight="1" x14ac:dyDescent="0.45">
      <c r="A132" s="3">
        <v>45894</v>
      </c>
      <c r="B132" s="14" t="s">
        <v>381</v>
      </c>
      <c r="C132" s="9" t="s">
        <v>137</v>
      </c>
      <c r="D132" s="13" t="s">
        <v>59</v>
      </c>
      <c r="E132" s="9">
        <v>26</v>
      </c>
      <c r="F132" s="9">
        <v>39</v>
      </c>
      <c r="G132" s="9" t="s">
        <v>60</v>
      </c>
      <c r="H132" s="9">
        <v>0</v>
      </c>
      <c r="I132" s="9">
        <v>93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123</v>
      </c>
      <c r="T132" s="12">
        <v>45910</v>
      </c>
      <c r="U132" s="11">
        <v>5000</v>
      </c>
      <c r="V132" s="10">
        <v>1800</v>
      </c>
      <c r="W132" s="10">
        <v>3200</v>
      </c>
      <c r="X132" s="10">
        <v>0</v>
      </c>
      <c r="Y132" s="10">
        <v>0</v>
      </c>
      <c r="Z132" s="9" t="s">
        <v>84</v>
      </c>
      <c r="AA132" s="8">
        <v>3621.0239999999999</v>
      </c>
      <c r="AB132" s="8">
        <v>3621.0239999999999</v>
      </c>
      <c r="AC132" s="8">
        <v>0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77</v>
      </c>
      <c r="AI132" s="1">
        <v>1</v>
      </c>
      <c r="AJ132" s="3">
        <v>45910</v>
      </c>
      <c r="AK132" s="3">
        <v>0</v>
      </c>
      <c r="AL132" s="3">
        <v>0</v>
      </c>
      <c r="AM132" s="3">
        <v>0</v>
      </c>
      <c r="AN132" s="3">
        <v>0</v>
      </c>
      <c r="AO132" s="3">
        <v>45909</v>
      </c>
      <c r="AP132" s="3">
        <v>45905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7.75" customHeight="1" x14ac:dyDescent="0.45">
      <c r="A133" s="3" t="s">
        <v>135</v>
      </c>
      <c r="B133" s="14" t="s">
        <v>135</v>
      </c>
      <c r="C133" s="9" t="s">
        <v>179</v>
      </c>
      <c r="D133" s="13" t="s">
        <v>61</v>
      </c>
      <c r="E133" s="9">
        <v>26</v>
      </c>
      <c r="F133" s="9">
        <v>41</v>
      </c>
      <c r="G133" s="9" t="s">
        <v>60</v>
      </c>
      <c r="H133" s="9">
        <v>0</v>
      </c>
      <c r="I133" s="9">
        <v>97</v>
      </c>
      <c r="J133" s="9" t="s">
        <v>57</v>
      </c>
      <c r="K133" s="9">
        <v>5</v>
      </c>
      <c r="L133" s="9" t="s">
        <v>91</v>
      </c>
      <c r="M133" s="10">
        <v>27</v>
      </c>
      <c r="N133" s="9">
        <v>43</v>
      </c>
      <c r="O133" s="9">
        <v>40</v>
      </c>
      <c r="P133" s="10">
        <v>229.14349009919997</v>
      </c>
      <c r="Q133" s="10">
        <v>0</v>
      </c>
      <c r="R133" s="10">
        <v>229.14349009919997</v>
      </c>
      <c r="S133" s="9" t="s">
        <v>185</v>
      </c>
      <c r="T133" s="12">
        <v>45930</v>
      </c>
      <c r="U133" s="11">
        <v>8000</v>
      </c>
      <c r="V133" s="10">
        <v>0</v>
      </c>
      <c r="W133" s="10">
        <v>8000</v>
      </c>
      <c r="X133" s="10">
        <v>0</v>
      </c>
      <c r="Y133" s="10">
        <v>8400</v>
      </c>
      <c r="Z133" s="9" t="s">
        <v>84</v>
      </c>
      <c r="AA133" s="8">
        <v>9499.6</v>
      </c>
      <c r="AB133" s="8">
        <v>0</v>
      </c>
      <c r="AC133" s="8">
        <v>9499.6</v>
      </c>
      <c r="AD133" s="8">
        <v>0</v>
      </c>
      <c r="AE133" s="8">
        <v>0</v>
      </c>
      <c r="AF133" s="8">
        <v>0</v>
      </c>
      <c r="AG133" s="1" t="s">
        <v>115</v>
      </c>
      <c r="AH133" s="1" t="s">
        <v>72</v>
      </c>
      <c r="AI133" s="1">
        <v>3</v>
      </c>
      <c r="AJ133" s="3">
        <v>45930</v>
      </c>
      <c r="AK133" s="3">
        <v>0</v>
      </c>
      <c r="AL133" s="3">
        <v>45920</v>
      </c>
      <c r="AM133" s="3">
        <v>45927</v>
      </c>
      <c r="AN133" s="3">
        <v>45928</v>
      </c>
      <c r="AO133" s="3">
        <v>45928</v>
      </c>
      <c r="AP133" s="3">
        <v>45925</v>
      </c>
      <c r="AQ133" s="3">
        <v>45929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767.03992444444452</v>
      </c>
    </row>
    <row r="134" spans="1:56" ht="27.75" customHeight="1" x14ac:dyDescent="0.45">
      <c r="A134" s="3">
        <v>0</v>
      </c>
      <c r="B134" s="14">
        <v>0</v>
      </c>
      <c r="C134" s="9">
        <v>0</v>
      </c>
      <c r="D134" s="13">
        <v>0</v>
      </c>
      <c r="E134" s="9">
        <v>26</v>
      </c>
      <c r="F134" s="9">
        <v>43</v>
      </c>
      <c r="G134" s="9" t="s">
        <v>60</v>
      </c>
      <c r="H134" s="9">
        <v>0</v>
      </c>
      <c r="I134" s="9">
        <v>102</v>
      </c>
      <c r="J134" s="9" t="s">
        <v>57</v>
      </c>
      <c r="K134" s="9">
        <v>5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84</v>
      </c>
      <c r="AA134" s="8">
        <v>13120.624</v>
      </c>
      <c r="AB134" s="8">
        <v>3621.0239999999999</v>
      </c>
      <c r="AC134" s="8">
        <v>9499.6</v>
      </c>
      <c r="AD134" s="8">
        <v>0</v>
      </c>
      <c r="AE134" s="8">
        <v>0</v>
      </c>
      <c r="AF134" s="8" t="s">
        <v>58</v>
      </c>
      <c r="AG134" s="1" t="s">
        <v>115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7.75" customHeight="1" x14ac:dyDescent="0.45">
      <c r="A135" s="3" t="s">
        <v>135</v>
      </c>
      <c r="B135" s="14" t="s">
        <v>135</v>
      </c>
      <c r="C135" s="9" t="s">
        <v>109</v>
      </c>
      <c r="D135" s="13" t="s">
        <v>59</v>
      </c>
      <c r="E135" s="9">
        <v>26</v>
      </c>
      <c r="F135" s="9">
        <v>43</v>
      </c>
      <c r="G135" s="9" t="s">
        <v>60</v>
      </c>
      <c r="H135" s="9">
        <v>0</v>
      </c>
      <c r="I135" s="9">
        <v>116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110</v>
      </c>
      <c r="T135" s="12">
        <v>45925</v>
      </c>
      <c r="U135" s="11">
        <v>10000</v>
      </c>
      <c r="V135" s="10">
        <v>0</v>
      </c>
      <c r="W135" s="10">
        <v>10000</v>
      </c>
      <c r="X135" s="10">
        <v>0</v>
      </c>
      <c r="Y135" s="10">
        <v>0</v>
      </c>
      <c r="Z135" s="9" t="s">
        <v>197</v>
      </c>
      <c r="AA135" s="8">
        <v>12433.3</v>
      </c>
      <c r="AB135" s="8">
        <v>12433.3</v>
      </c>
      <c r="AC135" s="8">
        <v>0</v>
      </c>
      <c r="AD135" s="8">
        <v>0</v>
      </c>
      <c r="AE135" s="8">
        <v>0</v>
      </c>
      <c r="AF135" s="8">
        <v>0</v>
      </c>
      <c r="AG135" s="1" t="s">
        <v>118</v>
      </c>
      <c r="AH135" s="1" t="s">
        <v>77</v>
      </c>
      <c r="AI135" s="1">
        <v>1</v>
      </c>
      <c r="AJ135" s="3">
        <v>45925</v>
      </c>
      <c r="AK135" s="3">
        <v>0</v>
      </c>
      <c r="AL135" s="3">
        <v>0</v>
      </c>
      <c r="AM135" s="3">
        <v>0</v>
      </c>
      <c r="AN135" s="3">
        <v>0</v>
      </c>
      <c r="AO135" s="3">
        <v>45924</v>
      </c>
      <c r="AP135" s="3">
        <v>45920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26</v>
      </c>
      <c r="F136" s="9">
        <v>43</v>
      </c>
      <c r="G136" s="9">
        <v>0</v>
      </c>
      <c r="H136" s="9">
        <v>0</v>
      </c>
      <c r="I136" s="9">
        <v>116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197</v>
      </c>
      <c r="AA136" s="8">
        <v>12433.3</v>
      </c>
      <c r="AB136" s="8">
        <v>12433.3</v>
      </c>
      <c r="AC136" s="8">
        <v>0</v>
      </c>
      <c r="AD136" s="8">
        <v>0</v>
      </c>
      <c r="AE136" s="8">
        <v>0</v>
      </c>
      <c r="AF136" s="8" t="s">
        <v>58</v>
      </c>
      <c r="AG136" s="1" t="s">
        <v>118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198</v>
      </c>
      <c r="BD136" s="56">
        <v>0</v>
      </c>
    </row>
    <row r="137" spans="1:56" ht="27.75" customHeight="1" x14ac:dyDescent="0.45">
      <c r="A137" s="3">
        <v>45901</v>
      </c>
      <c r="B137" s="14" t="s">
        <v>427</v>
      </c>
      <c r="C137" s="9" t="s">
        <v>109</v>
      </c>
      <c r="D137" s="13" t="s">
        <v>144</v>
      </c>
      <c r="E137" s="9">
        <v>26</v>
      </c>
      <c r="F137" s="9">
        <v>43</v>
      </c>
      <c r="G137" s="9" t="s">
        <v>60</v>
      </c>
      <c r="H137" s="9" t="s">
        <v>66</v>
      </c>
      <c r="I137" s="9">
        <v>150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110</v>
      </c>
      <c r="T137" s="12">
        <v>45908</v>
      </c>
      <c r="U137" s="11">
        <v>30000</v>
      </c>
      <c r="V137" s="10">
        <v>4000</v>
      </c>
      <c r="W137" s="10">
        <v>26000</v>
      </c>
      <c r="X137" s="10">
        <v>25240</v>
      </c>
      <c r="Y137" s="10">
        <v>4998</v>
      </c>
      <c r="Z137" s="9" t="s">
        <v>88</v>
      </c>
      <c r="AA137" s="8">
        <v>6214.1633400000001</v>
      </c>
      <c r="AB137" s="8">
        <v>6214.1633400000001</v>
      </c>
      <c r="AC137" s="8">
        <v>0</v>
      </c>
      <c r="AD137" s="8">
        <v>6214.1633400000001</v>
      </c>
      <c r="AE137" s="8">
        <v>0</v>
      </c>
      <c r="AF137" s="8">
        <v>0</v>
      </c>
      <c r="AG137" s="1" t="s">
        <v>116</v>
      </c>
      <c r="AH137" s="1" t="s">
        <v>75</v>
      </c>
      <c r="AI137" s="1">
        <v>4</v>
      </c>
      <c r="AJ137" s="3">
        <v>45908</v>
      </c>
      <c r="AK137" s="3">
        <v>45904</v>
      </c>
      <c r="AL137" s="3">
        <v>45897</v>
      </c>
      <c r="AM137" s="3">
        <v>45905</v>
      </c>
      <c r="AN137" s="3">
        <v>45906</v>
      </c>
      <c r="AO137" s="3">
        <v>45907</v>
      </c>
      <c r="AP137" s="3">
        <v>45903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>
        <v>0</v>
      </c>
      <c r="AY137" s="2" t="s">
        <v>443</v>
      </c>
      <c r="AZ137" s="2">
        <v>0</v>
      </c>
      <c r="BA137" s="2">
        <v>0</v>
      </c>
      <c r="BB137" s="2">
        <v>0</v>
      </c>
      <c r="BC137" s="1" t="s">
        <v>104</v>
      </c>
      <c r="BD137" s="56">
        <v>0</v>
      </c>
    </row>
    <row r="138" spans="1:56" ht="27.75" customHeight="1" x14ac:dyDescent="0.45">
      <c r="A138" s="3">
        <v>45898</v>
      </c>
      <c r="B138" s="14" t="s">
        <v>420</v>
      </c>
      <c r="C138" s="9" t="s">
        <v>109</v>
      </c>
      <c r="D138" s="13" t="s">
        <v>59</v>
      </c>
      <c r="E138" s="9">
        <v>26</v>
      </c>
      <c r="F138" s="9">
        <v>43</v>
      </c>
      <c r="G138" s="9" t="s">
        <v>60</v>
      </c>
      <c r="H138" s="9" t="s">
        <v>66</v>
      </c>
      <c r="I138" s="9">
        <v>150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110</v>
      </c>
      <c r="T138" s="12">
        <v>45909</v>
      </c>
      <c r="U138" s="11">
        <v>15000</v>
      </c>
      <c r="V138" s="10">
        <v>0</v>
      </c>
      <c r="W138" s="10">
        <v>15000</v>
      </c>
      <c r="X138" s="10">
        <v>0</v>
      </c>
      <c r="Y138" s="10">
        <v>0</v>
      </c>
      <c r="Z138" s="9" t="s">
        <v>88</v>
      </c>
      <c r="AA138" s="8">
        <v>18649.949999999997</v>
      </c>
      <c r="AB138" s="8">
        <v>18649.949999999997</v>
      </c>
      <c r="AC138" s="8">
        <v>0</v>
      </c>
      <c r="AD138" s="8">
        <v>8000</v>
      </c>
      <c r="AE138" s="8">
        <v>10649.949999999997</v>
      </c>
      <c r="AF138" s="8">
        <v>0</v>
      </c>
      <c r="AG138" s="1" t="s">
        <v>116</v>
      </c>
      <c r="AH138" s="1" t="s">
        <v>146</v>
      </c>
      <c r="AI138" s="1">
        <v>2</v>
      </c>
      <c r="AJ138" s="3">
        <v>45909</v>
      </c>
      <c r="AK138" s="3">
        <v>45907</v>
      </c>
      <c r="AL138" s="3">
        <v>0</v>
      </c>
      <c r="AM138" s="3">
        <v>0</v>
      </c>
      <c r="AN138" s="3">
        <v>0</v>
      </c>
      <c r="AO138" s="3">
        <v>45908</v>
      </c>
      <c r="AP138" s="3">
        <v>45904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143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0</v>
      </c>
    </row>
    <row r="139" spans="1:56" ht="27.75" customHeight="1" x14ac:dyDescent="0.45">
      <c r="A139" s="3">
        <v>45898</v>
      </c>
      <c r="B139" s="14" t="s">
        <v>421</v>
      </c>
      <c r="C139" s="9" t="s">
        <v>109</v>
      </c>
      <c r="D139" s="13" t="s">
        <v>59</v>
      </c>
      <c r="E139" s="9">
        <v>26</v>
      </c>
      <c r="F139" s="9">
        <v>43</v>
      </c>
      <c r="G139" s="9" t="s">
        <v>60</v>
      </c>
      <c r="H139" s="9" t="s">
        <v>66</v>
      </c>
      <c r="I139" s="9">
        <v>150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110</v>
      </c>
      <c r="T139" s="12">
        <v>45917</v>
      </c>
      <c r="U139" s="11">
        <v>15000</v>
      </c>
      <c r="V139" s="10">
        <v>0</v>
      </c>
      <c r="W139" s="10">
        <v>15000</v>
      </c>
      <c r="X139" s="10">
        <v>0</v>
      </c>
      <c r="Y139" s="10">
        <v>0</v>
      </c>
      <c r="Z139" s="9" t="s">
        <v>88</v>
      </c>
      <c r="AA139" s="8">
        <v>18649.949999999997</v>
      </c>
      <c r="AB139" s="8">
        <v>18649.949999999997</v>
      </c>
      <c r="AC139" s="8">
        <v>0</v>
      </c>
      <c r="AD139" s="8">
        <v>0</v>
      </c>
      <c r="AE139" s="8">
        <v>18649.949999999997</v>
      </c>
      <c r="AF139" s="8">
        <v>0</v>
      </c>
      <c r="AG139" s="1" t="s">
        <v>115</v>
      </c>
      <c r="AH139" s="1" t="s">
        <v>146</v>
      </c>
      <c r="AI139" s="1">
        <v>2</v>
      </c>
      <c r="AJ139" s="3">
        <v>45917</v>
      </c>
      <c r="AK139" s="3">
        <v>45915</v>
      </c>
      <c r="AL139" s="3">
        <v>0</v>
      </c>
      <c r="AM139" s="3">
        <v>0</v>
      </c>
      <c r="AN139" s="3">
        <v>0</v>
      </c>
      <c r="AO139" s="3">
        <v>45916</v>
      </c>
      <c r="AP139" s="3">
        <v>45912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143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>
        <v>45901</v>
      </c>
      <c r="B140" s="14" t="s">
        <v>428</v>
      </c>
      <c r="C140" s="9" t="s">
        <v>109</v>
      </c>
      <c r="D140" s="13" t="s">
        <v>144</v>
      </c>
      <c r="E140" s="9">
        <v>26</v>
      </c>
      <c r="F140" s="9">
        <v>43</v>
      </c>
      <c r="G140" s="9" t="s">
        <v>60</v>
      </c>
      <c r="H140" s="9" t="s">
        <v>66</v>
      </c>
      <c r="I140" s="9">
        <v>150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110</v>
      </c>
      <c r="T140" s="12">
        <v>45930</v>
      </c>
      <c r="U140" s="11">
        <v>30000</v>
      </c>
      <c r="V140" s="10">
        <v>0</v>
      </c>
      <c r="W140" s="10">
        <v>30000</v>
      </c>
      <c r="X140" s="10">
        <v>0</v>
      </c>
      <c r="Y140" s="10">
        <v>31500</v>
      </c>
      <c r="Z140" s="9" t="s">
        <v>88</v>
      </c>
      <c r="AA140" s="8">
        <v>37299.899999999994</v>
      </c>
      <c r="AB140" s="8">
        <v>0</v>
      </c>
      <c r="AC140" s="8">
        <v>37299.899999999994</v>
      </c>
      <c r="AD140" s="8">
        <v>0</v>
      </c>
      <c r="AE140" s="8">
        <v>37299.899999999994</v>
      </c>
      <c r="AF140" s="8">
        <v>0</v>
      </c>
      <c r="AG140" s="1" t="s">
        <v>115</v>
      </c>
      <c r="AH140" s="1" t="s">
        <v>75</v>
      </c>
      <c r="AI140" s="1">
        <v>4</v>
      </c>
      <c r="AJ140" s="3">
        <v>45930</v>
      </c>
      <c r="AK140" s="3">
        <v>45926</v>
      </c>
      <c r="AL140" s="3">
        <v>45919</v>
      </c>
      <c r="AM140" s="3">
        <v>45927</v>
      </c>
      <c r="AN140" s="3">
        <v>45928</v>
      </c>
      <c r="AO140" s="3">
        <v>45929</v>
      </c>
      <c r="AP140" s="3">
        <v>45925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3846.8630200000002</v>
      </c>
    </row>
    <row r="141" spans="1:56" ht="27.75" customHeight="1" x14ac:dyDescent="0.45">
      <c r="A141" s="3">
        <v>45901</v>
      </c>
      <c r="B141" s="14" t="s">
        <v>429</v>
      </c>
      <c r="C141" s="9" t="s">
        <v>109</v>
      </c>
      <c r="D141" s="13" t="s">
        <v>144</v>
      </c>
      <c r="E141" s="9">
        <v>26</v>
      </c>
      <c r="F141" s="9">
        <v>43</v>
      </c>
      <c r="G141" s="9" t="s">
        <v>60</v>
      </c>
      <c r="H141" s="9" t="s">
        <v>66</v>
      </c>
      <c r="I141" s="9">
        <v>150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110</v>
      </c>
      <c r="T141" s="12">
        <v>45945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88</v>
      </c>
      <c r="AA141" s="8">
        <v>12433.3</v>
      </c>
      <c r="AB141" s="8">
        <v>0</v>
      </c>
      <c r="AC141" s="8">
        <v>12433.3</v>
      </c>
      <c r="AD141" s="8">
        <v>0</v>
      </c>
      <c r="AE141" s="8">
        <v>12433.3</v>
      </c>
      <c r="AF141" s="8">
        <v>0</v>
      </c>
      <c r="AG141" s="1" t="s">
        <v>117</v>
      </c>
      <c r="AH141" s="1" t="s">
        <v>75</v>
      </c>
      <c r="AI141" s="1">
        <v>4</v>
      </c>
      <c r="AJ141" s="3">
        <v>45945</v>
      </c>
      <c r="AK141" s="3">
        <v>45941</v>
      </c>
      <c r="AL141" s="3">
        <v>45934</v>
      </c>
      <c r="AM141" s="3">
        <v>45942</v>
      </c>
      <c r="AN141" s="3">
        <v>45943</v>
      </c>
      <c r="AO141" s="3">
        <v>45944</v>
      </c>
      <c r="AP141" s="3">
        <v>45940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1282.2876733333333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26</v>
      </c>
      <c r="F142" s="9">
        <v>43</v>
      </c>
      <c r="G142" s="9">
        <v>0</v>
      </c>
      <c r="H142" s="9">
        <v>0</v>
      </c>
      <c r="I142" s="9">
        <v>120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88</v>
      </c>
      <c r="AA142" s="8">
        <v>93247.26333999999</v>
      </c>
      <c r="AB142" s="8">
        <v>43514.063339999993</v>
      </c>
      <c r="AC142" s="8">
        <v>49733.2</v>
      </c>
      <c r="AD142" s="8">
        <v>14214.163339999999</v>
      </c>
      <c r="AE142" s="8">
        <v>79033.099999999991</v>
      </c>
      <c r="AF142" s="8" t="s">
        <v>58</v>
      </c>
      <c r="AG142" s="1" t="s">
        <v>116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0</v>
      </c>
    </row>
    <row r="143" spans="1:56" ht="27.75" customHeight="1" x14ac:dyDescent="0.45">
      <c r="A143" s="3">
        <v>45895</v>
      </c>
      <c r="B143" s="14" t="s">
        <v>382</v>
      </c>
      <c r="C143" s="9" t="s">
        <v>147</v>
      </c>
      <c r="D143" s="13" t="s">
        <v>148</v>
      </c>
      <c r="E143" s="9">
        <v>28</v>
      </c>
      <c r="F143" s="9">
        <v>41</v>
      </c>
      <c r="G143" s="9" t="s">
        <v>60</v>
      </c>
      <c r="H143" s="9">
        <v>0</v>
      </c>
      <c r="I143" s="9">
        <v>120</v>
      </c>
      <c r="J143" s="9" t="s">
        <v>78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45909</v>
      </c>
      <c r="U143" s="11">
        <v>13000</v>
      </c>
      <c r="V143" s="10">
        <v>3000</v>
      </c>
      <c r="W143" s="10">
        <v>10000</v>
      </c>
      <c r="X143" s="10">
        <v>53544</v>
      </c>
      <c r="Y143" s="10">
        <v>0</v>
      </c>
      <c r="Z143" s="9" t="s">
        <v>127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115</v>
      </c>
      <c r="AH143" s="1" t="s">
        <v>74</v>
      </c>
      <c r="AI143" s="1">
        <v>2</v>
      </c>
      <c r="AJ143" s="3">
        <v>45909</v>
      </c>
      <c r="AK143" s="3">
        <v>0</v>
      </c>
      <c r="AL143" s="3">
        <v>45900</v>
      </c>
      <c r="AM143" s="3">
        <v>45907</v>
      </c>
      <c r="AN143" s="3">
        <v>45908</v>
      </c>
      <c r="AO143" s="3">
        <v>45908</v>
      </c>
      <c r="AP143" s="3">
        <v>45904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0</v>
      </c>
    </row>
    <row r="144" spans="1:56" ht="27.75" customHeight="1" x14ac:dyDescent="0.45">
      <c r="A144" s="3" t="s">
        <v>135</v>
      </c>
      <c r="B144" s="14" t="s">
        <v>135</v>
      </c>
      <c r="C144" s="9" t="s">
        <v>147</v>
      </c>
      <c r="D144" s="13" t="s">
        <v>148</v>
      </c>
      <c r="E144" s="9">
        <v>28</v>
      </c>
      <c r="F144" s="9">
        <v>41</v>
      </c>
      <c r="G144" s="9" t="s">
        <v>60</v>
      </c>
      <c r="H144" s="9">
        <v>0</v>
      </c>
      <c r="I144" s="9">
        <v>120</v>
      </c>
      <c r="J144" s="9" t="s">
        <v>78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45920</v>
      </c>
      <c r="U144" s="11">
        <v>50000</v>
      </c>
      <c r="V144" s="10">
        <v>0</v>
      </c>
      <c r="W144" s="10">
        <v>50000</v>
      </c>
      <c r="X144" s="10">
        <v>0</v>
      </c>
      <c r="Y144" s="10">
        <v>52500</v>
      </c>
      <c r="Z144" s="9" t="s">
        <v>127</v>
      </c>
      <c r="AA144" s="8">
        <v>59372.5</v>
      </c>
      <c r="AB144" s="8">
        <v>10630</v>
      </c>
      <c r="AC144" s="8">
        <v>48742.5</v>
      </c>
      <c r="AD144" s="8">
        <v>0</v>
      </c>
      <c r="AE144" s="8">
        <v>0</v>
      </c>
      <c r="AF144" s="8">
        <v>0</v>
      </c>
      <c r="AG144" s="1" t="s">
        <v>115</v>
      </c>
      <c r="AH144" s="1" t="s">
        <v>74</v>
      </c>
      <c r="AI144" s="1">
        <v>2</v>
      </c>
      <c r="AJ144" s="3">
        <v>45920</v>
      </c>
      <c r="AK144" s="3">
        <v>0</v>
      </c>
      <c r="AL144" s="3">
        <v>45911</v>
      </c>
      <c r="AM144" s="3">
        <v>45918</v>
      </c>
      <c r="AN144" s="3">
        <v>45919</v>
      </c>
      <c r="AO144" s="3">
        <v>45919</v>
      </c>
      <c r="AP144" s="3">
        <v>45915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5478.1154166666665</v>
      </c>
    </row>
    <row r="145" spans="1:56" ht="27.75" customHeight="1" x14ac:dyDescent="0.45">
      <c r="A145" s="3" t="s">
        <v>135</v>
      </c>
      <c r="B145" s="14" t="s">
        <v>135</v>
      </c>
      <c r="C145" s="9" t="s">
        <v>109</v>
      </c>
      <c r="D145" s="13" t="s">
        <v>59</v>
      </c>
      <c r="E145" s="9">
        <v>28</v>
      </c>
      <c r="F145" s="9">
        <v>47</v>
      </c>
      <c r="G145" s="9" t="s">
        <v>60</v>
      </c>
      <c r="H145" s="9" t="s">
        <v>66</v>
      </c>
      <c r="I145" s="9">
        <v>180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110</v>
      </c>
      <c r="T145" s="12">
        <v>45925</v>
      </c>
      <c r="U145" s="11">
        <v>5000</v>
      </c>
      <c r="V145" s="10">
        <v>0</v>
      </c>
      <c r="W145" s="10">
        <v>5000</v>
      </c>
      <c r="X145" s="10">
        <v>0</v>
      </c>
      <c r="Y145" s="10">
        <v>0</v>
      </c>
      <c r="Z145" s="9" t="s">
        <v>127</v>
      </c>
      <c r="AA145" s="8">
        <v>6775.4500000000007</v>
      </c>
      <c r="AB145" s="8">
        <v>0</v>
      </c>
      <c r="AC145" s="8">
        <v>6775.4500000000007</v>
      </c>
      <c r="AD145" s="8">
        <v>0</v>
      </c>
      <c r="AE145" s="8">
        <v>6775.4500000000007</v>
      </c>
      <c r="AF145" s="8">
        <v>0</v>
      </c>
      <c r="AG145" s="1">
        <v>0</v>
      </c>
      <c r="AH145" s="1" t="s">
        <v>146</v>
      </c>
      <c r="AI145" s="1">
        <v>2</v>
      </c>
      <c r="AJ145" s="3">
        <v>45925</v>
      </c>
      <c r="AK145" s="3">
        <v>45923</v>
      </c>
      <c r="AL145" s="3">
        <v>0</v>
      </c>
      <c r="AM145" s="3">
        <v>0</v>
      </c>
      <c r="AN145" s="3">
        <v>0</v>
      </c>
      <c r="AO145" s="3">
        <v>45924</v>
      </c>
      <c r="AP145" s="3">
        <v>45920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143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761.48529722222236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28</v>
      </c>
      <c r="F146" s="9">
        <v>43</v>
      </c>
      <c r="G146" s="9">
        <v>0</v>
      </c>
      <c r="H146" s="9">
        <v>0</v>
      </c>
      <c r="I146" s="9">
        <v>130</v>
      </c>
      <c r="J146" s="9" t="s">
        <v>57</v>
      </c>
      <c r="K146" s="9">
        <v>3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127</v>
      </c>
      <c r="AA146" s="8">
        <v>66147.95</v>
      </c>
      <c r="AB146" s="8">
        <v>10630</v>
      </c>
      <c r="AC146" s="8">
        <v>55517.95</v>
      </c>
      <c r="AD146" s="8">
        <v>0</v>
      </c>
      <c r="AE146" s="8">
        <v>6775.4500000000007</v>
      </c>
      <c r="AF146" s="8" t="s">
        <v>58</v>
      </c>
      <c r="AG146" s="1">
        <v>0</v>
      </c>
      <c r="AH146" s="1">
        <v>0</v>
      </c>
      <c r="AI146" s="1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149</v>
      </c>
      <c r="BD146" s="56">
        <v>0</v>
      </c>
    </row>
  </sheetData>
  <autoFilter ref="A5:BD14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46">
    <cfRule type="expression" dxfId="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B29C3-8943-4AD4-BC47-C1517939AAFB}">
  <sheetPr>
    <tabColor rgb="FFFFFF00"/>
  </sheetPr>
  <dimension ref="A1:BD156"/>
  <sheetViews>
    <sheetView topLeftCell="A5" zoomScale="80" zoomScaleNormal="80" workbookViewId="0">
      <selection activeCell="U16" sqref="U1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45903</v>
      </c>
      <c r="E3" s="82" t="s">
        <v>52</v>
      </c>
      <c r="F3" s="82"/>
      <c r="G3" s="83">
        <v>10.28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45842</v>
      </c>
      <c r="B6" s="14" t="s">
        <v>283</v>
      </c>
      <c r="C6" s="9" t="s">
        <v>276</v>
      </c>
      <c r="D6" s="13" t="s">
        <v>277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132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287</v>
      </c>
      <c r="AG6" s="1" t="s">
        <v>115</v>
      </c>
      <c r="AH6" s="1" t="s">
        <v>68</v>
      </c>
      <c r="AI6" s="1">
        <v>4</v>
      </c>
      <c r="AJ6" s="3" t="s">
        <v>132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45896</v>
      </c>
      <c r="B7" s="14" t="s">
        <v>383</v>
      </c>
      <c r="C7" s="9" t="s">
        <v>233</v>
      </c>
      <c r="D7" s="13" t="s">
        <v>379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>
        <v>45908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234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3702.0499999999997</v>
      </c>
      <c r="AF7" s="8">
        <v>0</v>
      </c>
      <c r="AG7" s="1" t="s">
        <v>116</v>
      </c>
      <c r="AH7" s="1" t="s">
        <v>68</v>
      </c>
      <c r="AI7" s="1">
        <v>4</v>
      </c>
      <c r="AJ7" s="3">
        <v>45908</v>
      </c>
      <c r="AK7" s="3">
        <v>45904</v>
      </c>
      <c r="AL7" s="3">
        <v>45898</v>
      </c>
      <c r="AM7" s="3">
        <v>45905</v>
      </c>
      <c r="AN7" s="3">
        <v>45906</v>
      </c>
      <c r="AO7" s="3">
        <v>45906</v>
      </c>
      <c r="AP7" s="3">
        <v>45903</v>
      </c>
      <c r="AQ7" s="3">
        <v>45907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 t="s">
        <v>360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234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3702.0499999999997</v>
      </c>
      <c r="AF8" s="8" t="s">
        <v>58</v>
      </c>
      <c r="AG8" s="1" t="s">
        <v>119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129</v>
      </c>
      <c r="BD8" s="56">
        <v>0</v>
      </c>
    </row>
    <row r="9" spans="1:56" ht="27.75" customHeight="1" x14ac:dyDescent="0.45">
      <c r="A9" s="3">
        <v>45897</v>
      </c>
      <c r="B9" s="14" t="s">
        <v>384</v>
      </c>
      <c r="C9" s="9" t="s">
        <v>73</v>
      </c>
      <c r="D9" s="13" t="s">
        <v>385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141</v>
      </c>
      <c r="T9" s="12">
        <v>45904</v>
      </c>
      <c r="U9" s="11">
        <v>5000</v>
      </c>
      <c r="V9" s="10">
        <v>5000</v>
      </c>
      <c r="W9" s="10">
        <v>0</v>
      </c>
      <c r="X9" s="10">
        <v>5400</v>
      </c>
      <c r="Y9" s="10">
        <v>0</v>
      </c>
      <c r="Z9" s="9" t="s">
        <v>386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116</v>
      </c>
      <c r="AH9" s="1" t="s">
        <v>74</v>
      </c>
      <c r="AI9" s="1">
        <v>2</v>
      </c>
      <c r="AJ9" s="3">
        <v>45904</v>
      </c>
      <c r="AK9" s="3">
        <v>0</v>
      </c>
      <c r="AL9" s="3">
        <v>45895</v>
      </c>
      <c r="AM9" s="3">
        <v>45902</v>
      </c>
      <c r="AN9" s="3">
        <v>45903</v>
      </c>
      <c r="AO9" s="3">
        <v>45903</v>
      </c>
      <c r="AP9" s="3">
        <v>45899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 t="s">
        <v>431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>
        <v>45897</v>
      </c>
      <c r="B10" s="14" t="s">
        <v>384</v>
      </c>
      <c r="C10" s="9" t="s">
        <v>73</v>
      </c>
      <c r="D10" s="13" t="s">
        <v>412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141</v>
      </c>
      <c r="T10" s="12">
        <v>45909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386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45909</v>
      </c>
      <c r="AK10" s="3">
        <v>0</v>
      </c>
      <c r="AL10" s="3">
        <v>45900</v>
      </c>
      <c r="AM10" s="3">
        <v>45907</v>
      </c>
      <c r="AN10" s="3">
        <v>45908</v>
      </c>
      <c r="AO10" s="3">
        <v>45908</v>
      </c>
      <c r="AP10" s="3">
        <v>45904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226.40092444444446</v>
      </c>
    </row>
    <row r="11" spans="1:56" ht="27.75" customHeight="1" x14ac:dyDescent="0.45">
      <c r="A11" s="3">
        <v>45897</v>
      </c>
      <c r="B11" s="14" t="s">
        <v>384</v>
      </c>
      <c r="C11" s="9" t="s">
        <v>73</v>
      </c>
      <c r="D11" s="13" t="s">
        <v>413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141</v>
      </c>
      <c r="T11" s="12">
        <v>45909</v>
      </c>
      <c r="U11" s="11">
        <v>5000</v>
      </c>
      <c r="V11" s="10">
        <v>0</v>
      </c>
      <c r="W11" s="10">
        <v>5000</v>
      </c>
      <c r="X11" s="10">
        <v>735</v>
      </c>
      <c r="Y11" s="10">
        <v>4478.25</v>
      </c>
      <c r="Z11" s="9" t="s">
        <v>386</v>
      </c>
      <c r="AA11" s="8">
        <v>3315.7410825000002</v>
      </c>
      <c r="AB11" s="8">
        <v>0</v>
      </c>
      <c r="AC11" s="8">
        <v>3315.7410825000002</v>
      </c>
      <c r="AD11" s="8">
        <v>0</v>
      </c>
      <c r="AE11" s="8">
        <v>0</v>
      </c>
      <c r="AF11" s="8">
        <v>0</v>
      </c>
      <c r="AG11" s="1" t="s">
        <v>115</v>
      </c>
      <c r="AH11" s="1" t="s">
        <v>74</v>
      </c>
      <c r="AI11" s="1">
        <v>2</v>
      </c>
      <c r="AJ11" s="3">
        <v>45909</v>
      </c>
      <c r="AK11" s="3">
        <v>0</v>
      </c>
      <c r="AL11" s="3">
        <v>45900</v>
      </c>
      <c r="AM11" s="3">
        <v>45907</v>
      </c>
      <c r="AN11" s="3">
        <v>45908</v>
      </c>
      <c r="AO11" s="3">
        <v>45908</v>
      </c>
      <c r="AP11" s="3">
        <v>45904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202.77598797866671</v>
      </c>
    </row>
    <row r="12" spans="1:56" ht="27.75" customHeight="1" x14ac:dyDescent="0.45">
      <c r="A12" s="3">
        <v>45897</v>
      </c>
      <c r="B12" s="14" t="s">
        <v>384</v>
      </c>
      <c r="C12" s="9" t="s">
        <v>73</v>
      </c>
      <c r="D12" s="13" t="s">
        <v>432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141</v>
      </c>
      <c r="T12" s="12">
        <v>45925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386</v>
      </c>
      <c r="AA12" s="8">
        <v>3702.0499999999997</v>
      </c>
      <c r="AB12" s="8">
        <v>0</v>
      </c>
      <c r="AC12" s="8">
        <v>3702.0499999999997</v>
      </c>
      <c r="AD12" s="8">
        <v>0</v>
      </c>
      <c r="AE12" s="8">
        <v>0</v>
      </c>
      <c r="AF12" s="8">
        <v>0</v>
      </c>
      <c r="AG12" s="1" t="s">
        <v>115</v>
      </c>
      <c r="AH12" s="1" t="s">
        <v>74</v>
      </c>
      <c r="AI12" s="1">
        <v>2</v>
      </c>
      <c r="AJ12" s="3">
        <v>45925</v>
      </c>
      <c r="AK12" s="3">
        <v>0</v>
      </c>
      <c r="AL12" s="3">
        <v>45916</v>
      </c>
      <c r="AM12" s="3">
        <v>45923</v>
      </c>
      <c r="AN12" s="3">
        <v>45924</v>
      </c>
      <c r="AO12" s="3">
        <v>45924</v>
      </c>
      <c r="AP12" s="3">
        <v>45920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226.40092444444446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386</v>
      </c>
      <c r="AA13" s="8">
        <v>10719.841082499999</v>
      </c>
      <c r="AB13" s="8">
        <v>0</v>
      </c>
      <c r="AC13" s="8">
        <v>10719.841082499999</v>
      </c>
      <c r="AD13" s="8">
        <v>0</v>
      </c>
      <c r="AE13" s="8">
        <v>0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129</v>
      </c>
      <c r="BD13" s="56">
        <v>0</v>
      </c>
    </row>
    <row r="14" spans="1:56" ht="27.75" customHeight="1" x14ac:dyDescent="0.45">
      <c r="A14" s="3" t="s">
        <v>135</v>
      </c>
      <c r="B14" s="14" t="s">
        <v>135</v>
      </c>
      <c r="C14" s="9" t="s">
        <v>211</v>
      </c>
      <c r="D14" s="13" t="s">
        <v>236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91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 t="s">
        <v>63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133</v>
      </c>
      <c r="AA14" s="8">
        <v>13201.65</v>
      </c>
      <c r="AB14" s="8">
        <v>2599</v>
      </c>
      <c r="AC14" s="8">
        <v>10602.65</v>
      </c>
      <c r="AD14" s="8">
        <v>0</v>
      </c>
      <c r="AE14" s="8">
        <v>0</v>
      </c>
      <c r="AF14" s="8">
        <v>0</v>
      </c>
      <c r="AG14" s="1" t="s">
        <v>115</v>
      </c>
      <c r="AH14" s="1" t="s">
        <v>72</v>
      </c>
      <c r="AI14" s="1">
        <v>3</v>
      </c>
      <c r="AJ14" s="3" t="s">
        <v>63</v>
      </c>
      <c r="AK14" s="3">
        <v>0</v>
      </c>
      <c r="AL14" s="3" t="e">
        <v>#VALUE!</v>
      </c>
      <c r="AM14" s="3" t="e">
        <v>#VALUE!</v>
      </c>
      <c r="AN14" s="3" t="e">
        <v>#VALUE!</v>
      </c>
      <c r="AO14" s="3" t="e">
        <v>#VALUE!</v>
      </c>
      <c r="AP14" s="3" t="e">
        <v>#VALUE!</v>
      </c>
      <c r="AQ14" s="3" t="e">
        <v>#VALUE!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729.46232000000009</v>
      </c>
    </row>
    <row r="15" spans="1:56" ht="27.75" customHeight="1" x14ac:dyDescent="0.45">
      <c r="A15" s="3">
        <v>0</v>
      </c>
      <c r="B15" s="14">
        <v>0</v>
      </c>
      <c r="C15" s="9" t="s">
        <v>201</v>
      </c>
      <c r="D15" s="13" t="s">
        <v>95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133</v>
      </c>
      <c r="AA15" s="8">
        <v>13201.65</v>
      </c>
      <c r="AB15" s="8">
        <v>2599</v>
      </c>
      <c r="AC15" s="8">
        <v>10602.65</v>
      </c>
      <c r="AD15" s="8">
        <v>0</v>
      </c>
      <c r="AE15" s="8">
        <v>0</v>
      </c>
      <c r="AF15" s="8" t="s">
        <v>58</v>
      </c>
      <c r="AG15" s="1" t="s">
        <v>116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45901</v>
      </c>
      <c r="B16" s="14" t="s">
        <v>433</v>
      </c>
      <c r="C16" s="9" t="s">
        <v>422</v>
      </c>
      <c r="D16" s="13" t="s">
        <v>423</v>
      </c>
      <c r="E16" s="9">
        <v>18</v>
      </c>
      <c r="F16" s="9">
        <v>26</v>
      </c>
      <c r="G16" s="9" t="s">
        <v>60</v>
      </c>
      <c r="H16" s="9" t="s">
        <v>66</v>
      </c>
      <c r="I16" s="9">
        <v>65</v>
      </c>
      <c r="J16" s="9" t="s">
        <v>57</v>
      </c>
      <c r="K16" s="9">
        <v>5</v>
      </c>
      <c r="L16" s="9" t="s">
        <v>91</v>
      </c>
      <c r="M16" s="10">
        <v>19</v>
      </c>
      <c r="N16" s="9">
        <v>29</v>
      </c>
      <c r="O16" s="9">
        <v>40</v>
      </c>
      <c r="P16" s="10">
        <v>67.968380191999998</v>
      </c>
      <c r="Q16" s="10">
        <v>0</v>
      </c>
      <c r="R16" s="10">
        <v>67.968380191999998</v>
      </c>
      <c r="S16" s="9" t="s">
        <v>67</v>
      </c>
      <c r="T16" s="12">
        <v>45912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424</v>
      </c>
      <c r="AA16" s="8">
        <v>3841.7500000000005</v>
      </c>
      <c r="AB16" s="8">
        <v>2000</v>
      </c>
      <c r="AC16" s="8">
        <v>1841.7500000000005</v>
      </c>
      <c r="AD16" s="8">
        <v>0</v>
      </c>
      <c r="AE16" s="8">
        <v>3841.7500000000005</v>
      </c>
      <c r="AF16" s="8">
        <v>0</v>
      </c>
      <c r="AG16" s="1" t="s">
        <v>116</v>
      </c>
      <c r="AH16" s="1" t="s">
        <v>68</v>
      </c>
      <c r="AI16" s="1">
        <v>4</v>
      </c>
      <c r="AJ16" s="3">
        <v>45912</v>
      </c>
      <c r="AK16" s="3">
        <v>45908</v>
      </c>
      <c r="AL16" s="3">
        <v>45902</v>
      </c>
      <c r="AM16" s="3">
        <v>45909</v>
      </c>
      <c r="AN16" s="3">
        <v>45910</v>
      </c>
      <c r="AO16" s="3">
        <v>45910</v>
      </c>
      <c r="AP16" s="3">
        <v>45907</v>
      </c>
      <c r="AQ16" s="3">
        <v>45911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117.87200000000006</v>
      </c>
    </row>
    <row r="17" spans="1:56" ht="27.75" customHeight="1" x14ac:dyDescent="0.45">
      <c r="A17" s="3">
        <v>0</v>
      </c>
      <c r="B17" s="14">
        <v>0</v>
      </c>
      <c r="C17" s="9">
        <v>0</v>
      </c>
      <c r="D17" s="13" t="s">
        <v>95</v>
      </c>
      <c r="E17" s="9">
        <v>18</v>
      </c>
      <c r="F17" s="9">
        <v>25</v>
      </c>
      <c r="G17" s="9" t="s">
        <v>60</v>
      </c>
      <c r="H17" s="9">
        <v>0</v>
      </c>
      <c r="I17" s="9">
        <v>50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424</v>
      </c>
      <c r="AA17" s="8">
        <v>3841.7500000000005</v>
      </c>
      <c r="AB17" s="8">
        <v>2000</v>
      </c>
      <c r="AC17" s="8">
        <v>1841.7500000000005</v>
      </c>
      <c r="AD17" s="8">
        <v>0</v>
      </c>
      <c r="AE17" s="8">
        <v>3841.7500000000005</v>
      </c>
      <c r="AF17" s="8" t="s">
        <v>58</v>
      </c>
      <c r="AG17" s="1" t="s">
        <v>61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425</v>
      </c>
      <c r="BD17" s="56">
        <v>0</v>
      </c>
    </row>
    <row r="18" spans="1:56" ht="27.75" customHeight="1" x14ac:dyDescent="0.45">
      <c r="A18" s="3">
        <v>45898</v>
      </c>
      <c r="B18" s="14" t="s">
        <v>414</v>
      </c>
      <c r="C18" s="9" t="s">
        <v>136</v>
      </c>
      <c r="D18" s="13" t="s">
        <v>124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45910</v>
      </c>
      <c r="U18" s="11">
        <v>50000</v>
      </c>
      <c r="V18" s="10">
        <v>0</v>
      </c>
      <c r="W18" s="10">
        <v>50000</v>
      </c>
      <c r="X18" s="10">
        <v>0</v>
      </c>
      <c r="Y18" s="10">
        <v>52500</v>
      </c>
      <c r="Z18" s="9" t="s">
        <v>168</v>
      </c>
      <c r="AA18" s="8">
        <v>44005.499999999993</v>
      </c>
      <c r="AB18" s="8">
        <v>24047</v>
      </c>
      <c r="AC18" s="8">
        <v>19958.499999999993</v>
      </c>
      <c r="AD18" s="8">
        <v>0</v>
      </c>
      <c r="AE18" s="8">
        <v>0</v>
      </c>
      <c r="AF18" s="8">
        <v>0</v>
      </c>
      <c r="AG18" s="1" t="s">
        <v>116</v>
      </c>
      <c r="AH18" s="1" t="s">
        <v>74</v>
      </c>
      <c r="AI18" s="1">
        <v>2</v>
      </c>
      <c r="AJ18" s="3">
        <v>45910</v>
      </c>
      <c r="AK18" s="3">
        <v>0</v>
      </c>
      <c r="AL18" s="3">
        <v>45901</v>
      </c>
      <c r="AM18" s="3">
        <v>45908</v>
      </c>
      <c r="AN18" s="3">
        <v>45909</v>
      </c>
      <c r="AO18" s="3">
        <v>45909</v>
      </c>
      <c r="AP18" s="3">
        <v>45905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1449.4306222222219</v>
      </c>
    </row>
    <row r="19" spans="1:56" ht="27.75" customHeight="1" x14ac:dyDescent="0.45">
      <c r="A19" s="3">
        <v>45898</v>
      </c>
      <c r="B19" s="14" t="s">
        <v>415</v>
      </c>
      <c r="C19" s="9" t="s">
        <v>136</v>
      </c>
      <c r="D19" s="13" t="s">
        <v>199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45910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168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115</v>
      </c>
      <c r="AH19" s="1" t="s">
        <v>74</v>
      </c>
      <c r="AI19" s="1">
        <v>2</v>
      </c>
      <c r="AJ19" s="3">
        <v>45910</v>
      </c>
      <c r="AK19" s="3">
        <v>0</v>
      </c>
      <c r="AL19" s="3">
        <v>45901</v>
      </c>
      <c r="AM19" s="3">
        <v>45908</v>
      </c>
      <c r="AN19" s="3">
        <v>45909</v>
      </c>
      <c r="AO19" s="3">
        <v>45909</v>
      </c>
      <c r="AP19" s="3">
        <v>45905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135</v>
      </c>
      <c r="B20" s="14" t="s">
        <v>135</v>
      </c>
      <c r="C20" s="9" t="s">
        <v>237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45925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168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115</v>
      </c>
      <c r="AH20" s="1" t="s">
        <v>74</v>
      </c>
      <c r="AI20" s="1">
        <v>2</v>
      </c>
      <c r="AJ20" s="3">
        <v>45925</v>
      </c>
      <c r="AK20" s="3">
        <v>0</v>
      </c>
      <c r="AL20" s="3">
        <v>45916</v>
      </c>
      <c r="AM20" s="3">
        <v>45923</v>
      </c>
      <c r="AN20" s="3">
        <v>45924</v>
      </c>
      <c r="AO20" s="3">
        <v>45924</v>
      </c>
      <c r="AP20" s="3">
        <v>45920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2556.6217600000009</v>
      </c>
    </row>
    <row r="21" spans="1:56" ht="27.75" customHeight="1" x14ac:dyDescent="0.45">
      <c r="A21" s="3" t="s">
        <v>135</v>
      </c>
      <c r="B21" s="14" t="s">
        <v>135</v>
      </c>
      <c r="C21" s="9" t="s">
        <v>204</v>
      </c>
      <c r="D21" s="13" t="s">
        <v>205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92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>
        <v>45925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168</v>
      </c>
      <c r="AA21" s="8">
        <v>18501.714330000003</v>
      </c>
      <c r="AB21" s="8">
        <v>0</v>
      </c>
      <c r="AC21" s="8">
        <v>18501.714330000003</v>
      </c>
      <c r="AD21" s="8">
        <v>0</v>
      </c>
      <c r="AE21" s="8">
        <v>0</v>
      </c>
      <c r="AF21" s="8">
        <v>0</v>
      </c>
      <c r="AG21" s="1" t="s">
        <v>115</v>
      </c>
      <c r="AH21" s="1" t="s">
        <v>72</v>
      </c>
      <c r="AI21" s="1">
        <v>3</v>
      </c>
      <c r="AJ21" s="3">
        <v>45925</v>
      </c>
      <c r="AK21" s="3">
        <v>0</v>
      </c>
      <c r="AL21" s="3">
        <v>45915</v>
      </c>
      <c r="AM21" s="3">
        <v>45922</v>
      </c>
      <c r="AN21" s="3">
        <v>45923</v>
      </c>
      <c r="AO21" s="3">
        <v>45923</v>
      </c>
      <c r="AP21" s="3">
        <v>45920</v>
      </c>
      <c r="AQ21" s="3">
        <v>45924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1343.6356095653334</v>
      </c>
    </row>
    <row r="22" spans="1:56" ht="27.7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168</v>
      </c>
      <c r="AA22" s="8">
        <v>132916.01432999998</v>
      </c>
      <c r="AB22" s="8">
        <v>24047</v>
      </c>
      <c r="AC22" s="8">
        <v>108869.01432999999</v>
      </c>
      <c r="AD22" s="8">
        <v>0</v>
      </c>
      <c r="AE22" s="8">
        <v>0</v>
      </c>
      <c r="AF22" s="8" t="s">
        <v>58</v>
      </c>
      <c r="AG22" s="1" t="s">
        <v>115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0</v>
      </c>
    </row>
    <row r="23" spans="1:56" ht="27.75" customHeight="1" x14ac:dyDescent="0.45">
      <c r="A23" s="3">
        <v>45896</v>
      </c>
      <c r="B23" s="14" t="s">
        <v>387</v>
      </c>
      <c r="C23" s="9" t="s">
        <v>73</v>
      </c>
      <c r="D23" s="13" t="s">
        <v>266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45904</v>
      </c>
      <c r="U23" s="11">
        <v>5000</v>
      </c>
      <c r="V23" s="10">
        <v>5000</v>
      </c>
      <c r="W23" s="10">
        <v>0</v>
      </c>
      <c r="X23" s="10">
        <v>5400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115</v>
      </c>
      <c r="AH23" s="1" t="s">
        <v>74</v>
      </c>
      <c r="AI23" s="1">
        <v>2</v>
      </c>
      <c r="AJ23" s="3">
        <v>45904</v>
      </c>
      <c r="AK23" s="3">
        <v>0</v>
      </c>
      <c r="AL23" s="3">
        <v>45895</v>
      </c>
      <c r="AM23" s="3">
        <v>45902</v>
      </c>
      <c r="AN23" s="3">
        <v>45903</v>
      </c>
      <c r="AO23" s="3">
        <v>45903</v>
      </c>
      <c r="AP23" s="3">
        <v>45899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45896</v>
      </c>
      <c r="B24" s="14" t="s">
        <v>387</v>
      </c>
      <c r="C24" s="9" t="s">
        <v>73</v>
      </c>
      <c r="D24" s="13">
        <v>997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45904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115</v>
      </c>
      <c r="AH24" s="1" t="s">
        <v>74</v>
      </c>
      <c r="AI24" s="1">
        <v>2</v>
      </c>
      <c r="AJ24" s="3">
        <v>45904</v>
      </c>
      <c r="AK24" s="3">
        <v>0</v>
      </c>
      <c r="AL24" s="3">
        <v>45895</v>
      </c>
      <c r="AM24" s="3">
        <v>45902</v>
      </c>
      <c r="AN24" s="3">
        <v>45903</v>
      </c>
      <c r="AO24" s="3">
        <v>45903</v>
      </c>
      <c r="AP24" s="3">
        <v>45899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45896</v>
      </c>
      <c r="B25" s="14" t="s">
        <v>387</v>
      </c>
      <c r="C25" s="9" t="s">
        <v>73</v>
      </c>
      <c r="D25" s="13" t="s">
        <v>327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45904</v>
      </c>
      <c r="U25" s="11">
        <v>5000</v>
      </c>
      <c r="V25" s="10">
        <v>5000</v>
      </c>
      <c r="W25" s="10">
        <v>0</v>
      </c>
      <c r="X25" s="10">
        <v>5400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115</v>
      </c>
      <c r="AH25" s="1" t="s">
        <v>74</v>
      </c>
      <c r="AI25" s="1">
        <v>2</v>
      </c>
      <c r="AJ25" s="3">
        <v>45904</v>
      </c>
      <c r="AK25" s="3">
        <v>0</v>
      </c>
      <c r="AL25" s="3">
        <v>45895</v>
      </c>
      <c r="AM25" s="3">
        <v>45902</v>
      </c>
      <c r="AN25" s="3">
        <v>45903</v>
      </c>
      <c r="AO25" s="3">
        <v>45903</v>
      </c>
      <c r="AP25" s="3">
        <v>45899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45896</v>
      </c>
      <c r="B26" s="14" t="s">
        <v>387</v>
      </c>
      <c r="C26" s="9" t="s">
        <v>73</v>
      </c>
      <c r="D26" s="13" t="s">
        <v>389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45904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115</v>
      </c>
      <c r="AH26" s="1" t="s">
        <v>74</v>
      </c>
      <c r="AI26" s="1">
        <v>2</v>
      </c>
      <c r="AJ26" s="3">
        <v>45904</v>
      </c>
      <c r="AK26" s="3">
        <v>0</v>
      </c>
      <c r="AL26" s="3">
        <v>45895</v>
      </c>
      <c r="AM26" s="3">
        <v>45902</v>
      </c>
      <c r="AN26" s="3">
        <v>45903</v>
      </c>
      <c r="AO26" s="3">
        <v>45903</v>
      </c>
      <c r="AP26" s="3">
        <v>45899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45896</v>
      </c>
      <c r="B27" s="14" t="s">
        <v>387</v>
      </c>
      <c r="C27" s="9" t="s">
        <v>73</v>
      </c>
      <c r="D27" s="13" t="s">
        <v>294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45904</v>
      </c>
      <c r="U27" s="11">
        <v>5000</v>
      </c>
      <c r="V27" s="10">
        <v>5000</v>
      </c>
      <c r="W27" s="10">
        <v>0</v>
      </c>
      <c r="X27" s="10">
        <v>5500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116</v>
      </c>
      <c r="AH27" s="1" t="s">
        <v>74</v>
      </c>
      <c r="AI27" s="1">
        <v>2</v>
      </c>
      <c r="AJ27" s="3">
        <v>45904</v>
      </c>
      <c r="AK27" s="3">
        <v>0</v>
      </c>
      <c r="AL27" s="3">
        <v>45895</v>
      </c>
      <c r="AM27" s="3">
        <v>45902</v>
      </c>
      <c r="AN27" s="3">
        <v>45903</v>
      </c>
      <c r="AO27" s="3">
        <v>45903</v>
      </c>
      <c r="AP27" s="3">
        <v>45899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45896</v>
      </c>
      <c r="B28" s="14" t="s">
        <v>390</v>
      </c>
      <c r="C28" s="9" t="s">
        <v>73</v>
      </c>
      <c r="D28" s="13" t="s">
        <v>288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45904</v>
      </c>
      <c r="U28" s="11">
        <v>10000</v>
      </c>
      <c r="V28" s="10">
        <v>10000</v>
      </c>
      <c r="W28" s="10">
        <v>0</v>
      </c>
      <c r="X28" s="10">
        <v>10400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117</v>
      </c>
      <c r="AH28" s="1" t="s">
        <v>74</v>
      </c>
      <c r="AI28" s="1">
        <v>2</v>
      </c>
      <c r="AJ28" s="3">
        <v>45904</v>
      </c>
      <c r="AK28" s="3">
        <v>0</v>
      </c>
      <c r="AL28" s="3">
        <v>45895</v>
      </c>
      <c r="AM28" s="3">
        <v>45902</v>
      </c>
      <c r="AN28" s="3">
        <v>45903</v>
      </c>
      <c r="AO28" s="3">
        <v>45903</v>
      </c>
      <c r="AP28" s="3">
        <v>45899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45896</v>
      </c>
      <c r="B29" s="14" t="s">
        <v>390</v>
      </c>
      <c r="C29" s="9" t="s">
        <v>73</v>
      </c>
      <c r="D29" s="13" t="s">
        <v>391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45904</v>
      </c>
      <c r="U29" s="11">
        <v>5000</v>
      </c>
      <c r="V29" s="10">
        <v>5000</v>
      </c>
      <c r="W29" s="10">
        <v>0</v>
      </c>
      <c r="X29" s="10">
        <v>5400</v>
      </c>
      <c r="Y29" s="10">
        <v>0</v>
      </c>
      <c r="Z29" s="9" t="s">
        <v>172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116</v>
      </c>
      <c r="AH29" s="1" t="s">
        <v>74</v>
      </c>
      <c r="AI29" s="1">
        <v>2</v>
      </c>
      <c r="AJ29" s="3">
        <v>45904</v>
      </c>
      <c r="AK29" s="3">
        <v>0</v>
      </c>
      <c r="AL29" s="3">
        <v>45895</v>
      </c>
      <c r="AM29" s="3">
        <v>45902</v>
      </c>
      <c r="AN29" s="3">
        <v>45903</v>
      </c>
      <c r="AO29" s="3">
        <v>45903</v>
      </c>
      <c r="AP29" s="3">
        <v>45899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45896</v>
      </c>
      <c r="B30" s="14" t="s">
        <v>390</v>
      </c>
      <c r="C30" s="9" t="s">
        <v>73</v>
      </c>
      <c r="D30" s="13" t="s">
        <v>392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45904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172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>
        <v>0</v>
      </c>
      <c r="AG30" s="1" t="s">
        <v>115</v>
      </c>
      <c r="AH30" s="1" t="s">
        <v>74</v>
      </c>
      <c r="AI30" s="1">
        <v>2</v>
      </c>
      <c r="AJ30" s="3">
        <v>45904</v>
      </c>
      <c r="AK30" s="3">
        <v>0</v>
      </c>
      <c r="AL30" s="3">
        <v>45895</v>
      </c>
      <c r="AM30" s="3">
        <v>45902</v>
      </c>
      <c r="AN30" s="3">
        <v>45903</v>
      </c>
      <c r="AO30" s="3">
        <v>45903</v>
      </c>
      <c r="AP30" s="3">
        <v>45899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45896</v>
      </c>
      <c r="B31" s="14" t="s">
        <v>387</v>
      </c>
      <c r="C31" s="9" t="s">
        <v>73</v>
      </c>
      <c r="D31" s="13" t="s">
        <v>288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45906</v>
      </c>
      <c r="U31" s="11">
        <v>10000</v>
      </c>
      <c r="V31" s="10">
        <v>0</v>
      </c>
      <c r="W31" s="10">
        <v>10000</v>
      </c>
      <c r="X31" s="10">
        <v>10500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117</v>
      </c>
      <c r="AH31" s="1" t="s">
        <v>74</v>
      </c>
      <c r="AI31" s="1">
        <v>2</v>
      </c>
      <c r="AJ31" s="3">
        <v>45906</v>
      </c>
      <c r="AK31" s="3">
        <v>0</v>
      </c>
      <c r="AL31" s="3">
        <v>45897</v>
      </c>
      <c r="AM31" s="3">
        <v>45904</v>
      </c>
      <c r="AN31" s="3">
        <v>45905</v>
      </c>
      <c r="AO31" s="3">
        <v>45905</v>
      </c>
      <c r="AP31" s="3">
        <v>45901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45896</v>
      </c>
      <c r="B32" s="14" t="s">
        <v>387</v>
      </c>
      <c r="C32" s="9" t="s">
        <v>73</v>
      </c>
      <c r="D32" s="13" t="s">
        <v>282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45906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172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>
        <v>0</v>
      </c>
      <c r="AG32" s="1" t="s">
        <v>116</v>
      </c>
      <c r="AH32" s="1" t="s">
        <v>74</v>
      </c>
      <c r="AI32" s="1">
        <v>2</v>
      </c>
      <c r="AJ32" s="3">
        <v>45906</v>
      </c>
      <c r="AK32" s="3">
        <v>0</v>
      </c>
      <c r="AL32" s="3">
        <v>45897</v>
      </c>
      <c r="AM32" s="3">
        <v>45904</v>
      </c>
      <c r="AN32" s="3">
        <v>45905</v>
      </c>
      <c r="AO32" s="3">
        <v>45905</v>
      </c>
      <c r="AP32" s="3">
        <v>45901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45896</v>
      </c>
      <c r="B33" s="14" t="s">
        <v>387</v>
      </c>
      <c r="C33" s="9" t="s">
        <v>73</v>
      </c>
      <c r="D33" s="13" t="s">
        <v>248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45906</v>
      </c>
      <c r="U33" s="11">
        <v>5000</v>
      </c>
      <c r="V33" s="10">
        <v>5746</v>
      </c>
      <c r="W33" s="10">
        <v>0</v>
      </c>
      <c r="X33" s="10">
        <v>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116</v>
      </c>
      <c r="AH33" s="1" t="s">
        <v>74</v>
      </c>
      <c r="AI33" s="1">
        <v>2</v>
      </c>
      <c r="AJ33" s="3">
        <v>45906</v>
      </c>
      <c r="AK33" s="3">
        <v>0</v>
      </c>
      <c r="AL33" s="3">
        <v>45897</v>
      </c>
      <c r="AM33" s="3">
        <v>45904</v>
      </c>
      <c r="AN33" s="3">
        <v>45905</v>
      </c>
      <c r="AO33" s="3">
        <v>45905</v>
      </c>
      <c r="AP33" s="3">
        <v>45901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45896</v>
      </c>
      <c r="B34" s="14" t="s">
        <v>387</v>
      </c>
      <c r="C34" s="9" t="s">
        <v>73</v>
      </c>
      <c r="D34" s="13" t="s">
        <v>393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45906</v>
      </c>
      <c r="U34" s="11">
        <v>5000</v>
      </c>
      <c r="V34" s="10">
        <v>0</v>
      </c>
      <c r="W34" s="10">
        <v>5000</v>
      </c>
      <c r="X34" s="10">
        <v>5400</v>
      </c>
      <c r="Y34" s="10">
        <v>0</v>
      </c>
      <c r="Z34" s="9" t="s">
        <v>172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116</v>
      </c>
      <c r="AH34" s="1" t="s">
        <v>74</v>
      </c>
      <c r="AI34" s="1">
        <v>2</v>
      </c>
      <c r="AJ34" s="3">
        <v>45906</v>
      </c>
      <c r="AK34" s="3">
        <v>0</v>
      </c>
      <c r="AL34" s="3">
        <v>45897</v>
      </c>
      <c r="AM34" s="3">
        <v>45904</v>
      </c>
      <c r="AN34" s="3">
        <v>45905</v>
      </c>
      <c r="AO34" s="3">
        <v>45905</v>
      </c>
      <c r="AP34" s="3">
        <v>45901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45896</v>
      </c>
      <c r="B35" s="14" t="s">
        <v>387</v>
      </c>
      <c r="C35" s="9" t="s">
        <v>73</v>
      </c>
      <c r="D35" s="13" t="s">
        <v>305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45906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172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>
        <v>0</v>
      </c>
      <c r="AG35" s="1" t="s">
        <v>115</v>
      </c>
      <c r="AH35" s="1" t="s">
        <v>74</v>
      </c>
      <c r="AI35" s="1">
        <v>2</v>
      </c>
      <c r="AJ35" s="3">
        <v>45906</v>
      </c>
      <c r="AK35" s="3">
        <v>0</v>
      </c>
      <c r="AL35" s="3">
        <v>45897</v>
      </c>
      <c r="AM35" s="3">
        <v>45904</v>
      </c>
      <c r="AN35" s="3">
        <v>45905</v>
      </c>
      <c r="AO35" s="3">
        <v>45905</v>
      </c>
      <c r="AP35" s="3">
        <v>45901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45896</v>
      </c>
      <c r="B36" s="14" t="s">
        <v>390</v>
      </c>
      <c r="C36" s="9" t="s">
        <v>73</v>
      </c>
      <c r="D36" s="13" t="s">
        <v>265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45906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172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>
        <v>0</v>
      </c>
      <c r="AG36" s="1" t="s">
        <v>116</v>
      </c>
      <c r="AH36" s="1" t="s">
        <v>74</v>
      </c>
      <c r="AI36" s="1">
        <v>2</v>
      </c>
      <c r="AJ36" s="3">
        <v>45906</v>
      </c>
      <c r="AK36" s="3">
        <v>0</v>
      </c>
      <c r="AL36" s="3">
        <v>45897</v>
      </c>
      <c r="AM36" s="3">
        <v>45904</v>
      </c>
      <c r="AN36" s="3">
        <v>45905</v>
      </c>
      <c r="AO36" s="3">
        <v>45905</v>
      </c>
      <c r="AP36" s="3">
        <v>45901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45896</v>
      </c>
      <c r="B37" s="14" t="s">
        <v>390</v>
      </c>
      <c r="C37" s="9" t="s">
        <v>73</v>
      </c>
      <c r="D37" s="13" t="s">
        <v>291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45906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172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>
        <v>0</v>
      </c>
      <c r="AG37" s="1" t="s">
        <v>115</v>
      </c>
      <c r="AH37" s="1" t="s">
        <v>74</v>
      </c>
      <c r="AI37" s="1">
        <v>2</v>
      </c>
      <c r="AJ37" s="3">
        <v>45906</v>
      </c>
      <c r="AK37" s="3">
        <v>0</v>
      </c>
      <c r="AL37" s="3">
        <v>45897</v>
      </c>
      <c r="AM37" s="3">
        <v>45904</v>
      </c>
      <c r="AN37" s="3">
        <v>45905</v>
      </c>
      <c r="AO37" s="3">
        <v>45905</v>
      </c>
      <c r="AP37" s="3">
        <v>45901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45896</v>
      </c>
      <c r="B38" s="14" t="s">
        <v>390</v>
      </c>
      <c r="C38" s="9" t="s">
        <v>73</v>
      </c>
      <c r="D38" s="13" t="s">
        <v>292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45906</v>
      </c>
      <c r="U38" s="11">
        <v>5000</v>
      </c>
      <c r="V38" s="10">
        <v>4500</v>
      </c>
      <c r="W38" s="10">
        <v>500</v>
      </c>
      <c r="X38" s="10">
        <v>5250</v>
      </c>
      <c r="Y38" s="10">
        <v>0</v>
      </c>
      <c r="Z38" s="9" t="s">
        <v>172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115</v>
      </c>
      <c r="AH38" s="1" t="s">
        <v>74</v>
      </c>
      <c r="AI38" s="1">
        <v>2</v>
      </c>
      <c r="AJ38" s="3">
        <v>45906</v>
      </c>
      <c r="AK38" s="3">
        <v>0</v>
      </c>
      <c r="AL38" s="3">
        <v>45897</v>
      </c>
      <c r="AM38" s="3">
        <v>45904</v>
      </c>
      <c r="AN38" s="3">
        <v>45905</v>
      </c>
      <c r="AO38" s="3">
        <v>45905</v>
      </c>
      <c r="AP38" s="3">
        <v>45901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7.75" customHeight="1" x14ac:dyDescent="0.45">
      <c r="A39" s="3">
        <v>45896</v>
      </c>
      <c r="B39" s="14" t="s">
        <v>387</v>
      </c>
      <c r="C39" s="9" t="s">
        <v>73</v>
      </c>
      <c r="D39" s="13" t="s">
        <v>289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45909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172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>
        <v>0</v>
      </c>
      <c r="AG39" s="1" t="s">
        <v>117</v>
      </c>
      <c r="AH39" s="1" t="s">
        <v>74</v>
      </c>
      <c r="AI39" s="1">
        <v>2</v>
      </c>
      <c r="AJ39" s="3">
        <v>45909</v>
      </c>
      <c r="AK39" s="3">
        <v>0</v>
      </c>
      <c r="AL39" s="3">
        <v>45900</v>
      </c>
      <c r="AM39" s="3">
        <v>45907</v>
      </c>
      <c r="AN39" s="3">
        <v>45908</v>
      </c>
      <c r="AO39" s="3">
        <v>45908</v>
      </c>
      <c r="AP39" s="3">
        <v>45904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0</v>
      </c>
    </row>
    <row r="40" spans="1:56" ht="27.75" customHeight="1" x14ac:dyDescent="0.45">
      <c r="A40" s="3">
        <v>45896</v>
      </c>
      <c r="B40" s="14" t="s">
        <v>387</v>
      </c>
      <c r="C40" s="9" t="s">
        <v>73</v>
      </c>
      <c r="D40" s="13" t="s">
        <v>281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45909</v>
      </c>
      <c r="U40" s="11">
        <v>5000</v>
      </c>
      <c r="V40" s="10">
        <v>5000</v>
      </c>
      <c r="W40" s="10">
        <v>0</v>
      </c>
      <c r="X40" s="10">
        <v>5250</v>
      </c>
      <c r="Y40" s="10">
        <v>0</v>
      </c>
      <c r="Z40" s="9" t="s">
        <v>172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117</v>
      </c>
      <c r="AH40" s="1" t="s">
        <v>74</v>
      </c>
      <c r="AI40" s="1">
        <v>2</v>
      </c>
      <c r="AJ40" s="3">
        <v>45909</v>
      </c>
      <c r="AK40" s="3">
        <v>0</v>
      </c>
      <c r="AL40" s="3">
        <v>45900</v>
      </c>
      <c r="AM40" s="3">
        <v>45907</v>
      </c>
      <c r="AN40" s="3">
        <v>45908</v>
      </c>
      <c r="AO40" s="3">
        <v>45908</v>
      </c>
      <c r="AP40" s="3">
        <v>45904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45896</v>
      </c>
      <c r="B41" s="14" t="s">
        <v>387</v>
      </c>
      <c r="C41" s="9" t="s">
        <v>73</v>
      </c>
      <c r="D41" s="13" t="s">
        <v>275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45909</v>
      </c>
      <c r="U41" s="11">
        <v>5000</v>
      </c>
      <c r="V41" s="10">
        <v>5000</v>
      </c>
      <c r="W41" s="10">
        <v>0</v>
      </c>
      <c r="X41" s="10">
        <v>5250</v>
      </c>
      <c r="Y41" s="10">
        <v>0</v>
      </c>
      <c r="Z41" s="9" t="s">
        <v>172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116</v>
      </c>
      <c r="AH41" s="1" t="s">
        <v>74</v>
      </c>
      <c r="AI41" s="1">
        <v>2</v>
      </c>
      <c r="AJ41" s="3">
        <v>45909</v>
      </c>
      <c r="AK41" s="3">
        <v>0</v>
      </c>
      <c r="AL41" s="3">
        <v>45900</v>
      </c>
      <c r="AM41" s="3">
        <v>45907</v>
      </c>
      <c r="AN41" s="3">
        <v>45908</v>
      </c>
      <c r="AO41" s="3">
        <v>45908</v>
      </c>
      <c r="AP41" s="3">
        <v>45904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0</v>
      </c>
    </row>
    <row r="42" spans="1:56" ht="27.75" customHeight="1" x14ac:dyDescent="0.45">
      <c r="A42" s="3">
        <v>45896</v>
      </c>
      <c r="B42" s="14" t="s">
        <v>387</v>
      </c>
      <c r="C42" s="9" t="s">
        <v>73</v>
      </c>
      <c r="D42" s="13" t="s">
        <v>301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45909</v>
      </c>
      <c r="U42" s="11">
        <v>5000</v>
      </c>
      <c r="V42" s="10">
        <v>0</v>
      </c>
      <c r="W42" s="10">
        <v>5000</v>
      </c>
      <c r="X42" s="10">
        <v>5400</v>
      </c>
      <c r="Y42" s="10">
        <v>0</v>
      </c>
      <c r="Z42" s="9" t="s">
        <v>172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116</v>
      </c>
      <c r="AH42" s="1" t="s">
        <v>74</v>
      </c>
      <c r="AI42" s="1">
        <v>2</v>
      </c>
      <c r="AJ42" s="3">
        <v>45909</v>
      </c>
      <c r="AK42" s="3">
        <v>0</v>
      </c>
      <c r="AL42" s="3">
        <v>45900</v>
      </c>
      <c r="AM42" s="3">
        <v>45907</v>
      </c>
      <c r="AN42" s="3">
        <v>45908</v>
      </c>
      <c r="AO42" s="3">
        <v>45908</v>
      </c>
      <c r="AP42" s="3">
        <v>45904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>
        <v>45896</v>
      </c>
      <c r="B43" s="14" t="s">
        <v>387</v>
      </c>
      <c r="C43" s="9" t="s">
        <v>73</v>
      </c>
      <c r="D43" s="13" t="s">
        <v>292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45909</v>
      </c>
      <c r="U43" s="11">
        <v>5000</v>
      </c>
      <c r="V43" s="10">
        <v>0</v>
      </c>
      <c r="W43" s="10">
        <v>5000</v>
      </c>
      <c r="X43" s="10">
        <v>5250</v>
      </c>
      <c r="Y43" s="10">
        <v>0</v>
      </c>
      <c r="Z43" s="9" t="s">
        <v>172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117</v>
      </c>
      <c r="AH43" s="1" t="s">
        <v>74</v>
      </c>
      <c r="AI43" s="1">
        <v>2</v>
      </c>
      <c r="AJ43" s="3">
        <v>45909</v>
      </c>
      <c r="AK43" s="3">
        <v>0</v>
      </c>
      <c r="AL43" s="3">
        <v>45900</v>
      </c>
      <c r="AM43" s="3">
        <v>45907</v>
      </c>
      <c r="AN43" s="3">
        <v>45908</v>
      </c>
      <c r="AO43" s="3">
        <v>45908</v>
      </c>
      <c r="AP43" s="3">
        <v>45904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0</v>
      </c>
    </row>
    <row r="44" spans="1:56" ht="27.75" customHeight="1" x14ac:dyDescent="0.45">
      <c r="A44" s="3">
        <v>45898</v>
      </c>
      <c r="B44" s="14" t="s">
        <v>390</v>
      </c>
      <c r="C44" s="9" t="s">
        <v>73</v>
      </c>
      <c r="D44" s="13" t="s">
        <v>293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45909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>
        <v>0</v>
      </c>
      <c r="AG44" s="1" t="s">
        <v>61</v>
      </c>
      <c r="AH44" s="1" t="s">
        <v>74</v>
      </c>
      <c r="AI44" s="1">
        <v>2</v>
      </c>
      <c r="AJ44" s="3">
        <v>45909</v>
      </c>
      <c r="AK44" s="3">
        <v>0</v>
      </c>
      <c r="AL44" s="3">
        <v>45900</v>
      </c>
      <c r="AM44" s="3">
        <v>45907</v>
      </c>
      <c r="AN44" s="3">
        <v>45908</v>
      </c>
      <c r="AO44" s="3">
        <v>45908</v>
      </c>
      <c r="AP44" s="3">
        <v>45904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0</v>
      </c>
    </row>
    <row r="45" spans="1:56" ht="27.75" customHeight="1" x14ac:dyDescent="0.45">
      <c r="A45" s="3">
        <v>45898</v>
      </c>
      <c r="B45" s="14" t="s">
        <v>390</v>
      </c>
      <c r="C45" s="9" t="s">
        <v>73</v>
      </c>
      <c r="D45" s="13" t="s">
        <v>266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45909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172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>
        <v>0</v>
      </c>
      <c r="AG45" s="1" t="s">
        <v>115</v>
      </c>
      <c r="AH45" s="1" t="s">
        <v>74</v>
      </c>
      <c r="AI45" s="1">
        <v>2</v>
      </c>
      <c r="AJ45" s="3">
        <v>45909</v>
      </c>
      <c r="AK45" s="3">
        <v>0</v>
      </c>
      <c r="AL45" s="3">
        <v>45900</v>
      </c>
      <c r="AM45" s="3">
        <v>45907</v>
      </c>
      <c r="AN45" s="3">
        <v>45908</v>
      </c>
      <c r="AO45" s="3">
        <v>45908</v>
      </c>
      <c r="AP45" s="3">
        <v>45904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0</v>
      </c>
    </row>
    <row r="46" spans="1:56" ht="27.75" customHeight="1" x14ac:dyDescent="0.45">
      <c r="A46" s="3">
        <v>45898</v>
      </c>
      <c r="B46" s="14" t="s">
        <v>390</v>
      </c>
      <c r="C46" s="9" t="s">
        <v>73</v>
      </c>
      <c r="D46" s="13" t="s">
        <v>290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45909</v>
      </c>
      <c r="U46" s="11">
        <v>5000</v>
      </c>
      <c r="V46" s="10">
        <v>0</v>
      </c>
      <c r="W46" s="10">
        <v>5000</v>
      </c>
      <c r="X46" s="10">
        <v>5400</v>
      </c>
      <c r="Y46" s="10">
        <v>0</v>
      </c>
      <c r="Z46" s="9" t="s">
        <v>172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115</v>
      </c>
      <c r="AH46" s="1" t="s">
        <v>74</v>
      </c>
      <c r="AI46" s="1">
        <v>2</v>
      </c>
      <c r="AJ46" s="3">
        <v>45909</v>
      </c>
      <c r="AK46" s="3">
        <v>0</v>
      </c>
      <c r="AL46" s="3">
        <v>45900</v>
      </c>
      <c r="AM46" s="3">
        <v>45907</v>
      </c>
      <c r="AN46" s="3">
        <v>45908</v>
      </c>
      <c r="AO46" s="3">
        <v>45908</v>
      </c>
      <c r="AP46" s="3">
        <v>45904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0</v>
      </c>
    </row>
    <row r="47" spans="1:56" ht="27.75" customHeight="1" x14ac:dyDescent="0.45">
      <c r="A47" s="3" t="s">
        <v>135</v>
      </c>
      <c r="B47" s="14" t="s">
        <v>135</v>
      </c>
      <c r="C47" s="9" t="s">
        <v>73</v>
      </c>
      <c r="D47" s="13" t="s">
        <v>61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141</v>
      </c>
      <c r="T47" s="12">
        <v>45930</v>
      </c>
      <c r="U47" s="11">
        <v>270000</v>
      </c>
      <c r="V47" s="10">
        <v>0</v>
      </c>
      <c r="W47" s="10">
        <v>270000</v>
      </c>
      <c r="X47" s="10">
        <v>0</v>
      </c>
      <c r="Y47" s="10">
        <v>283500</v>
      </c>
      <c r="Z47" s="9" t="s">
        <v>172</v>
      </c>
      <c r="AA47" s="8">
        <v>252717.30000000002</v>
      </c>
      <c r="AB47" s="8">
        <v>12401</v>
      </c>
      <c r="AC47" s="8">
        <v>240316.30000000002</v>
      </c>
      <c r="AD47" s="8">
        <v>0</v>
      </c>
      <c r="AE47" s="8">
        <v>0</v>
      </c>
      <c r="AF47" s="8">
        <v>0</v>
      </c>
      <c r="AG47" s="1" t="s">
        <v>115</v>
      </c>
      <c r="AH47" s="1" t="s">
        <v>74</v>
      </c>
      <c r="AI47" s="1">
        <v>2</v>
      </c>
      <c r="AJ47" s="3">
        <v>45930</v>
      </c>
      <c r="AK47" s="3">
        <v>0</v>
      </c>
      <c r="AL47" s="3">
        <v>45921</v>
      </c>
      <c r="AM47" s="3">
        <v>45928</v>
      </c>
      <c r="AN47" s="3">
        <v>45929</v>
      </c>
      <c r="AO47" s="3">
        <v>45929</v>
      </c>
      <c r="AP47" s="3">
        <v>45925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18101.691788444445</v>
      </c>
    </row>
    <row r="48" spans="1:56" ht="27.7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30</v>
      </c>
      <c r="G48" s="9">
        <v>0</v>
      </c>
      <c r="H48" s="9">
        <v>0</v>
      </c>
      <c r="I48" s="9">
        <v>63</v>
      </c>
      <c r="J48" s="9" t="s">
        <v>78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172</v>
      </c>
      <c r="AA48" s="8">
        <v>290156.90000000002</v>
      </c>
      <c r="AB48" s="8">
        <v>49840.600000000006</v>
      </c>
      <c r="AC48" s="8">
        <v>240316.30000000002</v>
      </c>
      <c r="AD48" s="8">
        <v>0</v>
      </c>
      <c r="AE48" s="8">
        <v>0</v>
      </c>
      <c r="AF48" s="8" t="s">
        <v>58</v>
      </c>
      <c r="AG48" s="1" t="s">
        <v>115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174</v>
      </c>
      <c r="BD48" s="56">
        <v>0</v>
      </c>
    </row>
    <row r="49" spans="1:56" ht="27.75" customHeight="1" x14ac:dyDescent="0.45">
      <c r="A49" s="3">
        <v>45796</v>
      </c>
      <c r="B49" s="14" t="s">
        <v>255</v>
      </c>
      <c r="C49" s="9" t="s">
        <v>139</v>
      </c>
      <c r="D49" s="13" t="s">
        <v>250</v>
      </c>
      <c r="E49" s="9">
        <v>19</v>
      </c>
      <c r="F49" s="9">
        <v>34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196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108</v>
      </c>
      <c r="T49" s="12" t="s">
        <v>63</v>
      </c>
      <c r="U49" s="11">
        <v>503</v>
      </c>
      <c r="V49" s="10">
        <v>0</v>
      </c>
      <c r="W49" s="10">
        <v>503</v>
      </c>
      <c r="X49" s="10">
        <v>5250</v>
      </c>
      <c r="Y49" s="10">
        <v>0</v>
      </c>
      <c r="Z49" s="9" t="s">
        <v>112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115</v>
      </c>
      <c r="AH49" s="1" t="s">
        <v>75</v>
      </c>
      <c r="AI49" s="1">
        <v>4</v>
      </c>
      <c r="AJ49" s="3" t="s">
        <v>63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191</v>
      </c>
      <c r="BD49" s="56">
        <v>0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34</v>
      </c>
      <c r="G50" s="9" t="s">
        <v>60</v>
      </c>
      <c r="H50" s="9">
        <v>0</v>
      </c>
      <c r="I50" s="9">
        <v>80</v>
      </c>
      <c r="J50" s="9" t="s">
        <v>57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112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58</v>
      </c>
      <c r="AG50" s="1" t="s">
        <v>115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192</v>
      </c>
      <c r="BD50" s="56">
        <v>0</v>
      </c>
    </row>
    <row r="51" spans="1:56" ht="27.75" customHeight="1" x14ac:dyDescent="0.45">
      <c r="A51" s="3">
        <v>45887</v>
      </c>
      <c r="B51" s="14" t="s">
        <v>347</v>
      </c>
      <c r="C51" s="9" t="s">
        <v>139</v>
      </c>
      <c r="D51" s="13" t="s">
        <v>181</v>
      </c>
      <c r="E51" s="9">
        <v>20</v>
      </c>
      <c r="F51" s="9">
        <v>35</v>
      </c>
      <c r="G51" s="9" t="s">
        <v>60</v>
      </c>
      <c r="H51" s="9" t="s">
        <v>76</v>
      </c>
      <c r="I51" s="9">
        <v>97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45904</v>
      </c>
      <c r="U51" s="11">
        <v>5040</v>
      </c>
      <c r="V51" s="10">
        <v>5040</v>
      </c>
      <c r="W51" s="10">
        <v>0</v>
      </c>
      <c r="X51" s="10">
        <v>10200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395</v>
      </c>
      <c r="AG51" s="1" t="s">
        <v>115</v>
      </c>
      <c r="AH51" s="1" t="s">
        <v>75</v>
      </c>
      <c r="AI51" s="1">
        <v>4</v>
      </c>
      <c r="AJ51" s="3">
        <v>45904</v>
      </c>
      <c r="AK51" s="3">
        <v>45900</v>
      </c>
      <c r="AL51" s="3">
        <v>45893</v>
      </c>
      <c r="AM51" s="3">
        <v>45901</v>
      </c>
      <c r="AN51" s="3">
        <v>45902</v>
      </c>
      <c r="AO51" s="3">
        <v>45903</v>
      </c>
      <c r="AP51" s="3">
        <v>45899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134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0</v>
      </c>
    </row>
    <row r="52" spans="1:56" ht="27.75" customHeight="1" x14ac:dyDescent="0.45">
      <c r="A52" s="3">
        <v>45877</v>
      </c>
      <c r="B52" s="14" t="s">
        <v>319</v>
      </c>
      <c r="C52" s="9" t="s">
        <v>79</v>
      </c>
      <c r="D52" s="13" t="s">
        <v>320</v>
      </c>
      <c r="E52" s="9">
        <v>20</v>
      </c>
      <c r="F52" s="9">
        <v>38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45904</v>
      </c>
      <c r="U52" s="11">
        <v>3000</v>
      </c>
      <c r="V52" s="10">
        <v>3000</v>
      </c>
      <c r="W52" s="10">
        <v>0</v>
      </c>
      <c r="X52" s="10">
        <v>3300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>
        <v>45904</v>
      </c>
      <c r="AK52" s="3">
        <v>45900</v>
      </c>
      <c r="AL52" s="3">
        <v>45893</v>
      </c>
      <c r="AM52" s="3">
        <v>45901</v>
      </c>
      <c r="AN52" s="3">
        <v>45902</v>
      </c>
      <c r="AO52" s="3">
        <v>45903</v>
      </c>
      <c r="AP52" s="3">
        <v>45899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7.75" customHeight="1" x14ac:dyDescent="0.45">
      <c r="A53" s="3">
        <v>45892</v>
      </c>
      <c r="B53" s="14" t="s">
        <v>372</v>
      </c>
      <c r="C53" s="9" t="s">
        <v>356</v>
      </c>
      <c r="D53" s="13" t="s">
        <v>357</v>
      </c>
      <c r="E53" s="9">
        <v>20</v>
      </c>
      <c r="F53" s="9">
        <v>30</v>
      </c>
      <c r="G53" s="9" t="s">
        <v>60</v>
      </c>
      <c r="H53" s="9" t="s">
        <v>66</v>
      </c>
      <c r="I53" s="9">
        <v>80</v>
      </c>
      <c r="J53" s="9" t="s">
        <v>57</v>
      </c>
      <c r="K53" s="9">
        <v>5</v>
      </c>
      <c r="L53" s="9" t="s">
        <v>358</v>
      </c>
      <c r="M53" s="10">
        <v>21</v>
      </c>
      <c r="N53" s="9">
        <v>33</v>
      </c>
      <c r="O53" s="9">
        <v>40</v>
      </c>
      <c r="P53" s="10">
        <v>0</v>
      </c>
      <c r="Q53" s="10">
        <v>0</v>
      </c>
      <c r="R53" s="10">
        <v>0</v>
      </c>
      <c r="S53" s="9" t="s">
        <v>71</v>
      </c>
      <c r="T53" s="12">
        <v>45905</v>
      </c>
      <c r="U53" s="11">
        <v>10000</v>
      </c>
      <c r="V53" s="10">
        <v>10000</v>
      </c>
      <c r="W53" s="10">
        <v>0</v>
      </c>
      <c r="X53" s="10">
        <v>10500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117</v>
      </c>
      <c r="AH53" s="1" t="s">
        <v>68</v>
      </c>
      <c r="AI53" s="1">
        <v>4</v>
      </c>
      <c r="AJ53" s="3">
        <v>45905</v>
      </c>
      <c r="AK53" s="3">
        <v>45901</v>
      </c>
      <c r="AL53" s="3">
        <v>45895</v>
      </c>
      <c r="AM53" s="3">
        <v>45902</v>
      </c>
      <c r="AN53" s="3">
        <v>45903</v>
      </c>
      <c r="AO53" s="3">
        <v>45903</v>
      </c>
      <c r="AP53" s="3">
        <v>45900</v>
      </c>
      <c r="AQ53" s="3">
        <v>45904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45850</v>
      </c>
      <c r="B54" s="14" t="s">
        <v>284</v>
      </c>
      <c r="C54" s="9" t="s">
        <v>107</v>
      </c>
      <c r="D54" s="13" t="s">
        <v>285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45905</v>
      </c>
      <c r="U54" s="11">
        <v>3000</v>
      </c>
      <c r="V54" s="10">
        <v>3000</v>
      </c>
      <c r="W54" s="10">
        <v>0</v>
      </c>
      <c r="X54" s="10">
        <v>3300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45905</v>
      </c>
      <c r="AK54" s="3">
        <v>45901</v>
      </c>
      <c r="AL54" s="3">
        <v>45894</v>
      </c>
      <c r="AM54" s="3">
        <v>45902</v>
      </c>
      <c r="AN54" s="3">
        <v>45903</v>
      </c>
      <c r="AO54" s="3">
        <v>45904</v>
      </c>
      <c r="AP54" s="3">
        <v>45900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 t="s">
        <v>434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45892</v>
      </c>
      <c r="B55" s="14" t="s">
        <v>361</v>
      </c>
      <c r="C55" s="9" t="s">
        <v>139</v>
      </c>
      <c r="D55" s="13" t="s">
        <v>330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 t="s">
        <v>63</v>
      </c>
      <c r="U55" s="11">
        <v>640</v>
      </c>
      <c r="V55" s="10">
        <v>0</v>
      </c>
      <c r="W55" s="10">
        <v>640</v>
      </c>
      <c r="X55" s="10">
        <v>6000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116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 t="s">
        <v>371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45892</v>
      </c>
      <c r="B56" s="14" t="s">
        <v>363</v>
      </c>
      <c r="C56" s="9" t="s">
        <v>139</v>
      </c>
      <c r="D56" s="13" t="s">
        <v>131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108</v>
      </c>
      <c r="T56" s="12">
        <v>45908</v>
      </c>
      <c r="U56" s="11">
        <v>1840</v>
      </c>
      <c r="V56" s="10">
        <v>80</v>
      </c>
      <c r="W56" s="10">
        <v>1760</v>
      </c>
      <c r="X56" s="10">
        <v>10650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45908</v>
      </c>
      <c r="AK56" s="3">
        <v>45904</v>
      </c>
      <c r="AL56" s="3">
        <v>45897</v>
      </c>
      <c r="AM56" s="3">
        <v>45905</v>
      </c>
      <c r="AN56" s="3">
        <v>45906</v>
      </c>
      <c r="AO56" s="3">
        <v>45907</v>
      </c>
      <c r="AP56" s="3">
        <v>45903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45782</v>
      </c>
      <c r="B57" s="14" t="s">
        <v>249</v>
      </c>
      <c r="C57" s="9" t="s">
        <v>79</v>
      </c>
      <c r="D57" s="13" t="s">
        <v>243</v>
      </c>
      <c r="E57" s="9">
        <v>20</v>
      </c>
      <c r="F57" s="9">
        <v>38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45909</v>
      </c>
      <c r="U57" s="11">
        <v>5000</v>
      </c>
      <c r="V57" s="10">
        <v>4473</v>
      </c>
      <c r="W57" s="10">
        <v>527</v>
      </c>
      <c r="X57" s="10">
        <v>5200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116</v>
      </c>
      <c r="AH57" s="1" t="s">
        <v>75</v>
      </c>
      <c r="AI57" s="1">
        <v>4</v>
      </c>
      <c r="AJ57" s="3">
        <v>45909</v>
      </c>
      <c r="AK57" s="3">
        <v>45905</v>
      </c>
      <c r="AL57" s="3">
        <v>45898</v>
      </c>
      <c r="AM57" s="3">
        <v>45906</v>
      </c>
      <c r="AN57" s="3">
        <v>45907</v>
      </c>
      <c r="AO57" s="3">
        <v>45908</v>
      </c>
      <c r="AP57" s="3">
        <v>45904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45902</v>
      </c>
      <c r="B58" s="14" t="s">
        <v>128</v>
      </c>
      <c r="C58" s="9" t="s">
        <v>267</v>
      </c>
      <c r="D58" s="13" t="s">
        <v>435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45906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80</v>
      </c>
      <c r="AA58" s="8">
        <v>10756.900000000001</v>
      </c>
      <c r="AB58" s="8">
        <v>10756.900000000001</v>
      </c>
      <c r="AC58" s="8">
        <v>0</v>
      </c>
      <c r="AD58" s="8">
        <v>0</v>
      </c>
      <c r="AE58" s="8">
        <v>10756.900000000001</v>
      </c>
      <c r="AF58" s="8">
        <v>0</v>
      </c>
      <c r="AG58" s="1" t="s">
        <v>116</v>
      </c>
      <c r="AH58" s="1" t="s">
        <v>75</v>
      </c>
      <c r="AI58" s="1">
        <v>4</v>
      </c>
      <c r="AJ58" s="3">
        <v>45906</v>
      </c>
      <c r="AK58" s="3">
        <v>45902</v>
      </c>
      <c r="AL58" s="3">
        <v>45895</v>
      </c>
      <c r="AM58" s="3">
        <v>45903</v>
      </c>
      <c r="AN58" s="3">
        <v>45904</v>
      </c>
      <c r="AO58" s="3">
        <v>45905</v>
      </c>
      <c r="AP58" s="3">
        <v>45901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45902</v>
      </c>
      <c r="B59" s="14" t="s">
        <v>128</v>
      </c>
      <c r="C59" s="9" t="s">
        <v>267</v>
      </c>
      <c r="D59" s="13" t="s">
        <v>436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45906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80</v>
      </c>
      <c r="AA59" s="8">
        <v>10756.900000000001</v>
      </c>
      <c r="AB59" s="8">
        <v>10756.900000000001</v>
      </c>
      <c r="AC59" s="8">
        <v>0</v>
      </c>
      <c r="AD59" s="8">
        <v>0</v>
      </c>
      <c r="AE59" s="8">
        <v>10756.900000000001</v>
      </c>
      <c r="AF59" s="8">
        <v>0</v>
      </c>
      <c r="AG59" s="1" t="s">
        <v>116</v>
      </c>
      <c r="AH59" s="1" t="s">
        <v>75</v>
      </c>
      <c r="AI59" s="1">
        <v>4</v>
      </c>
      <c r="AJ59" s="3">
        <v>45906</v>
      </c>
      <c r="AK59" s="3">
        <v>45902</v>
      </c>
      <c r="AL59" s="3">
        <v>45895</v>
      </c>
      <c r="AM59" s="3">
        <v>45903</v>
      </c>
      <c r="AN59" s="3">
        <v>45904</v>
      </c>
      <c r="AO59" s="3">
        <v>45905</v>
      </c>
      <c r="AP59" s="3">
        <v>45901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45902</v>
      </c>
      <c r="B60" s="14" t="s">
        <v>128</v>
      </c>
      <c r="C60" s="9" t="s">
        <v>267</v>
      </c>
      <c r="D60" s="13" t="s">
        <v>435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20000</v>
      </c>
      <c r="V60" s="10">
        <v>0</v>
      </c>
      <c r="W60" s="10">
        <v>20000</v>
      </c>
      <c r="X60" s="10">
        <v>0</v>
      </c>
      <c r="Y60" s="10">
        <v>21000</v>
      </c>
      <c r="Z60" s="9" t="s">
        <v>80</v>
      </c>
      <c r="AA60" s="8">
        <v>21513.800000000003</v>
      </c>
      <c r="AB60" s="8">
        <v>2078</v>
      </c>
      <c r="AC60" s="8">
        <v>19435.800000000003</v>
      </c>
      <c r="AD60" s="8">
        <v>0</v>
      </c>
      <c r="AE60" s="8">
        <v>21513.800000000003</v>
      </c>
      <c r="AF60" s="8">
        <v>0</v>
      </c>
      <c r="AG60" s="1" t="s">
        <v>116</v>
      </c>
      <c r="AH60" s="1" t="s">
        <v>75</v>
      </c>
      <c r="AI60" s="1">
        <v>4</v>
      </c>
      <c r="AJ60" s="3">
        <v>45930</v>
      </c>
      <c r="AK60" s="3">
        <v>45926</v>
      </c>
      <c r="AL60" s="3">
        <v>45919</v>
      </c>
      <c r="AM60" s="3">
        <v>45927</v>
      </c>
      <c r="AN60" s="3">
        <v>45928</v>
      </c>
      <c r="AO60" s="3">
        <v>45929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1468.4826666666668</v>
      </c>
    </row>
    <row r="61" spans="1:56" ht="27.75" customHeight="1" x14ac:dyDescent="0.45">
      <c r="A61" s="3">
        <v>45902</v>
      </c>
      <c r="B61" s="14" t="s">
        <v>128</v>
      </c>
      <c r="C61" s="9" t="s">
        <v>267</v>
      </c>
      <c r="D61" s="13" t="s">
        <v>436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45930</v>
      </c>
      <c r="U61" s="11">
        <v>20000</v>
      </c>
      <c r="V61" s="10">
        <v>0</v>
      </c>
      <c r="W61" s="10">
        <v>20000</v>
      </c>
      <c r="X61" s="10">
        <v>0</v>
      </c>
      <c r="Y61" s="10">
        <v>21000</v>
      </c>
      <c r="Z61" s="9" t="s">
        <v>80</v>
      </c>
      <c r="AA61" s="8">
        <v>21513.800000000003</v>
      </c>
      <c r="AB61" s="8">
        <v>6183</v>
      </c>
      <c r="AC61" s="8">
        <v>15330.800000000003</v>
      </c>
      <c r="AD61" s="8">
        <v>0</v>
      </c>
      <c r="AE61" s="8">
        <v>21513.800000000003</v>
      </c>
      <c r="AF61" s="8">
        <v>0</v>
      </c>
      <c r="AG61" s="1" t="s">
        <v>116</v>
      </c>
      <c r="AH61" s="1" t="s">
        <v>75</v>
      </c>
      <c r="AI61" s="1">
        <v>4</v>
      </c>
      <c r="AJ61" s="3">
        <v>45930</v>
      </c>
      <c r="AK61" s="3">
        <v>45926</v>
      </c>
      <c r="AL61" s="3">
        <v>45919</v>
      </c>
      <c r="AM61" s="3">
        <v>45927</v>
      </c>
      <c r="AN61" s="3">
        <v>45928</v>
      </c>
      <c r="AO61" s="3">
        <v>45929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1158.3271111111112</v>
      </c>
    </row>
    <row r="62" spans="1:56" ht="27.75" customHeight="1" x14ac:dyDescent="0.45">
      <c r="A62" s="3">
        <v>45902</v>
      </c>
      <c r="B62" s="14" t="s">
        <v>128</v>
      </c>
      <c r="C62" s="9" t="s">
        <v>267</v>
      </c>
      <c r="D62" s="13" t="s">
        <v>437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45930</v>
      </c>
      <c r="U62" s="11">
        <v>20000</v>
      </c>
      <c r="V62" s="10">
        <v>0</v>
      </c>
      <c r="W62" s="10">
        <v>20000</v>
      </c>
      <c r="X62" s="10">
        <v>0</v>
      </c>
      <c r="Y62" s="10">
        <v>21000</v>
      </c>
      <c r="Z62" s="9" t="s">
        <v>80</v>
      </c>
      <c r="AA62" s="8">
        <v>21513.800000000003</v>
      </c>
      <c r="AB62" s="8">
        <v>0</v>
      </c>
      <c r="AC62" s="8">
        <v>21513.800000000003</v>
      </c>
      <c r="AD62" s="8">
        <v>0</v>
      </c>
      <c r="AE62" s="8">
        <v>21513.800000000003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45930</v>
      </c>
      <c r="AK62" s="3">
        <v>45926</v>
      </c>
      <c r="AL62" s="3">
        <v>45919</v>
      </c>
      <c r="AM62" s="3">
        <v>45927</v>
      </c>
      <c r="AN62" s="3">
        <v>45928</v>
      </c>
      <c r="AO62" s="3">
        <v>45929</v>
      </c>
      <c r="AP62" s="3">
        <v>45925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1625.4871111111113</v>
      </c>
    </row>
    <row r="63" spans="1:56" ht="27.75" customHeight="1" x14ac:dyDescent="0.45">
      <c r="A63" s="3">
        <v>45902</v>
      </c>
      <c r="B63" s="14" t="s">
        <v>128</v>
      </c>
      <c r="C63" s="9" t="s">
        <v>267</v>
      </c>
      <c r="D63" s="13" t="s">
        <v>438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45930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80</v>
      </c>
      <c r="AA63" s="8">
        <v>10756.900000000001</v>
      </c>
      <c r="AB63" s="8">
        <v>0</v>
      </c>
      <c r="AC63" s="8">
        <v>10756.900000000001</v>
      </c>
      <c r="AD63" s="8">
        <v>0</v>
      </c>
      <c r="AE63" s="8">
        <v>10756.900000000001</v>
      </c>
      <c r="AF63" s="8">
        <v>0</v>
      </c>
      <c r="AG63" s="1" t="s">
        <v>116</v>
      </c>
      <c r="AH63" s="1" t="s">
        <v>75</v>
      </c>
      <c r="AI63" s="1">
        <v>4</v>
      </c>
      <c r="AJ63" s="3">
        <v>45930</v>
      </c>
      <c r="AK63" s="3">
        <v>45926</v>
      </c>
      <c r="AL63" s="3">
        <v>45919</v>
      </c>
      <c r="AM63" s="3">
        <v>45927</v>
      </c>
      <c r="AN63" s="3">
        <v>45928</v>
      </c>
      <c r="AO63" s="3">
        <v>45929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812.74355555555564</v>
      </c>
    </row>
    <row r="64" spans="1:56" ht="27.75" customHeight="1" x14ac:dyDescent="0.45">
      <c r="A64" s="3">
        <v>45902</v>
      </c>
      <c r="B64" s="14" t="s">
        <v>128</v>
      </c>
      <c r="C64" s="9" t="s">
        <v>267</v>
      </c>
      <c r="D64" s="13" t="s">
        <v>439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45930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80</v>
      </c>
      <c r="AA64" s="8">
        <v>10756.900000000001</v>
      </c>
      <c r="AB64" s="8">
        <v>0</v>
      </c>
      <c r="AC64" s="8">
        <v>10756.900000000001</v>
      </c>
      <c r="AD64" s="8">
        <v>0</v>
      </c>
      <c r="AE64" s="8">
        <v>10756.900000000001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45930</v>
      </c>
      <c r="AK64" s="3">
        <v>45926</v>
      </c>
      <c r="AL64" s="3">
        <v>45919</v>
      </c>
      <c r="AM64" s="3">
        <v>45927</v>
      </c>
      <c r="AN64" s="3">
        <v>45928</v>
      </c>
      <c r="AO64" s="3">
        <v>45929</v>
      </c>
      <c r="AP64" s="3">
        <v>45925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812.74355555555564</v>
      </c>
    </row>
    <row r="65" spans="1:56" ht="27.75" customHeight="1" x14ac:dyDescent="0.45">
      <c r="A65" s="3">
        <v>45902</v>
      </c>
      <c r="B65" s="14" t="s">
        <v>128</v>
      </c>
      <c r="C65" s="9" t="s">
        <v>267</v>
      </c>
      <c r="D65" s="13" t="s">
        <v>440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45930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80</v>
      </c>
      <c r="AA65" s="8">
        <v>10756.900000000001</v>
      </c>
      <c r="AB65" s="8">
        <v>0</v>
      </c>
      <c r="AC65" s="8">
        <v>10756.900000000001</v>
      </c>
      <c r="AD65" s="8">
        <v>0</v>
      </c>
      <c r="AE65" s="8">
        <v>10756.900000000001</v>
      </c>
      <c r="AF65" s="8">
        <v>0</v>
      </c>
      <c r="AG65" s="1" t="s">
        <v>116</v>
      </c>
      <c r="AH65" s="1" t="s">
        <v>75</v>
      </c>
      <c r="AI65" s="1">
        <v>4</v>
      </c>
      <c r="AJ65" s="3">
        <v>45930</v>
      </c>
      <c r="AK65" s="3">
        <v>45926</v>
      </c>
      <c r="AL65" s="3">
        <v>45919</v>
      </c>
      <c r="AM65" s="3">
        <v>45927</v>
      </c>
      <c r="AN65" s="3">
        <v>45928</v>
      </c>
      <c r="AO65" s="3">
        <v>45929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812.74355555555564</v>
      </c>
    </row>
    <row r="66" spans="1:56" ht="27.75" customHeight="1" x14ac:dyDescent="0.45">
      <c r="A66" s="3">
        <v>45902</v>
      </c>
      <c r="B66" s="14" t="s">
        <v>128</v>
      </c>
      <c r="C66" s="9" t="s">
        <v>267</v>
      </c>
      <c r="D66" s="13" t="s">
        <v>441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45930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80</v>
      </c>
      <c r="AA66" s="8">
        <v>5378.4500000000007</v>
      </c>
      <c r="AB66" s="8">
        <v>0</v>
      </c>
      <c r="AC66" s="8">
        <v>5378.4500000000007</v>
      </c>
      <c r="AD66" s="8">
        <v>0</v>
      </c>
      <c r="AE66" s="8">
        <v>5378.4500000000007</v>
      </c>
      <c r="AF66" s="8">
        <v>0</v>
      </c>
      <c r="AG66" s="1" t="s">
        <v>61</v>
      </c>
      <c r="AH66" s="1" t="s">
        <v>75</v>
      </c>
      <c r="AI66" s="1">
        <v>4</v>
      </c>
      <c r="AJ66" s="3">
        <v>45930</v>
      </c>
      <c r="AK66" s="3">
        <v>45926</v>
      </c>
      <c r="AL66" s="3">
        <v>45919</v>
      </c>
      <c r="AM66" s="3">
        <v>45927</v>
      </c>
      <c r="AN66" s="3">
        <v>45928</v>
      </c>
      <c r="AO66" s="3">
        <v>45929</v>
      </c>
      <c r="AP66" s="3">
        <v>45925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406.37177777777782</v>
      </c>
    </row>
    <row r="67" spans="1:56" ht="27.75" customHeight="1" x14ac:dyDescent="0.45">
      <c r="A67" s="3">
        <v>45902</v>
      </c>
      <c r="B67" s="14" t="s">
        <v>128</v>
      </c>
      <c r="C67" s="9" t="s">
        <v>267</v>
      </c>
      <c r="D67" s="13" t="s">
        <v>442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45930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80</v>
      </c>
      <c r="AA67" s="8">
        <v>5378.4500000000007</v>
      </c>
      <c r="AB67" s="8">
        <v>0</v>
      </c>
      <c r="AC67" s="8">
        <v>5378.4500000000007</v>
      </c>
      <c r="AD67" s="8">
        <v>0</v>
      </c>
      <c r="AE67" s="8">
        <v>5378.4500000000007</v>
      </c>
      <c r="AF67" s="8">
        <v>0</v>
      </c>
      <c r="AG67" s="1" t="s">
        <v>61</v>
      </c>
      <c r="AH67" s="1" t="s">
        <v>75</v>
      </c>
      <c r="AI67" s="1">
        <v>4</v>
      </c>
      <c r="AJ67" s="3">
        <v>45930</v>
      </c>
      <c r="AK67" s="3">
        <v>45926</v>
      </c>
      <c r="AL67" s="3">
        <v>45919</v>
      </c>
      <c r="AM67" s="3">
        <v>45927</v>
      </c>
      <c r="AN67" s="3">
        <v>45928</v>
      </c>
      <c r="AO67" s="3">
        <v>45929</v>
      </c>
      <c r="AP67" s="3">
        <v>45925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406.37177777777782</v>
      </c>
    </row>
    <row r="68" spans="1:56" ht="27.75" customHeight="1" x14ac:dyDescent="0.45">
      <c r="A68" s="3">
        <v>45873</v>
      </c>
      <c r="B68" s="14" t="s">
        <v>308</v>
      </c>
      <c r="C68" s="9" t="s">
        <v>107</v>
      </c>
      <c r="D68" s="13" t="s">
        <v>309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45922</v>
      </c>
      <c r="U68" s="11">
        <v>4000</v>
      </c>
      <c r="V68" s="10">
        <v>0</v>
      </c>
      <c r="W68" s="10">
        <v>4000</v>
      </c>
      <c r="X68" s="10">
        <v>0</v>
      </c>
      <c r="Y68" s="10">
        <v>4200</v>
      </c>
      <c r="Z68" s="9" t="s">
        <v>80</v>
      </c>
      <c r="AA68" s="8">
        <v>4414.5199999999995</v>
      </c>
      <c r="AB68" s="8">
        <v>4414.5199999999995</v>
      </c>
      <c r="AC68" s="8">
        <v>0</v>
      </c>
      <c r="AD68" s="8">
        <v>0</v>
      </c>
      <c r="AE68" s="8">
        <v>4414.5199999999995</v>
      </c>
      <c r="AF68" s="8" t="s">
        <v>307</v>
      </c>
      <c r="AG68" s="1" t="s">
        <v>61</v>
      </c>
      <c r="AH68" s="1" t="s">
        <v>75</v>
      </c>
      <c r="AI68" s="1">
        <v>4</v>
      </c>
      <c r="AJ68" s="3">
        <v>45922</v>
      </c>
      <c r="AK68" s="3">
        <v>45918</v>
      </c>
      <c r="AL68" s="3">
        <v>45911</v>
      </c>
      <c r="AM68" s="3">
        <v>45919</v>
      </c>
      <c r="AN68" s="3">
        <v>45920</v>
      </c>
      <c r="AO68" s="3">
        <v>45921</v>
      </c>
      <c r="AP68" s="3">
        <v>45917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 t="s">
        <v>135</v>
      </c>
      <c r="B69" s="14" t="s">
        <v>135</v>
      </c>
      <c r="C69" s="9" t="s">
        <v>139</v>
      </c>
      <c r="D69" s="13" t="s">
        <v>61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45925</v>
      </c>
      <c r="U69" s="11">
        <v>100000</v>
      </c>
      <c r="V69" s="10">
        <v>0</v>
      </c>
      <c r="W69" s="10">
        <v>100000</v>
      </c>
      <c r="X69" s="10">
        <v>0</v>
      </c>
      <c r="Y69" s="10">
        <v>105000</v>
      </c>
      <c r="Z69" s="9" t="s">
        <v>80</v>
      </c>
      <c r="AA69" s="8">
        <v>104775.00000000001</v>
      </c>
      <c r="AB69" s="8">
        <v>0</v>
      </c>
      <c r="AC69" s="8">
        <v>104775.00000000001</v>
      </c>
      <c r="AD69" s="8">
        <v>0</v>
      </c>
      <c r="AE69" s="8">
        <v>104775.00000000001</v>
      </c>
      <c r="AF69" s="8">
        <v>0</v>
      </c>
      <c r="AG69" s="1" t="s">
        <v>116</v>
      </c>
      <c r="AH69" s="1" t="s">
        <v>75</v>
      </c>
      <c r="AI69" s="1">
        <v>4</v>
      </c>
      <c r="AJ69" s="3">
        <v>45925</v>
      </c>
      <c r="AK69" s="3">
        <v>45921</v>
      </c>
      <c r="AL69" s="3">
        <v>45914</v>
      </c>
      <c r="AM69" s="3">
        <v>45922</v>
      </c>
      <c r="AN69" s="3">
        <v>45923</v>
      </c>
      <c r="AO69" s="3">
        <v>45924</v>
      </c>
      <c r="AP69" s="3">
        <v>45920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7916.333333333333</v>
      </c>
    </row>
    <row r="70" spans="1:56" ht="27.75" customHeight="1" x14ac:dyDescent="0.45">
      <c r="A70" s="3" t="s">
        <v>135</v>
      </c>
      <c r="B70" s="14" t="s">
        <v>135</v>
      </c>
      <c r="C70" s="9" t="s">
        <v>79</v>
      </c>
      <c r="D70" s="13" t="s">
        <v>61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45925</v>
      </c>
      <c r="U70" s="11">
        <v>20000</v>
      </c>
      <c r="V70" s="10">
        <v>0</v>
      </c>
      <c r="W70" s="10">
        <v>20000</v>
      </c>
      <c r="X70" s="10">
        <v>0</v>
      </c>
      <c r="Y70" s="10">
        <v>21000</v>
      </c>
      <c r="Z70" s="9" t="s">
        <v>80</v>
      </c>
      <c r="AA70" s="8">
        <v>22072.6</v>
      </c>
      <c r="AB70" s="8">
        <v>0</v>
      </c>
      <c r="AC70" s="8">
        <v>22072.6</v>
      </c>
      <c r="AD70" s="8">
        <v>0</v>
      </c>
      <c r="AE70" s="8">
        <v>22072.6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45925</v>
      </c>
      <c r="AK70" s="3">
        <v>45921</v>
      </c>
      <c r="AL70" s="3">
        <v>45914</v>
      </c>
      <c r="AM70" s="3">
        <v>45922</v>
      </c>
      <c r="AN70" s="3">
        <v>45923</v>
      </c>
      <c r="AO70" s="3">
        <v>45924</v>
      </c>
      <c r="AP70" s="3">
        <v>45920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1667.7075555555555</v>
      </c>
    </row>
    <row r="71" spans="1:56" ht="27.75" customHeight="1" x14ac:dyDescent="0.45">
      <c r="A71" s="3" t="s">
        <v>135</v>
      </c>
      <c r="B71" s="14" t="s">
        <v>135</v>
      </c>
      <c r="C71" s="9" t="s">
        <v>97</v>
      </c>
      <c r="D71" s="13" t="s">
        <v>61</v>
      </c>
      <c r="E71" s="9">
        <v>20</v>
      </c>
      <c r="F71" s="9">
        <v>37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71</v>
      </c>
      <c r="T71" s="12">
        <v>45925</v>
      </c>
      <c r="U71" s="11">
        <v>20000</v>
      </c>
      <c r="V71" s="10">
        <v>0</v>
      </c>
      <c r="W71" s="10">
        <v>20000</v>
      </c>
      <c r="X71" s="10">
        <v>0</v>
      </c>
      <c r="Y71" s="10">
        <v>21000</v>
      </c>
      <c r="Z71" s="9" t="s">
        <v>80</v>
      </c>
      <c r="AA71" s="8">
        <v>21513.800000000003</v>
      </c>
      <c r="AB71" s="8">
        <v>0</v>
      </c>
      <c r="AC71" s="8">
        <v>21513.800000000003</v>
      </c>
      <c r="AD71" s="8">
        <v>0</v>
      </c>
      <c r="AE71" s="8">
        <v>21513.800000000003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45925</v>
      </c>
      <c r="AK71" s="3">
        <v>45921</v>
      </c>
      <c r="AL71" s="3">
        <v>45914</v>
      </c>
      <c r="AM71" s="3">
        <v>45922</v>
      </c>
      <c r="AN71" s="3">
        <v>45923</v>
      </c>
      <c r="AO71" s="3">
        <v>45924</v>
      </c>
      <c r="AP71" s="3">
        <v>45920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1625.4871111111113</v>
      </c>
    </row>
    <row r="72" spans="1:56" ht="27.75" customHeight="1" x14ac:dyDescent="0.45">
      <c r="A72" s="3">
        <v>45892</v>
      </c>
      <c r="B72" s="14" t="s">
        <v>364</v>
      </c>
      <c r="C72" s="9" t="s">
        <v>79</v>
      </c>
      <c r="D72" s="13" t="s">
        <v>365</v>
      </c>
      <c r="E72" s="9">
        <v>20</v>
      </c>
      <c r="F72" s="9">
        <v>37</v>
      </c>
      <c r="G72" s="9" t="s">
        <v>60</v>
      </c>
      <c r="H72" s="9" t="s">
        <v>76</v>
      </c>
      <c r="I72" s="9">
        <v>97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45930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80</v>
      </c>
      <c r="AA72" s="8">
        <v>3227.07</v>
      </c>
      <c r="AB72" s="8">
        <v>3227.07</v>
      </c>
      <c r="AC72" s="8">
        <v>0</v>
      </c>
      <c r="AD72" s="8">
        <v>0</v>
      </c>
      <c r="AE72" s="8">
        <v>3227.07</v>
      </c>
      <c r="AF72" s="8">
        <v>0</v>
      </c>
      <c r="AG72" s="1" t="s">
        <v>116</v>
      </c>
      <c r="AH72" s="1" t="s">
        <v>75</v>
      </c>
      <c r="AI72" s="1">
        <v>4</v>
      </c>
      <c r="AJ72" s="3">
        <v>45930</v>
      </c>
      <c r="AK72" s="3">
        <v>45926</v>
      </c>
      <c r="AL72" s="3">
        <v>45919</v>
      </c>
      <c r="AM72" s="3">
        <v>45927</v>
      </c>
      <c r="AN72" s="3">
        <v>45928</v>
      </c>
      <c r="AO72" s="3">
        <v>45929</v>
      </c>
      <c r="AP72" s="3">
        <v>45925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45891</v>
      </c>
      <c r="B73" s="14" t="s">
        <v>396</v>
      </c>
      <c r="C73" s="9" t="s">
        <v>79</v>
      </c>
      <c r="D73" s="13" t="s">
        <v>397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45930</v>
      </c>
      <c r="U73" s="11">
        <v>9000</v>
      </c>
      <c r="V73" s="10">
        <v>0</v>
      </c>
      <c r="W73" s="10">
        <v>9000</v>
      </c>
      <c r="X73" s="10">
        <v>0</v>
      </c>
      <c r="Y73" s="10">
        <v>9450</v>
      </c>
      <c r="Z73" s="9" t="s">
        <v>80</v>
      </c>
      <c r="AA73" s="8">
        <v>9932.67</v>
      </c>
      <c r="AB73" s="8">
        <v>9932.67</v>
      </c>
      <c r="AC73" s="8">
        <v>0</v>
      </c>
      <c r="AD73" s="8">
        <v>0</v>
      </c>
      <c r="AE73" s="8">
        <v>9932.67</v>
      </c>
      <c r="AF73" s="8">
        <v>0</v>
      </c>
      <c r="AG73" s="1" t="s">
        <v>115</v>
      </c>
      <c r="AH73" s="1" t="s">
        <v>75</v>
      </c>
      <c r="AI73" s="1">
        <v>5</v>
      </c>
      <c r="AJ73" s="3">
        <v>45930</v>
      </c>
      <c r="AK73" s="3">
        <v>45925</v>
      </c>
      <c r="AL73" s="3">
        <v>45918</v>
      </c>
      <c r="AM73" s="3">
        <v>45926</v>
      </c>
      <c r="AN73" s="3">
        <v>45927</v>
      </c>
      <c r="AO73" s="3">
        <v>45928</v>
      </c>
      <c r="AP73" s="3">
        <v>45925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45">
      <c r="A74" s="3">
        <v>45891</v>
      </c>
      <c r="B74" s="14" t="s">
        <v>398</v>
      </c>
      <c r="C74" s="9" t="s">
        <v>79</v>
      </c>
      <c r="D74" s="13" t="s">
        <v>399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45930</v>
      </c>
      <c r="U74" s="11">
        <v>4000</v>
      </c>
      <c r="V74" s="10">
        <v>0</v>
      </c>
      <c r="W74" s="10">
        <v>4000</v>
      </c>
      <c r="X74" s="10">
        <v>0</v>
      </c>
      <c r="Y74" s="10">
        <v>4200</v>
      </c>
      <c r="Z74" s="9" t="s">
        <v>80</v>
      </c>
      <c r="AA74" s="8">
        <v>4414.5199999999995</v>
      </c>
      <c r="AB74" s="8">
        <v>4414.5199999999995</v>
      </c>
      <c r="AC74" s="8">
        <v>0</v>
      </c>
      <c r="AD74" s="8">
        <v>0</v>
      </c>
      <c r="AE74" s="8">
        <v>4414.5199999999995</v>
      </c>
      <c r="AF74" s="8">
        <v>0</v>
      </c>
      <c r="AG74" s="1" t="s">
        <v>116</v>
      </c>
      <c r="AH74" s="1" t="s">
        <v>75</v>
      </c>
      <c r="AI74" s="1">
        <v>5</v>
      </c>
      <c r="AJ74" s="3">
        <v>45930</v>
      </c>
      <c r="AK74" s="3">
        <v>45925</v>
      </c>
      <c r="AL74" s="3">
        <v>45918</v>
      </c>
      <c r="AM74" s="3">
        <v>45926</v>
      </c>
      <c r="AN74" s="3">
        <v>45927</v>
      </c>
      <c r="AO74" s="3">
        <v>45928</v>
      </c>
      <c r="AP74" s="3">
        <v>45925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>
        <v>45891</v>
      </c>
      <c r="B75" s="14" t="s">
        <v>400</v>
      </c>
      <c r="C75" s="9" t="s">
        <v>79</v>
      </c>
      <c r="D75" s="13" t="s">
        <v>401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45930</v>
      </c>
      <c r="U75" s="11">
        <v>9000</v>
      </c>
      <c r="V75" s="10">
        <v>0</v>
      </c>
      <c r="W75" s="10">
        <v>9000</v>
      </c>
      <c r="X75" s="10">
        <v>0</v>
      </c>
      <c r="Y75" s="10">
        <v>9450</v>
      </c>
      <c r="Z75" s="9" t="s">
        <v>80</v>
      </c>
      <c r="AA75" s="8">
        <v>9932.67</v>
      </c>
      <c r="AB75" s="8">
        <v>5333</v>
      </c>
      <c r="AC75" s="8">
        <v>4599.67</v>
      </c>
      <c r="AD75" s="8">
        <v>0</v>
      </c>
      <c r="AE75" s="8">
        <v>9932.67</v>
      </c>
      <c r="AF75" s="8">
        <v>0</v>
      </c>
      <c r="AG75" s="1" t="s">
        <v>116</v>
      </c>
      <c r="AH75" s="1" t="s">
        <v>75</v>
      </c>
      <c r="AI75" s="1">
        <v>5</v>
      </c>
      <c r="AJ75" s="3">
        <v>45930</v>
      </c>
      <c r="AK75" s="3">
        <v>45925</v>
      </c>
      <c r="AL75" s="3">
        <v>45918</v>
      </c>
      <c r="AM75" s="3">
        <v>45926</v>
      </c>
      <c r="AN75" s="3">
        <v>45927</v>
      </c>
      <c r="AO75" s="3">
        <v>45928</v>
      </c>
      <c r="AP75" s="3">
        <v>45925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347.53062222222229</v>
      </c>
    </row>
    <row r="76" spans="1:56" ht="27.75" customHeight="1" x14ac:dyDescent="0.45">
      <c r="A76" s="3">
        <v>45887</v>
      </c>
      <c r="B76" s="14" t="s">
        <v>346</v>
      </c>
      <c r="C76" s="9" t="s">
        <v>139</v>
      </c>
      <c r="D76" s="13" t="s">
        <v>224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 t="s">
        <v>63</v>
      </c>
      <c r="U76" s="11">
        <v>104</v>
      </c>
      <c r="V76" s="10">
        <v>0</v>
      </c>
      <c r="W76" s="10">
        <v>104</v>
      </c>
      <c r="X76" s="10">
        <v>11230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116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134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45896</v>
      </c>
      <c r="B77" s="14" t="s">
        <v>402</v>
      </c>
      <c r="C77" s="9" t="s">
        <v>79</v>
      </c>
      <c r="D77" s="13" t="s">
        <v>311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80</v>
      </c>
      <c r="AA77" s="8">
        <v>3310.89</v>
      </c>
      <c r="AB77" s="8">
        <v>0</v>
      </c>
      <c r="AC77" s="8">
        <v>3310.89</v>
      </c>
      <c r="AD77" s="8">
        <v>0</v>
      </c>
      <c r="AE77" s="8">
        <v>3310.89</v>
      </c>
      <c r="AF77" s="8">
        <v>0</v>
      </c>
      <c r="AG77" s="1" t="s">
        <v>115</v>
      </c>
      <c r="AH77" s="1" t="s">
        <v>75</v>
      </c>
      <c r="AI77" s="1">
        <v>5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250.15613333333337</v>
      </c>
    </row>
    <row r="78" spans="1:56" ht="27.75" customHeight="1" x14ac:dyDescent="0.45">
      <c r="A78" s="3">
        <v>45896</v>
      </c>
      <c r="B78" s="14" t="s">
        <v>403</v>
      </c>
      <c r="C78" s="9" t="s">
        <v>79</v>
      </c>
      <c r="D78" s="13" t="s">
        <v>404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8000</v>
      </c>
      <c r="V78" s="10">
        <v>0</v>
      </c>
      <c r="W78" s="10">
        <v>8000</v>
      </c>
      <c r="X78" s="10">
        <v>0</v>
      </c>
      <c r="Y78" s="10">
        <v>8400</v>
      </c>
      <c r="Z78" s="9" t="s">
        <v>80</v>
      </c>
      <c r="AA78" s="8">
        <v>8829.0399999999991</v>
      </c>
      <c r="AB78" s="8">
        <v>0</v>
      </c>
      <c r="AC78" s="8">
        <v>8829.0399999999991</v>
      </c>
      <c r="AD78" s="8">
        <v>0</v>
      </c>
      <c r="AE78" s="8">
        <v>8829.0399999999991</v>
      </c>
      <c r="AF78" s="8">
        <v>0</v>
      </c>
      <c r="AG78" s="1" t="s">
        <v>115</v>
      </c>
      <c r="AH78" s="1" t="s">
        <v>75</v>
      </c>
      <c r="AI78" s="1">
        <v>5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667.08302222222221</v>
      </c>
    </row>
    <row r="79" spans="1:56" ht="27.75" customHeight="1" x14ac:dyDescent="0.45">
      <c r="A79" s="3">
        <v>45892</v>
      </c>
      <c r="B79" s="14" t="s">
        <v>366</v>
      </c>
      <c r="C79" s="9" t="s">
        <v>79</v>
      </c>
      <c r="D79" s="13" t="s">
        <v>220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63</v>
      </c>
      <c r="U79" s="11">
        <v>6000</v>
      </c>
      <c r="V79" s="10">
        <v>0</v>
      </c>
      <c r="W79" s="10">
        <v>6000</v>
      </c>
      <c r="X79" s="10">
        <v>0</v>
      </c>
      <c r="Y79" s="10">
        <v>6300</v>
      </c>
      <c r="Z79" s="9" t="s">
        <v>80</v>
      </c>
      <c r="AA79" s="8">
        <v>6621.78</v>
      </c>
      <c r="AB79" s="8">
        <v>0</v>
      </c>
      <c r="AC79" s="8">
        <v>6621.78</v>
      </c>
      <c r="AD79" s="8">
        <v>0</v>
      </c>
      <c r="AE79" s="8">
        <v>6621.78</v>
      </c>
      <c r="AF79" s="8">
        <v>0</v>
      </c>
      <c r="AG79" s="1" t="s">
        <v>116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500.31226666666674</v>
      </c>
    </row>
    <row r="80" spans="1:56" ht="27.75" customHeight="1" x14ac:dyDescent="0.45">
      <c r="A80" s="3">
        <v>45796</v>
      </c>
      <c r="B80" s="14" t="s">
        <v>258</v>
      </c>
      <c r="C80" s="9" t="s">
        <v>139</v>
      </c>
      <c r="D80" s="13" t="s">
        <v>145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 t="s">
        <v>63</v>
      </c>
      <c r="U80" s="11">
        <v>240</v>
      </c>
      <c r="V80" s="10">
        <v>0</v>
      </c>
      <c r="W80" s="10">
        <v>240</v>
      </c>
      <c r="X80" s="10">
        <v>0</v>
      </c>
      <c r="Y80" s="10">
        <v>252</v>
      </c>
      <c r="Z80" s="9" t="s">
        <v>80</v>
      </c>
      <c r="AA80" s="8">
        <v>251.46</v>
      </c>
      <c r="AB80" s="8">
        <v>0</v>
      </c>
      <c r="AC80" s="8">
        <v>251.46</v>
      </c>
      <c r="AD80" s="8">
        <v>0</v>
      </c>
      <c r="AE80" s="8">
        <v>251.46</v>
      </c>
      <c r="AF80" s="8">
        <v>0</v>
      </c>
      <c r="AG80" s="1" t="s">
        <v>61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254</v>
      </c>
      <c r="AZ80" s="2">
        <v>0</v>
      </c>
      <c r="BA80" s="2">
        <v>0</v>
      </c>
      <c r="BB80" s="2">
        <v>0</v>
      </c>
      <c r="BC80" s="1" t="s">
        <v>104</v>
      </c>
      <c r="BD80" s="56">
        <v>18.999199999999998</v>
      </c>
    </row>
    <row r="81" spans="1:56" ht="27.75" customHeight="1" x14ac:dyDescent="0.45">
      <c r="A81" s="3">
        <v>45876</v>
      </c>
      <c r="B81" s="14" t="s">
        <v>329</v>
      </c>
      <c r="C81" s="9" t="s">
        <v>107</v>
      </c>
      <c r="D81" s="13" t="s">
        <v>315</v>
      </c>
      <c r="E81" s="9">
        <v>20</v>
      </c>
      <c r="F81" s="9">
        <v>40</v>
      </c>
      <c r="G81" s="9" t="s">
        <v>60</v>
      </c>
      <c r="H81" s="9" t="s">
        <v>66</v>
      </c>
      <c r="I81" s="9">
        <v>108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3000</v>
      </c>
      <c r="V81" s="10">
        <v>3075</v>
      </c>
      <c r="W81" s="10">
        <v>0</v>
      </c>
      <c r="X81" s="10">
        <v>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115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45877</v>
      </c>
      <c r="B82" s="14" t="s">
        <v>319</v>
      </c>
      <c r="C82" s="9" t="s">
        <v>79</v>
      </c>
      <c r="D82" s="13" t="s">
        <v>320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7000</v>
      </c>
      <c r="V82" s="10">
        <v>0</v>
      </c>
      <c r="W82" s="10">
        <v>7000</v>
      </c>
      <c r="X82" s="10">
        <v>0</v>
      </c>
      <c r="Y82" s="10">
        <v>7350</v>
      </c>
      <c r="Z82" s="9" t="s">
        <v>80</v>
      </c>
      <c r="AA82" s="8">
        <v>7725.41</v>
      </c>
      <c r="AB82" s="8">
        <v>0</v>
      </c>
      <c r="AC82" s="8">
        <v>7725.41</v>
      </c>
      <c r="AD82" s="8">
        <v>0</v>
      </c>
      <c r="AE82" s="8">
        <v>7725.41</v>
      </c>
      <c r="AF82" s="8">
        <v>0</v>
      </c>
      <c r="AG82" s="1" t="s">
        <v>115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583.69764444444445</v>
      </c>
    </row>
    <row r="83" spans="1:56" ht="27.75" customHeight="1" x14ac:dyDescent="0.45">
      <c r="A83" s="3" t="s">
        <v>135</v>
      </c>
      <c r="B83" s="14" t="s">
        <v>135</v>
      </c>
      <c r="C83" s="9" t="s">
        <v>270</v>
      </c>
      <c r="D83" s="13" t="s">
        <v>61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110</v>
      </c>
      <c r="T83" s="12" t="s">
        <v>63</v>
      </c>
      <c r="U83" s="11">
        <v>100000</v>
      </c>
      <c r="V83" s="10">
        <v>0</v>
      </c>
      <c r="W83" s="10">
        <v>100000</v>
      </c>
      <c r="X83" s="10">
        <v>0</v>
      </c>
      <c r="Y83" s="10">
        <v>105000</v>
      </c>
      <c r="Z83" s="9" t="s">
        <v>80</v>
      </c>
      <c r="AA83" s="8">
        <v>110363</v>
      </c>
      <c r="AB83" s="8">
        <v>0</v>
      </c>
      <c r="AC83" s="8">
        <v>110363</v>
      </c>
      <c r="AD83" s="8">
        <v>0</v>
      </c>
      <c r="AE83" s="8">
        <v>110363</v>
      </c>
      <c r="AF83" s="8">
        <v>0</v>
      </c>
      <c r="AG83" s="1" t="s">
        <v>115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8338.5377777777776</v>
      </c>
    </row>
    <row r="84" spans="1:56" ht="27.75" customHeight="1" x14ac:dyDescent="0.45">
      <c r="A84" s="3">
        <v>45825</v>
      </c>
      <c r="B84" s="14" t="s">
        <v>269</v>
      </c>
      <c r="C84" s="9" t="s">
        <v>139</v>
      </c>
      <c r="D84" s="13" t="s">
        <v>239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246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894</v>
      </c>
      <c r="V84" s="10">
        <v>525</v>
      </c>
      <c r="W84" s="10">
        <v>369</v>
      </c>
      <c r="X84" s="10">
        <v>6000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116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134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45796</v>
      </c>
      <c r="B85" s="14" t="s">
        <v>256</v>
      </c>
      <c r="C85" s="9" t="s">
        <v>139</v>
      </c>
      <c r="D85" s="13" t="s">
        <v>251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366</v>
      </c>
      <c r="V85" s="10">
        <v>0</v>
      </c>
      <c r="W85" s="10">
        <v>366</v>
      </c>
      <c r="X85" s="10">
        <v>5113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116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45796</v>
      </c>
      <c r="B86" s="14" t="s">
        <v>257</v>
      </c>
      <c r="C86" s="9" t="s">
        <v>139</v>
      </c>
      <c r="D86" s="13" t="s">
        <v>253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 t="s">
        <v>63</v>
      </c>
      <c r="U86" s="11">
        <v>302</v>
      </c>
      <c r="V86" s="10">
        <v>0</v>
      </c>
      <c r="W86" s="10">
        <v>302</v>
      </c>
      <c r="X86" s="10">
        <v>5300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45782</v>
      </c>
      <c r="B87" s="14" t="s">
        <v>249</v>
      </c>
      <c r="C87" s="9" t="s">
        <v>79</v>
      </c>
      <c r="D87" s="13" t="s">
        <v>243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0</v>
      </c>
      <c r="AC87" s="8">
        <v>5518.15</v>
      </c>
      <c r="AD87" s="8">
        <v>0</v>
      </c>
      <c r="AE87" s="8">
        <v>5518.15</v>
      </c>
      <c r="AF87" s="8">
        <v>0</v>
      </c>
      <c r="AG87" s="1" t="s">
        <v>115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134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416.92688888888887</v>
      </c>
    </row>
    <row r="88" spans="1:56" ht="27.75" customHeight="1" x14ac:dyDescent="0.45">
      <c r="A88" s="3">
        <v>45798</v>
      </c>
      <c r="B88" s="14" t="s">
        <v>263</v>
      </c>
      <c r="C88" s="9" t="s">
        <v>107</v>
      </c>
      <c r="D88" s="13" t="s">
        <v>261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117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134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416.92688888888887</v>
      </c>
    </row>
    <row r="89" spans="1:56" ht="27.75" customHeight="1" x14ac:dyDescent="0.45">
      <c r="A89" s="3">
        <v>45674</v>
      </c>
      <c r="B89" s="14" t="s">
        <v>226</v>
      </c>
      <c r="C89" s="9" t="s">
        <v>139</v>
      </c>
      <c r="D89" s="13" t="s">
        <v>225</v>
      </c>
      <c r="E89" s="9">
        <v>20</v>
      </c>
      <c r="F89" s="9">
        <v>35</v>
      </c>
      <c r="G89" s="9" t="s">
        <v>60</v>
      </c>
      <c r="H89" s="9" t="s">
        <v>76</v>
      </c>
      <c r="I89" s="9">
        <v>97</v>
      </c>
      <c r="J89" s="9" t="s">
        <v>57</v>
      </c>
      <c r="K89" s="9">
        <v>5</v>
      </c>
      <c r="L89" s="9" t="s">
        <v>196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 t="s">
        <v>63</v>
      </c>
      <c r="U89" s="11">
        <v>152</v>
      </c>
      <c r="V89" s="10">
        <v>0</v>
      </c>
      <c r="W89" s="10">
        <v>152</v>
      </c>
      <c r="X89" s="10">
        <v>6000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5987</v>
      </c>
      <c r="AG89" s="1" t="s">
        <v>115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235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45611</v>
      </c>
      <c r="B90" s="14" t="s">
        <v>195</v>
      </c>
      <c r="C90" s="9" t="s">
        <v>139</v>
      </c>
      <c r="D90" s="13" t="s">
        <v>194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 t="s">
        <v>63</v>
      </c>
      <c r="U90" s="11">
        <v>117</v>
      </c>
      <c r="V90" s="10">
        <v>0</v>
      </c>
      <c r="W90" s="10">
        <v>117</v>
      </c>
      <c r="X90" s="10">
        <v>10065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117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45523</v>
      </c>
      <c r="B91" s="14" t="s">
        <v>178</v>
      </c>
      <c r="C91" s="9" t="s">
        <v>139</v>
      </c>
      <c r="D91" s="13" t="s">
        <v>176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 t="s">
        <v>63</v>
      </c>
      <c r="U91" s="11">
        <v>1260</v>
      </c>
      <c r="V91" s="10">
        <v>0</v>
      </c>
      <c r="W91" s="10">
        <v>1260</v>
      </c>
      <c r="X91" s="10">
        <v>11095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117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45523</v>
      </c>
      <c r="B92" s="14" t="s">
        <v>178</v>
      </c>
      <c r="C92" s="9" t="s">
        <v>139</v>
      </c>
      <c r="D92" s="13" t="s">
        <v>177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 t="s">
        <v>63</v>
      </c>
      <c r="U92" s="11">
        <v>89</v>
      </c>
      <c r="V92" s="10">
        <v>0</v>
      </c>
      <c r="W92" s="10">
        <v>89</v>
      </c>
      <c r="X92" s="10">
        <v>11180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115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45799</v>
      </c>
      <c r="B93" s="14" t="s">
        <v>264</v>
      </c>
      <c r="C93" s="9" t="s">
        <v>259</v>
      </c>
      <c r="D93" s="13" t="s">
        <v>260</v>
      </c>
      <c r="E93" s="9">
        <v>20</v>
      </c>
      <c r="F93" s="9">
        <v>34</v>
      </c>
      <c r="G93" s="9" t="s">
        <v>60</v>
      </c>
      <c r="H93" s="9" t="s">
        <v>66</v>
      </c>
      <c r="I93" s="9">
        <v>95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 t="s">
        <v>132</v>
      </c>
      <c r="U93" s="11">
        <v>4000</v>
      </c>
      <c r="V93" s="10">
        <v>2840</v>
      </c>
      <c r="W93" s="10">
        <v>1160</v>
      </c>
      <c r="X93" s="10">
        <v>8450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210</v>
      </c>
      <c r="AG93" s="1" t="s">
        <v>115</v>
      </c>
      <c r="AH93" s="1" t="s">
        <v>75</v>
      </c>
      <c r="AI93" s="1">
        <v>4</v>
      </c>
      <c r="AJ93" s="3" t="s">
        <v>132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45799</v>
      </c>
      <c r="B94" s="14" t="s">
        <v>264</v>
      </c>
      <c r="C94" s="9" t="s">
        <v>259</v>
      </c>
      <c r="D94" s="13" t="s">
        <v>359</v>
      </c>
      <c r="E94" s="9">
        <v>20</v>
      </c>
      <c r="F94" s="9">
        <v>34</v>
      </c>
      <c r="G94" s="9" t="s">
        <v>60</v>
      </c>
      <c r="H94" s="9" t="s">
        <v>66</v>
      </c>
      <c r="I94" s="9">
        <v>95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 t="s">
        <v>132</v>
      </c>
      <c r="U94" s="11">
        <v>4000</v>
      </c>
      <c r="V94" s="10">
        <v>2654</v>
      </c>
      <c r="W94" s="10">
        <v>1346</v>
      </c>
      <c r="X94" s="10">
        <v>4000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210</v>
      </c>
      <c r="AG94" s="1" t="s">
        <v>115</v>
      </c>
      <c r="AH94" s="1" t="s">
        <v>75</v>
      </c>
      <c r="AI94" s="1">
        <v>4</v>
      </c>
      <c r="AJ94" s="3" t="s">
        <v>132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45741</v>
      </c>
      <c r="B95" s="14" t="s">
        <v>242</v>
      </c>
      <c r="C95" s="9" t="s">
        <v>107</v>
      </c>
      <c r="D95" s="13" t="s">
        <v>241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132</v>
      </c>
      <c r="U95" s="11">
        <v>4000</v>
      </c>
      <c r="V95" s="10">
        <v>3867</v>
      </c>
      <c r="W95" s="10">
        <v>133</v>
      </c>
      <c r="X95" s="10">
        <v>4200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115</v>
      </c>
      <c r="AH95" s="1" t="s">
        <v>75</v>
      </c>
      <c r="AI95" s="1">
        <v>4</v>
      </c>
      <c r="AJ95" s="3" t="s">
        <v>132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244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45720</v>
      </c>
      <c r="B96" s="14" t="s">
        <v>128</v>
      </c>
      <c r="C96" s="9" t="s">
        <v>107</v>
      </c>
      <c r="D96" s="13" t="s">
        <v>209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132</v>
      </c>
      <c r="U96" s="11">
        <v>4000</v>
      </c>
      <c r="V96" s="10">
        <v>4010</v>
      </c>
      <c r="W96" s="10">
        <v>0</v>
      </c>
      <c r="X96" s="10">
        <v>4470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115</v>
      </c>
      <c r="AH96" s="1" t="s">
        <v>75</v>
      </c>
      <c r="AI96" s="1">
        <v>4</v>
      </c>
      <c r="AJ96" s="3" t="s">
        <v>132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45720</v>
      </c>
      <c r="B97" s="14" t="s">
        <v>128</v>
      </c>
      <c r="C97" s="9" t="s">
        <v>107</v>
      </c>
      <c r="D97" s="13" t="s">
        <v>219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132</v>
      </c>
      <c r="U97" s="11">
        <v>3000</v>
      </c>
      <c r="V97" s="10">
        <v>3065</v>
      </c>
      <c r="W97" s="10">
        <v>0</v>
      </c>
      <c r="X97" s="10">
        <v>3300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115</v>
      </c>
      <c r="AH97" s="1" t="s">
        <v>75</v>
      </c>
      <c r="AI97" s="1">
        <v>4</v>
      </c>
      <c r="AJ97" s="3" t="s">
        <v>132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45541</v>
      </c>
      <c r="B98" s="14" t="s">
        <v>182</v>
      </c>
      <c r="C98" s="9" t="s">
        <v>107</v>
      </c>
      <c r="D98" s="13" t="s">
        <v>183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132</v>
      </c>
      <c r="U98" s="11">
        <v>3000</v>
      </c>
      <c r="V98" s="10">
        <v>3318</v>
      </c>
      <c r="W98" s="10">
        <v>0</v>
      </c>
      <c r="X98" s="10">
        <v>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184</v>
      </c>
      <c r="AG98" s="1" t="s">
        <v>61</v>
      </c>
      <c r="AH98" s="1" t="s">
        <v>75</v>
      </c>
      <c r="AI98" s="1">
        <v>4</v>
      </c>
      <c r="AJ98" s="3" t="s">
        <v>132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>
        <v>0</v>
      </c>
      <c r="AY98" s="2" t="s">
        <v>222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45581</v>
      </c>
      <c r="B99" s="14" t="s">
        <v>187</v>
      </c>
      <c r="C99" s="9" t="s">
        <v>107</v>
      </c>
      <c r="D99" s="13" t="s">
        <v>188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132</v>
      </c>
      <c r="U99" s="11">
        <v>3000</v>
      </c>
      <c r="V99" s="10">
        <v>3194</v>
      </c>
      <c r="W99" s="10">
        <v>0</v>
      </c>
      <c r="X99" s="10">
        <v>5632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115</v>
      </c>
      <c r="AH99" s="1" t="s">
        <v>75</v>
      </c>
      <c r="AI99" s="1">
        <v>4</v>
      </c>
      <c r="AJ99" s="3" t="s">
        <v>132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0</v>
      </c>
      <c r="B100" s="14">
        <v>0</v>
      </c>
      <c r="C100" s="9">
        <v>0</v>
      </c>
      <c r="D100" s="13">
        <v>0</v>
      </c>
      <c r="E100" s="9">
        <v>20</v>
      </c>
      <c r="F100" s="9">
        <v>38</v>
      </c>
      <c r="G100" s="9">
        <v>0</v>
      </c>
      <c r="H100" s="9">
        <v>0</v>
      </c>
      <c r="I100" s="9">
        <v>84</v>
      </c>
      <c r="J100" s="9" t="s">
        <v>57</v>
      </c>
      <c r="K100" s="9">
        <v>5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80</v>
      </c>
      <c r="AA100" s="8">
        <v>457503.53000000009</v>
      </c>
      <c r="AB100" s="8">
        <v>57096.579999999994</v>
      </c>
      <c r="AC100" s="8">
        <v>400406.95000000013</v>
      </c>
      <c r="AD100" s="8">
        <v>0</v>
      </c>
      <c r="AE100" s="8">
        <v>457503.53000000009</v>
      </c>
      <c r="AF100" s="8" t="s">
        <v>58</v>
      </c>
      <c r="AG100" s="1" t="s">
        <v>115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 t="s">
        <v>135</v>
      </c>
      <c r="B101" s="14" t="s">
        <v>135</v>
      </c>
      <c r="C101" s="9" t="s">
        <v>270</v>
      </c>
      <c r="D101" s="13" t="s">
        <v>61</v>
      </c>
      <c r="E101" s="9">
        <v>20</v>
      </c>
      <c r="F101" s="9">
        <v>39</v>
      </c>
      <c r="G101" s="9" t="s">
        <v>60</v>
      </c>
      <c r="H101" s="9">
        <v>0</v>
      </c>
      <c r="I101" s="9">
        <v>84</v>
      </c>
      <c r="J101" s="9" t="s">
        <v>78</v>
      </c>
      <c r="K101" s="9">
        <v>0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110</v>
      </c>
      <c r="T101" s="12" t="s">
        <v>63</v>
      </c>
      <c r="U101" s="11">
        <v>100000</v>
      </c>
      <c r="V101" s="10">
        <v>0</v>
      </c>
      <c r="W101" s="10">
        <v>100000</v>
      </c>
      <c r="X101" s="10">
        <v>0</v>
      </c>
      <c r="Y101" s="10">
        <v>105000</v>
      </c>
      <c r="Z101" s="9" t="s">
        <v>271</v>
      </c>
      <c r="AA101" s="8">
        <v>113157.00000000001</v>
      </c>
      <c r="AB101" s="8">
        <v>0</v>
      </c>
      <c r="AC101" s="8">
        <v>113157.00000000001</v>
      </c>
      <c r="AD101" s="8">
        <v>0</v>
      </c>
      <c r="AE101" s="8">
        <v>0</v>
      </c>
      <c r="AF101" s="8">
        <v>0</v>
      </c>
      <c r="AG101" s="1" t="s">
        <v>115</v>
      </c>
      <c r="AH101" s="1" t="s">
        <v>74</v>
      </c>
      <c r="AI101" s="1">
        <v>2</v>
      </c>
      <c r="AJ101" s="3" t="s">
        <v>63</v>
      </c>
      <c r="AK101" s="3">
        <v>0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272</v>
      </c>
      <c r="BD101" s="56">
        <v>8914.2570000000014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38</v>
      </c>
      <c r="G102" s="9">
        <v>0</v>
      </c>
      <c r="H102" s="9">
        <v>0</v>
      </c>
      <c r="I102" s="9">
        <v>82</v>
      </c>
      <c r="J102" s="9" t="s">
        <v>78</v>
      </c>
      <c r="K102" s="9">
        <v>2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271</v>
      </c>
      <c r="AA102" s="8">
        <v>113157.00000000001</v>
      </c>
      <c r="AB102" s="8">
        <v>0</v>
      </c>
      <c r="AC102" s="8">
        <v>113157.00000000001</v>
      </c>
      <c r="AD102" s="8">
        <v>0</v>
      </c>
      <c r="AE102" s="8">
        <v>0</v>
      </c>
      <c r="AF102" s="8" t="s">
        <v>58</v>
      </c>
      <c r="AG102" s="1" t="s">
        <v>116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273</v>
      </c>
      <c r="BD102" s="56">
        <v>0</v>
      </c>
    </row>
    <row r="103" spans="1:56" ht="27.75" customHeight="1" x14ac:dyDescent="0.45">
      <c r="A103" s="3">
        <v>45887</v>
      </c>
      <c r="B103" s="14" t="s">
        <v>349</v>
      </c>
      <c r="C103" s="9" t="s">
        <v>139</v>
      </c>
      <c r="D103" s="13" t="s">
        <v>268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196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45904</v>
      </c>
      <c r="U103" s="11">
        <v>6080</v>
      </c>
      <c r="V103" s="10">
        <v>6080</v>
      </c>
      <c r="W103" s="10">
        <v>0</v>
      </c>
      <c r="X103" s="10">
        <v>31160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210</v>
      </c>
      <c r="AG103" s="1" t="s">
        <v>119</v>
      </c>
      <c r="AH103" s="1" t="s">
        <v>74</v>
      </c>
      <c r="AI103" s="1">
        <v>2</v>
      </c>
      <c r="AJ103" s="3">
        <v>45904</v>
      </c>
      <c r="AK103" s="3">
        <v>0</v>
      </c>
      <c r="AL103" s="3">
        <v>45895</v>
      </c>
      <c r="AM103" s="3">
        <v>45902</v>
      </c>
      <c r="AN103" s="3">
        <v>45903</v>
      </c>
      <c r="AO103" s="3">
        <v>45903</v>
      </c>
      <c r="AP103" s="3">
        <v>45899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 t="s">
        <v>335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>
        <v>45896</v>
      </c>
      <c r="B104" s="14" t="s">
        <v>416</v>
      </c>
      <c r="C104" s="9" t="s">
        <v>73</v>
      </c>
      <c r="D104" s="13" t="s">
        <v>405</v>
      </c>
      <c r="E104" s="9">
        <v>20</v>
      </c>
      <c r="F104" s="9">
        <v>32</v>
      </c>
      <c r="G104" s="9" t="s">
        <v>60</v>
      </c>
      <c r="H104" s="9">
        <v>0</v>
      </c>
      <c r="I104" s="9">
        <v>72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141</v>
      </c>
      <c r="T104" s="12">
        <v>45906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4679.9500000000007</v>
      </c>
      <c r="AB104" s="8">
        <v>4679.9500000000007</v>
      </c>
      <c r="AC104" s="8">
        <v>0</v>
      </c>
      <c r="AD104" s="8">
        <v>0</v>
      </c>
      <c r="AE104" s="8">
        <v>0</v>
      </c>
      <c r="AF104" s="8">
        <v>0</v>
      </c>
      <c r="AG104" s="1" t="s">
        <v>117</v>
      </c>
      <c r="AH104" s="1" t="s">
        <v>74</v>
      </c>
      <c r="AI104" s="1">
        <v>2</v>
      </c>
      <c r="AJ104" s="3">
        <v>45906</v>
      </c>
      <c r="AK104" s="3">
        <v>0</v>
      </c>
      <c r="AL104" s="3">
        <v>45897</v>
      </c>
      <c r="AM104" s="3">
        <v>45904</v>
      </c>
      <c r="AN104" s="3">
        <v>45905</v>
      </c>
      <c r="AO104" s="3">
        <v>45905</v>
      </c>
      <c r="AP104" s="3">
        <v>45901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45">
      <c r="A105" s="3">
        <v>45896</v>
      </c>
      <c r="B105" s="14" t="s">
        <v>416</v>
      </c>
      <c r="C105" s="9" t="s">
        <v>73</v>
      </c>
      <c r="D105" s="13" t="s">
        <v>406</v>
      </c>
      <c r="E105" s="9">
        <v>20</v>
      </c>
      <c r="F105" s="9">
        <v>32</v>
      </c>
      <c r="G105" s="9" t="s">
        <v>60</v>
      </c>
      <c r="H105" s="9">
        <v>0</v>
      </c>
      <c r="I105" s="9">
        <v>72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141</v>
      </c>
      <c r="T105" s="12">
        <v>45906</v>
      </c>
      <c r="U105" s="11">
        <v>5000</v>
      </c>
      <c r="V105" s="10">
        <v>0</v>
      </c>
      <c r="W105" s="10">
        <v>5000</v>
      </c>
      <c r="X105" s="10">
        <v>5400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117</v>
      </c>
      <c r="AH105" s="1" t="s">
        <v>74</v>
      </c>
      <c r="AI105" s="1">
        <v>2</v>
      </c>
      <c r="AJ105" s="3">
        <v>45906</v>
      </c>
      <c r="AK105" s="3">
        <v>0</v>
      </c>
      <c r="AL105" s="3">
        <v>45897</v>
      </c>
      <c r="AM105" s="3">
        <v>45904</v>
      </c>
      <c r="AN105" s="3">
        <v>45905</v>
      </c>
      <c r="AO105" s="3">
        <v>45905</v>
      </c>
      <c r="AP105" s="3">
        <v>45901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45892</v>
      </c>
      <c r="B106" s="14" t="s">
        <v>367</v>
      </c>
      <c r="C106" s="9" t="s">
        <v>139</v>
      </c>
      <c r="D106" s="13" t="s">
        <v>368</v>
      </c>
      <c r="E106" s="9">
        <v>20</v>
      </c>
      <c r="F106" s="9">
        <v>36</v>
      </c>
      <c r="G106" s="9" t="s">
        <v>60</v>
      </c>
      <c r="H106" s="9">
        <v>0</v>
      </c>
      <c r="I106" s="9">
        <v>78</v>
      </c>
      <c r="J106" s="9" t="s">
        <v>57</v>
      </c>
      <c r="K106" s="9">
        <v>5</v>
      </c>
      <c r="L106" s="9" t="s">
        <v>196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45908</v>
      </c>
      <c r="U106" s="11">
        <v>10000</v>
      </c>
      <c r="V106" s="10">
        <v>1196</v>
      </c>
      <c r="W106" s="10">
        <v>8804</v>
      </c>
      <c r="X106" s="10">
        <v>6751</v>
      </c>
      <c r="Y106" s="10">
        <v>3411.4500000000003</v>
      </c>
      <c r="Z106" s="9" t="s">
        <v>81</v>
      </c>
      <c r="AA106" s="8">
        <v>3574.3467375000009</v>
      </c>
      <c r="AB106" s="8">
        <v>3574.3467375000009</v>
      </c>
      <c r="AC106" s="8">
        <v>0</v>
      </c>
      <c r="AD106" s="8">
        <v>0</v>
      </c>
      <c r="AE106" s="8">
        <v>0</v>
      </c>
      <c r="AF106" s="8" t="s">
        <v>210</v>
      </c>
      <c r="AG106" s="1" t="s">
        <v>116</v>
      </c>
      <c r="AH106" s="1" t="s">
        <v>74</v>
      </c>
      <c r="AI106" s="1">
        <v>2</v>
      </c>
      <c r="AJ106" s="3">
        <v>45908</v>
      </c>
      <c r="AK106" s="3">
        <v>0</v>
      </c>
      <c r="AL106" s="3">
        <v>45899</v>
      </c>
      <c r="AM106" s="3">
        <v>45906</v>
      </c>
      <c r="AN106" s="3">
        <v>45907</v>
      </c>
      <c r="AO106" s="3">
        <v>45907</v>
      </c>
      <c r="AP106" s="3">
        <v>45903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45">
      <c r="A107" s="3">
        <v>45887</v>
      </c>
      <c r="B107" s="14" t="s">
        <v>348</v>
      </c>
      <c r="C107" s="9" t="s">
        <v>139</v>
      </c>
      <c r="D107" s="13" t="s">
        <v>333</v>
      </c>
      <c r="E107" s="9">
        <v>20</v>
      </c>
      <c r="F107" s="9">
        <v>36</v>
      </c>
      <c r="G107" s="9" t="s">
        <v>60</v>
      </c>
      <c r="H107" s="9">
        <v>0</v>
      </c>
      <c r="I107" s="9">
        <v>78</v>
      </c>
      <c r="J107" s="9" t="s">
        <v>57</v>
      </c>
      <c r="K107" s="9">
        <v>5</v>
      </c>
      <c r="L107" s="9" t="s">
        <v>196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>
        <v>45915</v>
      </c>
      <c r="U107" s="11">
        <v>16374</v>
      </c>
      <c r="V107" s="10">
        <v>5040</v>
      </c>
      <c r="W107" s="10">
        <v>11334</v>
      </c>
      <c r="X107" s="10">
        <v>18825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210</v>
      </c>
      <c r="AG107" s="1" t="s">
        <v>116</v>
      </c>
      <c r="AH107" s="1" t="s">
        <v>74</v>
      </c>
      <c r="AI107" s="1">
        <v>2</v>
      </c>
      <c r="AJ107" s="3">
        <v>45915</v>
      </c>
      <c r="AK107" s="3">
        <v>0</v>
      </c>
      <c r="AL107" s="3">
        <v>45906</v>
      </c>
      <c r="AM107" s="3">
        <v>45913</v>
      </c>
      <c r="AN107" s="3">
        <v>45914</v>
      </c>
      <c r="AO107" s="3">
        <v>45914</v>
      </c>
      <c r="AP107" s="3">
        <v>45910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 t="s">
        <v>334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45887</v>
      </c>
      <c r="B108" s="14" t="s">
        <v>349</v>
      </c>
      <c r="C108" s="9" t="s">
        <v>139</v>
      </c>
      <c r="D108" s="13" t="s">
        <v>268</v>
      </c>
      <c r="E108" s="9">
        <v>20</v>
      </c>
      <c r="F108" s="9">
        <v>36</v>
      </c>
      <c r="G108" s="9" t="s">
        <v>60</v>
      </c>
      <c r="H108" s="9">
        <v>0</v>
      </c>
      <c r="I108" s="9">
        <v>78</v>
      </c>
      <c r="J108" s="9" t="s">
        <v>57</v>
      </c>
      <c r="K108" s="9">
        <v>5</v>
      </c>
      <c r="L108" s="9" t="s">
        <v>196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>
        <v>45919</v>
      </c>
      <c r="U108" s="11">
        <v>40000</v>
      </c>
      <c r="V108" s="10">
        <v>20000</v>
      </c>
      <c r="W108" s="10">
        <v>20000</v>
      </c>
      <c r="X108" s="10">
        <v>40982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210</v>
      </c>
      <c r="AG108" s="1" t="s">
        <v>61</v>
      </c>
      <c r="AH108" s="1" t="s">
        <v>74</v>
      </c>
      <c r="AI108" s="1">
        <v>2</v>
      </c>
      <c r="AJ108" s="3">
        <v>45919</v>
      </c>
      <c r="AK108" s="3">
        <v>0</v>
      </c>
      <c r="AL108" s="3">
        <v>45910</v>
      </c>
      <c r="AM108" s="3">
        <v>45917</v>
      </c>
      <c r="AN108" s="3">
        <v>45918</v>
      </c>
      <c r="AO108" s="3">
        <v>45918</v>
      </c>
      <c r="AP108" s="3">
        <v>45914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 t="s">
        <v>335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45887</v>
      </c>
      <c r="B109" s="14" t="s">
        <v>349</v>
      </c>
      <c r="C109" s="9" t="s">
        <v>139</v>
      </c>
      <c r="D109" s="13" t="s">
        <v>268</v>
      </c>
      <c r="E109" s="9">
        <v>20</v>
      </c>
      <c r="F109" s="9">
        <v>36</v>
      </c>
      <c r="G109" s="9" t="s">
        <v>60</v>
      </c>
      <c r="H109" s="9">
        <v>0</v>
      </c>
      <c r="I109" s="9">
        <v>78</v>
      </c>
      <c r="J109" s="9" t="s">
        <v>57</v>
      </c>
      <c r="K109" s="9">
        <v>5</v>
      </c>
      <c r="L109" s="9" t="s">
        <v>196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>
        <v>45922</v>
      </c>
      <c r="U109" s="11">
        <v>30000</v>
      </c>
      <c r="V109" s="10">
        <v>0</v>
      </c>
      <c r="W109" s="10">
        <v>30000</v>
      </c>
      <c r="X109" s="10">
        <v>0</v>
      </c>
      <c r="Y109" s="10">
        <v>31500</v>
      </c>
      <c r="Z109" s="9" t="s">
        <v>81</v>
      </c>
      <c r="AA109" s="8">
        <v>31432.500000000004</v>
      </c>
      <c r="AB109" s="8">
        <v>31432.500000000004</v>
      </c>
      <c r="AC109" s="8">
        <v>0</v>
      </c>
      <c r="AD109" s="8">
        <v>0</v>
      </c>
      <c r="AE109" s="8">
        <v>0</v>
      </c>
      <c r="AF109" s="8" t="s">
        <v>210</v>
      </c>
      <c r="AG109" s="1" t="s">
        <v>115</v>
      </c>
      <c r="AH109" s="1" t="s">
        <v>74</v>
      </c>
      <c r="AI109" s="1">
        <v>2</v>
      </c>
      <c r="AJ109" s="3">
        <v>45922</v>
      </c>
      <c r="AK109" s="3">
        <v>0</v>
      </c>
      <c r="AL109" s="3">
        <v>45913</v>
      </c>
      <c r="AM109" s="3">
        <v>45920</v>
      </c>
      <c r="AN109" s="3">
        <v>45921</v>
      </c>
      <c r="AO109" s="3">
        <v>45921</v>
      </c>
      <c r="AP109" s="3">
        <v>45917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 t="s">
        <v>335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45887</v>
      </c>
      <c r="B110" s="14" t="s">
        <v>349</v>
      </c>
      <c r="C110" s="9" t="s">
        <v>139</v>
      </c>
      <c r="D110" s="13" t="s">
        <v>268</v>
      </c>
      <c r="E110" s="9">
        <v>20</v>
      </c>
      <c r="F110" s="9">
        <v>36</v>
      </c>
      <c r="G110" s="9" t="s">
        <v>60</v>
      </c>
      <c r="H110" s="9">
        <v>0</v>
      </c>
      <c r="I110" s="9">
        <v>78</v>
      </c>
      <c r="J110" s="9" t="s">
        <v>57</v>
      </c>
      <c r="K110" s="9">
        <v>5</v>
      </c>
      <c r="L110" s="9" t="s">
        <v>196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45926</v>
      </c>
      <c r="U110" s="11">
        <v>20000</v>
      </c>
      <c r="V110" s="10">
        <v>0</v>
      </c>
      <c r="W110" s="10">
        <v>20000</v>
      </c>
      <c r="X110" s="10">
        <v>0</v>
      </c>
      <c r="Y110" s="10">
        <v>21000</v>
      </c>
      <c r="Z110" s="9" t="s">
        <v>81</v>
      </c>
      <c r="AA110" s="8">
        <v>20955</v>
      </c>
      <c r="AB110" s="8">
        <v>20955</v>
      </c>
      <c r="AC110" s="8">
        <v>0</v>
      </c>
      <c r="AD110" s="8">
        <v>0</v>
      </c>
      <c r="AE110" s="8">
        <v>0</v>
      </c>
      <c r="AF110" s="8" t="s">
        <v>210</v>
      </c>
      <c r="AG110" s="1" t="s">
        <v>115</v>
      </c>
      <c r="AH110" s="1" t="s">
        <v>74</v>
      </c>
      <c r="AI110" s="1">
        <v>2</v>
      </c>
      <c r="AJ110" s="3">
        <v>45926</v>
      </c>
      <c r="AK110" s="3">
        <v>0</v>
      </c>
      <c r="AL110" s="3">
        <v>45917</v>
      </c>
      <c r="AM110" s="3">
        <v>45924</v>
      </c>
      <c r="AN110" s="3">
        <v>45925</v>
      </c>
      <c r="AO110" s="3">
        <v>45925</v>
      </c>
      <c r="AP110" s="3">
        <v>45921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 t="s">
        <v>335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 t="s">
        <v>135</v>
      </c>
      <c r="B111" s="14" t="s">
        <v>135</v>
      </c>
      <c r="C111" s="9" t="s">
        <v>139</v>
      </c>
      <c r="D111" s="13" t="s">
        <v>61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196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 t="s">
        <v>63</v>
      </c>
      <c r="U111" s="11">
        <v>290000</v>
      </c>
      <c r="V111" s="10">
        <v>0</v>
      </c>
      <c r="W111" s="10">
        <v>290000</v>
      </c>
      <c r="X111" s="10">
        <v>0</v>
      </c>
      <c r="Y111" s="10">
        <v>304500</v>
      </c>
      <c r="Z111" s="9" t="s">
        <v>81</v>
      </c>
      <c r="AA111" s="8">
        <v>303847.5</v>
      </c>
      <c r="AB111" s="8">
        <v>119419</v>
      </c>
      <c r="AC111" s="8">
        <v>184428.5</v>
      </c>
      <c r="AD111" s="8">
        <v>0</v>
      </c>
      <c r="AE111" s="8">
        <v>0</v>
      </c>
      <c r="AF111" s="8" t="s">
        <v>210</v>
      </c>
      <c r="AG111" s="1" t="s">
        <v>115</v>
      </c>
      <c r="AH111" s="1" t="s">
        <v>74</v>
      </c>
      <c r="AI111" s="1">
        <v>2</v>
      </c>
      <c r="AJ111" s="3" t="s">
        <v>63</v>
      </c>
      <c r="AK111" s="3">
        <v>0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14098.534222222223</v>
      </c>
    </row>
    <row r="112" spans="1:56" ht="27.75" customHeight="1" x14ac:dyDescent="0.45">
      <c r="A112" s="3">
        <v>0</v>
      </c>
      <c r="B112" s="14">
        <v>0</v>
      </c>
      <c r="C112" s="9">
        <v>0</v>
      </c>
      <c r="D112" s="13">
        <v>0</v>
      </c>
      <c r="E112" s="9">
        <v>20</v>
      </c>
      <c r="F112" s="9">
        <v>37</v>
      </c>
      <c r="G112" s="9">
        <v>0</v>
      </c>
      <c r="H112" s="9">
        <v>0</v>
      </c>
      <c r="I112" s="9">
        <v>80</v>
      </c>
      <c r="J112" s="9" t="s">
        <v>57</v>
      </c>
      <c r="K112" s="9">
        <v>3</v>
      </c>
      <c r="L112" s="9">
        <v>0</v>
      </c>
      <c r="M112" s="10">
        <v>0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>
        <v>0</v>
      </c>
      <c r="T112" s="12"/>
      <c r="U112" s="11">
        <v>0</v>
      </c>
      <c r="V112" s="10">
        <v>0</v>
      </c>
      <c r="W112" s="10">
        <v>0</v>
      </c>
      <c r="X112" s="10">
        <v>0</v>
      </c>
      <c r="Y112" s="10">
        <v>0</v>
      </c>
      <c r="Z112" s="9" t="s">
        <v>81</v>
      </c>
      <c r="AA112" s="8">
        <v>364489.2967375</v>
      </c>
      <c r="AB112" s="8">
        <v>180060.7967375</v>
      </c>
      <c r="AC112" s="8">
        <v>184428.5</v>
      </c>
      <c r="AD112" s="8">
        <v>0</v>
      </c>
      <c r="AE112" s="8">
        <v>0</v>
      </c>
      <c r="AF112" s="8" t="s">
        <v>58</v>
      </c>
      <c r="AG112" s="1" t="s">
        <v>115</v>
      </c>
      <c r="AH112" s="1">
        <v>0</v>
      </c>
      <c r="AI112" s="1" t="s">
        <v>15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>
        <v>45876</v>
      </c>
      <c r="B113" s="14" t="s">
        <v>325</v>
      </c>
      <c r="C113" s="9" t="s">
        <v>303</v>
      </c>
      <c r="D113" s="13" t="s">
        <v>312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40</v>
      </c>
      <c r="O113" s="9">
        <v>40</v>
      </c>
      <c r="P113" s="10">
        <v>0</v>
      </c>
      <c r="Q113" s="10">
        <v>0</v>
      </c>
      <c r="R113" s="10">
        <v>0</v>
      </c>
      <c r="S113" s="9" t="s">
        <v>71</v>
      </c>
      <c r="T113" s="12">
        <v>45904</v>
      </c>
      <c r="U113" s="11">
        <v>20000</v>
      </c>
      <c r="V113" s="10">
        <v>20006</v>
      </c>
      <c r="W113" s="10">
        <v>0</v>
      </c>
      <c r="X113" s="10">
        <v>21000</v>
      </c>
      <c r="Y113" s="10">
        <v>0</v>
      </c>
      <c r="Z113" s="9" t="s">
        <v>120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68</v>
      </c>
      <c r="AI113" s="1">
        <v>4</v>
      </c>
      <c r="AJ113" s="3">
        <v>45904</v>
      </c>
      <c r="AK113" s="3">
        <v>45900</v>
      </c>
      <c r="AL113" s="3">
        <v>45894</v>
      </c>
      <c r="AM113" s="3">
        <v>45901</v>
      </c>
      <c r="AN113" s="3">
        <v>45902</v>
      </c>
      <c r="AO113" s="3">
        <v>45902</v>
      </c>
      <c r="AP113" s="3">
        <v>45899</v>
      </c>
      <c r="AQ113" s="3">
        <v>45903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132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45876</v>
      </c>
      <c r="B114" s="14" t="s">
        <v>326</v>
      </c>
      <c r="C114" s="9" t="s">
        <v>303</v>
      </c>
      <c r="D114" s="13" t="s">
        <v>304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40</v>
      </c>
      <c r="O114" s="9">
        <v>40</v>
      </c>
      <c r="P114" s="10">
        <v>1.6065702062079996</v>
      </c>
      <c r="Q114" s="10">
        <v>0</v>
      </c>
      <c r="R114" s="10">
        <v>1.6065702062079996</v>
      </c>
      <c r="S114" s="9" t="s">
        <v>71</v>
      </c>
      <c r="T114" s="12">
        <v>45904</v>
      </c>
      <c r="U114" s="11">
        <v>10000</v>
      </c>
      <c r="V114" s="10">
        <v>9926</v>
      </c>
      <c r="W114" s="10">
        <v>74</v>
      </c>
      <c r="X114" s="10">
        <v>10500</v>
      </c>
      <c r="Y114" s="10">
        <v>0</v>
      </c>
      <c r="Z114" s="9" t="s">
        <v>120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68</v>
      </c>
      <c r="AI114" s="1">
        <v>4</v>
      </c>
      <c r="AJ114" s="3">
        <v>45904</v>
      </c>
      <c r="AK114" s="3">
        <v>45900</v>
      </c>
      <c r="AL114" s="3">
        <v>45894</v>
      </c>
      <c r="AM114" s="3">
        <v>45901</v>
      </c>
      <c r="AN114" s="3">
        <v>45902</v>
      </c>
      <c r="AO114" s="3">
        <v>45902</v>
      </c>
      <c r="AP114" s="3">
        <v>45899</v>
      </c>
      <c r="AQ114" s="3">
        <v>45903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132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45892</v>
      </c>
      <c r="B115" s="14" t="s">
        <v>369</v>
      </c>
      <c r="C115" s="9" t="s">
        <v>79</v>
      </c>
      <c r="D115" s="13" t="s">
        <v>370</v>
      </c>
      <c r="E115" s="9">
        <v>21</v>
      </c>
      <c r="F115" s="9">
        <v>40</v>
      </c>
      <c r="G115" s="9" t="s">
        <v>60</v>
      </c>
      <c r="H115" s="9" t="s">
        <v>76</v>
      </c>
      <c r="I115" s="9">
        <v>108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42</v>
      </c>
      <c r="O115" s="9">
        <v>40</v>
      </c>
      <c r="P115" s="10">
        <v>0</v>
      </c>
      <c r="Q115" s="10">
        <v>0</v>
      </c>
      <c r="R115" s="10">
        <v>0</v>
      </c>
      <c r="S115" s="9" t="s">
        <v>67</v>
      </c>
      <c r="T115" s="12">
        <v>45904</v>
      </c>
      <c r="U115" s="11">
        <v>3000</v>
      </c>
      <c r="V115" s="10">
        <v>3000</v>
      </c>
      <c r="W115" s="10">
        <v>0</v>
      </c>
      <c r="X115" s="10">
        <v>3100</v>
      </c>
      <c r="Y115" s="10">
        <v>0</v>
      </c>
      <c r="Z115" s="9" t="s">
        <v>120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68</v>
      </c>
      <c r="AI115" s="1">
        <v>4</v>
      </c>
      <c r="AJ115" s="3">
        <v>45904</v>
      </c>
      <c r="AK115" s="3">
        <v>45900</v>
      </c>
      <c r="AL115" s="3">
        <v>45894</v>
      </c>
      <c r="AM115" s="3">
        <v>45901</v>
      </c>
      <c r="AN115" s="3">
        <v>45902</v>
      </c>
      <c r="AO115" s="3">
        <v>45902</v>
      </c>
      <c r="AP115" s="3">
        <v>45899</v>
      </c>
      <c r="AQ115" s="3">
        <v>45903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45876</v>
      </c>
      <c r="B116" s="14" t="s">
        <v>337</v>
      </c>
      <c r="C116" s="9" t="s">
        <v>107</v>
      </c>
      <c r="D116" s="13" t="s">
        <v>317</v>
      </c>
      <c r="E116" s="9">
        <v>21</v>
      </c>
      <c r="F116" s="9">
        <v>38</v>
      </c>
      <c r="G116" s="9" t="s">
        <v>60</v>
      </c>
      <c r="H116" s="9" t="s">
        <v>66</v>
      </c>
      <c r="I116" s="9">
        <v>102</v>
      </c>
      <c r="J116" s="9" t="s">
        <v>57</v>
      </c>
      <c r="K116" s="9">
        <v>5</v>
      </c>
      <c r="L116" s="9" t="s">
        <v>90</v>
      </c>
      <c r="M116" s="10">
        <v>22</v>
      </c>
      <c r="N116" s="9">
        <v>40</v>
      </c>
      <c r="O116" s="9">
        <v>40</v>
      </c>
      <c r="P116" s="10">
        <v>65.13122457599998</v>
      </c>
      <c r="Q116" s="10">
        <v>0</v>
      </c>
      <c r="R116" s="10">
        <v>65.13122457599998</v>
      </c>
      <c r="S116" s="9" t="s">
        <v>67</v>
      </c>
      <c r="T116" s="12">
        <v>45926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120</v>
      </c>
      <c r="AA116" s="8">
        <v>3310.89</v>
      </c>
      <c r="AB116" s="8">
        <v>3310.89</v>
      </c>
      <c r="AC116" s="8">
        <v>0</v>
      </c>
      <c r="AD116" s="8">
        <v>3310.89</v>
      </c>
      <c r="AE116" s="8">
        <v>0</v>
      </c>
      <c r="AF116" s="8">
        <v>0</v>
      </c>
      <c r="AG116" s="1" t="s">
        <v>61</v>
      </c>
      <c r="AH116" s="1" t="s">
        <v>68</v>
      </c>
      <c r="AI116" s="1">
        <v>4</v>
      </c>
      <c r="AJ116" s="3">
        <v>45926</v>
      </c>
      <c r="AK116" s="3">
        <v>45922</v>
      </c>
      <c r="AL116" s="3">
        <v>45916</v>
      </c>
      <c r="AM116" s="3">
        <v>45923</v>
      </c>
      <c r="AN116" s="3">
        <v>45924</v>
      </c>
      <c r="AO116" s="3">
        <v>45924</v>
      </c>
      <c r="AP116" s="3">
        <v>45921</v>
      </c>
      <c r="AQ116" s="3">
        <v>45925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45631</v>
      </c>
      <c r="B117" s="14" t="s">
        <v>203</v>
      </c>
      <c r="C117" s="9" t="s">
        <v>109</v>
      </c>
      <c r="D117" s="13" t="s">
        <v>144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110</v>
      </c>
      <c r="T117" s="12">
        <v>45908</v>
      </c>
      <c r="U117" s="11">
        <v>16000</v>
      </c>
      <c r="V117" s="10">
        <v>0</v>
      </c>
      <c r="W117" s="10">
        <v>16000</v>
      </c>
      <c r="X117" s="10">
        <v>0</v>
      </c>
      <c r="Y117" s="10">
        <v>16800</v>
      </c>
      <c r="Z117" s="9" t="s">
        <v>120</v>
      </c>
      <c r="AA117" s="8">
        <v>17211.04</v>
      </c>
      <c r="AB117" s="8">
        <v>17211.04</v>
      </c>
      <c r="AC117" s="8">
        <v>0</v>
      </c>
      <c r="AD117" s="8">
        <v>0</v>
      </c>
      <c r="AE117" s="8">
        <v>17211.04</v>
      </c>
      <c r="AF117" s="8">
        <v>0</v>
      </c>
      <c r="AG117" s="1" t="s">
        <v>116</v>
      </c>
      <c r="AH117" s="1" t="s">
        <v>68</v>
      </c>
      <c r="AI117" s="1">
        <v>4</v>
      </c>
      <c r="AJ117" s="3">
        <v>45908</v>
      </c>
      <c r="AK117" s="3">
        <v>45904</v>
      </c>
      <c r="AL117" s="3">
        <v>45898</v>
      </c>
      <c r="AM117" s="3">
        <v>45905</v>
      </c>
      <c r="AN117" s="3">
        <v>45906</v>
      </c>
      <c r="AO117" s="3">
        <v>45906</v>
      </c>
      <c r="AP117" s="3">
        <v>45903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218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45631</v>
      </c>
      <c r="B118" s="14" t="s">
        <v>202</v>
      </c>
      <c r="C118" s="9" t="s">
        <v>109</v>
      </c>
      <c r="D118" s="13" t="s">
        <v>144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 t="s">
        <v>63</v>
      </c>
      <c r="U118" s="11">
        <v>9000</v>
      </c>
      <c r="V118" s="10">
        <v>0</v>
      </c>
      <c r="W118" s="10">
        <v>9000</v>
      </c>
      <c r="X118" s="10">
        <v>0</v>
      </c>
      <c r="Y118" s="10">
        <v>9450</v>
      </c>
      <c r="Z118" s="9" t="s">
        <v>120</v>
      </c>
      <c r="AA118" s="8">
        <v>9681.2100000000009</v>
      </c>
      <c r="AB118" s="8">
        <v>9681.2100000000009</v>
      </c>
      <c r="AC118" s="8">
        <v>0</v>
      </c>
      <c r="AD118" s="8">
        <v>0</v>
      </c>
      <c r="AE118" s="8">
        <v>9681.2100000000009</v>
      </c>
      <c r="AF118" s="8">
        <v>0</v>
      </c>
      <c r="AG118" s="1" t="s">
        <v>116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217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 t="s">
        <v>135</v>
      </c>
      <c r="B119" s="14" t="s">
        <v>135</v>
      </c>
      <c r="C119" s="9" t="s">
        <v>111</v>
      </c>
      <c r="D119" s="13" t="s">
        <v>61</v>
      </c>
      <c r="E119" s="9">
        <v>21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>
        <v>45925</v>
      </c>
      <c r="U119" s="11">
        <v>100000</v>
      </c>
      <c r="V119" s="10">
        <v>0</v>
      </c>
      <c r="W119" s="10">
        <v>100000</v>
      </c>
      <c r="X119" s="10">
        <v>0</v>
      </c>
      <c r="Y119" s="10">
        <v>105000</v>
      </c>
      <c r="Z119" s="9" t="s">
        <v>120</v>
      </c>
      <c r="AA119" s="8">
        <v>107569.00000000001</v>
      </c>
      <c r="AB119" s="8">
        <v>107569.00000000001</v>
      </c>
      <c r="AC119" s="8">
        <v>0</v>
      </c>
      <c r="AD119" s="8">
        <v>107569.00000000001</v>
      </c>
      <c r="AE119" s="8">
        <v>0</v>
      </c>
      <c r="AF119" s="8">
        <v>0</v>
      </c>
      <c r="AG119" s="1" t="s">
        <v>116</v>
      </c>
      <c r="AH119" s="1" t="s">
        <v>68</v>
      </c>
      <c r="AI119" s="1">
        <v>4</v>
      </c>
      <c r="AJ119" s="3">
        <v>45925</v>
      </c>
      <c r="AK119" s="3">
        <v>45921</v>
      </c>
      <c r="AL119" s="3">
        <v>45915</v>
      </c>
      <c r="AM119" s="3">
        <v>45922</v>
      </c>
      <c r="AN119" s="3">
        <v>45923</v>
      </c>
      <c r="AO119" s="3">
        <v>45923</v>
      </c>
      <c r="AP119" s="3">
        <v>45920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45896</v>
      </c>
      <c r="B120" s="14" t="s">
        <v>407</v>
      </c>
      <c r="C120" s="9" t="s">
        <v>107</v>
      </c>
      <c r="D120" s="13" t="s">
        <v>408</v>
      </c>
      <c r="E120" s="9">
        <v>21</v>
      </c>
      <c r="F120" s="9">
        <v>38</v>
      </c>
      <c r="G120" s="9" t="s">
        <v>60</v>
      </c>
      <c r="H120" s="9" t="s">
        <v>66</v>
      </c>
      <c r="I120" s="9">
        <v>102</v>
      </c>
      <c r="J120" s="9" t="s">
        <v>57</v>
      </c>
      <c r="K120" s="9">
        <v>5</v>
      </c>
      <c r="L120" s="9" t="s">
        <v>90</v>
      </c>
      <c r="M120" s="10">
        <v>22</v>
      </c>
      <c r="N120" s="9">
        <v>40</v>
      </c>
      <c r="O120" s="9">
        <v>40</v>
      </c>
      <c r="P120" s="10">
        <v>65.13122457599998</v>
      </c>
      <c r="Q120" s="10">
        <v>0</v>
      </c>
      <c r="R120" s="10">
        <v>65.13122457599998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120</v>
      </c>
      <c r="AA120" s="8">
        <v>3310.89</v>
      </c>
      <c r="AB120" s="8">
        <v>3310.89</v>
      </c>
      <c r="AC120" s="8">
        <v>0</v>
      </c>
      <c r="AD120" s="8">
        <v>0</v>
      </c>
      <c r="AE120" s="8">
        <v>3310.89</v>
      </c>
      <c r="AF120" s="8">
        <v>0</v>
      </c>
      <c r="AG120" s="1" t="s">
        <v>116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45896</v>
      </c>
      <c r="B121" s="14" t="s">
        <v>409</v>
      </c>
      <c r="C121" s="9" t="s">
        <v>107</v>
      </c>
      <c r="D121" s="13" t="s">
        <v>314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102</v>
      </c>
      <c r="J121" s="9" t="s">
        <v>57</v>
      </c>
      <c r="K121" s="9">
        <v>5</v>
      </c>
      <c r="L121" s="9" t="s">
        <v>90</v>
      </c>
      <c r="M121" s="10">
        <v>22</v>
      </c>
      <c r="N121" s="9">
        <v>40</v>
      </c>
      <c r="O121" s="9">
        <v>40</v>
      </c>
      <c r="P121" s="10">
        <v>108.55204095999999</v>
      </c>
      <c r="Q121" s="10">
        <v>0</v>
      </c>
      <c r="R121" s="10">
        <v>108.55204095999999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120</v>
      </c>
      <c r="AA121" s="8">
        <v>5518.15</v>
      </c>
      <c r="AB121" s="8">
        <v>5518.15</v>
      </c>
      <c r="AC121" s="8">
        <v>0</v>
      </c>
      <c r="AD121" s="8">
        <v>0</v>
      </c>
      <c r="AE121" s="8">
        <v>5518.15</v>
      </c>
      <c r="AF121" s="8">
        <v>0</v>
      </c>
      <c r="AG121" s="1" t="s">
        <v>116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45896</v>
      </c>
      <c r="B122" s="14" t="s">
        <v>410</v>
      </c>
      <c r="C122" s="9" t="s">
        <v>107</v>
      </c>
      <c r="D122" s="13" t="s">
        <v>411</v>
      </c>
      <c r="E122" s="9">
        <v>21</v>
      </c>
      <c r="F122" s="9">
        <v>38</v>
      </c>
      <c r="G122" s="9" t="s">
        <v>60</v>
      </c>
      <c r="H122" s="9" t="s">
        <v>66</v>
      </c>
      <c r="I122" s="9">
        <v>102</v>
      </c>
      <c r="J122" s="9" t="s">
        <v>57</v>
      </c>
      <c r="K122" s="9">
        <v>5</v>
      </c>
      <c r="L122" s="9" t="s">
        <v>90</v>
      </c>
      <c r="M122" s="10">
        <v>22</v>
      </c>
      <c r="N122" s="9">
        <v>40</v>
      </c>
      <c r="O122" s="9">
        <v>40</v>
      </c>
      <c r="P122" s="10">
        <v>65.13122457599998</v>
      </c>
      <c r="Q122" s="10">
        <v>0</v>
      </c>
      <c r="R122" s="10">
        <v>65.13122457599998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120</v>
      </c>
      <c r="AA122" s="8">
        <v>3310.89</v>
      </c>
      <c r="AB122" s="8">
        <v>3310.89</v>
      </c>
      <c r="AC122" s="8">
        <v>0</v>
      </c>
      <c r="AD122" s="8">
        <v>0</v>
      </c>
      <c r="AE122" s="8">
        <v>3310.89</v>
      </c>
      <c r="AF122" s="8">
        <v>0</v>
      </c>
      <c r="AG122" s="1" t="s">
        <v>116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45876</v>
      </c>
      <c r="B123" s="14" t="s">
        <v>336</v>
      </c>
      <c r="C123" s="9" t="s">
        <v>107</v>
      </c>
      <c r="D123" s="13" t="s">
        <v>316</v>
      </c>
      <c r="E123" s="9">
        <v>21</v>
      </c>
      <c r="F123" s="9">
        <v>40</v>
      </c>
      <c r="G123" s="9" t="s">
        <v>60</v>
      </c>
      <c r="H123" s="9" t="s">
        <v>66</v>
      </c>
      <c r="I123" s="9">
        <v>108</v>
      </c>
      <c r="J123" s="9" t="s">
        <v>57</v>
      </c>
      <c r="K123" s="9">
        <v>5</v>
      </c>
      <c r="L123" s="9" t="s">
        <v>91</v>
      </c>
      <c r="M123" s="10">
        <v>22</v>
      </c>
      <c r="N123" s="9">
        <v>42</v>
      </c>
      <c r="O123" s="9">
        <v>40</v>
      </c>
      <c r="P123" s="10">
        <v>68.387785804799989</v>
      </c>
      <c r="Q123" s="10">
        <v>0</v>
      </c>
      <c r="R123" s="10">
        <v>68.387785804799989</v>
      </c>
      <c r="S123" s="9" t="s">
        <v>71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120</v>
      </c>
      <c r="AA123" s="8">
        <v>3478.5300000000007</v>
      </c>
      <c r="AB123" s="8">
        <v>3478.5300000000007</v>
      </c>
      <c r="AC123" s="8">
        <v>0</v>
      </c>
      <c r="AD123" s="8">
        <v>0</v>
      </c>
      <c r="AE123" s="8">
        <v>3478.5300000000007</v>
      </c>
      <c r="AF123" s="8">
        <v>0</v>
      </c>
      <c r="AG123" s="1" t="s">
        <v>116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 t="e">
        <v>#VALUE!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121</v>
      </c>
      <c r="BD123" s="56">
        <v>0</v>
      </c>
    </row>
    <row r="124" spans="1:56" ht="27.75" customHeight="1" x14ac:dyDescent="0.45">
      <c r="A124" s="3">
        <v>45876</v>
      </c>
      <c r="B124" s="14" t="s">
        <v>338</v>
      </c>
      <c r="C124" s="9" t="s">
        <v>107</v>
      </c>
      <c r="D124" s="13" t="s">
        <v>318</v>
      </c>
      <c r="E124" s="9">
        <v>21</v>
      </c>
      <c r="F124" s="9">
        <v>40</v>
      </c>
      <c r="G124" s="9" t="s">
        <v>60</v>
      </c>
      <c r="H124" s="9" t="s">
        <v>66</v>
      </c>
      <c r="I124" s="9">
        <v>108</v>
      </c>
      <c r="J124" s="9" t="s">
        <v>57</v>
      </c>
      <c r="K124" s="9">
        <v>5</v>
      </c>
      <c r="L124" s="9" t="s">
        <v>91</v>
      </c>
      <c r="M124" s="10">
        <v>22</v>
      </c>
      <c r="N124" s="9">
        <v>42</v>
      </c>
      <c r="O124" s="9">
        <v>40</v>
      </c>
      <c r="P124" s="10">
        <v>113.97964300799998</v>
      </c>
      <c r="Q124" s="10">
        <v>0</v>
      </c>
      <c r="R124" s="10">
        <v>113.97964300799998</v>
      </c>
      <c r="S124" s="9" t="s">
        <v>71</v>
      </c>
      <c r="T124" s="12" t="s">
        <v>63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120</v>
      </c>
      <c r="AA124" s="8">
        <v>5797.55</v>
      </c>
      <c r="AB124" s="8">
        <v>5797.55</v>
      </c>
      <c r="AC124" s="8">
        <v>0</v>
      </c>
      <c r="AD124" s="8">
        <v>0</v>
      </c>
      <c r="AE124" s="8">
        <v>5797.55</v>
      </c>
      <c r="AF124" s="8">
        <v>0</v>
      </c>
      <c r="AG124" s="1" t="s">
        <v>116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121</v>
      </c>
      <c r="BD124" s="56">
        <v>0</v>
      </c>
    </row>
    <row r="125" spans="1:56" ht="27.75" customHeight="1" x14ac:dyDescent="0.45">
      <c r="A125" s="3" t="s">
        <v>135</v>
      </c>
      <c r="B125" s="14" t="s">
        <v>135</v>
      </c>
      <c r="C125" s="9" t="s">
        <v>109</v>
      </c>
      <c r="D125" s="13" t="s">
        <v>144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110</v>
      </c>
      <c r="T125" s="12" t="s">
        <v>63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120</v>
      </c>
      <c r="AA125" s="8">
        <v>10756.900000000001</v>
      </c>
      <c r="AB125" s="8">
        <v>10756.900000000001</v>
      </c>
      <c r="AC125" s="8">
        <v>0</v>
      </c>
      <c r="AD125" s="8">
        <v>0</v>
      </c>
      <c r="AE125" s="8">
        <v>10756.900000000001</v>
      </c>
      <c r="AF125" s="8">
        <v>0</v>
      </c>
      <c r="AG125" s="1" t="s">
        <v>116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121</v>
      </c>
      <c r="BD125" s="56">
        <v>0</v>
      </c>
    </row>
    <row r="126" spans="1:56" ht="27.75" customHeight="1" x14ac:dyDescent="0.45">
      <c r="A126" s="3">
        <v>45854</v>
      </c>
      <c r="B126" s="14" t="s">
        <v>295</v>
      </c>
      <c r="C126" s="9" t="s">
        <v>79</v>
      </c>
      <c r="D126" s="13" t="s">
        <v>296</v>
      </c>
      <c r="E126" s="9">
        <v>21</v>
      </c>
      <c r="F126" s="9">
        <v>38</v>
      </c>
      <c r="G126" s="9" t="s">
        <v>60</v>
      </c>
      <c r="H126" s="9" t="s">
        <v>76</v>
      </c>
      <c r="I126" s="9">
        <v>102</v>
      </c>
      <c r="J126" s="9" t="s">
        <v>57</v>
      </c>
      <c r="K126" s="9">
        <v>5</v>
      </c>
      <c r="L126" s="9" t="s">
        <v>91</v>
      </c>
      <c r="M126" s="10">
        <v>22</v>
      </c>
      <c r="N126" s="9">
        <v>40</v>
      </c>
      <c r="O126" s="9">
        <v>40</v>
      </c>
      <c r="P126" s="10">
        <v>65.13122457599998</v>
      </c>
      <c r="Q126" s="10">
        <v>0</v>
      </c>
      <c r="R126" s="10">
        <v>65.13122457599998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120</v>
      </c>
      <c r="AA126" s="8">
        <v>3310.89</v>
      </c>
      <c r="AB126" s="8">
        <v>3310.89</v>
      </c>
      <c r="AC126" s="8">
        <v>0</v>
      </c>
      <c r="AD126" s="8">
        <v>0</v>
      </c>
      <c r="AE126" s="8">
        <v>3310.89</v>
      </c>
      <c r="AF126" s="8">
        <v>0</v>
      </c>
      <c r="AG126" s="1" t="s">
        <v>116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 t="e">
        <v>#VALUE!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121</v>
      </c>
      <c r="BD126" s="56">
        <v>0</v>
      </c>
    </row>
    <row r="127" spans="1:56" ht="27.75" customHeight="1" x14ac:dyDescent="0.45">
      <c r="A127" s="3">
        <v>45854</v>
      </c>
      <c r="B127" s="14" t="s">
        <v>297</v>
      </c>
      <c r="C127" s="9" t="s">
        <v>79</v>
      </c>
      <c r="D127" s="13" t="s">
        <v>298</v>
      </c>
      <c r="E127" s="9">
        <v>21</v>
      </c>
      <c r="F127" s="9">
        <v>38</v>
      </c>
      <c r="G127" s="9" t="s">
        <v>60</v>
      </c>
      <c r="H127" s="9" t="s">
        <v>76</v>
      </c>
      <c r="I127" s="9">
        <v>102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65.13122457599998</v>
      </c>
      <c r="Q127" s="10">
        <v>0</v>
      </c>
      <c r="R127" s="10">
        <v>65.13122457599998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120</v>
      </c>
      <c r="AA127" s="8">
        <v>3310.89</v>
      </c>
      <c r="AB127" s="8">
        <v>3310.89</v>
      </c>
      <c r="AC127" s="8">
        <v>0</v>
      </c>
      <c r="AD127" s="8">
        <v>0</v>
      </c>
      <c r="AE127" s="8">
        <v>3310.89</v>
      </c>
      <c r="AF127" s="8">
        <v>0</v>
      </c>
      <c r="AG127" s="1" t="s">
        <v>115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121</v>
      </c>
      <c r="BD127" s="56">
        <v>0</v>
      </c>
    </row>
    <row r="128" spans="1:56" ht="27.75" customHeight="1" x14ac:dyDescent="0.45">
      <c r="A128" s="3">
        <v>45826</v>
      </c>
      <c r="B128" s="14" t="s">
        <v>274</v>
      </c>
      <c r="C128" s="9" t="s">
        <v>107</v>
      </c>
      <c r="D128" s="13" t="s">
        <v>262</v>
      </c>
      <c r="E128" s="9">
        <v>21</v>
      </c>
      <c r="F128" s="9">
        <v>38</v>
      </c>
      <c r="G128" s="9" t="s">
        <v>60</v>
      </c>
      <c r="H128" s="9" t="s">
        <v>66</v>
      </c>
      <c r="I128" s="9">
        <v>102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40</v>
      </c>
      <c r="O128" s="9">
        <v>40</v>
      </c>
      <c r="P128" s="10">
        <v>163.47937368575995</v>
      </c>
      <c r="Q128" s="10">
        <v>0</v>
      </c>
      <c r="R128" s="10">
        <v>163.47937368575995</v>
      </c>
      <c r="S128" s="9" t="s">
        <v>67</v>
      </c>
      <c r="T128" s="12" t="s">
        <v>63</v>
      </c>
      <c r="U128" s="11">
        <v>8000</v>
      </c>
      <c r="V128" s="10">
        <v>470</v>
      </c>
      <c r="W128" s="10">
        <v>7530</v>
      </c>
      <c r="X128" s="10">
        <v>0</v>
      </c>
      <c r="Y128" s="10">
        <v>7906.5</v>
      </c>
      <c r="Z128" s="9" t="s">
        <v>120</v>
      </c>
      <c r="AA128" s="8">
        <v>8310.3338999999996</v>
      </c>
      <c r="AB128" s="8">
        <v>8310.3338999999996</v>
      </c>
      <c r="AC128" s="8">
        <v>0</v>
      </c>
      <c r="AD128" s="8">
        <v>0</v>
      </c>
      <c r="AE128" s="8">
        <v>8310.3338999999996</v>
      </c>
      <c r="AF128" s="8">
        <v>0</v>
      </c>
      <c r="AG128" s="1" t="s">
        <v>115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121</v>
      </c>
      <c r="BD128" s="56">
        <v>0</v>
      </c>
    </row>
    <row r="129" spans="1:56" ht="27.75" customHeight="1" x14ac:dyDescent="0.45">
      <c r="A129" s="3">
        <v>45066</v>
      </c>
      <c r="B129" s="14" t="s">
        <v>126</v>
      </c>
      <c r="C129" s="9" t="s">
        <v>79</v>
      </c>
      <c r="D129" s="13" t="s">
        <v>125</v>
      </c>
      <c r="E129" s="9">
        <v>21</v>
      </c>
      <c r="F129" s="9">
        <v>38</v>
      </c>
      <c r="G129" s="9" t="s">
        <v>60</v>
      </c>
      <c r="H129" s="9" t="s">
        <v>76</v>
      </c>
      <c r="I129" s="9">
        <v>102</v>
      </c>
      <c r="J129" s="9" t="s">
        <v>57</v>
      </c>
      <c r="K129" s="9">
        <v>5</v>
      </c>
      <c r="L129" s="9" t="s">
        <v>91</v>
      </c>
      <c r="M129" s="10">
        <v>22</v>
      </c>
      <c r="N129" s="9">
        <v>40</v>
      </c>
      <c r="O129" s="9">
        <v>40</v>
      </c>
      <c r="P129" s="10">
        <v>108.55204095999999</v>
      </c>
      <c r="Q129" s="10">
        <v>0</v>
      </c>
      <c r="R129" s="10">
        <v>108.55204095999999</v>
      </c>
      <c r="S129" s="9" t="s">
        <v>67</v>
      </c>
      <c r="T129" s="12" t="s">
        <v>63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120</v>
      </c>
      <c r="AA129" s="8">
        <v>5518.15</v>
      </c>
      <c r="AB129" s="8">
        <v>5518.15</v>
      </c>
      <c r="AC129" s="8">
        <v>0</v>
      </c>
      <c r="AD129" s="8">
        <v>0</v>
      </c>
      <c r="AE129" s="8">
        <v>5518.15</v>
      </c>
      <c r="AF129" s="8">
        <v>0</v>
      </c>
      <c r="AG129" s="1" t="s">
        <v>116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121</v>
      </c>
      <c r="BD129" s="56">
        <v>0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21</v>
      </c>
      <c r="F130" s="9">
        <v>37</v>
      </c>
      <c r="G130" s="9">
        <v>0</v>
      </c>
      <c r="H130" s="9">
        <v>0</v>
      </c>
      <c r="I130" s="9">
        <v>74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 t="s">
        <v>82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120</v>
      </c>
      <c r="AA130" s="8">
        <v>190395.31390000004</v>
      </c>
      <c r="AB130" s="8">
        <v>190395.31390000004</v>
      </c>
      <c r="AC130" s="8">
        <v>0</v>
      </c>
      <c r="AD130" s="8">
        <v>110879.89000000001</v>
      </c>
      <c r="AE130" s="8">
        <v>79515.423899999994</v>
      </c>
      <c r="AF130" s="8" t="s">
        <v>58</v>
      </c>
      <c r="AG130" s="1" t="s">
        <v>61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122</v>
      </c>
      <c r="BD130" s="56">
        <v>0</v>
      </c>
    </row>
    <row r="131" spans="1:56" ht="27.75" customHeight="1" x14ac:dyDescent="0.45">
      <c r="A131" s="3" t="s">
        <v>135</v>
      </c>
      <c r="B131" s="14" t="s">
        <v>135</v>
      </c>
      <c r="C131" s="9" t="s">
        <v>216</v>
      </c>
      <c r="D131" s="13" t="s">
        <v>216</v>
      </c>
      <c r="E131" s="9">
        <v>23</v>
      </c>
      <c r="F131" s="9">
        <v>34</v>
      </c>
      <c r="G131" s="9" t="s">
        <v>60</v>
      </c>
      <c r="H131" s="9">
        <v>0</v>
      </c>
      <c r="I131" s="9">
        <v>68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>
        <v>45930</v>
      </c>
      <c r="U131" s="11">
        <v>30000</v>
      </c>
      <c r="V131" s="10">
        <v>0</v>
      </c>
      <c r="W131" s="10">
        <v>30000</v>
      </c>
      <c r="X131" s="10">
        <v>0</v>
      </c>
      <c r="Y131" s="10">
        <v>31500</v>
      </c>
      <c r="Z131" s="9" t="s">
        <v>83</v>
      </c>
      <c r="AA131" s="8">
        <v>29756.100000000002</v>
      </c>
      <c r="AB131" s="8">
        <v>27294</v>
      </c>
      <c r="AC131" s="8">
        <v>2462.1000000000022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74</v>
      </c>
      <c r="AI131" s="1">
        <v>2</v>
      </c>
      <c r="AJ131" s="3">
        <v>45930</v>
      </c>
      <c r="AK131" s="3">
        <v>0</v>
      </c>
      <c r="AL131" s="3">
        <v>45921</v>
      </c>
      <c r="AM131" s="3">
        <v>45928</v>
      </c>
      <c r="AN131" s="3">
        <v>45929</v>
      </c>
      <c r="AO131" s="3">
        <v>45929</v>
      </c>
      <c r="AP131" s="3">
        <v>45925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184.04197500000012</v>
      </c>
    </row>
    <row r="132" spans="1:56" ht="27.75" customHeight="1" x14ac:dyDescent="0.45">
      <c r="A132" s="3" t="s">
        <v>135</v>
      </c>
      <c r="B132" s="14" t="s">
        <v>135</v>
      </c>
      <c r="C132" s="9" t="s">
        <v>221</v>
      </c>
      <c r="D132" s="13" t="s">
        <v>61</v>
      </c>
      <c r="E132" s="9">
        <v>23</v>
      </c>
      <c r="F132" s="9">
        <v>34</v>
      </c>
      <c r="G132" s="9" t="s">
        <v>60</v>
      </c>
      <c r="H132" s="9">
        <v>0</v>
      </c>
      <c r="I132" s="9">
        <v>68</v>
      </c>
      <c r="J132" s="9" t="s">
        <v>57</v>
      </c>
      <c r="K132" s="9">
        <v>5</v>
      </c>
      <c r="L132" s="9" t="s">
        <v>92</v>
      </c>
      <c r="M132" s="10">
        <v>24</v>
      </c>
      <c r="N132" s="9">
        <v>37</v>
      </c>
      <c r="O132" s="9">
        <v>50</v>
      </c>
      <c r="P132" s="10">
        <v>821.54158271999995</v>
      </c>
      <c r="Q132" s="10">
        <v>0</v>
      </c>
      <c r="R132" s="10">
        <v>821.54158271999995</v>
      </c>
      <c r="S132" s="9" t="s">
        <v>123</v>
      </c>
      <c r="T132" s="12">
        <v>45930</v>
      </c>
      <c r="U132" s="11">
        <v>30000</v>
      </c>
      <c r="V132" s="10">
        <v>0</v>
      </c>
      <c r="W132" s="10">
        <v>30000</v>
      </c>
      <c r="X132" s="10">
        <v>0</v>
      </c>
      <c r="Y132" s="10">
        <v>31500</v>
      </c>
      <c r="Z132" s="9" t="s">
        <v>83</v>
      </c>
      <c r="AA132" s="8">
        <v>29756.100000000002</v>
      </c>
      <c r="AB132" s="8">
        <v>0</v>
      </c>
      <c r="AC132" s="8">
        <v>29756.100000000002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72</v>
      </c>
      <c r="AI132" s="1">
        <v>3</v>
      </c>
      <c r="AJ132" s="3">
        <v>45930</v>
      </c>
      <c r="AK132" s="3">
        <v>0</v>
      </c>
      <c r="AL132" s="3">
        <v>45920</v>
      </c>
      <c r="AM132" s="3">
        <v>45927</v>
      </c>
      <c r="AN132" s="3">
        <v>45928</v>
      </c>
      <c r="AO132" s="3">
        <v>45928</v>
      </c>
      <c r="AP132" s="3">
        <v>45925</v>
      </c>
      <c r="AQ132" s="3">
        <v>45929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2224.2684750000003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23</v>
      </c>
      <c r="F133" s="9">
        <v>34</v>
      </c>
      <c r="G133" s="9" t="s">
        <v>60</v>
      </c>
      <c r="H133" s="9">
        <v>0</v>
      </c>
      <c r="I133" s="9">
        <v>68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83</v>
      </c>
      <c r="AA133" s="8">
        <v>59512.200000000004</v>
      </c>
      <c r="AB133" s="8">
        <v>27294</v>
      </c>
      <c r="AC133" s="8">
        <v>32218.200000000004</v>
      </c>
      <c r="AD133" s="8">
        <v>0</v>
      </c>
      <c r="AE133" s="8">
        <v>0</v>
      </c>
      <c r="AF133" s="8" t="s">
        <v>58</v>
      </c>
      <c r="AG133" s="1" t="s">
        <v>118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7.75" customHeight="1" x14ac:dyDescent="0.45">
      <c r="A134" s="3">
        <v>45901</v>
      </c>
      <c r="B134" s="14" t="s">
        <v>426</v>
      </c>
      <c r="C134" s="9" t="s">
        <v>147</v>
      </c>
      <c r="D134" s="13" t="s">
        <v>59</v>
      </c>
      <c r="E134" s="9">
        <v>23</v>
      </c>
      <c r="F134" s="9">
        <v>37</v>
      </c>
      <c r="G134" s="9" t="s">
        <v>60</v>
      </c>
      <c r="H134" s="9">
        <v>0</v>
      </c>
      <c r="I134" s="9">
        <v>85</v>
      </c>
      <c r="J134" s="9" t="s">
        <v>57</v>
      </c>
      <c r="K134" s="9">
        <v>5</v>
      </c>
      <c r="L134" s="9" t="s">
        <v>92</v>
      </c>
      <c r="M134" s="10">
        <v>24</v>
      </c>
      <c r="N134" s="9">
        <v>40</v>
      </c>
      <c r="O134" s="9">
        <v>40</v>
      </c>
      <c r="P134" s="10">
        <v>0</v>
      </c>
      <c r="Q134" s="10">
        <v>0</v>
      </c>
      <c r="R134" s="10">
        <v>0</v>
      </c>
      <c r="S134" s="9" t="s">
        <v>71</v>
      </c>
      <c r="T134" s="12">
        <v>45909</v>
      </c>
      <c r="U134" s="11">
        <v>5000</v>
      </c>
      <c r="V134" s="10">
        <v>5000</v>
      </c>
      <c r="W134" s="10">
        <v>0</v>
      </c>
      <c r="X134" s="10">
        <v>0</v>
      </c>
      <c r="Y134" s="10">
        <v>0</v>
      </c>
      <c r="Z134" s="9" t="s">
        <v>418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313</v>
      </c>
      <c r="AI134" s="1">
        <v>2</v>
      </c>
      <c r="AJ134" s="3">
        <v>45909</v>
      </c>
      <c r="AK134" s="3">
        <v>0</v>
      </c>
      <c r="AL134" s="3">
        <v>0</v>
      </c>
      <c r="AM134" s="3">
        <v>0</v>
      </c>
      <c r="AN134" s="3">
        <v>0</v>
      </c>
      <c r="AO134" s="3">
        <v>45907</v>
      </c>
      <c r="AP134" s="3">
        <v>45904</v>
      </c>
      <c r="AQ134" s="3">
        <v>45908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419</v>
      </c>
      <c r="BD134" s="56">
        <v>0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37</v>
      </c>
      <c r="G135" s="9" t="s">
        <v>60</v>
      </c>
      <c r="H135" s="9">
        <v>0</v>
      </c>
      <c r="I135" s="9">
        <v>85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418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58</v>
      </c>
      <c r="AG135" s="1" t="s">
        <v>115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419</v>
      </c>
      <c r="BD135" s="56">
        <v>0</v>
      </c>
    </row>
    <row r="136" spans="1:56" ht="27.75" customHeight="1" x14ac:dyDescent="0.45">
      <c r="A136" s="3">
        <v>45727</v>
      </c>
      <c r="B136" s="14" t="s">
        <v>240</v>
      </c>
      <c r="C136" s="9" t="s">
        <v>111</v>
      </c>
      <c r="D136" s="13" t="s">
        <v>59</v>
      </c>
      <c r="E136" s="9">
        <v>23</v>
      </c>
      <c r="F136" s="9">
        <v>40</v>
      </c>
      <c r="G136" s="9" t="s">
        <v>60</v>
      </c>
      <c r="H136" s="9" t="s">
        <v>66</v>
      </c>
      <c r="I136" s="9">
        <v>125</v>
      </c>
      <c r="J136" s="9" t="s">
        <v>57</v>
      </c>
      <c r="K136" s="9">
        <v>5</v>
      </c>
      <c r="L136" s="9" t="s">
        <v>196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1000</v>
      </c>
      <c r="V136" s="10">
        <v>0</v>
      </c>
      <c r="W136" s="10">
        <v>1000</v>
      </c>
      <c r="X136" s="10">
        <v>0</v>
      </c>
      <c r="Y136" s="10">
        <v>0</v>
      </c>
      <c r="Z136" s="9" t="s">
        <v>213</v>
      </c>
      <c r="AA136" s="8">
        <v>1159.5100000000002</v>
      </c>
      <c r="AB136" s="8">
        <v>1159.5100000000002</v>
      </c>
      <c r="AC136" s="8">
        <v>0</v>
      </c>
      <c r="AD136" s="8">
        <v>1159.5100000000002</v>
      </c>
      <c r="AE136" s="8">
        <v>0</v>
      </c>
      <c r="AF136" s="8" t="s">
        <v>215</v>
      </c>
      <c r="AG136" s="1" t="s">
        <v>115</v>
      </c>
      <c r="AH136" s="1" t="s">
        <v>146</v>
      </c>
      <c r="AI136" s="1">
        <v>2</v>
      </c>
      <c r="AJ136" s="3" t="s">
        <v>63</v>
      </c>
      <c r="AK136" s="3" t="e">
        <v>#VALUE!</v>
      </c>
      <c r="AL136" s="3">
        <v>0</v>
      </c>
      <c r="AM136" s="3">
        <v>0</v>
      </c>
      <c r="AN136" s="3">
        <v>0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143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0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37</v>
      </c>
      <c r="G137" s="9">
        <v>0</v>
      </c>
      <c r="H137" s="9">
        <v>0</v>
      </c>
      <c r="I137" s="9">
        <v>85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213</v>
      </c>
      <c r="AA137" s="8">
        <v>1159.5100000000002</v>
      </c>
      <c r="AB137" s="8">
        <v>1159.5100000000002</v>
      </c>
      <c r="AC137" s="8">
        <v>0</v>
      </c>
      <c r="AD137" s="8">
        <v>1159.5100000000002</v>
      </c>
      <c r="AE137" s="8">
        <v>0</v>
      </c>
      <c r="AF137" s="8" t="s">
        <v>58</v>
      </c>
      <c r="AG137" s="1" t="s">
        <v>115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214</v>
      </c>
      <c r="BD137" s="56">
        <v>0</v>
      </c>
    </row>
    <row r="138" spans="1:56" ht="27.75" customHeight="1" x14ac:dyDescent="0.45">
      <c r="A138" s="3">
        <v>45601</v>
      </c>
      <c r="B138" s="14" t="s">
        <v>193</v>
      </c>
      <c r="C138" s="9" t="s">
        <v>93</v>
      </c>
      <c r="D138" s="13" t="s">
        <v>142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91</v>
      </c>
      <c r="M138" s="10">
        <v>24</v>
      </c>
      <c r="N138" s="9">
        <v>40</v>
      </c>
      <c r="O138" s="9">
        <v>55</v>
      </c>
      <c r="P138" s="10">
        <v>3207.7128103679997</v>
      </c>
      <c r="Q138" s="10">
        <v>0</v>
      </c>
      <c r="R138" s="10">
        <v>3207.7128103679997</v>
      </c>
      <c r="S138" s="9" t="s">
        <v>299</v>
      </c>
      <c r="T138" s="12" t="s">
        <v>63</v>
      </c>
      <c r="U138" s="11">
        <v>100000</v>
      </c>
      <c r="V138" s="10">
        <v>1500</v>
      </c>
      <c r="W138" s="10">
        <v>98500</v>
      </c>
      <c r="X138" s="10">
        <v>0</v>
      </c>
      <c r="Y138" s="10">
        <v>103425</v>
      </c>
      <c r="Z138" s="9" t="s">
        <v>99</v>
      </c>
      <c r="AA138" s="8">
        <v>105955.465</v>
      </c>
      <c r="AB138" s="8">
        <v>7595</v>
      </c>
      <c r="AC138" s="8">
        <v>98360.464999999997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72</v>
      </c>
      <c r="AI138" s="1">
        <v>3</v>
      </c>
      <c r="AJ138" s="3" t="s">
        <v>63</v>
      </c>
      <c r="AK138" s="3">
        <v>0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 t="e">
        <v>#VALUE!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113</v>
      </c>
      <c r="BD138" s="56">
        <v>12600.330757068057</v>
      </c>
    </row>
    <row r="139" spans="1:56" ht="27.75" customHeight="1" x14ac:dyDescent="0.45">
      <c r="A139" s="3">
        <v>45601</v>
      </c>
      <c r="B139" s="14" t="s">
        <v>193</v>
      </c>
      <c r="C139" s="9" t="s">
        <v>93</v>
      </c>
      <c r="D139" s="13" t="s">
        <v>142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40</v>
      </c>
      <c r="O139" s="9">
        <v>55</v>
      </c>
      <c r="P139" s="10">
        <v>11003.203948644863</v>
      </c>
      <c r="Q139" s="10">
        <v>0</v>
      </c>
      <c r="R139" s="10">
        <v>11003.203948644863</v>
      </c>
      <c r="S139" s="9" t="s">
        <v>299</v>
      </c>
      <c r="T139" s="12" t="s">
        <v>63</v>
      </c>
      <c r="U139" s="11">
        <v>337878</v>
      </c>
      <c r="V139" s="10">
        <v>0</v>
      </c>
      <c r="W139" s="10">
        <v>337878</v>
      </c>
      <c r="X139" s="10">
        <v>0</v>
      </c>
      <c r="Y139" s="10">
        <v>354771.9</v>
      </c>
      <c r="Z139" s="9" t="s">
        <v>99</v>
      </c>
      <c r="AA139" s="8">
        <v>363451.98582000006</v>
      </c>
      <c r="AB139" s="8">
        <v>0</v>
      </c>
      <c r="AC139" s="8">
        <v>363451.98582000006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72</v>
      </c>
      <c r="AI139" s="1">
        <v>3</v>
      </c>
      <c r="AJ139" s="3" t="s">
        <v>63</v>
      </c>
      <c r="AK139" s="3">
        <v>0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113</v>
      </c>
      <c r="BD139" s="56">
        <v>46559.511849046357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23</v>
      </c>
      <c r="F140" s="9">
        <v>37</v>
      </c>
      <c r="G140" s="9">
        <v>0</v>
      </c>
      <c r="H140" s="9">
        <v>0</v>
      </c>
      <c r="I140" s="9">
        <v>128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99</v>
      </c>
      <c r="AA140" s="8">
        <v>469407.45082000003</v>
      </c>
      <c r="AB140" s="8">
        <v>7595</v>
      </c>
      <c r="AC140" s="8">
        <v>461812.45082000003</v>
      </c>
      <c r="AD140" s="8">
        <v>0</v>
      </c>
      <c r="AE140" s="8">
        <v>0</v>
      </c>
      <c r="AF140" s="8" t="s">
        <v>58</v>
      </c>
      <c r="AG140" s="1" t="s">
        <v>115</v>
      </c>
      <c r="AH140" s="1">
        <v>0</v>
      </c>
      <c r="AI140" s="1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114</v>
      </c>
      <c r="BD140" s="56">
        <v>0</v>
      </c>
    </row>
    <row r="141" spans="1:56" ht="27.75" customHeight="1" x14ac:dyDescent="0.45">
      <c r="A141" s="3">
        <v>45894</v>
      </c>
      <c r="B141" s="14" t="s">
        <v>381</v>
      </c>
      <c r="C141" s="9" t="s">
        <v>137</v>
      </c>
      <c r="D141" s="13" t="s">
        <v>59</v>
      </c>
      <c r="E141" s="9">
        <v>26</v>
      </c>
      <c r="F141" s="9">
        <v>39</v>
      </c>
      <c r="G141" s="9" t="s">
        <v>60</v>
      </c>
      <c r="H141" s="9">
        <v>0</v>
      </c>
      <c r="I141" s="9">
        <v>93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123</v>
      </c>
      <c r="T141" s="12">
        <v>45904</v>
      </c>
      <c r="U141" s="11">
        <v>5000</v>
      </c>
      <c r="V141" s="10">
        <v>1800</v>
      </c>
      <c r="W141" s="10">
        <v>3200</v>
      </c>
      <c r="X141" s="10">
        <v>0</v>
      </c>
      <c r="Y141" s="10">
        <v>0</v>
      </c>
      <c r="Z141" s="9" t="s">
        <v>84</v>
      </c>
      <c r="AA141" s="8">
        <v>3621.0239999999999</v>
      </c>
      <c r="AB141" s="8">
        <v>3621.0239999999999</v>
      </c>
      <c r="AC141" s="8">
        <v>0</v>
      </c>
      <c r="AD141" s="8">
        <v>0</v>
      </c>
      <c r="AE141" s="8">
        <v>0</v>
      </c>
      <c r="AF141" s="8">
        <v>0</v>
      </c>
      <c r="AG141" s="1" t="s">
        <v>115</v>
      </c>
      <c r="AH141" s="1" t="s">
        <v>77</v>
      </c>
      <c r="AI141" s="1">
        <v>1</v>
      </c>
      <c r="AJ141" s="3">
        <v>45904</v>
      </c>
      <c r="AK141" s="3">
        <v>0</v>
      </c>
      <c r="AL141" s="3">
        <v>0</v>
      </c>
      <c r="AM141" s="3">
        <v>0</v>
      </c>
      <c r="AN141" s="3">
        <v>0</v>
      </c>
      <c r="AO141" s="3">
        <v>45903</v>
      </c>
      <c r="AP141" s="3">
        <v>45899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7.75" customHeight="1" x14ac:dyDescent="0.45">
      <c r="A142" s="3" t="s">
        <v>135</v>
      </c>
      <c r="B142" s="14" t="s">
        <v>135</v>
      </c>
      <c r="C142" s="9" t="s">
        <v>179</v>
      </c>
      <c r="D142" s="13" t="s">
        <v>61</v>
      </c>
      <c r="E142" s="9">
        <v>26</v>
      </c>
      <c r="F142" s="9">
        <v>41</v>
      </c>
      <c r="G142" s="9" t="s">
        <v>60</v>
      </c>
      <c r="H142" s="9">
        <v>0</v>
      </c>
      <c r="I142" s="9">
        <v>97</v>
      </c>
      <c r="J142" s="9" t="s">
        <v>57</v>
      </c>
      <c r="K142" s="9">
        <v>5</v>
      </c>
      <c r="L142" s="9" t="s">
        <v>91</v>
      </c>
      <c r="M142" s="10">
        <v>27</v>
      </c>
      <c r="N142" s="9">
        <v>43</v>
      </c>
      <c r="O142" s="9">
        <v>40</v>
      </c>
      <c r="P142" s="10">
        <v>229.14349009919997</v>
      </c>
      <c r="Q142" s="10">
        <v>0</v>
      </c>
      <c r="R142" s="10">
        <v>229.14349009919997</v>
      </c>
      <c r="S142" s="9" t="s">
        <v>185</v>
      </c>
      <c r="T142" s="12">
        <v>45930</v>
      </c>
      <c r="U142" s="11">
        <v>8000</v>
      </c>
      <c r="V142" s="10">
        <v>0</v>
      </c>
      <c r="W142" s="10">
        <v>8000</v>
      </c>
      <c r="X142" s="10">
        <v>0</v>
      </c>
      <c r="Y142" s="10">
        <v>8400</v>
      </c>
      <c r="Z142" s="9" t="s">
        <v>84</v>
      </c>
      <c r="AA142" s="8">
        <v>9499.6</v>
      </c>
      <c r="AB142" s="8">
        <v>0</v>
      </c>
      <c r="AC142" s="8">
        <v>9499.6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72</v>
      </c>
      <c r="AI142" s="1">
        <v>3</v>
      </c>
      <c r="AJ142" s="3">
        <v>45930</v>
      </c>
      <c r="AK142" s="3">
        <v>0</v>
      </c>
      <c r="AL142" s="3">
        <v>45920</v>
      </c>
      <c r="AM142" s="3">
        <v>45927</v>
      </c>
      <c r="AN142" s="3">
        <v>45928</v>
      </c>
      <c r="AO142" s="3">
        <v>45928</v>
      </c>
      <c r="AP142" s="3">
        <v>45925</v>
      </c>
      <c r="AQ142" s="3">
        <v>45929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767.03992444444452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26</v>
      </c>
      <c r="F143" s="9">
        <v>43</v>
      </c>
      <c r="G143" s="9" t="s">
        <v>60</v>
      </c>
      <c r="H143" s="9">
        <v>0</v>
      </c>
      <c r="I143" s="9">
        <v>102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84</v>
      </c>
      <c r="AA143" s="8">
        <v>13120.624</v>
      </c>
      <c r="AB143" s="8">
        <v>3621.0239999999999</v>
      </c>
      <c r="AC143" s="8">
        <v>9499.6</v>
      </c>
      <c r="AD143" s="8">
        <v>0</v>
      </c>
      <c r="AE143" s="8">
        <v>0</v>
      </c>
      <c r="AF143" s="8" t="s">
        <v>58</v>
      </c>
      <c r="AG143" s="1" t="s">
        <v>115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7.75" customHeight="1" x14ac:dyDescent="0.45">
      <c r="A144" s="3" t="s">
        <v>135</v>
      </c>
      <c r="B144" s="14" t="s">
        <v>135</v>
      </c>
      <c r="C144" s="9" t="s">
        <v>109</v>
      </c>
      <c r="D144" s="13" t="s">
        <v>59</v>
      </c>
      <c r="E144" s="9">
        <v>26</v>
      </c>
      <c r="F144" s="9">
        <v>43</v>
      </c>
      <c r="G144" s="9" t="s">
        <v>60</v>
      </c>
      <c r="H144" s="9">
        <v>0</v>
      </c>
      <c r="I144" s="9">
        <v>116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110</v>
      </c>
      <c r="T144" s="12">
        <v>45925</v>
      </c>
      <c r="U144" s="11">
        <v>10000</v>
      </c>
      <c r="V144" s="10">
        <v>0</v>
      </c>
      <c r="W144" s="10">
        <v>10000</v>
      </c>
      <c r="X144" s="10">
        <v>0</v>
      </c>
      <c r="Y144" s="10">
        <v>0</v>
      </c>
      <c r="Z144" s="9" t="s">
        <v>197</v>
      </c>
      <c r="AA144" s="8">
        <v>12433.3</v>
      </c>
      <c r="AB144" s="8">
        <v>12433.3</v>
      </c>
      <c r="AC144" s="8">
        <v>0</v>
      </c>
      <c r="AD144" s="8">
        <v>0</v>
      </c>
      <c r="AE144" s="8">
        <v>0</v>
      </c>
      <c r="AF144" s="8">
        <v>0</v>
      </c>
      <c r="AG144" s="1" t="s">
        <v>118</v>
      </c>
      <c r="AH144" s="1" t="s">
        <v>77</v>
      </c>
      <c r="AI144" s="1">
        <v>1</v>
      </c>
      <c r="AJ144" s="3">
        <v>45925</v>
      </c>
      <c r="AK144" s="3">
        <v>0</v>
      </c>
      <c r="AL144" s="3">
        <v>0</v>
      </c>
      <c r="AM144" s="3">
        <v>0</v>
      </c>
      <c r="AN144" s="3">
        <v>0</v>
      </c>
      <c r="AO144" s="3">
        <v>45924</v>
      </c>
      <c r="AP144" s="3">
        <v>45920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102</v>
      </c>
      <c r="BD144" s="56">
        <v>0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26</v>
      </c>
      <c r="F145" s="9">
        <v>43</v>
      </c>
      <c r="G145" s="9">
        <v>0</v>
      </c>
      <c r="H145" s="9">
        <v>0</v>
      </c>
      <c r="I145" s="9">
        <v>116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197</v>
      </c>
      <c r="AA145" s="8">
        <v>12433.3</v>
      </c>
      <c r="AB145" s="8">
        <v>12433.3</v>
      </c>
      <c r="AC145" s="8">
        <v>0</v>
      </c>
      <c r="AD145" s="8">
        <v>0</v>
      </c>
      <c r="AE145" s="8">
        <v>0</v>
      </c>
      <c r="AF145" s="8" t="s">
        <v>58</v>
      </c>
      <c r="AG145" s="1" t="s">
        <v>118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198</v>
      </c>
      <c r="BD145" s="56">
        <v>0</v>
      </c>
    </row>
    <row r="146" spans="1:56" ht="27.75" customHeight="1" x14ac:dyDescent="0.45">
      <c r="A146" s="3">
        <v>45901</v>
      </c>
      <c r="B146" s="14" t="s">
        <v>427</v>
      </c>
      <c r="C146" s="9" t="s">
        <v>109</v>
      </c>
      <c r="D146" s="13" t="s">
        <v>144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150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110</v>
      </c>
      <c r="T146" s="12">
        <v>45908</v>
      </c>
      <c r="U146" s="11">
        <v>30000</v>
      </c>
      <c r="V146" s="10">
        <v>0</v>
      </c>
      <c r="W146" s="10">
        <v>30000</v>
      </c>
      <c r="X146" s="10">
        <v>3250</v>
      </c>
      <c r="Y146" s="10">
        <v>28087.5</v>
      </c>
      <c r="Z146" s="9" t="s">
        <v>88</v>
      </c>
      <c r="AA146" s="8">
        <v>34922.031374999999</v>
      </c>
      <c r="AB146" s="8">
        <v>34922.031374999999</v>
      </c>
      <c r="AC146" s="8">
        <v>0</v>
      </c>
      <c r="AD146" s="8">
        <v>0</v>
      </c>
      <c r="AE146" s="8">
        <v>34922.031374999999</v>
      </c>
      <c r="AF146" s="8">
        <v>0</v>
      </c>
      <c r="AG146" s="1" t="s">
        <v>116</v>
      </c>
      <c r="AH146" s="1" t="s">
        <v>75</v>
      </c>
      <c r="AI146" s="1">
        <v>4</v>
      </c>
      <c r="AJ146" s="3">
        <v>45908</v>
      </c>
      <c r="AK146" s="3">
        <v>45904</v>
      </c>
      <c r="AL146" s="3">
        <v>45897</v>
      </c>
      <c r="AM146" s="3">
        <v>45905</v>
      </c>
      <c r="AN146" s="3">
        <v>45906</v>
      </c>
      <c r="AO146" s="3">
        <v>45907</v>
      </c>
      <c r="AP146" s="3">
        <v>45903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>
        <v>0</v>
      </c>
      <c r="AY146" s="2" t="s">
        <v>443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7.75" customHeight="1" x14ac:dyDescent="0.45">
      <c r="A147" s="3">
        <v>45898</v>
      </c>
      <c r="B147" s="14" t="s">
        <v>420</v>
      </c>
      <c r="C147" s="9" t="s">
        <v>109</v>
      </c>
      <c r="D147" s="13" t="s">
        <v>59</v>
      </c>
      <c r="E147" s="9">
        <v>26</v>
      </c>
      <c r="F147" s="9">
        <v>43</v>
      </c>
      <c r="G147" s="9" t="s">
        <v>60</v>
      </c>
      <c r="H147" s="9" t="s">
        <v>66</v>
      </c>
      <c r="I147" s="9">
        <v>150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45909</v>
      </c>
      <c r="U147" s="11">
        <v>15000</v>
      </c>
      <c r="V147" s="10">
        <v>0</v>
      </c>
      <c r="W147" s="10">
        <v>15000</v>
      </c>
      <c r="X147" s="10">
        <v>0</v>
      </c>
      <c r="Y147" s="10">
        <v>0</v>
      </c>
      <c r="Z147" s="9" t="s">
        <v>88</v>
      </c>
      <c r="AA147" s="8">
        <v>18649.949999999997</v>
      </c>
      <c r="AB147" s="8">
        <v>18649.949999999997</v>
      </c>
      <c r="AC147" s="8">
        <v>0</v>
      </c>
      <c r="AD147" s="8">
        <v>0</v>
      </c>
      <c r="AE147" s="8">
        <v>18649.949999999997</v>
      </c>
      <c r="AF147" s="8">
        <v>0</v>
      </c>
      <c r="AG147" s="1" t="s">
        <v>116</v>
      </c>
      <c r="AH147" s="1" t="s">
        <v>146</v>
      </c>
      <c r="AI147" s="1">
        <v>2</v>
      </c>
      <c r="AJ147" s="3">
        <v>45909</v>
      </c>
      <c r="AK147" s="3">
        <v>45907</v>
      </c>
      <c r="AL147" s="3">
        <v>0</v>
      </c>
      <c r="AM147" s="3">
        <v>0</v>
      </c>
      <c r="AN147" s="3">
        <v>0</v>
      </c>
      <c r="AO147" s="3">
        <v>45908</v>
      </c>
      <c r="AP147" s="3">
        <v>45904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143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7.75" customHeight="1" x14ac:dyDescent="0.45">
      <c r="A148" s="3">
        <v>45898</v>
      </c>
      <c r="B148" s="14" t="s">
        <v>421</v>
      </c>
      <c r="C148" s="9" t="s">
        <v>109</v>
      </c>
      <c r="D148" s="13" t="s">
        <v>59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110</v>
      </c>
      <c r="T148" s="12">
        <v>45917</v>
      </c>
      <c r="U148" s="11">
        <v>15000</v>
      </c>
      <c r="V148" s="10">
        <v>0</v>
      </c>
      <c r="W148" s="10">
        <v>15000</v>
      </c>
      <c r="X148" s="10">
        <v>0</v>
      </c>
      <c r="Y148" s="10">
        <v>0</v>
      </c>
      <c r="Z148" s="9" t="s">
        <v>88</v>
      </c>
      <c r="AA148" s="8">
        <v>18649.949999999997</v>
      </c>
      <c r="AB148" s="8">
        <v>18649.949999999997</v>
      </c>
      <c r="AC148" s="8">
        <v>0</v>
      </c>
      <c r="AD148" s="8">
        <v>0</v>
      </c>
      <c r="AE148" s="8">
        <v>18649.949999999997</v>
      </c>
      <c r="AF148" s="8">
        <v>0</v>
      </c>
      <c r="AG148" s="1" t="s">
        <v>115</v>
      </c>
      <c r="AH148" s="1" t="s">
        <v>146</v>
      </c>
      <c r="AI148" s="1">
        <v>2</v>
      </c>
      <c r="AJ148" s="3">
        <v>45917</v>
      </c>
      <c r="AK148" s="3">
        <v>45915</v>
      </c>
      <c r="AL148" s="3">
        <v>0</v>
      </c>
      <c r="AM148" s="3">
        <v>0</v>
      </c>
      <c r="AN148" s="3">
        <v>0</v>
      </c>
      <c r="AO148" s="3">
        <v>45916</v>
      </c>
      <c r="AP148" s="3">
        <v>45912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143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0</v>
      </c>
    </row>
    <row r="149" spans="1:56" ht="27.75" customHeight="1" x14ac:dyDescent="0.45">
      <c r="A149" s="3">
        <v>45901</v>
      </c>
      <c r="B149" s="14" t="s">
        <v>428</v>
      </c>
      <c r="C149" s="9" t="s">
        <v>109</v>
      </c>
      <c r="D149" s="13" t="s">
        <v>144</v>
      </c>
      <c r="E149" s="9">
        <v>26</v>
      </c>
      <c r="F149" s="9">
        <v>43</v>
      </c>
      <c r="G149" s="9" t="s">
        <v>60</v>
      </c>
      <c r="H149" s="9" t="s">
        <v>66</v>
      </c>
      <c r="I149" s="9">
        <v>150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110</v>
      </c>
      <c r="T149" s="12">
        <v>45930</v>
      </c>
      <c r="U149" s="11">
        <v>30000</v>
      </c>
      <c r="V149" s="10">
        <v>0</v>
      </c>
      <c r="W149" s="10">
        <v>30000</v>
      </c>
      <c r="X149" s="10">
        <v>0</v>
      </c>
      <c r="Y149" s="10">
        <v>31500</v>
      </c>
      <c r="Z149" s="9" t="s">
        <v>88</v>
      </c>
      <c r="AA149" s="8">
        <v>37299.899999999994</v>
      </c>
      <c r="AB149" s="8">
        <v>0</v>
      </c>
      <c r="AC149" s="8">
        <v>37299.899999999994</v>
      </c>
      <c r="AD149" s="8">
        <v>0</v>
      </c>
      <c r="AE149" s="8">
        <v>37299.899999999994</v>
      </c>
      <c r="AF149" s="8">
        <v>0</v>
      </c>
      <c r="AG149" s="1" t="s">
        <v>115</v>
      </c>
      <c r="AH149" s="1" t="s">
        <v>75</v>
      </c>
      <c r="AI149" s="1">
        <v>4</v>
      </c>
      <c r="AJ149" s="3">
        <v>45930</v>
      </c>
      <c r="AK149" s="3">
        <v>45926</v>
      </c>
      <c r="AL149" s="3">
        <v>45919</v>
      </c>
      <c r="AM149" s="3">
        <v>45927</v>
      </c>
      <c r="AN149" s="3">
        <v>45928</v>
      </c>
      <c r="AO149" s="3">
        <v>45929</v>
      </c>
      <c r="AP149" s="3">
        <v>45925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3846.8630200000002</v>
      </c>
    </row>
    <row r="150" spans="1:56" ht="27.75" customHeight="1" x14ac:dyDescent="0.45">
      <c r="A150" s="3">
        <v>45901</v>
      </c>
      <c r="B150" s="14" t="s">
        <v>429</v>
      </c>
      <c r="C150" s="9" t="s">
        <v>109</v>
      </c>
      <c r="D150" s="13" t="s">
        <v>144</v>
      </c>
      <c r="E150" s="9">
        <v>26</v>
      </c>
      <c r="F150" s="9">
        <v>43</v>
      </c>
      <c r="G150" s="9" t="s">
        <v>60</v>
      </c>
      <c r="H150" s="9" t="s">
        <v>66</v>
      </c>
      <c r="I150" s="9">
        <v>150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110</v>
      </c>
      <c r="T150" s="12">
        <v>45945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88</v>
      </c>
      <c r="AA150" s="8">
        <v>12433.3</v>
      </c>
      <c r="AB150" s="8">
        <v>0</v>
      </c>
      <c r="AC150" s="8">
        <v>12433.3</v>
      </c>
      <c r="AD150" s="8">
        <v>0</v>
      </c>
      <c r="AE150" s="8">
        <v>12433.3</v>
      </c>
      <c r="AF150" s="8">
        <v>0</v>
      </c>
      <c r="AG150" s="1" t="s">
        <v>115</v>
      </c>
      <c r="AH150" s="1" t="s">
        <v>75</v>
      </c>
      <c r="AI150" s="1">
        <v>4</v>
      </c>
      <c r="AJ150" s="3">
        <v>45945</v>
      </c>
      <c r="AK150" s="3">
        <v>45941</v>
      </c>
      <c r="AL150" s="3">
        <v>45934</v>
      </c>
      <c r="AM150" s="3">
        <v>45942</v>
      </c>
      <c r="AN150" s="3">
        <v>45943</v>
      </c>
      <c r="AO150" s="3">
        <v>45944</v>
      </c>
      <c r="AP150" s="3">
        <v>45940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1282.2876733333333</v>
      </c>
    </row>
    <row r="151" spans="1:56" ht="27.75" customHeight="1" x14ac:dyDescent="0.45">
      <c r="A151" s="3">
        <v>0</v>
      </c>
      <c r="B151" s="14">
        <v>0</v>
      </c>
      <c r="C151" s="9">
        <v>0</v>
      </c>
      <c r="D151" s="13">
        <v>0</v>
      </c>
      <c r="E151" s="9">
        <v>26</v>
      </c>
      <c r="F151" s="9">
        <v>43</v>
      </c>
      <c r="G151" s="9">
        <v>0</v>
      </c>
      <c r="H151" s="9">
        <v>0</v>
      </c>
      <c r="I151" s="9">
        <v>120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88</v>
      </c>
      <c r="AA151" s="8">
        <v>121955.13137499998</v>
      </c>
      <c r="AB151" s="8">
        <v>72221.931374999986</v>
      </c>
      <c r="AC151" s="8">
        <v>49733.2</v>
      </c>
      <c r="AD151" s="8">
        <v>0</v>
      </c>
      <c r="AE151" s="8">
        <v>121955.13137499998</v>
      </c>
      <c r="AF151" s="8" t="s">
        <v>58</v>
      </c>
      <c r="AG151" s="1" t="s">
        <v>117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0</v>
      </c>
    </row>
    <row r="152" spans="1:56" ht="27.75" customHeight="1" x14ac:dyDescent="0.45">
      <c r="A152" s="3">
        <v>45857</v>
      </c>
      <c r="B152" s="14" t="s">
        <v>300</v>
      </c>
      <c r="C152" s="9" t="s">
        <v>147</v>
      </c>
      <c r="D152" s="13" t="s">
        <v>148</v>
      </c>
      <c r="E152" s="9">
        <v>28</v>
      </c>
      <c r="F152" s="9">
        <v>41</v>
      </c>
      <c r="G152" s="9" t="s">
        <v>60</v>
      </c>
      <c r="H152" s="9">
        <v>0</v>
      </c>
      <c r="I152" s="9">
        <v>120</v>
      </c>
      <c r="J152" s="9" t="s">
        <v>78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71</v>
      </c>
      <c r="T152" s="12">
        <v>45909</v>
      </c>
      <c r="U152" s="11">
        <v>3000</v>
      </c>
      <c r="V152" s="10">
        <v>2841</v>
      </c>
      <c r="W152" s="10">
        <v>159</v>
      </c>
      <c r="X152" s="10">
        <v>34283</v>
      </c>
      <c r="Y152" s="10">
        <v>0</v>
      </c>
      <c r="Z152" s="9" t="s">
        <v>127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118</v>
      </c>
      <c r="AH152" s="1" t="s">
        <v>74</v>
      </c>
      <c r="AI152" s="1">
        <v>2</v>
      </c>
      <c r="AJ152" s="3">
        <v>45909</v>
      </c>
      <c r="AK152" s="3">
        <v>0</v>
      </c>
      <c r="AL152" s="3">
        <v>45900</v>
      </c>
      <c r="AM152" s="3">
        <v>45907</v>
      </c>
      <c r="AN152" s="3">
        <v>45908</v>
      </c>
      <c r="AO152" s="3">
        <v>45908</v>
      </c>
      <c r="AP152" s="3">
        <v>45904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0</v>
      </c>
    </row>
    <row r="153" spans="1:56" ht="27.75" customHeight="1" x14ac:dyDescent="0.45">
      <c r="A153" s="3">
        <v>45895</v>
      </c>
      <c r="B153" s="14" t="s">
        <v>382</v>
      </c>
      <c r="C153" s="9" t="s">
        <v>147</v>
      </c>
      <c r="D153" s="13" t="s">
        <v>148</v>
      </c>
      <c r="E153" s="9">
        <v>28</v>
      </c>
      <c r="F153" s="9">
        <v>41</v>
      </c>
      <c r="G153" s="9" t="s">
        <v>60</v>
      </c>
      <c r="H153" s="9">
        <v>0</v>
      </c>
      <c r="I153" s="9">
        <v>120</v>
      </c>
      <c r="J153" s="9" t="s">
        <v>78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45909</v>
      </c>
      <c r="U153" s="11">
        <v>50000</v>
      </c>
      <c r="V153" s="10">
        <v>30000</v>
      </c>
      <c r="W153" s="10">
        <v>20000</v>
      </c>
      <c r="X153" s="10">
        <v>53544</v>
      </c>
      <c r="Y153" s="10">
        <v>0</v>
      </c>
      <c r="Z153" s="9" t="s">
        <v>127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115</v>
      </c>
      <c r="AH153" s="1" t="s">
        <v>74</v>
      </c>
      <c r="AI153" s="1">
        <v>2</v>
      </c>
      <c r="AJ153" s="3">
        <v>45909</v>
      </c>
      <c r="AK153" s="3">
        <v>0</v>
      </c>
      <c r="AL153" s="3">
        <v>45900</v>
      </c>
      <c r="AM153" s="3">
        <v>45907</v>
      </c>
      <c r="AN153" s="3">
        <v>45908</v>
      </c>
      <c r="AO153" s="3">
        <v>45908</v>
      </c>
      <c r="AP153" s="3">
        <v>45904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0</v>
      </c>
    </row>
    <row r="154" spans="1:56" ht="27.75" customHeight="1" x14ac:dyDescent="0.45">
      <c r="A154" s="3" t="s">
        <v>135</v>
      </c>
      <c r="B154" s="14" t="s">
        <v>135</v>
      </c>
      <c r="C154" s="9" t="s">
        <v>147</v>
      </c>
      <c r="D154" s="13" t="s">
        <v>148</v>
      </c>
      <c r="E154" s="9">
        <v>28</v>
      </c>
      <c r="F154" s="9">
        <v>41</v>
      </c>
      <c r="G154" s="9" t="s">
        <v>60</v>
      </c>
      <c r="H154" s="9">
        <v>0</v>
      </c>
      <c r="I154" s="9">
        <v>120</v>
      </c>
      <c r="J154" s="9" t="s">
        <v>78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>
        <v>45920</v>
      </c>
      <c r="U154" s="11">
        <v>50000</v>
      </c>
      <c r="V154" s="10">
        <v>0</v>
      </c>
      <c r="W154" s="10">
        <v>50000</v>
      </c>
      <c r="X154" s="10">
        <v>0</v>
      </c>
      <c r="Y154" s="10">
        <v>52500</v>
      </c>
      <c r="Z154" s="9" t="s">
        <v>127</v>
      </c>
      <c r="AA154" s="8">
        <v>59372.5</v>
      </c>
      <c r="AB154" s="8">
        <v>1490</v>
      </c>
      <c r="AC154" s="8">
        <v>57882.5</v>
      </c>
      <c r="AD154" s="8">
        <v>0</v>
      </c>
      <c r="AE154" s="8">
        <v>0</v>
      </c>
      <c r="AF154" s="8">
        <v>0</v>
      </c>
      <c r="AG154" s="1" t="s">
        <v>115</v>
      </c>
      <c r="AH154" s="1" t="s">
        <v>74</v>
      </c>
      <c r="AI154" s="1">
        <v>2</v>
      </c>
      <c r="AJ154" s="3">
        <v>45920</v>
      </c>
      <c r="AK154" s="3">
        <v>0</v>
      </c>
      <c r="AL154" s="3">
        <v>45911</v>
      </c>
      <c r="AM154" s="3">
        <v>45918</v>
      </c>
      <c r="AN154" s="3">
        <v>45919</v>
      </c>
      <c r="AO154" s="3">
        <v>45919</v>
      </c>
      <c r="AP154" s="3">
        <v>45915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6505.3498611111108</v>
      </c>
    </row>
    <row r="155" spans="1:56" ht="27.75" customHeight="1" x14ac:dyDescent="0.45">
      <c r="A155" s="3" t="s">
        <v>135</v>
      </c>
      <c r="B155" s="14" t="s">
        <v>135</v>
      </c>
      <c r="C155" s="9" t="s">
        <v>109</v>
      </c>
      <c r="D155" s="13" t="s">
        <v>59</v>
      </c>
      <c r="E155" s="9">
        <v>28</v>
      </c>
      <c r="F155" s="9">
        <v>47</v>
      </c>
      <c r="G155" s="9" t="s">
        <v>60</v>
      </c>
      <c r="H155" s="9" t="s">
        <v>66</v>
      </c>
      <c r="I155" s="9">
        <v>180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110</v>
      </c>
      <c r="T155" s="12">
        <v>45925</v>
      </c>
      <c r="U155" s="11">
        <v>5000</v>
      </c>
      <c r="V155" s="10">
        <v>0</v>
      </c>
      <c r="W155" s="10">
        <v>5000</v>
      </c>
      <c r="X155" s="10">
        <v>0</v>
      </c>
      <c r="Y155" s="10">
        <v>0</v>
      </c>
      <c r="Z155" s="9" t="s">
        <v>127</v>
      </c>
      <c r="AA155" s="8">
        <v>6775.4500000000007</v>
      </c>
      <c r="AB155" s="8">
        <v>6775.4500000000007</v>
      </c>
      <c r="AC155" s="8">
        <v>0</v>
      </c>
      <c r="AD155" s="8">
        <v>0</v>
      </c>
      <c r="AE155" s="8">
        <v>6775.4500000000007</v>
      </c>
      <c r="AF155" s="8">
        <v>0</v>
      </c>
      <c r="AG155" s="1">
        <v>0</v>
      </c>
      <c r="AH155" s="1" t="s">
        <v>146</v>
      </c>
      <c r="AI155" s="1">
        <v>2</v>
      </c>
      <c r="AJ155" s="3">
        <v>45925</v>
      </c>
      <c r="AK155" s="3">
        <v>45923</v>
      </c>
      <c r="AL155" s="3">
        <v>0</v>
      </c>
      <c r="AM155" s="3">
        <v>0</v>
      </c>
      <c r="AN155" s="3">
        <v>0</v>
      </c>
      <c r="AO155" s="3">
        <v>45924</v>
      </c>
      <c r="AP155" s="3">
        <v>45920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143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0</v>
      </c>
    </row>
    <row r="156" spans="1:56" ht="27.7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28</v>
      </c>
      <c r="F156" s="9">
        <v>43</v>
      </c>
      <c r="G156" s="9">
        <v>0</v>
      </c>
      <c r="H156" s="9">
        <v>0</v>
      </c>
      <c r="I156" s="9">
        <v>130</v>
      </c>
      <c r="J156" s="9" t="s">
        <v>57</v>
      </c>
      <c r="K156" s="9">
        <v>3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127</v>
      </c>
      <c r="AA156" s="8">
        <v>66147.95</v>
      </c>
      <c r="AB156" s="8">
        <v>8265.4500000000007</v>
      </c>
      <c r="AC156" s="8">
        <v>57882.5</v>
      </c>
      <c r="AD156" s="8">
        <v>0</v>
      </c>
      <c r="AE156" s="8">
        <v>6775.4500000000007</v>
      </c>
      <c r="AF156" s="8" t="s">
        <v>58</v>
      </c>
      <c r="AG156" s="1">
        <v>0</v>
      </c>
      <c r="AH156" s="1">
        <v>0</v>
      </c>
      <c r="AI156" s="1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149</v>
      </c>
      <c r="BD156" s="56">
        <v>0</v>
      </c>
    </row>
  </sheetData>
  <autoFilter ref="A5:BD156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56">
    <cfRule type="expression" dxfId="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636A-3249-4789-8CE9-07AB613B6F20}">
  <sheetPr>
    <tabColor rgb="FFFFFF00"/>
  </sheetPr>
  <dimension ref="A1:BD148"/>
  <sheetViews>
    <sheetView zoomScale="80" zoomScaleNormal="80" workbookViewId="0">
      <selection activeCell="R19" sqref="R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45902</v>
      </c>
      <c r="E3" s="82" t="s">
        <v>52</v>
      </c>
      <c r="F3" s="82"/>
      <c r="G3" s="83">
        <v>10.01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45842</v>
      </c>
      <c r="B6" s="14" t="s">
        <v>283</v>
      </c>
      <c r="C6" s="9" t="s">
        <v>276</v>
      </c>
      <c r="D6" s="13" t="s">
        <v>277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132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287</v>
      </c>
      <c r="AG6" s="1" t="s">
        <v>116</v>
      </c>
      <c r="AH6" s="1" t="s">
        <v>68</v>
      </c>
      <c r="AI6" s="1">
        <v>4</v>
      </c>
      <c r="AJ6" s="3" t="s">
        <v>132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45896</v>
      </c>
      <c r="B7" s="14" t="s">
        <v>383</v>
      </c>
      <c r="C7" s="9" t="s">
        <v>233</v>
      </c>
      <c r="D7" s="13" t="s">
        <v>379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>
        <v>45908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234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3702.0499999999997</v>
      </c>
      <c r="AF7" s="8">
        <v>0</v>
      </c>
      <c r="AG7" s="1" t="s">
        <v>116</v>
      </c>
      <c r="AH7" s="1" t="s">
        <v>68</v>
      </c>
      <c r="AI7" s="1">
        <v>4</v>
      </c>
      <c r="AJ7" s="3">
        <v>45908</v>
      </c>
      <c r="AK7" s="3">
        <v>45904</v>
      </c>
      <c r="AL7" s="3">
        <v>45898</v>
      </c>
      <c r="AM7" s="3">
        <v>45905</v>
      </c>
      <c r="AN7" s="3">
        <v>45906</v>
      </c>
      <c r="AO7" s="3">
        <v>45906</v>
      </c>
      <c r="AP7" s="3">
        <v>45903</v>
      </c>
      <c r="AQ7" s="3">
        <v>45907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 t="s">
        <v>360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234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3702.0499999999997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129</v>
      </c>
      <c r="BD8" s="56">
        <v>0</v>
      </c>
    </row>
    <row r="9" spans="1:56" ht="27.75" customHeight="1" x14ac:dyDescent="0.45">
      <c r="A9" s="3">
        <v>45897</v>
      </c>
      <c r="B9" s="14" t="s">
        <v>384</v>
      </c>
      <c r="C9" s="9" t="s">
        <v>73</v>
      </c>
      <c r="D9" s="13" t="s">
        <v>385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141</v>
      </c>
      <c r="T9" s="12">
        <v>45904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386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0</v>
      </c>
      <c r="AF9" s="8">
        <v>0</v>
      </c>
      <c r="AG9" s="1" t="s">
        <v>61</v>
      </c>
      <c r="AH9" s="1" t="s">
        <v>74</v>
      </c>
      <c r="AI9" s="1">
        <v>2</v>
      </c>
      <c r="AJ9" s="3">
        <v>45904</v>
      </c>
      <c r="AK9" s="3">
        <v>0</v>
      </c>
      <c r="AL9" s="3">
        <v>45895</v>
      </c>
      <c r="AM9" s="3">
        <v>45902</v>
      </c>
      <c r="AN9" s="3">
        <v>45903</v>
      </c>
      <c r="AO9" s="3">
        <v>45903</v>
      </c>
      <c r="AP9" s="3">
        <v>45899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226.40092444444446</v>
      </c>
    </row>
    <row r="10" spans="1:56" ht="27.75" customHeight="1" x14ac:dyDescent="0.45">
      <c r="A10" s="3">
        <v>45897</v>
      </c>
      <c r="B10" s="14" t="s">
        <v>384</v>
      </c>
      <c r="C10" s="9" t="s">
        <v>73</v>
      </c>
      <c r="D10" s="13" t="s">
        <v>412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141</v>
      </c>
      <c r="T10" s="12">
        <v>45909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386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45909</v>
      </c>
      <c r="AK10" s="3">
        <v>0</v>
      </c>
      <c r="AL10" s="3">
        <v>45900</v>
      </c>
      <c r="AM10" s="3">
        <v>45907</v>
      </c>
      <c r="AN10" s="3">
        <v>45908</v>
      </c>
      <c r="AO10" s="3">
        <v>45908</v>
      </c>
      <c r="AP10" s="3">
        <v>45904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226.40092444444446</v>
      </c>
    </row>
    <row r="11" spans="1:56" ht="27.75" customHeight="1" x14ac:dyDescent="0.45">
      <c r="A11" s="3">
        <v>45897</v>
      </c>
      <c r="B11" s="14" t="s">
        <v>384</v>
      </c>
      <c r="C11" s="9" t="s">
        <v>73</v>
      </c>
      <c r="D11" s="13" t="s">
        <v>413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141</v>
      </c>
      <c r="T11" s="12">
        <v>45909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386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0</v>
      </c>
      <c r="AF11" s="8">
        <v>0</v>
      </c>
      <c r="AG11" s="1" t="s">
        <v>115</v>
      </c>
      <c r="AH11" s="1" t="s">
        <v>74</v>
      </c>
      <c r="AI11" s="1">
        <v>2</v>
      </c>
      <c r="AJ11" s="3">
        <v>45909</v>
      </c>
      <c r="AK11" s="3">
        <v>0</v>
      </c>
      <c r="AL11" s="3">
        <v>45900</v>
      </c>
      <c r="AM11" s="3">
        <v>45907</v>
      </c>
      <c r="AN11" s="3">
        <v>45908</v>
      </c>
      <c r="AO11" s="3">
        <v>45908</v>
      </c>
      <c r="AP11" s="3">
        <v>45904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226.40092444444446</v>
      </c>
    </row>
    <row r="12" spans="1:56" ht="27.75" customHeight="1" x14ac:dyDescent="0.45">
      <c r="A12" s="3">
        <v>45897</v>
      </c>
      <c r="B12" s="14" t="s">
        <v>384</v>
      </c>
      <c r="C12" s="9" t="s">
        <v>73</v>
      </c>
      <c r="D12" s="13" t="s">
        <v>61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141</v>
      </c>
      <c r="T12" s="12" t="s">
        <v>63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386</v>
      </c>
      <c r="AA12" s="8">
        <v>3702.0499999999997</v>
      </c>
      <c r="AB12" s="8">
        <v>0</v>
      </c>
      <c r="AC12" s="8">
        <v>3702.0499999999997</v>
      </c>
      <c r="AD12" s="8">
        <v>0</v>
      </c>
      <c r="AE12" s="8">
        <v>0</v>
      </c>
      <c r="AF12" s="8">
        <v>0</v>
      </c>
      <c r="AG12" s="1" t="s">
        <v>115</v>
      </c>
      <c r="AH12" s="1" t="s">
        <v>74</v>
      </c>
      <c r="AI12" s="1">
        <v>2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226.40092444444446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386</v>
      </c>
      <c r="AA13" s="8">
        <v>14808.199999999999</v>
      </c>
      <c r="AB13" s="8">
        <v>0</v>
      </c>
      <c r="AC13" s="8">
        <v>14808.199999999999</v>
      </c>
      <c r="AD13" s="8">
        <v>0</v>
      </c>
      <c r="AE13" s="8">
        <v>0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129</v>
      </c>
      <c r="BD13" s="56">
        <v>0</v>
      </c>
    </row>
    <row r="14" spans="1:56" ht="27.75" customHeight="1" x14ac:dyDescent="0.45">
      <c r="A14" s="3" t="s">
        <v>135</v>
      </c>
      <c r="B14" s="14" t="s">
        <v>135</v>
      </c>
      <c r="C14" s="9" t="s">
        <v>211</v>
      </c>
      <c r="D14" s="13" t="s">
        <v>236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91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 t="s">
        <v>63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133</v>
      </c>
      <c r="AA14" s="8">
        <v>13201.65</v>
      </c>
      <c r="AB14" s="8">
        <v>2599</v>
      </c>
      <c r="AC14" s="8">
        <v>10602.65</v>
      </c>
      <c r="AD14" s="8">
        <v>0</v>
      </c>
      <c r="AE14" s="8">
        <v>0</v>
      </c>
      <c r="AF14" s="8">
        <v>0</v>
      </c>
      <c r="AG14" s="1" t="s">
        <v>115</v>
      </c>
      <c r="AH14" s="1" t="s">
        <v>72</v>
      </c>
      <c r="AI14" s="1">
        <v>3</v>
      </c>
      <c r="AJ14" s="3" t="s">
        <v>63</v>
      </c>
      <c r="AK14" s="3">
        <v>0</v>
      </c>
      <c r="AL14" s="3" t="e">
        <v>#VALUE!</v>
      </c>
      <c r="AM14" s="3" t="e">
        <v>#VALUE!</v>
      </c>
      <c r="AN14" s="3" t="e">
        <v>#VALUE!</v>
      </c>
      <c r="AO14" s="3" t="e">
        <v>#VALUE!</v>
      </c>
      <c r="AP14" s="3" t="e">
        <v>#VALUE!</v>
      </c>
      <c r="AQ14" s="3" t="e">
        <v>#VALUE!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729.46232000000009</v>
      </c>
    </row>
    <row r="15" spans="1:56" ht="27.75" customHeight="1" x14ac:dyDescent="0.45">
      <c r="A15" s="3">
        <v>0</v>
      </c>
      <c r="B15" s="14">
        <v>0</v>
      </c>
      <c r="C15" s="9" t="s">
        <v>201</v>
      </c>
      <c r="D15" s="13" t="s">
        <v>95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133</v>
      </c>
      <c r="AA15" s="8">
        <v>13201.65</v>
      </c>
      <c r="AB15" s="8">
        <v>2599</v>
      </c>
      <c r="AC15" s="8">
        <v>10602.65</v>
      </c>
      <c r="AD15" s="8">
        <v>0</v>
      </c>
      <c r="AE15" s="8">
        <v>0</v>
      </c>
      <c r="AF15" s="8" t="s">
        <v>58</v>
      </c>
      <c r="AG15" s="1" t="s">
        <v>116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45901</v>
      </c>
      <c r="B16" s="14" t="s">
        <v>128</v>
      </c>
      <c r="C16" s="9" t="s">
        <v>422</v>
      </c>
      <c r="D16" s="13" t="s">
        <v>423</v>
      </c>
      <c r="E16" s="9">
        <v>18</v>
      </c>
      <c r="F16" s="9">
        <v>26</v>
      </c>
      <c r="G16" s="9" t="s">
        <v>60</v>
      </c>
      <c r="H16" s="9" t="s">
        <v>66</v>
      </c>
      <c r="I16" s="9">
        <v>65</v>
      </c>
      <c r="J16" s="9" t="s">
        <v>57</v>
      </c>
      <c r="K16" s="9">
        <v>5</v>
      </c>
      <c r="L16" s="9" t="s">
        <v>91</v>
      </c>
      <c r="M16" s="10">
        <v>19</v>
      </c>
      <c r="N16" s="9">
        <v>29</v>
      </c>
      <c r="O16" s="9">
        <v>40</v>
      </c>
      <c r="P16" s="10">
        <v>67.968380191999998</v>
      </c>
      <c r="Q16" s="10">
        <v>0</v>
      </c>
      <c r="R16" s="10">
        <v>67.968380191999998</v>
      </c>
      <c r="S16" s="9" t="s">
        <v>67</v>
      </c>
      <c r="T16" s="12">
        <v>45912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424</v>
      </c>
      <c r="AA16" s="8">
        <v>3841.7500000000005</v>
      </c>
      <c r="AB16" s="8">
        <v>0</v>
      </c>
      <c r="AC16" s="8">
        <v>3841.7500000000005</v>
      </c>
      <c r="AD16" s="8">
        <v>0</v>
      </c>
      <c r="AE16" s="8">
        <v>3841.7500000000005</v>
      </c>
      <c r="AF16" s="8">
        <v>0</v>
      </c>
      <c r="AG16" s="1" t="s">
        <v>116</v>
      </c>
      <c r="AH16" s="1" t="s">
        <v>68</v>
      </c>
      <c r="AI16" s="1">
        <v>4</v>
      </c>
      <c r="AJ16" s="3">
        <v>45912</v>
      </c>
      <c r="AK16" s="3">
        <v>45908</v>
      </c>
      <c r="AL16" s="3">
        <v>45902</v>
      </c>
      <c r="AM16" s="3">
        <v>45909</v>
      </c>
      <c r="AN16" s="3">
        <v>45910</v>
      </c>
      <c r="AO16" s="3">
        <v>45910</v>
      </c>
      <c r="AP16" s="3">
        <v>45907</v>
      </c>
      <c r="AQ16" s="3">
        <v>45911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245.8720000000001</v>
      </c>
    </row>
    <row r="17" spans="1:56" ht="27.75" customHeight="1" x14ac:dyDescent="0.45">
      <c r="A17" s="3">
        <v>0</v>
      </c>
      <c r="B17" s="14">
        <v>0</v>
      </c>
      <c r="C17" s="9">
        <v>0</v>
      </c>
      <c r="D17" s="13" t="s">
        <v>95</v>
      </c>
      <c r="E17" s="9">
        <v>18</v>
      </c>
      <c r="F17" s="9">
        <v>25</v>
      </c>
      <c r="G17" s="9" t="s">
        <v>60</v>
      </c>
      <c r="H17" s="9">
        <v>0</v>
      </c>
      <c r="I17" s="9">
        <v>50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424</v>
      </c>
      <c r="AA17" s="8">
        <v>3841.7500000000005</v>
      </c>
      <c r="AB17" s="8">
        <v>0</v>
      </c>
      <c r="AC17" s="8">
        <v>3841.7500000000005</v>
      </c>
      <c r="AD17" s="8">
        <v>0</v>
      </c>
      <c r="AE17" s="8">
        <v>3841.7500000000005</v>
      </c>
      <c r="AF17" s="8" t="s">
        <v>58</v>
      </c>
      <c r="AG17" s="1" t="s">
        <v>61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425</v>
      </c>
      <c r="BD17" s="56">
        <v>0</v>
      </c>
    </row>
    <row r="18" spans="1:56" ht="27.75" customHeight="1" x14ac:dyDescent="0.45">
      <c r="A18" s="3">
        <v>45898</v>
      </c>
      <c r="B18" s="14" t="s">
        <v>414</v>
      </c>
      <c r="C18" s="9" t="s">
        <v>136</v>
      </c>
      <c r="D18" s="13" t="s">
        <v>124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45910</v>
      </c>
      <c r="U18" s="11">
        <v>50000</v>
      </c>
      <c r="V18" s="10">
        <v>0</v>
      </c>
      <c r="W18" s="10">
        <v>50000</v>
      </c>
      <c r="X18" s="10">
        <v>0</v>
      </c>
      <c r="Y18" s="10">
        <v>52500</v>
      </c>
      <c r="Z18" s="9" t="s">
        <v>168</v>
      </c>
      <c r="AA18" s="8">
        <v>44005.499999999993</v>
      </c>
      <c r="AB18" s="8">
        <v>24047</v>
      </c>
      <c r="AC18" s="8">
        <v>19958.499999999993</v>
      </c>
      <c r="AD18" s="8">
        <v>0</v>
      </c>
      <c r="AE18" s="8">
        <v>0</v>
      </c>
      <c r="AF18" s="8">
        <v>0</v>
      </c>
      <c r="AG18" s="1" t="s">
        <v>116</v>
      </c>
      <c r="AH18" s="1" t="s">
        <v>74</v>
      </c>
      <c r="AI18" s="1">
        <v>2</v>
      </c>
      <c r="AJ18" s="3">
        <v>45910</v>
      </c>
      <c r="AK18" s="3">
        <v>0</v>
      </c>
      <c r="AL18" s="3">
        <v>45901</v>
      </c>
      <c r="AM18" s="3">
        <v>45908</v>
      </c>
      <c r="AN18" s="3">
        <v>45909</v>
      </c>
      <c r="AO18" s="3">
        <v>45909</v>
      </c>
      <c r="AP18" s="3">
        <v>45905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1449.4306222222219</v>
      </c>
    </row>
    <row r="19" spans="1:56" ht="27.75" customHeight="1" x14ac:dyDescent="0.45">
      <c r="A19" s="3">
        <v>45898</v>
      </c>
      <c r="B19" s="14" t="s">
        <v>415</v>
      </c>
      <c r="C19" s="9" t="s">
        <v>136</v>
      </c>
      <c r="D19" s="13" t="s">
        <v>199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45910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168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115</v>
      </c>
      <c r="AH19" s="1" t="s">
        <v>74</v>
      </c>
      <c r="AI19" s="1">
        <v>2</v>
      </c>
      <c r="AJ19" s="3">
        <v>45910</v>
      </c>
      <c r="AK19" s="3">
        <v>0</v>
      </c>
      <c r="AL19" s="3">
        <v>45901</v>
      </c>
      <c r="AM19" s="3">
        <v>45908</v>
      </c>
      <c r="AN19" s="3">
        <v>45909</v>
      </c>
      <c r="AO19" s="3">
        <v>45909</v>
      </c>
      <c r="AP19" s="3">
        <v>45905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135</v>
      </c>
      <c r="B20" s="14" t="s">
        <v>135</v>
      </c>
      <c r="C20" s="9" t="s">
        <v>237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45925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168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117</v>
      </c>
      <c r="AH20" s="1" t="s">
        <v>74</v>
      </c>
      <c r="AI20" s="1">
        <v>2</v>
      </c>
      <c r="AJ20" s="3">
        <v>45925</v>
      </c>
      <c r="AK20" s="3">
        <v>0</v>
      </c>
      <c r="AL20" s="3">
        <v>45916</v>
      </c>
      <c r="AM20" s="3">
        <v>45923</v>
      </c>
      <c r="AN20" s="3">
        <v>45924</v>
      </c>
      <c r="AO20" s="3">
        <v>45924</v>
      </c>
      <c r="AP20" s="3">
        <v>45920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2556.6217600000009</v>
      </c>
    </row>
    <row r="21" spans="1:56" ht="27.75" customHeight="1" x14ac:dyDescent="0.45">
      <c r="A21" s="3" t="s">
        <v>135</v>
      </c>
      <c r="B21" s="14" t="s">
        <v>135</v>
      </c>
      <c r="C21" s="9" t="s">
        <v>204</v>
      </c>
      <c r="D21" s="13" t="s">
        <v>205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92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>
        <v>45925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168</v>
      </c>
      <c r="AA21" s="8">
        <v>18501.714330000003</v>
      </c>
      <c r="AB21" s="8">
        <v>0</v>
      </c>
      <c r="AC21" s="8">
        <v>18501.714330000003</v>
      </c>
      <c r="AD21" s="8">
        <v>0</v>
      </c>
      <c r="AE21" s="8">
        <v>0</v>
      </c>
      <c r="AF21" s="8">
        <v>0</v>
      </c>
      <c r="AG21" s="1" t="s">
        <v>115</v>
      </c>
      <c r="AH21" s="1" t="s">
        <v>72</v>
      </c>
      <c r="AI21" s="1">
        <v>3</v>
      </c>
      <c r="AJ21" s="3">
        <v>45925</v>
      </c>
      <c r="AK21" s="3">
        <v>0</v>
      </c>
      <c r="AL21" s="3">
        <v>45915</v>
      </c>
      <c r="AM21" s="3">
        <v>45922</v>
      </c>
      <c r="AN21" s="3">
        <v>45923</v>
      </c>
      <c r="AO21" s="3">
        <v>45923</v>
      </c>
      <c r="AP21" s="3">
        <v>45920</v>
      </c>
      <c r="AQ21" s="3">
        <v>45924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1343.6356095653334</v>
      </c>
    </row>
    <row r="22" spans="1:56" ht="27.7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168</v>
      </c>
      <c r="AA22" s="8">
        <v>132916.01432999998</v>
      </c>
      <c r="AB22" s="8">
        <v>24047</v>
      </c>
      <c r="AC22" s="8">
        <v>108869.01432999999</v>
      </c>
      <c r="AD22" s="8">
        <v>0</v>
      </c>
      <c r="AE22" s="8">
        <v>0</v>
      </c>
      <c r="AF22" s="8" t="s">
        <v>58</v>
      </c>
      <c r="AG22" s="1" t="s">
        <v>117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0</v>
      </c>
    </row>
    <row r="23" spans="1:56" ht="27.75" customHeight="1" x14ac:dyDescent="0.45">
      <c r="A23" s="3">
        <v>45896</v>
      </c>
      <c r="B23" s="14" t="s">
        <v>387</v>
      </c>
      <c r="C23" s="9" t="s">
        <v>73</v>
      </c>
      <c r="D23" s="13" t="s">
        <v>266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45904</v>
      </c>
      <c r="U23" s="11">
        <v>5000</v>
      </c>
      <c r="V23" s="10">
        <v>0</v>
      </c>
      <c r="W23" s="10">
        <v>5000</v>
      </c>
      <c r="X23" s="10">
        <v>5400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119</v>
      </c>
      <c r="AH23" s="1" t="s">
        <v>74</v>
      </c>
      <c r="AI23" s="1">
        <v>2</v>
      </c>
      <c r="AJ23" s="3">
        <v>45904</v>
      </c>
      <c r="AK23" s="3">
        <v>0</v>
      </c>
      <c r="AL23" s="3">
        <v>45895</v>
      </c>
      <c r="AM23" s="3">
        <v>45902</v>
      </c>
      <c r="AN23" s="3">
        <v>45903</v>
      </c>
      <c r="AO23" s="3">
        <v>45903</v>
      </c>
      <c r="AP23" s="3">
        <v>45899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45896</v>
      </c>
      <c r="B24" s="14" t="s">
        <v>387</v>
      </c>
      <c r="C24" s="9" t="s">
        <v>73</v>
      </c>
      <c r="D24" s="13">
        <v>997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45904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116</v>
      </c>
      <c r="AH24" s="1" t="s">
        <v>74</v>
      </c>
      <c r="AI24" s="1">
        <v>2</v>
      </c>
      <c r="AJ24" s="3">
        <v>45904</v>
      </c>
      <c r="AK24" s="3">
        <v>0</v>
      </c>
      <c r="AL24" s="3">
        <v>45895</v>
      </c>
      <c r="AM24" s="3">
        <v>45902</v>
      </c>
      <c r="AN24" s="3">
        <v>45903</v>
      </c>
      <c r="AO24" s="3">
        <v>45903</v>
      </c>
      <c r="AP24" s="3">
        <v>45899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45896</v>
      </c>
      <c r="B25" s="14" t="s">
        <v>387</v>
      </c>
      <c r="C25" s="9" t="s">
        <v>73</v>
      </c>
      <c r="D25" s="13" t="s">
        <v>327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45904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117</v>
      </c>
      <c r="AH25" s="1" t="s">
        <v>74</v>
      </c>
      <c r="AI25" s="1">
        <v>2</v>
      </c>
      <c r="AJ25" s="3">
        <v>45904</v>
      </c>
      <c r="AK25" s="3">
        <v>0</v>
      </c>
      <c r="AL25" s="3">
        <v>45895</v>
      </c>
      <c r="AM25" s="3">
        <v>45902</v>
      </c>
      <c r="AN25" s="3">
        <v>45903</v>
      </c>
      <c r="AO25" s="3">
        <v>45903</v>
      </c>
      <c r="AP25" s="3">
        <v>45899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45896</v>
      </c>
      <c r="B26" s="14" t="s">
        <v>387</v>
      </c>
      <c r="C26" s="9" t="s">
        <v>73</v>
      </c>
      <c r="D26" s="13" t="s">
        <v>389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45904</v>
      </c>
      <c r="U26" s="11">
        <v>5000</v>
      </c>
      <c r="V26" s="10">
        <v>0</v>
      </c>
      <c r="W26" s="10">
        <v>5000</v>
      </c>
      <c r="X26" s="10">
        <v>1930</v>
      </c>
      <c r="Y26" s="10">
        <v>3223.5</v>
      </c>
      <c r="Z26" s="9" t="s">
        <v>172</v>
      </c>
      <c r="AA26" s="8">
        <v>3017.1637650000002</v>
      </c>
      <c r="AB26" s="8">
        <v>3017.1637650000002</v>
      </c>
      <c r="AC26" s="8">
        <v>0</v>
      </c>
      <c r="AD26" s="8">
        <v>0</v>
      </c>
      <c r="AE26" s="8">
        <v>0</v>
      </c>
      <c r="AF26" s="8">
        <v>0</v>
      </c>
      <c r="AG26" s="1" t="s">
        <v>116</v>
      </c>
      <c r="AH26" s="1" t="s">
        <v>74</v>
      </c>
      <c r="AI26" s="1">
        <v>2</v>
      </c>
      <c r="AJ26" s="3">
        <v>45904</v>
      </c>
      <c r="AK26" s="3">
        <v>0</v>
      </c>
      <c r="AL26" s="3">
        <v>45895</v>
      </c>
      <c r="AM26" s="3">
        <v>45902</v>
      </c>
      <c r="AN26" s="3">
        <v>45903</v>
      </c>
      <c r="AO26" s="3">
        <v>45903</v>
      </c>
      <c r="AP26" s="3">
        <v>45899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45896</v>
      </c>
      <c r="B27" s="14" t="s">
        <v>387</v>
      </c>
      <c r="C27" s="9" t="s">
        <v>73</v>
      </c>
      <c r="D27" s="13" t="s">
        <v>294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45904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172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>
        <v>0</v>
      </c>
      <c r="AG27" s="1" t="s">
        <v>116</v>
      </c>
      <c r="AH27" s="1" t="s">
        <v>74</v>
      </c>
      <c r="AI27" s="1">
        <v>2</v>
      </c>
      <c r="AJ27" s="3">
        <v>45904</v>
      </c>
      <c r="AK27" s="3">
        <v>0</v>
      </c>
      <c r="AL27" s="3">
        <v>45895</v>
      </c>
      <c r="AM27" s="3">
        <v>45902</v>
      </c>
      <c r="AN27" s="3">
        <v>45903</v>
      </c>
      <c r="AO27" s="3">
        <v>45903</v>
      </c>
      <c r="AP27" s="3">
        <v>45899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45896</v>
      </c>
      <c r="B28" s="14" t="s">
        <v>390</v>
      </c>
      <c r="C28" s="9" t="s">
        <v>73</v>
      </c>
      <c r="D28" s="13" t="s">
        <v>288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45904</v>
      </c>
      <c r="U28" s="11">
        <v>10000</v>
      </c>
      <c r="V28" s="10">
        <v>6500</v>
      </c>
      <c r="W28" s="10">
        <v>3500</v>
      </c>
      <c r="X28" s="10">
        <v>10400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117</v>
      </c>
      <c r="AH28" s="1" t="s">
        <v>74</v>
      </c>
      <c r="AI28" s="1">
        <v>2</v>
      </c>
      <c r="AJ28" s="3">
        <v>45904</v>
      </c>
      <c r="AK28" s="3">
        <v>0</v>
      </c>
      <c r="AL28" s="3">
        <v>45895</v>
      </c>
      <c r="AM28" s="3">
        <v>45902</v>
      </c>
      <c r="AN28" s="3">
        <v>45903</v>
      </c>
      <c r="AO28" s="3">
        <v>45903</v>
      </c>
      <c r="AP28" s="3">
        <v>45899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45896</v>
      </c>
      <c r="B29" s="14" t="s">
        <v>390</v>
      </c>
      <c r="C29" s="9" t="s">
        <v>73</v>
      </c>
      <c r="D29" s="13" t="s">
        <v>391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45904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172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>
        <v>0</v>
      </c>
      <c r="AG29" s="1" t="s">
        <v>116</v>
      </c>
      <c r="AH29" s="1" t="s">
        <v>74</v>
      </c>
      <c r="AI29" s="1">
        <v>2</v>
      </c>
      <c r="AJ29" s="3">
        <v>45904</v>
      </c>
      <c r="AK29" s="3">
        <v>0</v>
      </c>
      <c r="AL29" s="3">
        <v>45895</v>
      </c>
      <c r="AM29" s="3">
        <v>45902</v>
      </c>
      <c r="AN29" s="3">
        <v>45903</v>
      </c>
      <c r="AO29" s="3">
        <v>45903</v>
      </c>
      <c r="AP29" s="3">
        <v>45899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45896</v>
      </c>
      <c r="B30" s="14" t="s">
        <v>390</v>
      </c>
      <c r="C30" s="9" t="s">
        <v>73</v>
      </c>
      <c r="D30" s="13" t="s">
        <v>392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45904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172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>
        <v>0</v>
      </c>
      <c r="AG30" s="1" t="s">
        <v>115</v>
      </c>
      <c r="AH30" s="1" t="s">
        <v>74</v>
      </c>
      <c r="AI30" s="1">
        <v>2</v>
      </c>
      <c r="AJ30" s="3">
        <v>45904</v>
      </c>
      <c r="AK30" s="3">
        <v>0</v>
      </c>
      <c r="AL30" s="3">
        <v>45895</v>
      </c>
      <c r="AM30" s="3">
        <v>45902</v>
      </c>
      <c r="AN30" s="3">
        <v>45903</v>
      </c>
      <c r="AO30" s="3">
        <v>45903</v>
      </c>
      <c r="AP30" s="3">
        <v>45899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45896</v>
      </c>
      <c r="B31" s="14" t="s">
        <v>387</v>
      </c>
      <c r="C31" s="9" t="s">
        <v>73</v>
      </c>
      <c r="D31" s="13" t="s">
        <v>288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45906</v>
      </c>
      <c r="U31" s="11">
        <v>10000</v>
      </c>
      <c r="V31" s="10">
        <v>0</v>
      </c>
      <c r="W31" s="10">
        <v>10000</v>
      </c>
      <c r="X31" s="10">
        <v>10500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116</v>
      </c>
      <c r="AH31" s="1" t="s">
        <v>74</v>
      </c>
      <c r="AI31" s="1">
        <v>2</v>
      </c>
      <c r="AJ31" s="3">
        <v>45906</v>
      </c>
      <c r="AK31" s="3">
        <v>0</v>
      </c>
      <c r="AL31" s="3">
        <v>45897</v>
      </c>
      <c r="AM31" s="3">
        <v>45904</v>
      </c>
      <c r="AN31" s="3">
        <v>45905</v>
      </c>
      <c r="AO31" s="3">
        <v>45905</v>
      </c>
      <c r="AP31" s="3">
        <v>45901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45896</v>
      </c>
      <c r="B32" s="14" t="s">
        <v>387</v>
      </c>
      <c r="C32" s="9" t="s">
        <v>73</v>
      </c>
      <c r="D32" s="13" t="s">
        <v>282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45906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172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>
        <v>0</v>
      </c>
      <c r="AG32" s="1" t="s">
        <v>116</v>
      </c>
      <c r="AH32" s="1" t="s">
        <v>74</v>
      </c>
      <c r="AI32" s="1">
        <v>2</v>
      </c>
      <c r="AJ32" s="3">
        <v>45906</v>
      </c>
      <c r="AK32" s="3">
        <v>0</v>
      </c>
      <c r="AL32" s="3">
        <v>45897</v>
      </c>
      <c r="AM32" s="3">
        <v>45904</v>
      </c>
      <c r="AN32" s="3">
        <v>45905</v>
      </c>
      <c r="AO32" s="3">
        <v>45905</v>
      </c>
      <c r="AP32" s="3">
        <v>45901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45896</v>
      </c>
      <c r="B33" s="14" t="s">
        <v>387</v>
      </c>
      <c r="C33" s="9" t="s">
        <v>73</v>
      </c>
      <c r="D33" s="13" t="s">
        <v>248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45906</v>
      </c>
      <c r="U33" s="11">
        <v>5000</v>
      </c>
      <c r="V33" s="10">
        <v>5746</v>
      </c>
      <c r="W33" s="10">
        <v>0</v>
      </c>
      <c r="X33" s="10">
        <v>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116</v>
      </c>
      <c r="AH33" s="1" t="s">
        <v>74</v>
      </c>
      <c r="AI33" s="1">
        <v>2</v>
      </c>
      <c r="AJ33" s="3">
        <v>45906</v>
      </c>
      <c r="AK33" s="3">
        <v>0</v>
      </c>
      <c r="AL33" s="3">
        <v>45897</v>
      </c>
      <c r="AM33" s="3">
        <v>45904</v>
      </c>
      <c r="AN33" s="3">
        <v>45905</v>
      </c>
      <c r="AO33" s="3">
        <v>45905</v>
      </c>
      <c r="AP33" s="3">
        <v>45901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45896</v>
      </c>
      <c r="B34" s="14" t="s">
        <v>387</v>
      </c>
      <c r="C34" s="9" t="s">
        <v>73</v>
      </c>
      <c r="D34" s="13" t="s">
        <v>393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45906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>
        <v>0</v>
      </c>
      <c r="AG34" s="1" t="s">
        <v>116</v>
      </c>
      <c r="AH34" s="1" t="s">
        <v>74</v>
      </c>
      <c r="AI34" s="1">
        <v>2</v>
      </c>
      <c r="AJ34" s="3">
        <v>45906</v>
      </c>
      <c r="AK34" s="3">
        <v>0</v>
      </c>
      <c r="AL34" s="3">
        <v>45897</v>
      </c>
      <c r="AM34" s="3">
        <v>45904</v>
      </c>
      <c r="AN34" s="3">
        <v>45905</v>
      </c>
      <c r="AO34" s="3">
        <v>45905</v>
      </c>
      <c r="AP34" s="3">
        <v>45901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45896</v>
      </c>
      <c r="B35" s="14" t="s">
        <v>387</v>
      </c>
      <c r="C35" s="9" t="s">
        <v>73</v>
      </c>
      <c r="D35" s="13" t="s">
        <v>305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45906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172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>
        <v>0</v>
      </c>
      <c r="AG35" s="1" t="s">
        <v>117</v>
      </c>
      <c r="AH35" s="1" t="s">
        <v>74</v>
      </c>
      <c r="AI35" s="1">
        <v>2</v>
      </c>
      <c r="AJ35" s="3">
        <v>45906</v>
      </c>
      <c r="AK35" s="3">
        <v>0</v>
      </c>
      <c r="AL35" s="3">
        <v>45897</v>
      </c>
      <c r="AM35" s="3">
        <v>45904</v>
      </c>
      <c r="AN35" s="3">
        <v>45905</v>
      </c>
      <c r="AO35" s="3">
        <v>45905</v>
      </c>
      <c r="AP35" s="3">
        <v>45901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45896</v>
      </c>
      <c r="B36" s="14" t="s">
        <v>390</v>
      </c>
      <c r="C36" s="9" t="s">
        <v>73</v>
      </c>
      <c r="D36" s="13" t="s">
        <v>265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45906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172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>
        <v>0</v>
      </c>
      <c r="AG36" s="1" t="s">
        <v>116</v>
      </c>
      <c r="AH36" s="1" t="s">
        <v>74</v>
      </c>
      <c r="AI36" s="1">
        <v>2</v>
      </c>
      <c r="AJ36" s="3">
        <v>45906</v>
      </c>
      <c r="AK36" s="3">
        <v>0</v>
      </c>
      <c r="AL36" s="3">
        <v>45897</v>
      </c>
      <c r="AM36" s="3">
        <v>45904</v>
      </c>
      <c r="AN36" s="3">
        <v>45905</v>
      </c>
      <c r="AO36" s="3">
        <v>45905</v>
      </c>
      <c r="AP36" s="3">
        <v>45901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45896</v>
      </c>
      <c r="B37" s="14" t="s">
        <v>390</v>
      </c>
      <c r="C37" s="9" t="s">
        <v>73</v>
      </c>
      <c r="D37" s="13" t="s">
        <v>291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45906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172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>
        <v>0</v>
      </c>
      <c r="AG37" s="1" t="s">
        <v>115</v>
      </c>
      <c r="AH37" s="1" t="s">
        <v>74</v>
      </c>
      <c r="AI37" s="1">
        <v>2</v>
      </c>
      <c r="AJ37" s="3">
        <v>45906</v>
      </c>
      <c r="AK37" s="3">
        <v>0</v>
      </c>
      <c r="AL37" s="3">
        <v>45897</v>
      </c>
      <c r="AM37" s="3">
        <v>45904</v>
      </c>
      <c r="AN37" s="3">
        <v>45905</v>
      </c>
      <c r="AO37" s="3">
        <v>45905</v>
      </c>
      <c r="AP37" s="3">
        <v>45901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45896</v>
      </c>
      <c r="B38" s="14" t="s">
        <v>390</v>
      </c>
      <c r="C38" s="9" t="s">
        <v>73</v>
      </c>
      <c r="D38" s="13" t="s">
        <v>292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45906</v>
      </c>
      <c r="U38" s="11">
        <v>5000</v>
      </c>
      <c r="V38" s="10">
        <v>3000</v>
      </c>
      <c r="W38" s="10">
        <v>2000</v>
      </c>
      <c r="X38" s="10">
        <v>5250</v>
      </c>
      <c r="Y38" s="10">
        <v>0</v>
      </c>
      <c r="Z38" s="9" t="s">
        <v>172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115</v>
      </c>
      <c r="AH38" s="1" t="s">
        <v>74</v>
      </c>
      <c r="AI38" s="1">
        <v>2</v>
      </c>
      <c r="AJ38" s="3">
        <v>45906</v>
      </c>
      <c r="AK38" s="3">
        <v>0</v>
      </c>
      <c r="AL38" s="3">
        <v>45897</v>
      </c>
      <c r="AM38" s="3">
        <v>45904</v>
      </c>
      <c r="AN38" s="3">
        <v>45905</v>
      </c>
      <c r="AO38" s="3">
        <v>45905</v>
      </c>
      <c r="AP38" s="3">
        <v>45901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7.75" customHeight="1" x14ac:dyDescent="0.45">
      <c r="A39" s="3">
        <v>45896</v>
      </c>
      <c r="B39" s="14" t="s">
        <v>387</v>
      </c>
      <c r="C39" s="9" t="s">
        <v>73</v>
      </c>
      <c r="D39" s="13" t="s">
        <v>289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45909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172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>
        <v>0</v>
      </c>
      <c r="AG39" s="1" t="s">
        <v>117</v>
      </c>
      <c r="AH39" s="1" t="s">
        <v>74</v>
      </c>
      <c r="AI39" s="1">
        <v>2</v>
      </c>
      <c r="AJ39" s="3">
        <v>45909</v>
      </c>
      <c r="AK39" s="3">
        <v>0</v>
      </c>
      <c r="AL39" s="3">
        <v>45900</v>
      </c>
      <c r="AM39" s="3">
        <v>45907</v>
      </c>
      <c r="AN39" s="3">
        <v>45908</v>
      </c>
      <c r="AO39" s="3">
        <v>45908</v>
      </c>
      <c r="AP39" s="3">
        <v>45904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0</v>
      </c>
    </row>
    <row r="40" spans="1:56" ht="27.75" customHeight="1" x14ac:dyDescent="0.45">
      <c r="A40" s="3">
        <v>45896</v>
      </c>
      <c r="B40" s="14" t="s">
        <v>387</v>
      </c>
      <c r="C40" s="9" t="s">
        <v>73</v>
      </c>
      <c r="D40" s="13" t="s">
        <v>281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45909</v>
      </c>
      <c r="U40" s="11">
        <v>5000</v>
      </c>
      <c r="V40" s="10">
        <v>5000</v>
      </c>
      <c r="W40" s="10">
        <v>0</v>
      </c>
      <c r="X40" s="10">
        <v>5250</v>
      </c>
      <c r="Y40" s="10">
        <v>0</v>
      </c>
      <c r="Z40" s="9" t="s">
        <v>172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117</v>
      </c>
      <c r="AH40" s="1" t="s">
        <v>74</v>
      </c>
      <c r="AI40" s="1">
        <v>2</v>
      </c>
      <c r="AJ40" s="3">
        <v>45909</v>
      </c>
      <c r="AK40" s="3">
        <v>0</v>
      </c>
      <c r="AL40" s="3">
        <v>45900</v>
      </c>
      <c r="AM40" s="3">
        <v>45907</v>
      </c>
      <c r="AN40" s="3">
        <v>45908</v>
      </c>
      <c r="AO40" s="3">
        <v>45908</v>
      </c>
      <c r="AP40" s="3">
        <v>45904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45896</v>
      </c>
      <c r="B41" s="14" t="s">
        <v>387</v>
      </c>
      <c r="C41" s="9" t="s">
        <v>73</v>
      </c>
      <c r="D41" s="13" t="s">
        <v>275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45909</v>
      </c>
      <c r="U41" s="11">
        <v>5000</v>
      </c>
      <c r="V41" s="10">
        <v>5000</v>
      </c>
      <c r="W41" s="10">
        <v>0</v>
      </c>
      <c r="X41" s="10">
        <v>5250</v>
      </c>
      <c r="Y41" s="10">
        <v>0</v>
      </c>
      <c r="Z41" s="9" t="s">
        <v>172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116</v>
      </c>
      <c r="AH41" s="1" t="s">
        <v>74</v>
      </c>
      <c r="AI41" s="1">
        <v>2</v>
      </c>
      <c r="AJ41" s="3">
        <v>45909</v>
      </c>
      <c r="AK41" s="3">
        <v>0</v>
      </c>
      <c r="AL41" s="3">
        <v>45900</v>
      </c>
      <c r="AM41" s="3">
        <v>45907</v>
      </c>
      <c r="AN41" s="3">
        <v>45908</v>
      </c>
      <c r="AO41" s="3">
        <v>45908</v>
      </c>
      <c r="AP41" s="3">
        <v>45904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0</v>
      </c>
    </row>
    <row r="42" spans="1:56" ht="27.75" customHeight="1" x14ac:dyDescent="0.45">
      <c r="A42" s="3">
        <v>45896</v>
      </c>
      <c r="B42" s="14" t="s">
        <v>387</v>
      </c>
      <c r="C42" s="9" t="s">
        <v>73</v>
      </c>
      <c r="D42" s="13" t="s">
        <v>301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45909</v>
      </c>
      <c r="U42" s="11">
        <v>5000</v>
      </c>
      <c r="V42" s="10">
        <v>0</v>
      </c>
      <c r="W42" s="10">
        <v>5000</v>
      </c>
      <c r="X42" s="10">
        <v>5400</v>
      </c>
      <c r="Y42" s="10">
        <v>0</v>
      </c>
      <c r="Z42" s="9" t="s">
        <v>172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116</v>
      </c>
      <c r="AH42" s="1" t="s">
        <v>74</v>
      </c>
      <c r="AI42" s="1">
        <v>2</v>
      </c>
      <c r="AJ42" s="3">
        <v>45909</v>
      </c>
      <c r="AK42" s="3">
        <v>0</v>
      </c>
      <c r="AL42" s="3">
        <v>45900</v>
      </c>
      <c r="AM42" s="3">
        <v>45907</v>
      </c>
      <c r="AN42" s="3">
        <v>45908</v>
      </c>
      <c r="AO42" s="3">
        <v>45908</v>
      </c>
      <c r="AP42" s="3">
        <v>45904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>
        <v>45896</v>
      </c>
      <c r="B43" s="14" t="s">
        <v>387</v>
      </c>
      <c r="C43" s="9" t="s">
        <v>73</v>
      </c>
      <c r="D43" s="13" t="s">
        <v>292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45909</v>
      </c>
      <c r="U43" s="11">
        <v>5000</v>
      </c>
      <c r="V43" s="10">
        <v>0</v>
      </c>
      <c r="W43" s="10">
        <v>5000</v>
      </c>
      <c r="X43" s="10">
        <v>5250</v>
      </c>
      <c r="Y43" s="10">
        <v>0</v>
      </c>
      <c r="Z43" s="9" t="s">
        <v>172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119</v>
      </c>
      <c r="AH43" s="1" t="s">
        <v>74</v>
      </c>
      <c r="AI43" s="1">
        <v>2</v>
      </c>
      <c r="AJ43" s="3">
        <v>45909</v>
      </c>
      <c r="AK43" s="3">
        <v>0</v>
      </c>
      <c r="AL43" s="3">
        <v>45900</v>
      </c>
      <c r="AM43" s="3">
        <v>45907</v>
      </c>
      <c r="AN43" s="3">
        <v>45908</v>
      </c>
      <c r="AO43" s="3">
        <v>45908</v>
      </c>
      <c r="AP43" s="3">
        <v>45904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0</v>
      </c>
    </row>
    <row r="44" spans="1:56" ht="27.75" customHeight="1" x14ac:dyDescent="0.45">
      <c r="A44" s="3">
        <v>45898</v>
      </c>
      <c r="B44" s="14" t="s">
        <v>390</v>
      </c>
      <c r="C44" s="9" t="s">
        <v>73</v>
      </c>
      <c r="D44" s="13" t="s">
        <v>293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45909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>
        <v>0</v>
      </c>
      <c r="AG44" s="1" t="s">
        <v>61</v>
      </c>
      <c r="AH44" s="1" t="s">
        <v>74</v>
      </c>
      <c r="AI44" s="1">
        <v>2</v>
      </c>
      <c r="AJ44" s="3">
        <v>45909</v>
      </c>
      <c r="AK44" s="3">
        <v>0</v>
      </c>
      <c r="AL44" s="3">
        <v>45900</v>
      </c>
      <c r="AM44" s="3">
        <v>45907</v>
      </c>
      <c r="AN44" s="3">
        <v>45908</v>
      </c>
      <c r="AO44" s="3">
        <v>45908</v>
      </c>
      <c r="AP44" s="3">
        <v>45904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0</v>
      </c>
    </row>
    <row r="45" spans="1:56" ht="27.75" customHeight="1" x14ac:dyDescent="0.45">
      <c r="A45" s="3">
        <v>45898</v>
      </c>
      <c r="B45" s="14" t="s">
        <v>390</v>
      </c>
      <c r="C45" s="9" t="s">
        <v>73</v>
      </c>
      <c r="D45" s="13" t="s">
        <v>266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45909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172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>
        <v>0</v>
      </c>
      <c r="AG45" s="1" t="s">
        <v>115</v>
      </c>
      <c r="AH45" s="1" t="s">
        <v>74</v>
      </c>
      <c r="AI45" s="1">
        <v>2</v>
      </c>
      <c r="AJ45" s="3">
        <v>45909</v>
      </c>
      <c r="AK45" s="3">
        <v>0</v>
      </c>
      <c r="AL45" s="3">
        <v>45900</v>
      </c>
      <c r="AM45" s="3">
        <v>45907</v>
      </c>
      <c r="AN45" s="3">
        <v>45908</v>
      </c>
      <c r="AO45" s="3">
        <v>45908</v>
      </c>
      <c r="AP45" s="3">
        <v>45904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352.51463377777782</v>
      </c>
    </row>
    <row r="46" spans="1:56" ht="27.75" customHeight="1" x14ac:dyDescent="0.45">
      <c r="A46" s="3">
        <v>45898</v>
      </c>
      <c r="B46" s="14" t="s">
        <v>390</v>
      </c>
      <c r="C46" s="9" t="s">
        <v>73</v>
      </c>
      <c r="D46" s="13" t="s">
        <v>290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45909</v>
      </c>
      <c r="U46" s="11">
        <v>5000</v>
      </c>
      <c r="V46" s="10">
        <v>0</v>
      </c>
      <c r="W46" s="10">
        <v>5000</v>
      </c>
      <c r="X46" s="10">
        <v>180</v>
      </c>
      <c r="Y46" s="10">
        <v>5061</v>
      </c>
      <c r="Z46" s="9" t="s">
        <v>172</v>
      </c>
      <c r="AA46" s="8">
        <v>4737.0453900000002</v>
      </c>
      <c r="AB46" s="8">
        <v>4737.0453900000002</v>
      </c>
      <c r="AC46" s="8">
        <v>0</v>
      </c>
      <c r="AD46" s="8">
        <v>0</v>
      </c>
      <c r="AE46" s="8">
        <v>0</v>
      </c>
      <c r="AF46" s="8">
        <v>0</v>
      </c>
      <c r="AG46" s="1" t="s">
        <v>115</v>
      </c>
      <c r="AH46" s="1" t="s">
        <v>74</v>
      </c>
      <c r="AI46" s="1">
        <v>2</v>
      </c>
      <c r="AJ46" s="3">
        <v>45909</v>
      </c>
      <c r="AK46" s="3">
        <v>0</v>
      </c>
      <c r="AL46" s="3">
        <v>45900</v>
      </c>
      <c r="AM46" s="3">
        <v>45907</v>
      </c>
      <c r="AN46" s="3">
        <v>45908</v>
      </c>
      <c r="AO46" s="3">
        <v>45908</v>
      </c>
      <c r="AP46" s="3">
        <v>45904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0</v>
      </c>
    </row>
    <row r="47" spans="1:56" ht="27.75" customHeight="1" x14ac:dyDescent="0.45">
      <c r="A47" s="3" t="s">
        <v>135</v>
      </c>
      <c r="B47" s="14" t="s">
        <v>135</v>
      </c>
      <c r="C47" s="9" t="s">
        <v>73</v>
      </c>
      <c r="D47" s="13" t="s">
        <v>61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141</v>
      </c>
      <c r="T47" s="12">
        <v>45930</v>
      </c>
      <c r="U47" s="11">
        <v>270000</v>
      </c>
      <c r="V47" s="10">
        <v>0</v>
      </c>
      <c r="W47" s="10">
        <v>270000</v>
      </c>
      <c r="X47" s="10">
        <v>0</v>
      </c>
      <c r="Y47" s="10">
        <v>283500</v>
      </c>
      <c r="Z47" s="9" t="s">
        <v>172</v>
      </c>
      <c r="AA47" s="8">
        <v>252717.30000000002</v>
      </c>
      <c r="AB47" s="8">
        <v>0</v>
      </c>
      <c r="AC47" s="8">
        <v>252717.30000000002</v>
      </c>
      <c r="AD47" s="8">
        <v>0</v>
      </c>
      <c r="AE47" s="8">
        <v>0</v>
      </c>
      <c r="AF47" s="8">
        <v>0</v>
      </c>
      <c r="AG47" s="1" t="s">
        <v>117</v>
      </c>
      <c r="AH47" s="1" t="s">
        <v>74</v>
      </c>
      <c r="AI47" s="1">
        <v>2</v>
      </c>
      <c r="AJ47" s="3">
        <v>45930</v>
      </c>
      <c r="AK47" s="3">
        <v>0</v>
      </c>
      <c r="AL47" s="3">
        <v>45921</v>
      </c>
      <c r="AM47" s="3">
        <v>45928</v>
      </c>
      <c r="AN47" s="3">
        <v>45929</v>
      </c>
      <c r="AO47" s="3">
        <v>45929</v>
      </c>
      <c r="AP47" s="3">
        <v>45925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19035.790224</v>
      </c>
    </row>
    <row r="48" spans="1:56" ht="27.7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30</v>
      </c>
      <c r="G48" s="9">
        <v>0</v>
      </c>
      <c r="H48" s="9">
        <v>0</v>
      </c>
      <c r="I48" s="9">
        <v>63</v>
      </c>
      <c r="J48" s="9" t="s">
        <v>78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172</v>
      </c>
      <c r="AA48" s="8">
        <v>311950.95915500005</v>
      </c>
      <c r="AB48" s="8">
        <v>54553.709155000004</v>
      </c>
      <c r="AC48" s="8">
        <v>257397.25000000003</v>
      </c>
      <c r="AD48" s="8">
        <v>0</v>
      </c>
      <c r="AE48" s="8">
        <v>0</v>
      </c>
      <c r="AF48" s="8" t="s">
        <v>58</v>
      </c>
      <c r="AG48" s="1" t="s">
        <v>115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174</v>
      </c>
      <c r="BD48" s="56">
        <v>0</v>
      </c>
    </row>
    <row r="49" spans="1:56" ht="27.75" customHeight="1" x14ac:dyDescent="0.45">
      <c r="A49" s="3">
        <v>45887</v>
      </c>
      <c r="B49" s="14" t="s">
        <v>342</v>
      </c>
      <c r="C49" s="9" t="s">
        <v>139</v>
      </c>
      <c r="D49" s="13" t="s">
        <v>328</v>
      </c>
      <c r="E49" s="9">
        <v>19</v>
      </c>
      <c r="F49" s="9">
        <v>35</v>
      </c>
      <c r="G49" s="9" t="s">
        <v>60</v>
      </c>
      <c r="H49" s="9" t="s">
        <v>76</v>
      </c>
      <c r="I49" s="9">
        <v>102</v>
      </c>
      <c r="J49" s="9" t="s">
        <v>57</v>
      </c>
      <c r="K49" s="9">
        <v>5</v>
      </c>
      <c r="L49" s="9" t="s">
        <v>196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108</v>
      </c>
      <c r="T49" s="12">
        <v>45904</v>
      </c>
      <c r="U49" s="11">
        <v>5040</v>
      </c>
      <c r="V49" s="10">
        <v>3287</v>
      </c>
      <c r="W49" s="10">
        <v>1753</v>
      </c>
      <c r="X49" s="10">
        <v>5346</v>
      </c>
      <c r="Y49" s="10">
        <v>0</v>
      </c>
      <c r="Z49" s="9" t="s">
        <v>112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115</v>
      </c>
      <c r="AH49" s="1" t="s">
        <v>75</v>
      </c>
      <c r="AI49" s="1">
        <v>4</v>
      </c>
      <c r="AJ49" s="3">
        <v>45904</v>
      </c>
      <c r="AK49" s="3">
        <v>45900</v>
      </c>
      <c r="AL49" s="3">
        <v>45893</v>
      </c>
      <c r="AM49" s="3">
        <v>45901</v>
      </c>
      <c r="AN49" s="3">
        <v>45902</v>
      </c>
      <c r="AO49" s="3">
        <v>45903</v>
      </c>
      <c r="AP49" s="3">
        <v>45899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 t="s">
        <v>380</v>
      </c>
      <c r="AZ49" s="2">
        <v>0</v>
      </c>
      <c r="BA49" s="2">
        <v>0</v>
      </c>
      <c r="BB49" s="2">
        <v>0</v>
      </c>
      <c r="BC49" s="1" t="s">
        <v>191</v>
      </c>
      <c r="BD49" s="56">
        <v>0</v>
      </c>
    </row>
    <row r="50" spans="1:56" ht="27.75" customHeight="1" x14ac:dyDescent="0.45">
      <c r="A50" s="3">
        <v>45796</v>
      </c>
      <c r="B50" s="14" t="s">
        <v>255</v>
      </c>
      <c r="C50" s="9" t="s">
        <v>139</v>
      </c>
      <c r="D50" s="13" t="s">
        <v>250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196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108</v>
      </c>
      <c r="T50" s="12" t="s">
        <v>63</v>
      </c>
      <c r="U50" s="11">
        <v>503</v>
      </c>
      <c r="V50" s="10">
        <v>0</v>
      </c>
      <c r="W50" s="10">
        <v>503</v>
      </c>
      <c r="X50" s="10">
        <v>5250</v>
      </c>
      <c r="Y50" s="10">
        <v>0</v>
      </c>
      <c r="Z50" s="9" t="s">
        <v>112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115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191</v>
      </c>
      <c r="BD50" s="56">
        <v>0</v>
      </c>
    </row>
    <row r="51" spans="1:56" ht="27.7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34</v>
      </c>
      <c r="G51" s="9" t="s">
        <v>60</v>
      </c>
      <c r="H51" s="9">
        <v>0</v>
      </c>
      <c r="I51" s="9">
        <v>80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112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58</v>
      </c>
      <c r="AG51" s="1" t="s">
        <v>115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192</v>
      </c>
      <c r="BD51" s="56">
        <v>0</v>
      </c>
    </row>
    <row r="52" spans="1:56" ht="27.75" customHeight="1" x14ac:dyDescent="0.45">
      <c r="A52" s="3">
        <v>45887</v>
      </c>
      <c r="B52" s="14" t="s">
        <v>347</v>
      </c>
      <c r="C52" s="9" t="s">
        <v>139</v>
      </c>
      <c r="D52" s="13" t="s">
        <v>181</v>
      </c>
      <c r="E52" s="9">
        <v>20</v>
      </c>
      <c r="F52" s="9">
        <v>35</v>
      </c>
      <c r="G52" s="9" t="s">
        <v>60</v>
      </c>
      <c r="H52" s="9" t="s">
        <v>76</v>
      </c>
      <c r="I52" s="9">
        <v>97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45904</v>
      </c>
      <c r="U52" s="11">
        <v>5040</v>
      </c>
      <c r="V52" s="10">
        <v>5040</v>
      </c>
      <c r="W52" s="10">
        <v>0</v>
      </c>
      <c r="X52" s="10">
        <v>10200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 t="s">
        <v>395</v>
      </c>
      <c r="AG52" s="1" t="s">
        <v>115</v>
      </c>
      <c r="AH52" s="1" t="s">
        <v>75</v>
      </c>
      <c r="AI52" s="1">
        <v>4</v>
      </c>
      <c r="AJ52" s="3">
        <v>45904</v>
      </c>
      <c r="AK52" s="3">
        <v>45900</v>
      </c>
      <c r="AL52" s="3">
        <v>45893</v>
      </c>
      <c r="AM52" s="3">
        <v>45901</v>
      </c>
      <c r="AN52" s="3">
        <v>45902</v>
      </c>
      <c r="AO52" s="3">
        <v>45903</v>
      </c>
      <c r="AP52" s="3">
        <v>45899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134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7.75" customHeight="1" x14ac:dyDescent="0.45">
      <c r="A53" s="3">
        <v>45877</v>
      </c>
      <c r="B53" s="14" t="s">
        <v>319</v>
      </c>
      <c r="C53" s="9" t="s">
        <v>79</v>
      </c>
      <c r="D53" s="13" t="s">
        <v>320</v>
      </c>
      <c r="E53" s="9">
        <v>20</v>
      </c>
      <c r="F53" s="9">
        <v>38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45904</v>
      </c>
      <c r="U53" s="11">
        <v>3000</v>
      </c>
      <c r="V53" s="10">
        <v>3000</v>
      </c>
      <c r="W53" s="10">
        <v>0</v>
      </c>
      <c r="X53" s="10">
        <v>3300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116</v>
      </c>
      <c r="AH53" s="1" t="s">
        <v>75</v>
      </c>
      <c r="AI53" s="1">
        <v>4</v>
      </c>
      <c r="AJ53" s="3">
        <v>45904</v>
      </c>
      <c r="AK53" s="3">
        <v>45900</v>
      </c>
      <c r="AL53" s="3">
        <v>45893</v>
      </c>
      <c r="AM53" s="3">
        <v>45901</v>
      </c>
      <c r="AN53" s="3">
        <v>45902</v>
      </c>
      <c r="AO53" s="3">
        <v>45903</v>
      </c>
      <c r="AP53" s="3">
        <v>45899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45892</v>
      </c>
      <c r="B54" s="14" t="s">
        <v>361</v>
      </c>
      <c r="C54" s="9" t="s">
        <v>139</v>
      </c>
      <c r="D54" s="13" t="s">
        <v>362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45905</v>
      </c>
      <c r="U54" s="11">
        <v>5040</v>
      </c>
      <c r="V54" s="10">
        <v>5040</v>
      </c>
      <c r="W54" s="10">
        <v>0</v>
      </c>
      <c r="X54" s="10">
        <v>6100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45905</v>
      </c>
      <c r="AK54" s="3">
        <v>45901</v>
      </c>
      <c r="AL54" s="3">
        <v>45894</v>
      </c>
      <c r="AM54" s="3">
        <v>45902</v>
      </c>
      <c r="AN54" s="3">
        <v>45903</v>
      </c>
      <c r="AO54" s="3">
        <v>45904</v>
      </c>
      <c r="AP54" s="3">
        <v>45900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45892</v>
      </c>
      <c r="B55" s="14" t="s">
        <v>372</v>
      </c>
      <c r="C55" s="9" t="s">
        <v>356</v>
      </c>
      <c r="D55" s="13" t="s">
        <v>357</v>
      </c>
      <c r="E55" s="9">
        <v>20</v>
      </c>
      <c r="F55" s="9">
        <v>30</v>
      </c>
      <c r="G55" s="9" t="s">
        <v>60</v>
      </c>
      <c r="H55" s="9" t="s">
        <v>66</v>
      </c>
      <c r="I55" s="9">
        <v>80</v>
      </c>
      <c r="J55" s="9" t="s">
        <v>57</v>
      </c>
      <c r="K55" s="9">
        <v>5</v>
      </c>
      <c r="L55" s="9" t="s">
        <v>358</v>
      </c>
      <c r="M55" s="10">
        <v>21</v>
      </c>
      <c r="N55" s="9">
        <v>33</v>
      </c>
      <c r="O55" s="9">
        <v>40</v>
      </c>
      <c r="P55" s="10">
        <v>0</v>
      </c>
      <c r="Q55" s="10">
        <v>0</v>
      </c>
      <c r="R55" s="10">
        <v>0</v>
      </c>
      <c r="S55" s="9" t="s">
        <v>71</v>
      </c>
      <c r="T55" s="12">
        <v>45905</v>
      </c>
      <c r="U55" s="11">
        <v>10000</v>
      </c>
      <c r="V55" s="10">
        <v>10000</v>
      </c>
      <c r="W55" s="10">
        <v>0</v>
      </c>
      <c r="X55" s="10">
        <v>10500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117</v>
      </c>
      <c r="AH55" s="1" t="s">
        <v>68</v>
      </c>
      <c r="AI55" s="1">
        <v>4</v>
      </c>
      <c r="AJ55" s="3">
        <v>45905</v>
      </c>
      <c r="AK55" s="3">
        <v>45901</v>
      </c>
      <c r="AL55" s="3">
        <v>45895</v>
      </c>
      <c r="AM55" s="3">
        <v>45902</v>
      </c>
      <c r="AN55" s="3">
        <v>45903</v>
      </c>
      <c r="AO55" s="3">
        <v>45903</v>
      </c>
      <c r="AP55" s="3">
        <v>45900</v>
      </c>
      <c r="AQ55" s="3">
        <v>45904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45850</v>
      </c>
      <c r="B56" s="14" t="s">
        <v>284</v>
      </c>
      <c r="C56" s="9" t="s">
        <v>107</v>
      </c>
      <c r="D56" s="13" t="s">
        <v>285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45905</v>
      </c>
      <c r="U56" s="11">
        <v>3000</v>
      </c>
      <c r="V56" s="10">
        <v>0</v>
      </c>
      <c r="W56" s="10">
        <v>3000</v>
      </c>
      <c r="X56" s="10">
        <v>0</v>
      </c>
      <c r="Y56" s="10">
        <v>3150</v>
      </c>
      <c r="Z56" s="9" t="s">
        <v>80</v>
      </c>
      <c r="AA56" s="8">
        <v>3310.89</v>
      </c>
      <c r="AB56" s="8">
        <v>3310.89</v>
      </c>
      <c r="AC56" s="8">
        <v>0</v>
      </c>
      <c r="AD56" s="8">
        <v>0</v>
      </c>
      <c r="AE56" s="8">
        <v>3310.89</v>
      </c>
      <c r="AF56" s="8">
        <v>0</v>
      </c>
      <c r="AG56" s="1" t="s">
        <v>115</v>
      </c>
      <c r="AH56" s="1" t="s">
        <v>75</v>
      </c>
      <c r="AI56" s="1">
        <v>4</v>
      </c>
      <c r="AJ56" s="3">
        <v>45905</v>
      </c>
      <c r="AK56" s="3">
        <v>45901</v>
      </c>
      <c r="AL56" s="3">
        <v>45894</v>
      </c>
      <c r="AM56" s="3">
        <v>45902</v>
      </c>
      <c r="AN56" s="3">
        <v>45903</v>
      </c>
      <c r="AO56" s="3">
        <v>45904</v>
      </c>
      <c r="AP56" s="3">
        <v>45900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45892</v>
      </c>
      <c r="B57" s="14" t="s">
        <v>361</v>
      </c>
      <c r="C57" s="9" t="s">
        <v>139</v>
      </c>
      <c r="D57" s="13" t="s">
        <v>330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45908</v>
      </c>
      <c r="U57" s="11">
        <v>5040</v>
      </c>
      <c r="V57" s="10">
        <v>4400</v>
      </c>
      <c r="W57" s="10">
        <v>640</v>
      </c>
      <c r="X57" s="10">
        <v>6000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117</v>
      </c>
      <c r="AH57" s="1" t="s">
        <v>75</v>
      </c>
      <c r="AI57" s="1">
        <v>4</v>
      </c>
      <c r="AJ57" s="3">
        <v>45908</v>
      </c>
      <c r="AK57" s="3">
        <v>45904</v>
      </c>
      <c r="AL57" s="3">
        <v>45897</v>
      </c>
      <c r="AM57" s="3">
        <v>45905</v>
      </c>
      <c r="AN57" s="3">
        <v>45906</v>
      </c>
      <c r="AO57" s="3">
        <v>45907</v>
      </c>
      <c r="AP57" s="3">
        <v>45903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>
        <v>0</v>
      </c>
      <c r="AY57" s="2" t="s">
        <v>371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45892</v>
      </c>
      <c r="B58" s="14" t="s">
        <v>363</v>
      </c>
      <c r="C58" s="9" t="s">
        <v>139</v>
      </c>
      <c r="D58" s="13" t="s">
        <v>131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45908</v>
      </c>
      <c r="U58" s="11">
        <v>1800</v>
      </c>
      <c r="V58" s="10">
        <v>0</v>
      </c>
      <c r="W58" s="10">
        <v>1800</v>
      </c>
      <c r="X58" s="10">
        <v>10650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116</v>
      </c>
      <c r="AH58" s="1" t="s">
        <v>75</v>
      </c>
      <c r="AI58" s="1">
        <v>4</v>
      </c>
      <c r="AJ58" s="3">
        <v>45908</v>
      </c>
      <c r="AK58" s="3">
        <v>45904</v>
      </c>
      <c r="AL58" s="3">
        <v>45897</v>
      </c>
      <c r="AM58" s="3">
        <v>45905</v>
      </c>
      <c r="AN58" s="3">
        <v>45906</v>
      </c>
      <c r="AO58" s="3">
        <v>45907</v>
      </c>
      <c r="AP58" s="3">
        <v>45903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45782</v>
      </c>
      <c r="B59" s="14" t="s">
        <v>249</v>
      </c>
      <c r="C59" s="9" t="s">
        <v>79</v>
      </c>
      <c r="D59" s="13" t="s">
        <v>243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45909</v>
      </c>
      <c r="U59" s="11">
        <v>5000</v>
      </c>
      <c r="V59" s="10">
        <v>4473</v>
      </c>
      <c r="W59" s="10">
        <v>527</v>
      </c>
      <c r="X59" s="10">
        <v>5200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61</v>
      </c>
      <c r="AH59" s="1" t="s">
        <v>75</v>
      </c>
      <c r="AI59" s="1">
        <v>4</v>
      </c>
      <c r="AJ59" s="3">
        <v>45909</v>
      </c>
      <c r="AK59" s="3">
        <v>45905</v>
      </c>
      <c r="AL59" s="3">
        <v>45898</v>
      </c>
      <c r="AM59" s="3">
        <v>45906</v>
      </c>
      <c r="AN59" s="3">
        <v>45907</v>
      </c>
      <c r="AO59" s="3">
        <v>45908</v>
      </c>
      <c r="AP59" s="3">
        <v>45904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134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45896</v>
      </c>
      <c r="B60" s="14" t="s">
        <v>394</v>
      </c>
      <c r="C60" s="9" t="s">
        <v>139</v>
      </c>
      <c r="D60" s="13" t="s">
        <v>252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45910</v>
      </c>
      <c r="U60" s="11">
        <v>5040</v>
      </c>
      <c r="V60" s="10">
        <v>0</v>
      </c>
      <c r="W60" s="10">
        <v>5040</v>
      </c>
      <c r="X60" s="10">
        <v>6182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61</v>
      </c>
      <c r="AH60" s="1" t="s">
        <v>75</v>
      </c>
      <c r="AI60" s="1">
        <v>4</v>
      </c>
      <c r="AJ60" s="3">
        <v>45910</v>
      </c>
      <c r="AK60" s="3">
        <v>45906</v>
      </c>
      <c r="AL60" s="3">
        <v>45899</v>
      </c>
      <c r="AM60" s="3">
        <v>45907</v>
      </c>
      <c r="AN60" s="3">
        <v>45908</v>
      </c>
      <c r="AO60" s="3">
        <v>45909</v>
      </c>
      <c r="AP60" s="3">
        <v>45905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45873</v>
      </c>
      <c r="B61" s="14" t="s">
        <v>308</v>
      </c>
      <c r="C61" s="9" t="s">
        <v>107</v>
      </c>
      <c r="D61" s="13" t="s">
        <v>309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45922</v>
      </c>
      <c r="U61" s="11">
        <v>4000</v>
      </c>
      <c r="V61" s="10">
        <v>0</v>
      </c>
      <c r="W61" s="10">
        <v>4000</v>
      </c>
      <c r="X61" s="10">
        <v>0</v>
      </c>
      <c r="Y61" s="10">
        <v>4200</v>
      </c>
      <c r="Z61" s="9" t="s">
        <v>80</v>
      </c>
      <c r="AA61" s="8">
        <v>4414.5199999999995</v>
      </c>
      <c r="AB61" s="8">
        <v>4414.5199999999995</v>
      </c>
      <c r="AC61" s="8">
        <v>0</v>
      </c>
      <c r="AD61" s="8">
        <v>0</v>
      </c>
      <c r="AE61" s="8">
        <v>4414.5199999999995</v>
      </c>
      <c r="AF61" s="8" t="s">
        <v>307</v>
      </c>
      <c r="AG61" s="1" t="s">
        <v>61</v>
      </c>
      <c r="AH61" s="1" t="s">
        <v>75</v>
      </c>
      <c r="AI61" s="1">
        <v>4</v>
      </c>
      <c r="AJ61" s="3">
        <v>45922</v>
      </c>
      <c r="AK61" s="3">
        <v>45918</v>
      </c>
      <c r="AL61" s="3">
        <v>45911</v>
      </c>
      <c r="AM61" s="3">
        <v>45919</v>
      </c>
      <c r="AN61" s="3">
        <v>45920</v>
      </c>
      <c r="AO61" s="3">
        <v>45921</v>
      </c>
      <c r="AP61" s="3">
        <v>45917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 t="s">
        <v>135</v>
      </c>
      <c r="B62" s="14" t="s">
        <v>135</v>
      </c>
      <c r="C62" s="9" t="s">
        <v>139</v>
      </c>
      <c r="D62" s="13" t="s">
        <v>61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45925</v>
      </c>
      <c r="U62" s="11">
        <v>100000</v>
      </c>
      <c r="V62" s="10">
        <v>0</v>
      </c>
      <c r="W62" s="10">
        <v>100000</v>
      </c>
      <c r="X62" s="10">
        <v>0</v>
      </c>
      <c r="Y62" s="10">
        <v>105000</v>
      </c>
      <c r="Z62" s="9" t="s">
        <v>80</v>
      </c>
      <c r="AA62" s="8">
        <v>104775.00000000001</v>
      </c>
      <c r="AB62" s="8">
        <v>0</v>
      </c>
      <c r="AC62" s="8">
        <v>104775.00000000001</v>
      </c>
      <c r="AD62" s="8">
        <v>0</v>
      </c>
      <c r="AE62" s="8">
        <v>104775.00000000001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45925</v>
      </c>
      <c r="AK62" s="3">
        <v>45921</v>
      </c>
      <c r="AL62" s="3">
        <v>45914</v>
      </c>
      <c r="AM62" s="3">
        <v>45922</v>
      </c>
      <c r="AN62" s="3">
        <v>45923</v>
      </c>
      <c r="AO62" s="3">
        <v>45924</v>
      </c>
      <c r="AP62" s="3">
        <v>45920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7916.333333333333</v>
      </c>
    </row>
    <row r="63" spans="1:56" ht="27.75" customHeight="1" x14ac:dyDescent="0.45">
      <c r="A63" s="3" t="s">
        <v>135</v>
      </c>
      <c r="B63" s="14" t="s">
        <v>135</v>
      </c>
      <c r="C63" s="9" t="s">
        <v>79</v>
      </c>
      <c r="D63" s="13" t="s">
        <v>61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45925</v>
      </c>
      <c r="U63" s="11">
        <v>20000</v>
      </c>
      <c r="V63" s="10">
        <v>0</v>
      </c>
      <c r="W63" s="10">
        <v>20000</v>
      </c>
      <c r="X63" s="10">
        <v>0</v>
      </c>
      <c r="Y63" s="10">
        <v>21000</v>
      </c>
      <c r="Z63" s="9" t="s">
        <v>80</v>
      </c>
      <c r="AA63" s="8">
        <v>22072.6</v>
      </c>
      <c r="AB63" s="8">
        <v>0</v>
      </c>
      <c r="AC63" s="8">
        <v>22072.6</v>
      </c>
      <c r="AD63" s="8">
        <v>0</v>
      </c>
      <c r="AE63" s="8">
        <v>22072.6</v>
      </c>
      <c r="AF63" s="8">
        <v>0</v>
      </c>
      <c r="AG63" s="1" t="s">
        <v>116</v>
      </c>
      <c r="AH63" s="1" t="s">
        <v>75</v>
      </c>
      <c r="AI63" s="1">
        <v>4</v>
      </c>
      <c r="AJ63" s="3">
        <v>45925</v>
      </c>
      <c r="AK63" s="3">
        <v>45921</v>
      </c>
      <c r="AL63" s="3">
        <v>45914</v>
      </c>
      <c r="AM63" s="3">
        <v>45922</v>
      </c>
      <c r="AN63" s="3">
        <v>45923</v>
      </c>
      <c r="AO63" s="3">
        <v>45924</v>
      </c>
      <c r="AP63" s="3">
        <v>45920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1667.7075555555555</v>
      </c>
    </row>
    <row r="64" spans="1:56" ht="27.75" customHeight="1" x14ac:dyDescent="0.45">
      <c r="A64" s="3" t="s">
        <v>135</v>
      </c>
      <c r="B64" s="14" t="s">
        <v>135</v>
      </c>
      <c r="C64" s="9" t="s">
        <v>97</v>
      </c>
      <c r="D64" s="13" t="s">
        <v>61</v>
      </c>
      <c r="E64" s="9">
        <v>20</v>
      </c>
      <c r="F64" s="9">
        <v>37</v>
      </c>
      <c r="G64" s="9" t="s">
        <v>60</v>
      </c>
      <c r="H64" s="9" t="s">
        <v>76</v>
      </c>
      <c r="I64" s="9">
        <v>97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71</v>
      </c>
      <c r="T64" s="12">
        <v>45925</v>
      </c>
      <c r="U64" s="11">
        <v>20000</v>
      </c>
      <c r="V64" s="10">
        <v>0</v>
      </c>
      <c r="W64" s="10">
        <v>20000</v>
      </c>
      <c r="X64" s="10">
        <v>0</v>
      </c>
      <c r="Y64" s="10">
        <v>21000</v>
      </c>
      <c r="Z64" s="9" t="s">
        <v>80</v>
      </c>
      <c r="AA64" s="8">
        <v>21513.800000000003</v>
      </c>
      <c r="AB64" s="8">
        <v>0</v>
      </c>
      <c r="AC64" s="8">
        <v>21513.800000000003</v>
      </c>
      <c r="AD64" s="8">
        <v>0</v>
      </c>
      <c r="AE64" s="8">
        <v>21513.800000000003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45925</v>
      </c>
      <c r="AK64" s="3">
        <v>45921</v>
      </c>
      <c r="AL64" s="3">
        <v>45914</v>
      </c>
      <c r="AM64" s="3">
        <v>45922</v>
      </c>
      <c r="AN64" s="3">
        <v>45923</v>
      </c>
      <c r="AO64" s="3">
        <v>45924</v>
      </c>
      <c r="AP64" s="3">
        <v>45920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1625.4871111111113</v>
      </c>
    </row>
    <row r="65" spans="1:56" ht="27.75" customHeight="1" x14ac:dyDescent="0.45">
      <c r="A65" s="3">
        <v>45892</v>
      </c>
      <c r="B65" s="14" t="s">
        <v>364</v>
      </c>
      <c r="C65" s="9" t="s">
        <v>79</v>
      </c>
      <c r="D65" s="13" t="s">
        <v>365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45930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80</v>
      </c>
      <c r="AA65" s="8">
        <v>3227.07</v>
      </c>
      <c r="AB65" s="8">
        <v>3227.07</v>
      </c>
      <c r="AC65" s="8">
        <v>0</v>
      </c>
      <c r="AD65" s="8">
        <v>0</v>
      </c>
      <c r="AE65" s="8">
        <v>3227.07</v>
      </c>
      <c r="AF65" s="8">
        <v>0</v>
      </c>
      <c r="AG65" s="1" t="s">
        <v>116</v>
      </c>
      <c r="AH65" s="1" t="s">
        <v>75</v>
      </c>
      <c r="AI65" s="1">
        <v>4</v>
      </c>
      <c r="AJ65" s="3">
        <v>45930</v>
      </c>
      <c r="AK65" s="3">
        <v>45926</v>
      </c>
      <c r="AL65" s="3">
        <v>45919</v>
      </c>
      <c r="AM65" s="3">
        <v>45927</v>
      </c>
      <c r="AN65" s="3">
        <v>45928</v>
      </c>
      <c r="AO65" s="3">
        <v>45929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45891</v>
      </c>
      <c r="B66" s="14" t="s">
        <v>396</v>
      </c>
      <c r="C66" s="9" t="s">
        <v>79</v>
      </c>
      <c r="D66" s="13" t="s">
        <v>397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45930</v>
      </c>
      <c r="U66" s="11">
        <v>9000</v>
      </c>
      <c r="V66" s="10">
        <v>0</v>
      </c>
      <c r="W66" s="10">
        <v>9000</v>
      </c>
      <c r="X66" s="10">
        <v>0</v>
      </c>
      <c r="Y66" s="10">
        <v>9450</v>
      </c>
      <c r="Z66" s="9" t="s">
        <v>80</v>
      </c>
      <c r="AA66" s="8">
        <v>9932.67</v>
      </c>
      <c r="AB66" s="8">
        <v>9932.67</v>
      </c>
      <c r="AC66" s="8">
        <v>0</v>
      </c>
      <c r="AD66" s="8">
        <v>0</v>
      </c>
      <c r="AE66" s="8">
        <v>9932.67</v>
      </c>
      <c r="AF66" s="8">
        <v>0</v>
      </c>
      <c r="AG66" s="1" t="s">
        <v>115</v>
      </c>
      <c r="AH66" s="1" t="s">
        <v>75</v>
      </c>
      <c r="AI66" s="1">
        <v>5</v>
      </c>
      <c r="AJ66" s="3">
        <v>45930</v>
      </c>
      <c r="AK66" s="3">
        <v>45925</v>
      </c>
      <c r="AL66" s="3">
        <v>45918</v>
      </c>
      <c r="AM66" s="3">
        <v>45926</v>
      </c>
      <c r="AN66" s="3">
        <v>45927</v>
      </c>
      <c r="AO66" s="3">
        <v>45928</v>
      </c>
      <c r="AP66" s="3">
        <v>45925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45891</v>
      </c>
      <c r="B67" s="14" t="s">
        <v>398</v>
      </c>
      <c r="C67" s="9" t="s">
        <v>79</v>
      </c>
      <c r="D67" s="13" t="s">
        <v>399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45930</v>
      </c>
      <c r="U67" s="11">
        <v>4000</v>
      </c>
      <c r="V67" s="10">
        <v>0</v>
      </c>
      <c r="W67" s="10">
        <v>4000</v>
      </c>
      <c r="X67" s="10">
        <v>0</v>
      </c>
      <c r="Y67" s="10">
        <v>4200</v>
      </c>
      <c r="Z67" s="9" t="s">
        <v>80</v>
      </c>
      <c r="AA67" s="8">
        <v>4414.5199999999995</v>
      </c>
      <c r="AB67" s="8">
        <v>4414.5199999999995</v>
      </c>
      <c r="AC67" s="8">
        <v>0</v>
      </c>
      <c r="AD67" s="8">
        <v>0</v>
      </c>
      <c r="AE67" s="8">
        <v>4414.5199999999995</v>
      </c>
      <c r="AF67" s="8">
        <v>0</v>
      </c>
      <c r="AG67" s="1" t="s">
        <v>116</v>
      </c>
      <c r="AH67" s="1" t="s">
        <v>75</v>
      </c>
      <c r="AI67" s="1">
        <v>5</v>
      </c>
      <c r="AJ67" s="3">
        <v>45930</v>
      </c>
      <c r="AK67" s="3">
        <v>45925</v>
      </c>
      <c r="AL67" s="3">
        <v>45918</v>
      </c>
      <c r="AM67" s="3">
        <v>45926</v>
      </c>
      <c r="AN67" s="3">
        <v>45927</v>
      </c>
      <c r="AO67" s="3">
        <v>45928</v>
      </c>
      <c r="AP67" s="3">
        <v>45925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45891</v>
      </c>
      <c r="B68" s="14" t="s">
        <v>400</v>
      </c>
      <c r="C68" s="9" t="s">
        <v>79</v>
      </c>
      <c r="D68" s="13" t="s">
        <v>401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45930</v>
      </c>
      <c r="U68" s="11">
        <v>9000</v>
      </c>
      <c r="V68" s="10">
        <v>0</v>
      </c>
      <c r="W68" s="10">
        <v>9000</v>
      </c>
      <c r="X68" s="10">
        <v>0</v>
      </c>
      <c r="Y68" s="10">
        <v>9450</v>
      </c>
      <c r="Z68" s="9" t="s">
        <v>80</v>
      </c>
      <c r="AA68" s="8">
        <v>9932.67</v>
      </c>
      <c r="AB68" s="8">
        <v>5333</v>
      </c>
      <c r="AC68" s="8">
        <v>4599.67</v>
      </c>
      <c r="AD68" s="8">
        <v>0</v>
      </c>
      <c r="AE68" s="8">
        <v>9932.67</v>
      </c>
      <c r="AF68" s="8">
        <v>0</v>
      </c>
      <c r="AG68" s="1" t="s">
        <v>116</v>
      </c>
      <c r="AH68" s="1" t="s">
        <v>75</v>
      </c>
      <c r="AI68" s="1">
        <v>5</v>
      </c>
      <c r="AJ68" s="3">
        <v>45930</v>
      </c>
      <c r="AK68" s="3">
        <v>45925</v>
      </c>
      <c r="AL68" s="3">
        <v>45918</v>
      </c>
      <c r="AM68" s="3">
        <v>45926</v>
      </c>
      <c r="AN68" s="3">
        <v>45927</v>
      </c>
      <c r="AO68" s="3">
        <v>45928</v>
      </c>
      <c r="AP68" s="3">
        <v>45925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347.53062222222229</v>
      </c>
    </row>
    <row r="69" spans="1:56" ht="27.75" customHeight="1" x14ac:dyDescent="0.45">
      <c r="A69" s="3">
        <v>45887</v>
      </c>
      <c r="B69" s="14" t="s">
        <v>346</v>
      </c>
      <c r="C69" s="9" t="s">
        <v>139</v>
      </c>
      <c r="D69" s="13" t="s">
        <v>224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 t="s">
        <v>63</v>
      </c>
      <c r="U69" s="11">
        <v>104</v>
      </c>
      <c r="V69" s="10">
        <v>0</v>
      </c>
      <c r="W69" s="10">
        <v>104</v>
      </c>
      <c r="X69" s="10">
        <v>11230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116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134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45">
      <c r="A70" s="3">
        <v>45896</v>
      </c>
      <c r="B70" s="14" t="s">
        <v>402</v>
      </c>
      <c r="C70" s="9" t="s">
        <v>79</v>
      </c>
      <c r="D70" s="13" t="s">
        <v>311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63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3310.89</v>
      </c>
      <c r="AB70" s="8">
        <v>0</v>
      </c>
      <c r="AC70" s="8">
        <v>3310.89</v>
      </c>
      <c r="AD70" s="8">
        <v>0</v>
      </c>
      <c r="AE70" s="8">
        <v>3310.89</v>
      </c>
      <c r="AF70" s="8">
        <v>0</v>
      </c>
      <c r="AG70" s="1" t="s">
        <v>115</v>
      </c>
      <c r="AH70" s="1" t="s">
        <v>75</v>
      </c>
      <c r="AI70" s="1">
        <v>5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250.15613333333337</v>
      </c>
    </row>
    <row r="71" spans="1:56" ht="27.75" customHeight="1" x14ac:dyDescent="0.45">
      <c r="A71" s="3">
        <v>45896</v>
      </c>
      <c r="B71" s="14" t="s">
        <v>403</v>
      </c>
      <c r="C71" s="9" t="s">
        <v>79</v>
      </c>
      <c r="D71" s="13" t="s">
        <v>404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8000</v>
      </c>
      <c r="V71" s="10">
        <v>0</v>
      </c>
      <c r="W71" s="10">
        <v>8000</v>
      </c>
      <c r="X71" s="10">
        <v>0</v>
      </c>
      <c r="Y71" s="10">
        <v>8400</v>
      </c>
      <c r="Z71" s="9" t="s">
        <v>80</v>
      </c>
      <c r="AA71" s="8">
        <v>8829.0399999999991</v>
      </c>
      <c r="AB71" s="8">
        <v>0</v>
      </c>
      <c r="AC71" s="8">
        <v>8829.0399999999991</v>
      </c>
      <c r="AD71" s="8">
        <v>0</v>
      </c>
      <c r="AE71" s="8">
        <v>8829.0399999999991</v>
      </c>
      <c r="AF71" s="8">
        <v>0</v>
      </c>
      <c r="AG71" s="1" t="s">
        <v>115</v>
      </c>
      <c r="AH71" s="1" t="s">
        <v>75</v>
      </c>
      <c r="AI71" s="1">
        <v>5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667.08302222222221</v>
      </c>
    </row>
    <row r="72" spans="1:56" ht="27.75" customHeight="1" x14ac:dyDescent="0.45">
      <c r="A72" s="3">
        <v>45892</v>
      </c>
      <c r="B72" s="14" t="s">
        <v>366</v>
      </c>
      <c r="C72" s="9" t="s">
        <v>79</v>
      </c>
      <c r="D72" s="13" t="s">
        <v>220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63</v>
      </c>
      <c r="U72" s="11">
        <v>6000</v>
      </c>
      <c r="V72" s="10">
        <v>0</v>
      </c>
      <c r="W72" s="10">
        <v>6000</v>
      </c>
      <c r="X72" s="10">
        <v>0</v>
      </c>
      <c r="Y72" s="10">
        <v>6300</v>
      </c>
      <c r="Z72" s="9" t="s">
        <v>80</v>
      </c>
      <c r="AA72" s="8">
        <v>6621.78</v>
      </c>
      <c r="AB72" s="8">
        <v>0</v>
      </c>
      <c r="AC72" s="8">
        <v>6621.78</v>
      </c>
      <c r="AD72" s="8">
        <v>0</v>
      </c>
      <c r="AE72" s="8">
        <v>6621.78</v>
      </c>
      <c r="AF72" s="8">
        <v>0</v>
      </c>
      <c r="AG72" s="1" t="s">
        <v>116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500.31226666666674</v>
      </c>
    </row>
    <row r="73" spans="1:56" ht="27.75" customHeight="1" x14ac:dyDescent="0.45">
      <c r="A73" s="3">
        <v>45796</v>
      </c>
      <c r="B73" s="14" t="s">
        <v>258</v>
      </c>
      <c r="C73" s="9" t="s">
        <v>139</v>
      </c>
      <c r="D73" s="13" t="s">
        <v>145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 t="s">
        <v>63</v>
      </c>
      <c r="U73" s="11">
        <v>240</v>
      </c>
      <c r="V73" s="10">
        <v>0</v>
      </c>
      <c r="W73" s="10">
        <v>240</v>
      </c>
      <c r="X73" s="10">
        <v>0</v>
      </c>
      <c r="Y73" s="10">
        <v>252</v>
      </c>
      <c r="Z73" s="9" t="s">
        <v>80</v>
      </c>
      <c r="AA73" s="8">
        <v>251.46</v>
      </c>
      <c r="AB73" s="8">
        <v>0</v>
      </c>
      <c r="AC73" s="8">
        <v>251.46</v>
      </c>
      <c r="AD73" s="8">
        <v>0</v>
      </c>
      <c r="AE73" s="8">
        <v>251.46</v>
      </c>
      <c r="AF73" s="8">
        <v>0</v>
      </c>
      <c r="AG73" s="1" t="s">
        <v>61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 t="s">
        <v>254</v>
      </c>
      <c r="AZ73" s="2">
        <v>0</v>
      </c>
      <c r="BA73" s="2">
        <v>0</v>
      </c>
      <c r="BB73" s="2">
        <v>0</v>
      </c>
      <c r="BC73" s="1" t="s">
        <v>104</v>
      </c>
      <c r="BD73" s="56">
        <v>18.999199999999998</v>
      </c>
    </row>
    <row r="74" spans="1:56" ht="27.75" customHeight="1" x14ac:dyDescent="0.45">
      <c r="A74" s="3">
        <v>45876</v>
      </c>
      <c r="B74" s="14" t="s">
        <v>329</v>
      </c>
      <c r="C74" s="9" t="s">
        <v>107</v>
      </c>
      <c r="D74" s="13" t="s">
        <v>315</v>
      </c>
      <c r="E74" s="9">
        <v>20</v>
      </c>
      <c r="F74" s="9">
        <v>40</v>
      </c>
      <c r="G74" s="9" t="s">
        <v>60</v>
      </c>
      <c r="H74" s="9" t="s">
        <v>66</v>
      </c>
      <c r="I74" s="9">
        <v>108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3000</v>
      </c>
      <c r="V74" s="10">
        <v>3075</v>
      </c>
      <c r="W74" s="10">
        <v>0</v>
      </c>
      <c r="X74" s="10">
        <v>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115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>
        <v>45877</v>
      </c>
      <c r="B75" s="14" t="s">
        <v>319</v>
      </c>
      <c r="C75" s="9" t="s">
        <v>79</v>
      </c>
      <c r="D75" s="13" t="s">
        <v>320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7000</v>
      </c>
      <c r="V75" s="10">
        <v>0</v>
      </c>
      <c r="W75" s="10">
        <v>7000</v>
      </c>
      <c r="X75" s="10">
        <v>0</v>
      </c>
      <c r="Y75" s="10">
        <v>7350</v>
      </c>
      <c r="Z75" s="9" t="s">
        <v>80</v>
      </c>
      <c r="AA75" s="8">
        <v>7725.41</v>
      </c>
      <c r="AB75" s="8">
        <v>0</v>
      </c>
      <c r="AC75" s="8">
        <v>7725.41</v>
      </c>
      <c r="AD75" s="8">
        <v>0</v>
      </c>
      <c r="AE75" s="8">
        <v>7725.41</v>
      </c>
      <c r="AF75" s="8">
        <v>0</v>
      </c>
      <c r="AG75" s="1" t="s">
        <v>115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583.69764444444445</v>
      </c>
    </row>
    <row r="76" spans="1:56" ht="27.75" customHeight="1" x14ac:dyDescent="0.45">
      <c r="A76" s="3" t="s">
        <v>135</v>
      </c>
      <c r="B76" s="14" t="s">
        <v>135</v>
      </c>
      <c r="C76" s="9" t="s">
        <v>270</v>
      </c>
      <c r="D76" s="13" t="s">
        <v>61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110</v>
      </c>
      <c r="T76" s="12" t="s">
        <v>63</v>
      </c>
      <c r="U76" s="11">
        <v>100000</v>
      </c>
      <c r="V76" s="10">
        <v>0</v>
      </c>
      <c r="W76" s="10">
        <v>100000</v>
      </c>
      <c r="X76" s="10">
        <v>0</v>
      </c>
      <c r="Y76" s="10">
        <v>105000</v>
      </c>
      <c r="Z76" s="9" t="s">
        <v>80</v>
      </c>
      <c r="AA76" s="8">
        <v>110363</v>
      </c>
      <c r="AB76" s="8">
        <v>0</v>
      </c>
      <c r="AC76" s="8">
        <v>110363</v>
      </c>
      <c r="AD76" s="8">
        <v>0</v>
      </c>
      <c r="AE76" s="8">
        <v>110363</v>
      </c>
      <c r="AF76" s="8">
        <v>0</v>
      </c>
      <c r="AG76" s="1" t="s">
        <v>115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8338.5377777777776</v>
      </c>
    </row>
    <row r="77" spans="1:56" ht="27.75" customHeight="1" x14ac:dyDescent="0.45">
      <c r="A77" s="3">
        <v>45825</v>
      </c>
      <c r="B77" s="14" t="s">
        <v>269</v>
      </c>
      <c r="C77" s="9" t="s">
        <v>139</v>
      </c>
      <c r="D77" s="13" t="s">
        <v>239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246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 t="s">
        <v>63</v>
      </c>
      <c r="U77" s="11">
        <v>894</v>
      </c>
      <c r="V77" s="10">
        <v>525</v>
      </c>
      <c r="W77" s="10">
        <v>369</v>
      </c>
      <c r="X77" s="10">
        <v>6000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116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134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45">
      <c r="A78" s="3">
        <v>45796</v>
      </c>
      <c r="B78" s="14" t="s">
        <v>256</v>
      </c>
      <c r="C78" s="9" t="s">
        <v>139</v>
      </c>
      <c r="D78" s="13" t="s">
        <v>251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 t="s">
        <v>63</v>
      </c>
      <c r="U78" s="11">
        <v>366</v>
      </c>
      <c r="V78" s="10">
        <v>0</v>
      </c>
      <c r="W78" s="10">
        <v>366</v>
      </c>
      <c r="X78" s="10">
        <v>5113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116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45">
      <c r="A79" s="3">
        <v>45796</v>
      </c>
      <c r="B79" s="14" t="s">
        <v>257</v>
      </c>
      <c r="C79" s="9" t="s">
        <v>139</v>
      </c>
      <c r="D79" s="13" t="s">
        <v>253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 t="s">
        <v>63</v>
      </c>
      <c r="U79" s="11">
        <v>302</v>
      </c>
      <c r="V79" s="10">
        <v>0</v>
      </c>
      <c r="W79" s="10">
        <v>302</v>
      </c>
      <c r="X79" s="10">
        <v>5300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115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45782</v>
      </c>
      <c r="B80" s="14" t="s">
        <v>249</v>
      </c>
      <c r="C80" s="9" t="s">
        <v>79</v>
      </c>
      <c r="D80" s="13" t="s">
        <v>243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63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5518.15</v>
      </c>
      <c r="AB80" s="8">
        <v>0</v>
      </c>
      <c r="AC80" s="8">
        <v>5518.15</v>
      </c>
      <c r="AD80" s="8">
        <v>0</v>
      </c>
      <c r="AE80" s="8">
        <v>5518.15</v>
      </c>
      <c r="AF80" s="8">
        <v>0</v>
      </c>
      <c r="AG80" s="1" t="s">
        <v>115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134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416.92688888888887</v>
      </c>
    </row>
    <row r="81" spans="1:56" ht="27.75" customHeight="1" x14ac:dyDescent="0.45">
      <c r="A81" s="3">
        <v>45798</v>
      </c>
      <c r="B81" s="14" t="s">
        <v>263</v>
      </c>
      <c r="C81" s="9" t="s">
        <v>107</v>
      </c>
      <c r="D81" s="13" t="s">
        <v>261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117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134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416.92688888888887</v>
      </c>
    </row>
    <row r="82" spans="1:56" ht="27.75" customHeight="1" x14ac:dyDescent="0.45">
      <c r="A82" s="3">
        <v>45674</v>
      </c>
      <c r="B82" s="14" t="s">
        <v>226</v>
      </c>
      <c r="C82" s="9" t="s">
        <v>139</v>
      </c>
      <c r="D82" s="13" t="s">
        <v>225</v>
      </c>
      <c r="E82" s="9">
        <v>20</v>
      </c>
      <c r="F82" s="9">
        <v>35</v>
      </c>
      <c r="G82" s="9" t="s">
        <v>60</v>
      </c>
      <c r="H82" s="9" t="s">
        <v>76</v>
      </c>
      <c r="I82" s="9">
        <v>97</v>
      </c>
      <c r="J82" s="9" t="s">
        <v>57</v>
      </c>
      <c r="K82" s="9">
        <v>5</v>
      </c>
      <c r="L82" s="9" t="s">
        <v>196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 t="s">
        <v>63</v>
      </c>
      <c r="U82" s="11">
        <v>152</v>
      </c>
      <c r="V82" s="10">
        <v>0</v>
      </c>
      <c r="W82" s="10">
        <v>152</v>
      </c>
      <c r="X82" s="10">
        <v>6000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5987</v>
      </c>
      <c r="AG82" s="1" t="s">
        <v>115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 t="s">
        <v>235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45611</v>
      </c>
      <c r="B83" s="14" t="s">
        <v>195</v>
      </c>
      <c r="C83" s="9" t="s">
        <v>139</v>
      </c>
      <c r="D83" s="13" t="s">
        <v>194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 t="s">
        <v>63</v>
      </c>
      <c r="U83" s="11">
        <v>117</v>
      </c>
      <c r="V83" s="10">
        <v>0</v>
      </c>
      <c r="W83" s="10">
        <v>117</v>
      </c>
      <c r="X83" s="10">
        <v>10065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117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45523</v>
      </c>
      <c r="B84" s="14" t="s">
        <v>178</v>
      </c>
      <c r="C84" s="9" t="s">
        <v>139</v>
      </c>
      <c r="D84" s="13" t="s">
        <v>176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1260</v>
      </c>
      <c r="V84" s="10">
        <v>0</v>
      </c>
      <c r="W84" s="10">
        <v>1260</v>
      </c>
      <c r="X84" s="10">
        <v>11095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117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45523</v>
      </c>
      <c r="B85" s="14" t="s">
        <v>178</v>
      </c>
      <c r="C85" s="9" t="s">
        <v>139</v>
      </c>
      <c r="D85" s="13" t="s">
        <v>177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89</v>
      </c>
      <c r="V85" s="10">
        <v>0</v>
      </c>
      <c r="W85" s="10">
        <v>89</v>
      </c>
      <c r="X85" s="10">
        <v>11180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115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45799</v>
      </c>
      <c r="B86" s="14" t="s">
        <v>264</v>
      </c>
      <c r="C86" s="9" t="s">
        <v>259</v>
      </c>
      <c r="D86" s="13" t="s">
        <v>260</v>
      </c>
      <c r="E86" s="9">
        <v>20</v>
      </c>
      <c r="F86" s="9">
        <v>34</v>
      </c>
      <c r="G86" s="9" t="s">
        <v>60</v>
      </c>
      <c r="H86" s="9" t="s">
        <v>66</v>
      </c>
      <c r="I86" s="9">
        <v>95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71</v>
      </c>
      <c r="T86" s="12" t="s">
        <v>132</v>
      </c>
      <c r="U86" s="11">
        <v>4000</v>
      </c>
      <c r="V86" s="10">
        <v>2840</v>
      </c>
      <c r="W86" s="10">
        <v>1160</v>
      </c>
      <c r="X86" s="10">
        <v>8450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 t="s">
        <v>210</v>
      </c>
      <c r="AG86" s="1" t="s">
        <v>115</v>
      </c>
      <c r="AH86" s="1" t="s">
        <v>75</v>
      </c>
      <c r="AI86" s="1">
        <v>4</v>
      </c>
      <c r="AJ86" s="3" t="s">
        <v>132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45799</v>
      </c>
      <c r="B87" s="14" t="s">
        <v>264</v>
      </c>
      <c r="C87" s="9" t="s">
        <v>259</v>
      </c>
      <c r="D87" s="13" t="s">
        <v>359</v>
      </c>
      <c r="E87" s="9">
        <v>20</v>
      </c>
      <c r="F87" s="9">
        <v>34</v>
      </c>
      <c r="G87" s="9" t="s">
        <v>60</v>
      </c>
      <c r="H87" s="9" t="s">
        <v>66</v>
      </c>
      <c r="I87" s="9">
        <v>95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71</v>
      </c>
      <c r="T87" s="12" t="s">
        <v>132</v>
      </c>
      <c r="U87" s="11">
        <v>4000</v>
      </c>
      <c r="V87" s="10">
        <v>2654</v>
      </c>
      <c r="W87" s="10">
        <v>1346</v>
      </c>
      <c r="X87" s="10">
        <v>4000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210</v>
      </c>
      <c r="AG87" s="1" t="s">
        <v>115</v>
      </c>
      <c r="AH87" s="1" t="s">
        <v>75</v>
      </c>
      <c r="AI87" s="1">
        <v>4</v>
      </c>
      <c r="AJ87" s="3" t="s">
        <v>132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45741</v>
      </c>
      <c r="B88" s="14" t="s">
        <v>242</v>
      </c>
      <c r="C88" s="9" t="s">
        <v>107</v>
      </c>
      <c r="D88" s="13" t="s">
        <v>241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132</v>
      </c>
      <c r="U88" s="11">
        <v>4000</v>
      </c>
      <c r="V88" s="10">
        <v>3867</v>
      </c>
      <c r="W88" s="10">
        <v>133</v>
      </c>
      <c r="X88" s="10">
        <v>4200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115</v>
      </c>
      <c r="AH88" s="1" t="s">
        <v>75</v>
      </c>
      <c r="AI88" s="1">
        <v>4</v>
      </c>
      <c r="AJ88" s="3" t="s">
        <v>132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244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45720</v>
      </c>
      <c r="B89" s="14" t="s">
        <v>128</v>
      </c>
      <c r="C89" s="9" t="s">
        <v>107</v>
      </c>
      <c r="D89" s="13" t="s">
        <v>209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132</v>
      </c>
      <c r="U89" s="11">
        <v>4000</v>
      </c>
      <c r="V89" s="10">
        <v>4010</v>
      </c>
      <c r="W89" s="10">
        <v>0</v>
      </c>
      <c r="X89" s="10">
        <v>4470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115</v>
      </c>
      <c r="AH89" s="1" t="s">
        <v>75</v>
      </c>
      <c r="AI89" s="1">
        <v>4</v>
      </c>
      <c r="AJ89" s="3" t="s">
        <v>132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45720</v>
      </c>
      <c r="B90" s="14" t="s">
        <v>128</v>
      </c>
      <c r="C90" s="9" t="s">
        <v>107</v>
      </c>
      <c r="D90" s="13" t="s">
        <v>219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132</v>
      </c>
      <c r="U90" s="11">
        <v>3000</v>
      </c>
      <c r="V90" s="10">
        <v>3065</v>
      </c>
      <c r="W90" s="10">
        <v>0</v>
      </c>
      <c r="X90" s="10">
        <v>3300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132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45541</v>
      </c>
      <c r="B91" s="14" t="s">
        <v>182</v>
      </c>
      <c r="C91" s="9" t="s">
        <v>107</v>
      </c>
      <c r="D91" s="13" t="s">
        <v>183</v>
      </c>
      <c r="E91" s="9">
        <v>20</v>
      </c>
      <c r="F91" s="9">
        <v>40</v>
      </c>
      <c r="G91" s="9" t="s">
        <v>60</v>
      </c>
      <c r="H91" s="9" t="s">
        <v>76</v>
      </c>
      <c r="I91" s="9">
        <v>108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132</v>
      </c>
      <c r="U91" s="11">
        <v>3000</v>
      </c>
      <c r="V91" s="10">
        <v>3318</v>
      </c>
      <c r="W91" s="10">
        <v>0</v>
      </c>
      <c r="X91" s="10">
        <v>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184</v>
      </c>
      <c r="AG91" s="1" t="s">
        <v>61</v>
      </c>
      <c r="AH91" s="1" t="s">
        <v>75</v>
      </c>
      <c r="AI91" s="1">
        <v>4</v>
      </c>
      <c r="AJ91" s="3" t="s">
        <v>132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>
        <v>0</v>
      </c>
      <c r="AY91" s="2" t="s">
        <v>222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45581</v>
      </c>
      <c r="B92" s="14" t="s">
        <v>187</v>
      </c>
      <c r="C92" s="9" t="s">
        <v>107</v>
      </c>
      <c r="D92" s="13" t="s">
        <v>188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132</v>
      </c>
      <c r="U92" s="11">
        <v>3000</v>
      </c>
      <c r="V92" s="10">
        <v>3194</v>
      </c>
      <c r="W92" s="10">
        <v>0</v>
      </c>
      <c r="X92" s="10">
        <v>5632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115</v>
      </c>
      <c r="AH92" s="1" t="s">
        <v>75</v>
      </c>
      <c r="AI92" s="1">
        <v>4</v>
      </c>
      <c r="AJ92" s="3" t="s">
        <v>132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0</v>
      </c>
      <c r="B93" s="14">
        <v>0</v>
      </c>
      <c r="C93" s="9">
        <v>0</v>
      </c>
      <c r="D93" s="13">
        <v>0</v>
      </c>
      <c r="E93" s="9">
        <v>20</v>
      </c>
      <c r="F93" s="9">
        <v>38</v>
      </c>
      <c r="G93" s="9">
        <v>0</v>
      </c>
      <c r="H93" s="9">
        <v>0</v>
      </c>
      <c r="I93" s="9">
        <v>84</v>
      </c>
      <c r="J93" s="9" t="s">
        <v>57</v>
      </c>
      <c r="K93" s="9">
        <v>5</v>
      </c>
      <c r="L93" s="9">
        <v>0</v>
      </c>
      <c r="M93" s="10">
        <v>0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>
        <v>0</v>
      </c>
      <c r="T93" s="12"/>
      <c r="U93" s="11">
        <v>0</v>
      </c>
      <c r="V93" s="10">
        <v>0</v>
      </c>
      <c r="W93" s="10">
        <v>0</v>
      </c>
      <c r="X93" s="10">
        <v>0</v>
      </c>
      <c r="Y93" s="10">
        <v>0</v>
      </c>
      <c r="Z93" s="9" t="s">
        <v>80</v>
      </c>
      <c r="AA93" s="8">
        <v>331731.62000000011</v>
      </c>
      <c r="AB93" s="8">
        <v>30632.670000000002</v>
      </c>
      <c r="AC93" s="8">
        <v>301098.95000000007</v>
      </c>
      <c r="AD93" s="8">
        <v>0</v>
      </c>
      <c r="AE93" s="8">
        <v>331731.62000000011</v>
      </c>
      <c r="AF93" s="8" t="s">
        <v>58</v>
      </c>
      <c r="AG93" s="1" t="s">
        <v>115</v>
      </c>
      <c r="AH93" s="1">
        <v>0</v>
      </c>
      <c r="AI93" s="1" t="s">
        <v>15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 t="s">
        <v>135</v>
      </c>
      <c r="B94" s="14" t="s">
        <v>135</v>
      </c>
      <c r="C94" s="9" t="s">
        <v>270</v>
      </c>
      <c r="D94" s="13" t="s">
        <v>61</v>
      </c>
      <c r="E94" s="9">
        <v>20</v>
      </c>
      <c r="F94" s="9">
        <v>39</v>
      </c>
      <c r="G94" s="9" t="s">
        <v>60</v>
      </c>
      <c r="H94" s="9">
        <v>0</v>
      </c>
      <c r="I94" s="9">
        <v>84</v>
      </c>
      <c r="J94" s="9" t="s">
        <v>78</v>
      </c>
      <c r="K94" s="9">
        <v>0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110</v>
      </c>
      <c r="T94" s="12" t="s">
        <v>63</v>
      </c>
      <c r="U94" s="11">
        <v>100000</v>
      </c>
      <c r="V94" s="10">
        <v>0</v>
      </c>
      <c r="W94" s="10">
        <v>100000</v>
      </c>
      <c r="X94" s="10">
        <v>0</v>
      </c>
      <c r="Y94" s="10">
        <v>105000</v>
      </c>
      <c r="Z94" s="9" t="s">
        <v>271</v>
      </c>
      <c r="AA94" s="8">
        <v>113157.00000000001</v>
      </c>
      <c r="AB94" s="8">
        <v>0</v>
      </c>
      <c r="AC94" s="8">
        <v>113157.00000000001</v>
      </c>
      <c r="AD94" s="8">
        <v>0</v>
      </c>
      <c r="AE94" s="8">
        <v>0</v>
      </c>
      <c r="AF94" s="8">
        <v>0</v>
      </c>
      <c r="AG94" s="1" t="s">
        <v>115</v>
      </c>
      <c r="AH94" s="1" t="s">
        <v>74</v>
      </c>
      <c r="AI94" s="1">
        <v>2</v>
      </c>
      <c r="AJ94" s="3" t="s">
        <v>63</v>
      </c>
      <c r="AK94" s="3">
        <v>0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272</v>
      </c>
      <c r="BD94" s="56">
        <v>8914.2570000000014</v>
      </c>
    </row>
    <row r="95" spans="1:56" ht="27.75" customHeight="1" x14ac:dyDescent="0.45">
      <c r="A95" s="3">
        <v>0</v>
      </c>
      <c r="B95" s="14">
        <v>0</v>
      </c>
      <c r="C95" s="9">
        <v>0</v>
      </c>
      <c r="D95" s="13">
        <v>0</v>
      </c>
      <c r="E95" s="9">
        <v>20</v>
      </c>
      <c r="F95" s="9">
        <v>38</v>
      </c>
      <c r="G95" s="9">
        <v>0</v>
      </c>
      <c r="H95" s="9">
        <v>0</v>
      </c>
      <c r="I95" s="9">
        <v>82</v>
      </c>
      <c r="J95" s="9" t="s">
        <v>78</v>
      </c>
      <c r="K95" s="9">
        <v>2</v>
      </c>
      <c r="L95" s="9">
        <v>0</v>
      </c>
      <c r="M95" s="10">
        <v>0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>
        <v>0</v>
      </c>
      <c r="T95" s="12"/>
      <c r="U95" s="11">
        <v>0</v>
      </c>
      <c r="V95" s="10">
        <v>0</v>
      </c>
      <c r="W95" s="10">
        <v>0</v>
      </c>
      <c r="X95" s="10">
        <v>0</v>
      </c>
      <c r="Y95" s="10">
        <v>0</v>
      </c>
      <c r="Z95" s="9" t="s">
        <v>271</v>
      </c>
      <c r="AA95" s="8">
        <v>113157.00000000001</v>
      </c>
      <c r="AB95" s="8">
        <v>0</v>
      </c>
      <c r="AC95" s="8">
        <v>113157.00000000001</v>
      </c>
      <c r="AD95" s="8">
        <v>0</v>
      </c>
      <c r="AE95" s="8">
        <v>0</v>
      </c>
      <c r="AF95" s="8" t="s">
        <v>58</v>
      </c>
      <c r="AG95" s="1" t="s">
        <v>116</v>
      </c>
      <c r="AH95" s="1">
        <v>0</v>
      </c>
      <c r="AI95" s="1" t="s">
        <v>15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273</v>
      </c>
      <c r="BD95" s="56">
        <v>0</v>
      </c>
    </row>
    <row r="96" spans="1:56" ht="27.75" customHeight="1" x14ac:dyDescent="0.45">
      <c r="A96" s="3">
        <v>45887</v>
      </c>
      <c r="B96" s="14" t="s">
        <v>349</v>
      </c>
      <c r="C96" s="9" t="s">
        <v>139</v>
      </c>
      <c r="D96" s="13" t="s">
        <v>268</v>
      </c>
      <c r="E96" s="9">
        <v>20</v>
      </c>
      <c r="F96" s="9">
        <v>36</v>
      </c>
      <c r="G96" s="9" t="s">
        <v>60</v>
      </c>
      <c r="H96" s="9">
        <v>0</v>
      </c>
      <c r="I96" s="9">
        <v>78</v>
      </c>
      <c r="J96" s="9" t="s">
        <v>57</v>
      </c>
      <c r="K96" s="9">
        <v>5</v>
      </c>
      <c r="L96" s="9" t="s">
        <v>196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45904</v>
      </c>
      <c r="U96" s="11">
        <v>6080</v>
      </c>
      <c r="V96" s="10">
        <v>6080</v>
      </c>
      <c r="W96" s="10">
        <v>0</v>
      </c>
      <c r="X96" s="10">
        <v>31160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210</v>
      </c>
      <c r="AG96" s="1" t="s">
        <v>116</v>
      </c>
      <c r="AH96" s="1" t="s">
        <v>74</v>
      </c>
      <c r="AI96" s="1">
        <v>2</v>
      </c>
      <c r="AJ96" s="3">
        <v>45904</v>
      </c>
      <c r="AK96" s="3">
        <v>0</v>
      </c>
      <c r="AL96" s="3">
        <v>45895</v>
      </c>
      <c r="AM96" s="3">
        <v>45902</v>
      </c>
      <c r="AN96" s="3">
        <v>45903</v>
      </c>
      <c r="AO96" s="3">
        <v>45903</v>
      </c>
      <c r="AP96" s="3">
        <v>45899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 t="s">
        <v>335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45">
      <c r="A97" s="3">
        <v>45896</v>
      </c>
      <c r="B97" s="14" t="s">
        <v>416</v>
      </c>
      <c r="C97" s="9" t="s">
        <v>73</v>
      </c>
      <c r="D97" s="13" t="s">
        <v>405</v>
      </c>
      <c r="E97" s="9">
        <v>20</v>
      </c>
      <c r="F97" s="9">
        <v>32</v>
      </c>
      <c r="G97" s="9" t="s">
        <v>60</v>
      </c>
      <c r="H97" s="9">
        <v>0</v>
      </c>
      <c r="I97" s="9">
        <v>72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141</v>
      </c>
      <c r="T97" s="12">
        <v>45906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4679.9500000000007</v>
      </c>
      <c r="AB97" s="8">
        <v>4679.9500000000007</v>
      </c>
      <c r="AC97" s="8">
        <v>0</v>
      </c>
      <c r="AD97" s="8">
        <v>0</v>
      </c>
      <c r="AE97" s="8">
        <v>0</v>
      </c>
      <c r="AF97" s="8">
        <v>0</v>
      </c>
      <c r="AG97" s="1" t="s">
        <v>119</v>
      </c>
      <c r="AH97" s="1" t="s">
        <v>74</v>
      </c>
      <c r="AI97" s="1">
        <v>2</v>
      </c>
      <c r="AJ97" s="3">
        <v>45906</v>
      </c>
      <c r="AK97" s="3">
        <v>0</v>
      </c>
      <c r="AL97" s="3">
        <v>45897</v>
      </c>
      <c r="AM97" s="3">
        <v>45904</v>
      </c>
      <c r="AN97" s="3">
        <v>45905</v>
      </c>
      <c r="AO97" s="3">
        <v>45905</v>
      </c>
      <c r="AP97" s="3">
        <v>45901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45">
      <c r="A98" s="3">
        <v>45896</v>
      </c>
      <c r="B98" s="14" t="s">
        <v>416</v>
      </c>
      <c r="C98" s="9" t="s">
        <v>73</v>
      </c>
      <c r="D98" s="13" t="s">
        <v>406</v>
      </c>
      <c r="E98" s="9">
        <v>20</v>
      </c>
      <c r="F98" s="9">
        <v>32</v>
      </c>
      <c r="G98" s="9" t="s">
        <v>60</v>
      </c>
      <c r="H98" s="9">
        <v>0</v>
      </c>
      <c r="I98" s="9">
        <v>72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141</v>
      </c>
      <c r="T98" s="12">
        <v>45906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81</v>
      </c>
      <c r="AA98" s="8">
        <v>4679.9500000000007</v>
      </c>
      <c r="AB98" s="8">
        <v>4679.9500000000007</v>
      </c>
      <c r="AC98" s="8">
        <v>0</v>
      </c>
      <c r="AD98" s="8">
        <v>0</v>
      </c>
      <c r="AE98" s="8">
        <v>0</v>
      </c>
      <c r="AF98" s="8">
        <v>0</v>
      </c>
      <c r="AG98" s="1" t="s">
        <v>119</v>
      </c>
      <c r="AH98" s="1" t="s">
        <v>74</v>
      </c>
      <c r="AI98" s="1">
        <v>2</v>
      </c>
      <c r="AJ98" s="3">
        <v>45906</v>
      </c>
      <c r="AK98" s="3">
        <v>0</v>
      </c>
      <c r="AL98" s="3">
        <v>45897</v>
      </c>
      <c r="AM98" s="3">
        <v>45904</v>
      </c>
      <c r="AN98" s="3">
        <v>45905</v>
      </c>
      <c r="AO98" s="3">
        <v>45905</v>
      </c>
      <c r="AP98" s="3">
        <v>45901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45892</v>
      </c>
      <c r="B99" s="14" t="s">
        <v>367</v>
      </c>
      <c r="C99" s="9" t="s">
        <v>139</v>
      </c>
      <c r="D99" s="13" t="s">
        <v>368</v>
      </c>
      <c r="E99" s="9">
        <v>20</v>
      </c>
      <c r="F99" s="9">
        <v>36</v>
      </c>
      <c r="G99" s="9" t="s">
        <v>60</v>
      </c>
      <c r="H99" s="9">
        <v>0</v>
      </c>
      <c r="I99" s="9">
        <v>78</v>
      </c>
      <c r="J99" s="9" t="s">
        <v>57</v>
      </c>
      <c r="K99" s="9">
        <v>5</v>
      </c>
      <c r="L99" s="9" t="s">
        <v>196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45908</v>
      </c>
      <c r="U99" s="11">
        <v>10000</v>
      </c>
      <c r="V99" s="10">
        <v>1196</v>
      </c>
      <c r="W99" s="10">
        <v>8804</v>
      </c>
      <c r="X99" s="10">
        <v>0</v>
      </c>
      <c r="Y99" s="10">
        <v>9244.2000000000007</v>
      </c>
      <c r="Z99" s="9" t="s">
        <v>81</v>
      </c>
      <c r="AA99" s="8">
        <v>9224.3909999999996</v>
      </c>
      <c r="AB99" s="8">
        <v>9224.3909999999996</v>
      </c>
      <c r="AC99" s="8">
        <v>0</v>
      </c>
      <c r="AD99" s="8">
        <v>0</v>
      </c>
      <c r="AE99" s="8">
        <v>0</v>
      </c>
      <c r="AF99" s="8" t="s">
        <v>210</v>
      </c>
      <c r="AG99" s="1" t="s">
        <v>116</v>
      </c>
      <c r="AH99" s="1" t="s">
        <v>74</v>
      </c>
      <c r="AI99" s="1">
        <v>2</v>
      </c>
      <c r="AJ99" s="3">
        <v>45908</v>
      </c>
      <c r="AK99" s="3">
        <v>0</v>
      </c>
      <c r="AL99" s="3">
        <v>45899</v>
      </c>
      <c r="AM99" s="3">
        <v>45906</v>
      </c>
      <c r="AN99" s="3">
        <v>45907</v>
      </c>
      <c r="AO99" s="3">
        <v>45907</v>
      </c>
      <c r="AP99" s="3">
        <v>45903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45">
      <c r="A100" s="3">
        <v>45887</v>
      </c>
      <c r="B100" s="14" t="s">
        <v>348</v>
      </c>
      <c r="C100" s="9" t="s">
        <v>139</v>
      </c>
      <c r="D100" s="13" t="s">
        <v>333</v>
      </c>
      <c r="E100" s="9">
        <v>20</v>
      </c>
      <c r="F100" s="9">
        <v>36</v>
      </c>
      <c r="G100" s="9" t="s">
        <v>60</v>
      </c>
      <c r="H100" s="9">
        <v>0</v>
      </c>
      <c r="I100" s="9">
        <v>78</v>
      </c>
      <c r="J100" s="9" t="s">
        <v>57</v>
      </c>
      <c r="K100" s="9">
        <v>5</v>
      </c>
      <c r="L100" s="9" t="s">
        <v>196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45915</v>
      </c>
      <c r="U100" s="11">
        <v>16374</v>
      </c>
      <c r="V100" s="10">
        <v>5040</v>
      </c>
      <c r="W100" s="10">
        <v>11334</v>
      </c>
      <c r="X100" s="10">
        <v>2543</v>
      </c>
      <c r="Y100" s="10">
        <v>11900.7</v>
      </c>
      <c r="Z100" s="9" t="s">
        <v>81</v>
      </c>
      <c r="AA100" s="8">
        <v>11875.1985</v>
      </c>
      <c r="AB100" s="8">
        <v>11875.1985</v>
      </c>
      <c r="AC100" s="8">
        <v>0</v>
      </c>
      <c r="AD100" s="8">
        <v>0</v>
      </c>
      <c r="AE100" s="8">
        <v>0</v>
      </c>
      <c r="AF100" s="8" t="s">
        <v>210</v>
      </c>
      <c r="AG100" s="1" t="s">
        <v>116</v>
      </c>
      <c r="AH100" s="1" t="s">
        <v>74</v>
      </c>
      <c r="AI100" s="1">
        <v>2</v>
      </c>
      <c r="AJ100" s="3">
        <v>45915</v>
      </c>
      <c r="AK100" s="3">
        <v>0</v>
      </c>
      <c r="AL100" s="3">
        <v>45906</v>
      </c>
      <c r="AM100" s="3">
        <v>45913</v>
      </c>
      <c r="AN100" s="3">
        <v>45914</v>
      </c>
      <c r="AO100" s="3">
        <v>45914</v>
      </c>
      <c r="AP100" s="3">
        <v>45910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 t="s">
        <v>334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45">
      <c r="A101" s="3">
        <v>45887</v>
      </c>
      <c r="B101" s="14" t="s">
        <v>349</v>
      </c>
      <c r="C101" s="9" t="s">
        <v>139</v>
      </c>
      <c r="D101" s="13" t="s">
        <v>268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196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45919</v>
      </c>
      <c r="U101" s="11">
        <v>40000</v>
      </c>
      <c r="V101" s="10">
        <v>10000</v>
      </c>
      <c r="W101" s="10">
        <v>30000</v>
      </c>
      <c r="X101" s="10">
        <v>13341</v>
      </c>
      <c r="Y101" s="10">
        <v>27991.95</v>
      </c>
      <c r="Z101" s="9" t="s">
        <v>81</v>
      </c>
      <c r="AA101" s="8">
        <v>29328.565612500006</v>
      </c>
      <c r="AB101" s="8">
        <v>29328.565612500006</v>
      </c>
      <c r="AC101" s="8">
        <v>0</v>
      </c>
      <c r="AD101" s="8">
        <v>0</v>
      </c>
      <c r="AE101" s="8">
        <v>0</v>
      </c>
      <c r="AF101" s="8" t="s">
        <v>210</v>
      </c>
      <c r="AG101" s="1" t="s">
        <v>61</v>
      </c>
      <c r="AH101" s="1" t="s">
        <v>74</v>
      </c>
      <c r="AI101" s="1">
        <v>2</v>
      </c>
      <c r="AJ101" s="3">
        <v>45919</v>
      </c>
      <c r="AK101" s="3">
        <v>0</v>
      </c>
      <c r="AL101" s="3">
        <v>45910</v>
      </c>
      <c r="AM101" s="3">
        <v>45917</v>
      </c>
      <c r="AN101" s="3">
        <v>45918</v>
      </c>
      <c r="AO101" s="3">
        <v>45918</v>
      </c>
      <c r="AP101" s="3">
        <v>45914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 t="s">
        <v>335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45">
      <c r="A102" s="3">
        <v>45887</v>
      </c>
      <c r="B102" s="14" t="s">
        <v>349</v>
      </c>
      <c r="C102" s="9" t="s">
        <v>139</v>
      </c>
      <c r="D102" s="13" t="s">
        <v>268</v>
      </c>
      <c r="E102" s="9">
        <v>20</v>
      </c>
      <c r="F102" s="9">
        <v>36</v>
      </c>
      <c r="G102" s="9" t="s">
        <v>60</v>
      </c>
      <c r="H102" s="9">
        <v>0</v>
      </c>
      <c r="I102" s="9">
        <v>78</v>
      </c>
      <c r="J102" s="9" t="s">
        <v>57</v>
      </c>
      <c r="K102" s="9">
        <v>5</v>
      </c>
      <c r="L102" s="9" t="s">
        <v>196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>
        <v>45922</v>
      </c>
      <c r="U102" s="11">
        <v>30000</v>
      </c>
      <c r="V102" s="10">
        <v>0</v>
      </c>
      <c r="W102" s="10">
        <v>30000</v>
      </c>
      <c r="X102" s="10">
        <v>0</v>
      </c>
      <c r="Y102" s="10">
        <v>31500</v>
      </c>
      <c r="Z102" s="9" t="s">
        <v>81</v>
      </c>
      <c r="AA102" s="8">
        <v>31432.500000000004</v>
      </c>
      <c r="AB102" s="8">
        <v>31432.500000000004</v>
      </c>
      <c r="AC102" s="8">
        <v>0</v>
      </c>
      <c r="AD102" s="8">
        <v>0</v>
      </c>
      <c r="AE102" s="8">
        <v>0</v>
      </c>
      <c r="AF102" s="8" t="s">
        <v>210</v>
      </c>
      <c r="AG102" s="1" t="s">
        <v>115</v>
      </c>
      <c r="AH102" s="1" t="s">
        <v>74</v>
      </c>
      <c r="AI102" s="1">
        <v>2</v>
      </c>
      <c r="AJ102" s="3">
        <v>45922</v>
      </c>
      <c r="AK102" s="3">
        <v>0</v>
      </c>
      <c r="AL102" s="3">
        <v>45913</v>
      </c>
      <c r="AM102" s="3">
        <v>45920</v>
      </c>
      <c r="AN102" s="3">
        <v>45921</v>
      </c>
      <c r="AO102" s="3">
        <v>45921</v>
      </c>
      <c r="AP102" s="3">
        <v>45917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 t="s">
        <v>335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45887</v>
      </c>
      <c r="B103" s="14" t="s">
        <v>349</v>
      </c>
      <c r="C103" s="9" t="s">
        <v>139</v>
      </c>
      <c r="D103" s="13" t="s">
        <v>268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196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45926</v>
      </c>
      <c r="U103" s="11">
        <v>20000</v>
      </c>
      <c r="V103" s="10">
        <v>0</v>
      </c>
      <c r="W103" s="10">
        <v>20000</v>
      </c>
      <c r="X103" s="10">
        <v>0</v>
      </c>
      <c r="Y103" s="10">
        <v>21000</v>
      </c>
      <c r="Z103" s="9" t="s">
        <v>81</v>
      </c>
      <c r="AA103" s="8">
        <v>20955</v>
      </c>
      <c r="AB103" s="8">
        <v>20955</v>
      </c>
      <c r="AC103" s="8">
        <v>0</v>
      </c>
      <c r="AD103" s="8">
        <v>0</v>
      </c>
      <c r="AE103" s="8">
        <v>0</v>
      </c>
      <c r="AF103" s="8" t="s">
        <v>210</v>
      </c>
      <c r="AG103" s="1" t="s">
        <v>115</v>
      </c>
      <c r="AH103" s="1" t="s">
        <v>74</v>
      </c>
      <c r="AI103" s="1">
        <v>2</v>
      </c>
      <c r="AJ103" s="3">
        <v>45926</v>
      </c>
      <c r="AK103" s="3">
        <v>0</v>
      </c>
      <c r="AL103" s="3">
        <v>45917</v>
      </c>
      <c r="AM103" s="3">
        <v>45924</v>
      </c>
      <c r="AN103" s="3">
        <v>45925</v>
      </c>
      <c r="AO103" s="3">
        <v>45925</v>
      </c>
      <c r="AP103" s="3">
        <v>45921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 t="s">
        <v>335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 t="s">
        <v>135</v>
      </c>
      <c r="B104" s="14" t="s">
        <v>135</v>
      </c>
      <c r="C104" s="9" t="s">
        <v>139</v>
      </c>
      <c r="D104" s="13" t="s">
        <v>61</v>
      </c>
      <c r="E104" s="9">
        <v>20</v>
      </c>
      <c r="F104" s="9">
        <v>36</v>
      </c>
      <c r="G104" s="9" t="s">
        <v>60</v>
      </c>
      <c r="H104" s="9">
        <v>0</v>
      </c>
      <c r="I104" s="9">
        <v>78</v>
      </c>
      <c r="J104" s="9" t="s">
        <v>57</v>
      </c>
      <c r="K104" s="9">
        <v>5</v>
      </c>
      <c r="L104" s="9" t="s">
        <v>196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 t="s">
        <v>63</v>
      </c>
      <c r="U104" s="11">
        <v>290000</v>
      </c>
      <c r="V104" s="10">
        <v>0</v>
      </c>
      <c r="W104" s="10">
        <v>290000</v>
      </c>
      <c r="X104" s="10">
        <v>0</v>
      </c>
      <c r="Y104" s="10">
        <v>304500</v>
      </c>
      <c r="Z104" s="9" t="s">
        <v>81</v>
      </c>
      <c r="AA104" s="8">
        <v>303847.5</v>
      </c>
      <c r="AB104" s="8">
        <v>99274</v>
      </c>
      <c r="AC104" s="8">
        <v>204573.5</v>
      </c>
      <c r="AD104" s="8">
        <v>0</v>
      </c>
      <c r="AE104" s="8">
        <v>0</v>
      </c>
      <c r="AF104" s="8" t="s">
        <v>210</v>
      </c>
      <c r="AG104" s="1" t="s">
        <v>115</v>
      </c>
      <c r="AH104" s="1" t="s">
        <v>74</v>
      </c>
      <c r="AI104" s="1">
        <v>2</v>
      </c>
      <c r="AJ104" s="3" t="s">
        <v>63</v>
      </c>
      <c r="AK104" s="3">
        <v>0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15638.507555555556</v>
      </c>
    </row>
    <row r="105" spans="1:56" ht="27.75" customHeight="1" x14ac:dyDescent="0.45">
      <c r="A105" s="3">
        <v>0</v>
      </c>
      <c r="B105" s="14">
        <v>0</v>
      </c>
      <c r="C105" s="9">
        <v>0</v>
      </c>
      <c r="D105" s="13">
        <v>0</v>
      </c>
      <c r="E105" s="9">
        <v>20</v>
      </c>
      <c r="F105" s="9">
        <v>37</v>
      </c>
      <c r="G105" s="9">
        <v>0</v>
      </c>
      <c r="H105" s="9">
        <v>0</v>
      </c>
      <c r="I105" s="9">
        <v>80</v>
      </c>
      <c r="J105" s="9" t="s">
        <v>57</v>
      </c>
      <c r="K105" s="9">
        <v>3</v>
      </c>
      <c r="L105" s="9">
        <v>0</v>
      </c>
      <c r="M105" s="10">
        <v>0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>
        <v>0</v>
      </c>
      <c r="T105" s="12"/>
      <c r="U105" s="11">
        <v>0</v>
      </c>
      <c r="V105" s="10">
        <v>0</v>
      </c>
      <c r="W105" s="10">
        <v>0</v>
      </c>
      <c r="X105" s="10">
        <v>0</v>
      </c>
      <c r="Y105" s="10">
        <v>0</v>
      </c>
      <c r="Z105" s="9" t="s">
        <v>81</v>
      </c>
      <c r="AA105" s="8">
        <v>416023.05511249998</v>
      </c>
      <c r="AB105" s="8">
        <v>211449.55511250001</v>
      </c>
      <c r="AC105" s="8">
        <v>204573.5</v>
      </c>
      <c r="AD105" s="8">
        <v>0</v>
      </c>
      <c r="AE105" s="8">
        <v>0</v>
      </c>
      <c r="AF105" s="8" t="s">
        <v>58</v>
      </c>
      <c r="AG105" s="1" t="s">
        <v>115</v>
      </c>
      <c r="AH105" s="1">
        <v>0</v>
      </c>
      <c r="AI105" s="1" t="s">
        <v>15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45876</v>
      </c>
      <c r="B106" s="14" t="s">
        <v>325</v>
      </c>
      <c r="C106" s="9" t="s">
        <v>303</v>
      </c>
      <c r="D106" s="13" t="s">
        <v>312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0</v>
      </c>
      <c r="Q106" s="10">
        <v>0</v>
      </c>
      <c r="R106" s="10">
        <v>0</v>
      </c>
      <c r="S106" s="9" t="s">
        <v>71</v>
      </c>
      <c r="T106" s="12">
        <v>45904</v>
      </c>
      <c r="U106" s="11">
        <v>20000</v>
      </c>
      <c r="V106" s="10">
        <v>20006</v>
      </c>
      <c r="W106" s="10">
        <v>0</v>
      </c>
      <c r="X106" s="10">
        <v>21000</v>
      </c>
      <c r="Y106" s="10">
        <v>0</v>
      </c>
      <c r="Z106" s="9" t="s">
        <v>120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116</v>
      </c>
      <c r="AH106" s="1" t="s">
        <v>68</v>
      </c>
      <c r="AI106" s="1">
        <v>4</v>
      </c>
      <c r="AJ106" s="3">
        <v>45904</v>
      </c>
      <c r="AK106" s="3">
        <v>45900</v>
      </c>
      <c r="AL106" s="3">
        <v>45894</v>
      </c>
      <c r="AM106" s="3">
        <v>45901</v>
      </c>
      <c r="AN106" s="3">
        <v>45902</v>
      </c>
      <c r="AO106" s="3">
        <v>45902</v>
      </c>
      <c r="AP106" s="3">
        <v>45899</v>
      </c>
      <c r="AQ106" s="3">
        <v>45903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132</v>
      </c>
      <c r="AZ106" s="2">
        <v>0</v>
      </c>
      <c r="BA106" s="2">
        <v>0</v>
      </c>
      <c r="BB106" s="2">
        <v>0</v>
      </c>
      <c r="BC106" s="1" t="s">
        <v>121</v>
      </c>
      <c r="BD106" s="56">
        <v>0</v>
      </c>
    </row>
    <row r="107" spans="1:56" ht="27.75" customHeight="1" x14ac:dyDescent="0.45">
      <c r="A107" s="3">
        <v>45876</v>
      </c>
      <c r="B107" s="14" t="s">
        <v>326</v>
      </c>
      <c r="C107" s="9" t="s">
        <v>303</v>
      </c>
      <c r="D107" s="13" t="s">
        <v>304</v>
      </c>
      <c r="E107" s="9">
        <v>21</v>
      </c>
      <c r="F107" s="9">
        <v>37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40</v>
      </c>
      <c r="O107" s="9">
        <v>40</v>
      </c>
      <c r="P107" s="10">
        <v>1.6065702062079996</v>
      </c>
      <c r="Q107" s="10">
        <v>0</v>
      </c>
      <c r="R107" s="10">
        <v>1.6065702062079996</v>
      </c>
      <c r="S107" s="9" t="s">
        <v>71</v>
      </c>
      <c r="T107" s="12">
        <v>45904</v>
      </c>
      <c r="U107" s="11">
        <v>10000</v>
      </c>
      <c r="V107" s="10">
        <v>9926</v>
      </c>
      <c r="W107" s="10">
        <v>74</v>
      </c>
      <c r="X107" s="10">
        <v>10500</v>
      </c>
      <c r="Y107" s="10">
        <v>0</v>
      </c>
      <c r="Z107" s="9" t="s">
        <v>120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116</v>
      </c>
      <c r="AH107" s="1" t="s">
        <v>68</v>
      </c>
      <c r="AI107" s="1">
        <v>4</v>
      </c>
      <c r="AJ107" s="3">
        <v>45904</v>
      </c>
      <c r="AK107" s="3">
        <v>45900</v>
      </c>
      <c r="AL107" s="3">
        <v>45894</v>
      </c>
      <c r="AM107" s="3">
        <v>45901</v>
      </c>
      <c r="AN107" s="3">
        <v>45902</v>
      </c>
      <c r="AO107" s="3">
        <v>45902</v>
      </c>
      <c r="AP107" s="3">
        <v>45899</v>
      </c>
      <c r="AQ107" s="3">
        <v>45903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132</v>
      </c>
      <c r="AZ107" s="2">
        <v>0</v>
      </c>
      <c r="BA107" s="2">
        <v>0</v>
      </c>
      <c r="BB107" s="2">
        <v>0</v>
      </c>
      <c r="BC107" s="1" t="s">
        <v>121</v>
      </c>
      <c r="BD107" s="56">
        <v>0</v>
      </c>
    </row>
    <row r="108" spans="1:56" ht="27.75" customHeight="1" x14ac:dyDescent="0.45">
      <c r="A108" s="3">
        <v>45892</v>
      </c>
      <c r="B108" s="14" t="s">
        <v>369</v>
      </c>
      <c r="C108" s="9" t="s">
        <v>79</v>
      </c>
      <c r="D108" s="13" t="s">
        <v>370</v>
      </c>
      <c r="E108" s="9">
        <v>21</v>
      </c>
      <c r="F108" s="9">
        <v>40</v>
      </c>
      <c r="G108" s="9" t="s">
        <v>60</v>
      </c>
      <c r="H108" s="9" t="s">
        <v>76</v>
      </c>
      <c r="I108" s="9">
        <v>108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42</v>
      </c>
      <c r="O108" s="9">
        <v>40</v>
      </c>
      <c r="P108" s="10">
        <v>0</v>
      </c>
      <c r="Q108" s="10">
        <v>0</v>
      </c>
      <c r="R108" s="10">
        <v>0</v>
      </c>
      <c r="S108" s="9" t="s">
        <v>67</v>
      </c>
      <c r="T108" s="12">
        <v>45904</v>
      </c>
      <c r="U108" s="11">
        <v>3000</v>
      </c>
      <c r="V108" s="10">
        <v>3000</v>
      </c>
      <c r="W108" s="10">
        <v>0</v>
      </c>
      <c r="X108" s="10">
        <v>3100</v>
      </c>
      <c r="Y108" s="10">
        <v>0</v>
      </c>
      <c r="Z108" s="9" t="s">
        <v>120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116</v>
      </c>
      <c r="AH108" s="1" t="s">
        <v>68</v>
      </c>
      <c r="AI108" s="1">
        <v>4</v>
      </c>
      <c r="AJ108" s="3">
        <v>45904</v>
      </c>
      <c r="AK108" s="3">
        <v>45900</v>
      </c>
      <c r="AL108" s="3">
        <v>45894</v>
      </c>
      <c r="AM108" s="3">
        <v>45901</v>
      </c>
      <c r="AN108" s="3">
        <v>45902</v>
      </c>
      <c r="AO108" s="3">
        <v>45902</v>
      </c>
      <c r="AP108" s="3">
        <v>45899</v>
      </c>
      <c r="AQ108" s="3">
        <v>45903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121</v>
      </c>
      <c r="BD108" s="56">
        <v>0</v>
      </c>
    </row>
    <row r="109" spans="1:56" ht="27.75" customHeight="1" x14ac:dyDescent="0.45">
      <c r="A109" s="3">
        <v>45876</v>
      </c>
      <c r="B109" s="14" t="s">
        <v>337</v>
      </c>
      <c r="C109" s="9" t="s">
        <v>107</v>
      </c>
      <c r="D109" s="13" t="s">
        <v>317</v>
      </c>
      <c r="E109" s="9">
        <v>21</v>
      </c>
      <c r="F109" s="9">
        <v>38</v>
      </c>
      <c r="G109" s="9" t="s">
        <v>60</v>
      </c>
      <c r="H109" s="9" t="s">
        <v>66</v>
      </c>
      <c r="I109" s="9">
        <v>102</v>
      </c>
      <c r="J109" s="9" t="s">
        <v>57</v>
      </c>
      <c r="K109" s="9">
        <v>5</v>
      </c>
      <c r="L109" s="9" t="s">
        <v>90</v>
      </c>
      <c r="M109" s="10">
        <v>22</v>
      </c>
      <c r="N109" s="9">
        <v>40</v>
      </c>
      <c r="O109" s="9">
        <v>40</v>
      </c>
      <c r="P109" s="10">
        <v>65.13122457599998</v>
      </c>
      <c r="Q109" s="10">
        <v>0</v>
      </c>
      <c r="R109" s="10">
        <v>65.13122457599998</v>
      </c>
      <c r="S109" s="9" t="s">
        <v>67</v>
      </c>
      <c r="T109" s="12">
        <v>45926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120</v>
      </c>
      <c r="AA109" s="8">
        <v>3310.89</v>
      </c>
      <c r="AB109" s="8">
        <v>3310.89</v>
      </c>
      <c r="AC109" s="8">
        <v>0</v>
      </c>
      <c r="AD109" s="8">
        <v>3310.89</v>
      </c>
      <c r="AE109" s="8">
        <v>0</v>
      </c>
      <c r="AF109" s="8">
        <v>0</v>
      </c>
      <c r="AG109" s="1" t="s">
        <v>61</v>
      </c>
      <c r="AH109" s="1" t="s">
        <v>68</v>
      </c>
      <c r="AI109" s="1">
        <v>4</v>
      </c>
      <c r="AJ109" s="3">
        <v>45926</v>
      </c>
      <c r="AK109" s="3">
        <v>45922</v>
      </c>
      <c r="AL109" s="3">
        <v>45916</v>
      </c>
      <c r="AM109" s="3">
        <v>45923</v>
      </c>
      <c r="AN109" s="3">
        <v>45924</v>
      </c>
      <c r="AO109" s="3">
        <v>45924</v>
      </c>
      <c r="AP109" s="3">
        <v>45921</v>
      </c>
      <c r="AQ109" s="3">
        <v>45925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121</v>
      </c>
      <c r="BD109" s="56">
        <v>0</v>
      </c>
    </row>
    <row r="110" spans="1:56" ht="27.75" customHeight="1" x14ac:dyDescent="0.45">
      <c r="A110" s="3">
        <v>45631</v>
      </c>
      <c r="B110" s="14" t="s">
        <v>203</v>
      </c>
      <c r="C110" s="9" t="s">
        <v>109</v>
      </c>
      <c r="D110" s="13" t="s">
        <v>144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110</v>
      </c>
      <c r="T110" s="12">
        <v>45908</v>
      </c>
      <c r="U110" s="11">
        <v>16000</v>
      </c>
      <c r="V110" s="10">
        <v>0</v>
      </c>
      <c r="W110" s="10">
        <v>16000</v>
      </c>
      <c r="X110" s="10">
        <v>0</v>
      </c>
      <c r="Y110" s="10">
        <v>16800</v>
      </c>
      <c r="Z110" s="9" t="s">
        <v>120</v>
      </c>
      <c r="AA110" s="8">
        <v>17211.04</v>
      </c>
      <c r="AB110" s="8">
        <v>17211.04</v>
      </c>
      <c r="AC110" s="8">
        <v>0</v>
      </c>
      <c r="AD110" s="8">
        <v>0</v>
      </c>
      <c r="AE110" s="8">
        <v>17211.04</v>
      </c>
      <c r="AF110" s="8">
        <v>0</v>
      </c>
      <c r="AG110" s="1" t="s">
        <v>116</v>
      </c>
      <c r="AH110" s="1" t="s">
        <v>68</v>
      </c>
      <c r="AI110" s="1">
        <v>4</v>
      </c>
      <c r="AJ110" s="3">
        <v>45908</v>
      </c>
      <c r="AK110" s="3">
        <v>45904</v>
      </c>
      <c r="AL110" s="3">
        <v>45898</v>
      </c>
      <c r="AM110" s="3">
        <v>45905</v>
      </c>
      <c r="AN110" s="3">
        <v>45906</v>
      </c>
      <c r="AO110" s="3">
        <v>45906</v>
      </c>
      <c r="AP110" s="3">
        <v>45903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218</v>
      </c>
      <c r="AZ110" s="2">
        <v>0</v>
      </c>
      <c r="BA110" s="2">
        <v>0</v>
      </c>
      <c r="BB110" s="2">
        <v>0</v>
      </c>
      <c r="BC110" s="1" t="s">
        <v>121</v>
      </c>
      <c r="BD110" s="56">
        <v>0</v>
      </c>
    </row>
    <row r="111" spans="1:56" ht="27.75" customHeight="1" x14ac:dyDescent="0.45">
      <c r="A111" s="3">
        <v>45631</v>
      </c>
      <c r="B111" s="14" t="s">
        <v>202</v>
      </c>
      <c r="C111" s="9" t="s">
        <v>109</v>
      </c>
      <c r="D111" s="13" t="s">
        <v>144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110</v>
      </c>
      <c r="T111" s="12" t="s">
        <v>63</v>
      </c>
      <c r="U111" s="11">
        <v>9000</v>
      </c>
      <c r="V111" s="10">
        <v>0</v>
      </c>
      <c r="W111" s="10">
        <v>9000</v>
      </c>
      <c r="X111" s="10">
        <v>0</v>
      </c>
      <c r="Y111" s="10">
        <v>9450</v>
      </c>
      <c r="Z111" s="9" t="s">
        <v>120</v>
      </c>
      <c r="AA111" s="8">
        <v>9681.2100000000009</v>
      </c>
      <c r="AB111" s="8">
        <v>9681.2100000000009</v>
      </c>
      <c r="AC111" s="8">
        <v>0</v>
      </c>
      <c r="AD111" s="8">
        <v>0</v>
      </c>
      <c r="AE111" s="8">
        <v>9681.2100000000009</v>
      </c>
      <c r="AF111" s="8">
        <v>0</v>
      </c>
      <c r="AG111" s="1" t="s">
        <v>116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217</v>
      </c>
      <c r="AZ111" s="2">
        <v>0</v>
      </c>
      <c r="BA111" s="2">
        <v>0</v>
      </c>
      <c r="BB111" s="2">
        <v>0</v>
      </c>
      <c r="BC111" s="1" t="s">
        <v>121</v>
      </c>
      <c r="BD111" s="56">
        <v>0</v>
      </c>
    </row>
    <row r="112" spans="1:56" ht="27.75" customHeight="1" x14ac:dyDescent="0.45">
      <c r="A112" s="3" t="s">
        <v>135</v>
      </c>
      <c r="B112" s="14" t="s">
        <v>135</v>
      </c>
      <c r="C112" s="9" t="s">
        <v>111</v>
      </c>
      <c r="D112" s="13" t="s">
        <v>61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45925</v>
      </c>
      <c r="U112" s="11">
        <v>100000</v>
      </c>
      <c r="V112" s="10">
        <v>0</v>
      </c>
      <c r="W112" s="10">
        <v>100000</v>
      </c>
      <c r="X112" s="10">
        <v>0</v>
      </c>
      <c r="Y112" s="10">
        <v>105000</v>
      </c>
      <c r="Z112" s="9" t="s">
        <v>120</v>
      </c>
      <c r="AA112" s="8">
        <v>107569.00000000001</v>
      </c>
      <c r="AB112" s="8">
        <v>107569.00000000001</v>
      </c>
      <c r="AC112" s="8">
        <v>0</v>
      </c>
      <c r="AD112" s="8">
        <v>107569.00000000001</v>
      </c>
      <c r="AE112" s="8">
        <v>0</v>
      </c>
      <c r="AF112" s="8">
        <v>0</v>
      </c>
      <c r="AG112" s="1" t="s">
        <v>116</v>
      </c>
      <c r="AH112" s="1" t="s">
        <v>68</v>
      </c>
      <c r="AI112" s="1">
        <v>4</v>
      </c>
      <c r="AJ112" s="3">
        <v>45925</v>
      </c>
      <c r="AK112" s="3">
        <v>45921</v>
      </c>
      <c r="AL112" s="3">
        <v>45915</v>
      </c>
      <c r="AM112" s="3">
        <v>45922</v>
      </c>
      <c r="AN112" s="3">
        <v>45923</v>
      </c>
      <c r="AO112" s="3">
        <v>45923</v>
      </c>
      <c r="AP112" s="3">
        <v>45920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121</v>
      </c>
      <c r="BD112" s="56">
        <v>0</v>
      </c>
    </row>
    <row r="113" spans="1:56" ht="27.75" customHeight="1" x14ac:dyDescent="0.45">
      <c r="A113" s="3">
        <v>45896</v>
      </c>
      <c r="B113" s="14" t="s">
        <v>407</v>
      </c>
      <c r="C113" s="9" t="s">
        <v>107</v>
      </c>
      <c r="D113" s="13" t="s">
        <v>408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90</v>
      </c>
      <c r="M113" s="10">
        <v>22</v>
      </c>
      <c r="N113" s="9">
        <v>40</v>
      </c>
      <c r="O113" s="9">
        <v>40</v>
      </c>
      <c r="P113" s="10">
        <v>65.13122457599998</v>
      </c>
      <c r="Q113" s="10">
        <v>0</v>
      </c>
      <c r="R113" s="10">
        <v>65.13122457599998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120</v>
      </c>
      <c r="AA113" s="8">
        <v>3310.89</v>
      </c>
      <c r="AB113" s="8">
        <v>3310.89</v>
      </c>
      <c r="AC113" s="8">
        <v>0</v>
      </c>
      <c r="AD113" s="8">
        <v>0</v>
      </c>
      <c r="AE113" s="8">
        <v>3310.89</v>
      </c>
      <c r="AF113" s="8">
        <v>0</v>
      </c>
      <c r="AG113" s="1" t="s">
        <v>116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45896</v>
      </c>
      <c r="B114" s="14" t="s">
        <v>409</v>
      </c>
      <c r="C114" s="9" t="s">
        <v>107</v>
      </c>
      <c r="D114" s="13" t="s">
        <v>314</v>
      </c>
      <c r="E114" s="9">
        <v>21</v>
      </c>
      <c r="F114" s="9">
        <v>38</v>
      </c>
      <c r="G114" s="9" t="s">
        <v>60</v>
      </c>
      <c r="H114" s="9" t="s">
        <v>66</v>
      </c>
      <c r="I114" s="9">
        <v>102</v>
      </c>
      <c r="J114" s="9" t="s">
        <v>57</v>
      </c>
      <c r="K114" s="9">
        <v>5</v>
      </c>
      <c r="L114" s="9" t="s">
        <v>90</v>
      </c>
      <c r="M114" s="10">
        <v>22</v>
      </c>
      <c r="N114" s="9">
        <v>40</v>
      </c>
      <c r="O114" s="9">
        <v>40</v>
      </c>
      <c r="P114" s="10">
        <v>108.55204095999999</v>
      </c>
      <c r="Q114" s="10">
        <v>0</v>
      </c>
      <c r="R114" s="10">
        <v>108.55204095999999</v>
      </c>
      <c r="S114" s="9" t="s">
        <v>67</v>
      </c>
      <c r="T114" s="12" t="s">
        <v>63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120</v>
      </c>
      <c r="AA114" s="8">
        <v>5518.15</v>
      </c>
      <c r="AB114" s="8">
        <v>5518.15</v>
      </c>
      <c r="AC114" s="8">
        <v>0</v>
      </c>
      <c r="AD114" s="8">
        <v>0</v>
      </c>
      <c r="AE114" s="8">
        <v>5518.15</v>
      </c>
      <c r="AF114" s="8">
        <v>0</v>
      </c>
      <c r="AG114" s="1" t="s">
        <v>116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45896</v>
      </c>
      <c r="B115" s="14" t="s">
        <v>410</v>
      </c>
      <c r="C115" s="9" t="s">
        <v>107</v>
      </c>
      <c r="D115" s="13" t="s">
        <v>411</v>
      </c>
      <c r="E115" s="9">
        <v>21</v>
      </c>
      <c r="F115" s="9">
        <v>38</v>
      </c>
      <c r="G115" s="9" t="s">
        <v>60</v>
      </c>
      <c r="H115" s="9" t="s">
        <v>66</v>
      </c>
      <c r="I115" s="9">
        <v>102</v>
      </c>
      <c r="J115" s="9" t="s">
        <v>57</v>
      </c>
      <c r="K115" s="9">
        <v>5</v>
      </c>
      <c r="L115" s="9" t="s">
        <v>90</v>
      </c>
      <c r="M115" s="10">
        <v>22</v>
      </c>
      <c r="N115" s="9">
        <v>40</v>
      </c>
      <c r="O115" s="9">
        <v>40</v>
      </c>
      <c r="P115" s="10">
        <v>65.13122457599998</v>
      </c>
      <c r="Q115" s="10">
        <v>0</v>
      </c>
      <c r="R115" s="10">
        <v>65.13122457599998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120</v>
      </c>
      <c r="AA115" s="8">
        <v>3310.89</v>
      </c>
      <c r="AB115" s="8">
        <v>3310.89</v>
      </c>
      <c r="AC115" s="8">
        <v>0</v>
      </c>
      <c r="AD115" s="8">
        <v>0</v>
      </c>
      <c r="AE115" s="8">
        <v>3310.89</v>
      </c>
      <c r="AF115" s="8">
        <v>0</v>
      </c>
      <c r="AG115" s="1" t="s">
        <v>116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45876</v>
      </c>
      <c r="B116" s="14" t="s">
        <v>336</v>
      </c>
      <c r="C116" s="9" t="s">
        <v>107</v>
      </c>
      <c r="D116" s="13" t="s">
        <v>316</v>
      </c>
      <c r="E116" s="9">
        <v>21</v>
      </c>
      <c r="F116" s="9">
        <v>40</v>
      </c>
      <c r="G116" s="9" t="s">
        <v>60</v>
      </c>
      <c r="H116" s="9" t="s">
        <v>66</v>
      </c>
      <c r="I116" s="9">
        <v>108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42</v>
      </c>
      <c r="O116" s="9">
        <v>40</v>
      </c>
      <c r="P116" s="10">
        <v>68.387785804799989</v>
      </c>
      <c r="Q116" s="10">
        <v>0</v>
      </c>
      <c r="R116" s="10">
        <v>68.387785804799989</v>
      </c>
      <c r="S116" s="9" t="s">
        <v>71</v>
      </c>
      <c r="T116" s="12" t="s">
        <v>63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120</v>
      </c>
      <c r="AA116" s="8">
        <v>3478.5300000000007</v>
      </c>
      <c r="AB116" s="8">
        <v>3478.5300000000007</v>
      </c>
      <c r="AC116" s="8">
        <v>0</v>
      </c>
      <c r="AD116" s="8">
        <v>0</v>
      </c>
      <c r="AE116" s="8">
        <v>3478.5300000000007</v>
      </c>
      <c r="AF116" s="8">
        <v>0</v>
      </c>
      <c r="AG116" s="1" t="s">
        <v>116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 t="e">
        <v>#VALUE!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45876</v>
      </c>
      <c r="B117" s="14" t="s">
        <v>338</v>
      </c>
      <c r="C117" s="9" t="s">
        <v>107</v>
      </c>
      <c r="D117" s="13" t="s">
        <v>318</v>
      </c>
      <c r="E117" s="9">
        <v>21</v>
      </c>
      <c r="F117" s="9">
        <v>40</v>
      </c>
      <c r="G117" s="9" t="s">
        <v>60</v>
      </c>
      <c r="H117" s="9" t="s">
        <v>66</v>
      </c>
      <c r="I117" s="9">
        <v>108</v>
      </c>
      <c r="J117" s="9" t="s">
        <v>57</v>
      </c>
      <c r="K117" s="9">
        <v>5</v>
      </c>
      <c r="L117" s="9" t="s">
        <v>91</v>
      </c>
      <c r="M117" s="10">
        <v>22</v>
      </c>
      <c r="N117" s="9">
        <v>42</v>
      </c>
      <c r="O117" s="9">
        <v>40</v>
      </c>
      <c r="P117" s="10">
        <v>113.97964300799998</v>
      </c>
      <c r="Q117" s="10">
        <v>0</v>
      </c>
      <c r="R117" s="10">
        <v>113.97964300799998</v>
      </c>
      <c r="S117" s="9" t="s">
        <v>71</v>
      </c>
      <c r="T117" s="12" t="s">
        <v>63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120</v>
      </c>
      <c r="AA117" s="8">
        <v>5797.55</v>
      </c>
      <c r="AB117" s="8">
        <v>5797.55</v>
      </c>
      <c r="AC117" s="8">
        <v>0</v>
      </c>
      <c r="AD117" s="8">
        <v>0</v>
      </c>
      <c r="AE117" s="8">
        <v>5797.55</v>
      </c>
      <c r="AF117" s="8">
        <v>0</v>
      </c>
      <c r="AG117" s="1" t="s">
        <v>116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 t="s">
        <v>135</v>
      </c>
      <c r="B118" s="14" t="s">
        <v>135</v>
      </c>
      <c r="C118" s="9" t="s">
        <v>109</v>
      </c>
      <c r="D118" s="13" t="s">
        <v>144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 t="s">
        <v>63</v>
      </c>
      <c r="U118" s="11">
        <v>10000</v>
      </c>
      <c r="V118" s="10">
        <v>0</v>
      </c>
      <c r="W118" s="10">
        <v>10000</v>
      </c>
      <c r="X118" s="10">
        <v>0</v>
      </c>
      <c r="Y118" s="10">
        <v>10500</v>
      </c>
      <c r="Z118" s="9" t="s">
        <v>120</v>
      </c>
      <c r="AA118" s="8">
        <v>10756.900000000001</v>
      </c>
      <c r="AB118" s="8">
        <v>10756.900000000001</v>
      </c>
      <c r="AC118" s="8">
        <v>0</v>
      </c>
      <c r="AD118" s="8">
        <v>0</v>
      </c>
      <c r="AE118" s="8">
        <v>10756.900000000001</v>
      </c>
      <c r="AF118" s="8">
        <v>0</v>
      </c>
      <c r="AG118" s="1" t="s">
        <v>116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45854</v>
      </c>
      <c r="B119" s="14" t="s">
        <v>295</v>
      </c>
      <c r="C119" s="9" t="s">
        <v>79</v>
      </c>
      <c r="D119" s="13" t="s">
        <v>296</v>
      </c>
      <c r="E119" s="9">
        <v>21</v>
      </c>
      <c r="F119" s="9">
        <v>38</v>
      </c>
      <c r="G119" s="9" t="s">
        <v>60</v>
      </c>
      <c r="H119" s="9" t="s">
        <v>76</v>
      </c>
      <c r="I119" s="9">
        <v>102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40</v>
      </c>
      <c r="O119" s="9">
        <v>40</v>
      </c>
      <c r="P119" s="10">
        <v>65.13122457599998</v>
      </c>
      <c r="Q119" s="10">
        <v>0</v>
      </c>
      <c r="R119" s="10">
        <v>65.13122457599998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120</v>
      </c>
      <c r="AA119" s="8">
        <v>3310.89</v>
      </c>
      <c r="AB119" s="8">
        <v>3310.89</v>
      </c>
      <c r="AC119" s="8">
        <v>0</v>
      </c>
      <c r="AD119" s="8">
        <v>0</v>
      </c>
      <c r="AE119" s="8">
        <v>3310.89</v>
      </c>
      <c r="AF119" s="8">
        <v>0</v>
      </c>
      <c r="AG119" s="1" t="s">
        <v>116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45854</v>
      </c>
      <c r="B120" s="14" t="s">
        <v>297</v>
      </c>
      <c r="C120" s="9" t="s">
        <v>79</v>
      </c>
      <c r="D120" s="13" t="s">
        <v>298</v>
      </c>
      <c r="E120" s="9">
        <v>21</v>
      </c>
      <c r="F120" s="9">
        <v>38</v>
      </c>
      <c r="G120" s="9" t="s">
        <v>60</v>
      </c>
      <c r="H120" s="9" t="s">
        <v>76</v>
      </c>
      <c r="I120" s="9">
        <v>102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40</v>
      </c>
      <c r="O120" s="9">
        <v>40</v>
      </c>
      <c r="P120" s="10">
        <v>65.13122457599998</v>
      </c>
      <c r="Q120" s="10">
        <v>0</v>
      </c>
      <c r="R120" s="10">
        <v>65.13122457599998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120</v>
      </c>
      <c r="AA120" s="8">
        <v>3310.89</v>
      </c>
      <c r="AB120" s="8">
        <v>3310.89</v>
      </c>
      <c r="AC120" s="8">
        <v>0</v>
      </c>
      <c r="AD120" s="8">
        <v>0</v>
      </c>
      <c r="AE120" s="8">
        <v>3310.89</v>
      </c>
      <c r="AF120" s="8">
        <v>0</v>
      </c>
      <c r="AG120" s="1" t="s">
        <v>115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45826</v>
      </c>
      <c r="B121" s="14" t="s">
        <v>274</v>
      </c>
      <c r="C121" s="9" t="s">
        <v>107</v>
      </c>
      <c r="D121" s="13" t="s">
        <v>262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102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40</v>
      </c>
      <c r="O121" s="9">
        <v>40</v>
      </c>
      <c r="P121" s="10">
        <v>163.47937368575995</v>
      </c>
      <c r="Q121" s="10">
        <v>0</v>
      </c>
      <c r="R121" s="10">
        <v>163.47937368575995</v>
      </c>
      <c r="S121" s="9" t="s">
        <v>67</v>
      </c>
      <c r="T121" s="12" t="s">
        <v>63</v>
      </c>
      <c r="U121" s="11">
        <v>8000</v>
      </c>
      <c r="V121" s="10">
        <v>470</v>
      </c>
      <c r="W121" s="10">
        <v>7530</v>
      </c>
      <c r="X121" s="10">
        <v>0</v>
      </c>
      <c r="Y121" s="10">
        <v>7906.5</v>
      </c>
      <c r="Z121" s="9" t="s">
        <v>120</v>
      </c>
      <c r="AA121" s="8">
        <v>8310.3338999999996</v>
      </c>
      <c r="AB121" s="8">
        <v>8310.3338999999996</v>
      </c>
      <c r="AC121" s="8">
        <v>0</v>
      </c>
      <c r="AD121" s="8">
        <v>0</v>
      </c>
      <c r="AE121" s="8">
        <v>8310.3338999999996</v>
      </c>
      <c r="AF121" s="8">
        <v>0</v>
      </c>
      <c r="AG121" s="1" t="s">
        <v>115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45066</v>
      </c>
      <c r="B122" s="14" t="s">
        <v>126</v>
      </c>
      <c r="C122" s="9" t="s">
        <v>79</v>
      </c>
      <c r="D122" s="13" t="s">
        <v>125</v>
      </c>
      <c r="E122" s="9">
        <v>21</v>
      </c>
      <c r="F122" s="9">
        <v>38</v>
      </c>
      <c r="G122" s="9" t="s">
        <v>60</v>
      </c>
      <c r="H122" s="9" t="s">
        <v>76</v>
      </c>
      <c r="I122" s="9">
        <v>102</v>
      </c>
      <c r="J122" s="9" t="s">
        <v>57</v>
      </c>
      <c r="K122" s="9">
        <v>5</v>
      </c>
      <c r="L122" s="9" t="s">
        <v>91</v>
      </c>
      <c r="M122" s="10">
        <v>22</v>
      </c>
      <c r="N122" s="9">
        <v>40</v>
      </c>
      <c r="O122" s="9">
        <v>40</v>
      </c>
      <c r="P122" s="10">
        <v>108.55204095999999</v>
      </c>
      <c r="Q122" s="10">
        <v>0</v>
      </c>
      <c r="R122" s="10">
        <v>108.55204095999999</v>
      </c>
      <c r="S122" s="9" t="s">
        <v>67</v>
      </c>
      <c r="T122" s="12" t="s">
        <v>63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120</v>
      </c>
      <c r="AA122" s="8">
        <v>5518.15</v>
      </c>
      <c r="AB122" s="8">
        <v>5518.15</v>
      </c>
      <c r="AC122" s="8">
        <v>0</v>
      </c>
      <c r="AD122" s="8">
        <v>0</v>
      </c>
      <c r="AE122" s="8">
        <v>5518.15</v>
      </c>
      <c r="AF122" s="8">
        <v>0</v>
      </c>
      <c r="AG122" s="1" t="s">
        <v>116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21</v>
      </c>
      <c r="F123" s="9">
        <v>37</v>
      </c>
      <c r="G123" s="9">
        <v>0</v>
      </c>
      <c r="H123" s="9">
        <v>0</v>
      </c>
      <c r="I123" s="9">
        <v>74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 t="s">
        <v>82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120</v>
      </c>
      <c r="AA123" s="8">
        <v>190395.31390000004</v>
      </c>
      <c r="AB123" s="8">
        <v>190395.31390000004</v>
      </c>
      <c r="AC123" s="8">
        <v>0</v>
      </c>
      <c r="AD123" s="8">
        <v>110879.89000000001</v>
      </c>
      <c r="AE123" s="8">
        <v>79515.423899999994</v>
      </c>
      <c r="AF123" s="8" t="s">
        <v>58</v>
      </c>
      <c r="AG123" s="1" t="s">
        <v>61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122</v>
      </c>
      <c r="BD123" s="56">
        <v>0</v>
      </c>
    </row>
    <row r="124" spans="1:56" ht="27.75" customHeight="1" x14ac:dyDescent="0.45">
      <c r="A124" s="3" t="s">
        <v>135</v>
      </c>
      <c r="B124" s="14" t="s">
        <v>135</v>
      </c>
      <c r="C124" s="9" t="s">
        <v>216</v>
      </c>
      <c r="D124" s="13" t="s">
        <v>216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45930</v>
      </c>
      <c r="U124" s="11">
        <v>30000</v>
      </c>
      <c r="V124" s="10">
        <v>0</v>
      </c>
      <c r="W124" s="10">
        <v>30000</v>
      </c>
      <c r="X124" s="10">
        <v>0</v>
      </c>
      <c r="Y124" s="10">
        <v>31500</v>
      </c>
      <c r="Z124" s="9" t="s">
        <v>83</v>
      </c>
      <c r="AA124" s="8">
        <v>29756.100000000002</v>
      </c>
      <c r="AB124" s="8">
        <v>27294</v>
      </c>
      <c r="AC124" s="8">
        <v>2462.1000000000022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74</v>
      </c>
      <c r="AI124" s="1">
        <v>2</v>
      </c>
      <c r="AJ124" s="3">
        <v>45930</v>
      </c>
      <c r="AK124" s="3">
        <v>0</v>
      </c>
      <c r="AL124" s="3">
        <v>45921</v>
      </c>
      <c r="AM124" s="3">
        <v>45928</v>
      </c>
      <c r="AN124" s="3">
        <v>45929</v>
      </c>
      <c r="AO124" s="3">
        <v>45929</v>
      </c>
      <c r="AP124" s="3">
        <v>45925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184.04197500000012</v>
      </c>
    </row>
    <row r="125" spans="1:56" ht="27.75" customHeight="1" x14ac:dyDescent="0.45">
      <c r="A125" s="3" t="s">
        <v>135</v>
      </c>
      <c r="B125" s="14" t="s">
        <v>135</v>
      </c>
      <c r="C125" s="9" t="s">
        <v>221</v>
      </c>
      <c r="D125" s="13" t="s">
        <v>61</v>
      </c>
      <c r="E125" s="9">
        <v>23</v>
      </c>
      <c r="F125" s="9">
        <v>34</v>
      </c>
      <c r="G125" s="9" t="s">
        <v>60</v>
      </c>
      <c r="H125" s="9">
        <v>0</v>
      </c>
      <c r="I125" s="9">
        <v>68</v>
      </c>
      <c r="J125" s="9" t="s">
        <v>57</v>
      </c>
      <c r="K125" s="9">
        <v>5</v>
      </c>
      <c r="L125" s="9" t="s">
        <v>92</v>
      </c>
      <c r="M125" s="10">
        <v>24</v>
      </c>
      <c r="N125" s="9">
        <v>37</v>
      </c>
      <c r="O125" s="9">
        <v>50</v>
      </c>
      <c r="P125" s="10">
        <v>821.54158271999995</v>
      </c>
      <c r="Q125" s="10">
        <v>0</v>
      </c>
      <c r="R125" s="10">
        <v>821.54158271999995</v>
      </c>
      <c r="S125" s="9" t="s">
        <v>123</v>
      </c>
      <c r="T125" s="12">
        <v>45930</v>
      </c>
      <c r="U125" s="11">
        <v>30000</v>
      </c>
      <c r="V125" s="10">
        <v>0</v>
      </c>
      <c r="W125" s="10">
        <v>30000</v>
      </c>
      <c r="X125" s="10">
        <v>0</v>
      </c>
      <c r="Y125" s="10">
        <v>31500</v>
      </c>
      <c r="Z125" s="9" t="s">
        <v>83</v>
      </c>
      <c r="AA125" s="8">
        <v>29756.100000000002</v>
      </c>
      <c r="AB125" s="8">
        <v>0</v>
      </c>
      <c r="AC125" s="8">
        <v>29756.100000000002</v>
      </c>
      <c r="AD125" s="8">
        <v>0</v>
      </c>
      <c r="AE125" s="8">
        <v>0</v>
      </c>
      <c r="AF125" s="8">
        <v>0</v>
      </c>
      <c r="AG125" s="1" t="s">
        <v>115</v>
      </c>
      <c r="AH125" s="1" t="s">
        <v>72</v>
      </c>
      <c r="AI125" s="1">
        <v>3</v>
      </c>
      <c r="AJ125" s="3">
        <v>45930</v>
      </c>
      <c r="AK125" s="3">
        <v>0</v>
      </c>
      <c r="AL125" s="3">
        <v>45920</v>
      </c>
      <c r="AM125" s="3">
        <v>45927</v>
      </c>
      <c r="AN125" s="3">
        <v>45928</v>
      </c>
      <c r="AO125" s="3">
        <v>45928</v>
      </c>
      <c r="AP125" s="3">
        <v>45925</v>
      </c>
      <c r="AQ125" s="3">
        <v>45929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2224.2684750000003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23</v>
      </c>
      <c r="F126" s="9">
        <v>34</v>
      </c>
      <c r="G126" s="9" t="s">
        <v>60</v>
      </c>
      <c r="H126" s="9">
        <v>0</v>
      </c>
      <c r="I126" s="9">
        <v>68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83</v>
      </c>
      <c r="AA126" s="8">
        <v>59512.200000000004</v>
      </c>
      <c r="AB126" s="8">
        <v>27294</v>
      </c>
      <c r="AC126" s="8">
        <v>32218.200000000004</v>
      </c>
      <c r="AD126" s="8">
        <v>0</v>
      </c>
      <c r="AE126" s="8">
        <v>0</v>
      </c>
      <c r="AF126" s="8" t="s">
        <v>58</v>
      </c>
      <c r="AG126" s="1" t="s">
        <v>118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7.75" customHeight="1" x14ac:dyDescent="0.45">
      <c r="A127" s="3">
        <v>45901</v>
      </c>
      <c r="B127" s="14" t="s">
        <v>426</v>
      </c>
      <c r="C127" s="9" t="s">
        <v>147</v>
      </c>
      <c r="D127" s="13" t="s">
        <v>59</v>
      </c>
      <c r="E127" s="9">
        <v>23</v>
      </c>
      <c r="F127" s="9">
        <v>37</v>
      </c>
      <c r="G127" s="9" t="s">
        <v>60</v>
      </c>
      <c r="H127" s="9">
        <v>0</v>
      </c>
      <c r="I127" s="9">
        <v>85</v>
      </c>
      <c r="J127" s="9" t="s">
        <v>57</v>
      </c>
      <c r="K127" s="9">
        <v>5</v>
      </c>
      <c r="L127" s="9" t="s">
        <v>92</v>
      </c>
      <c r="M127" s="10">
        <v>24</v>
      </c>
      <c r="N127" s="9">
        <v>40</v>
      </c>
      <c r="O127" s="9">
        <v>40</v>
      </c>
      <c r="P127" s="10">
        <v>0</v>
      </c>
      <c r="Q127" s="10">
        <v>0</v>
      </c>
      <c r="R127" s="10">
        <v>0</v>
      </c>
      <c r="S127" s="9" t="s">
        <v>71</v>
      </c>
      <c r="T127" s="12">
        <v>45909</v>
      </c>
      <c r="U127" s="11">
        <v>5000</v>
      </c>
      <c r="V127" s="10">
        <v>5000</v>
      </c>
      <c r="W127" s="10">
        <v>0</v>
      </c>
      <c r="X127" s="10">
        <v>0</v>
      </c>
      <c r="Y127" s="10">
        <v>0</v>
      </c>
      <c r="Z127" s="9" t="s">
        <v>418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115</v>
      </c>
      <c r="AH127" s="1" t="s">
        <v>313</v>
      </c>
      <c r="AI127" s="1">
        <v>2</v>
      </c>
      <c r="AJ127" s="3">
        <v>45909</v>
      </c>
      <c r="AK127" s="3">
        <v>0</v>
      </c>
      <c r="AL127" s="3">
        <v>0</v>
      </c>
      <c r="AM127" s="3">
        <v>0</v>
      </c>
      <c r="AN127" s="3">
        <v>0</v>
      </c>
      <c r="AO127" s="3">
        <v>45907</v>
      </c>
      <c r="AP127" s="3">
        <v>45904</v>
      </c>
      <c r="AQ127" s="3">
        <v>45908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419</v>
      </c>
      <c r="BD127" s="56">
        <v>0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23</v>
      </c>
      <c r="F128" s="9">
        <v>37</v>
      </c>
      <c r="G128" s="9" t="s">
        <v>60</v>
      </c>
      <c r="H128" s="9">
        <v>0</v>
      </c>
      <c r="I128" s="9">
        <v>85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418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58</v>
      </c>
      <c r="AG128" s="1" t="s">
        <v>115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419</v>
      </c>
      <c r="BD128" s="56">
        <v>0</v>
      </c>
    </row>
    <row r="129" spans="1:56" ht="27.75" customHeight="1" x14ac:dyDescent="0.45">
      <c r="A129" s="3">
        <v>45727</v>
      </c>
      <c r="B129" s="14" t="s">
        <v>240</v>
      </c>
      <c r="C129" s="9" t="s">
        <v>111</v>
      </c>
      <c r="D129" s="13" t="s">
        <v>59</v>
      </c>
      <c r="E129" s="9">
        <v>23</v>
      </c>
      <c r="F129" s="9">
        <v>40</v>
      </c>
      <c r="G129" s="9" t="s">
        <v>60</v>
      </c>
      <c r="H129" s="9" t="s">
        <v>66</v>
      </c>
      <c r="I129" s="9">
        <v>125</v>
      </c>
      <c r="J129" s="9" t="s">
        <v>57</v>
      </c>
      <c r="K129" s="9">
        <v>5</v>
      </c>
      <c r="L129" s="9" t="s">
        <v>196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1000</v>
      </c>
      <c r="V129" s="10">
        <v>0</v>
      </c>
      <c r="W129" s="10">
        <v>1000</v>
      </c>
      <c r="X129" s="10">
        <v>0</v>
      </c>
      <c r="Y129" s="10">
        <v>0</v>
      </c>
      <c r="Z129" s="9" t="s">
        <v>213</v>
      </c>
      <c r="AA129" s="8">
        <v>1159.5100000000002</v>
      </c>
      <c r="AB129" s="8">
        <v>1159.5100000000002</v>
      </c>
      <c r="AC129" s="8">
        <v>0</v>
      </c>
      <c r="AD129" s="8">
        <v>1159.5100000000002</v>
      </c>
      <c r="AE129" s="8">
        <v>0</v>
      </c>
      <c r="AF129" s="8" t="s">
        <v>215</v>
      </c>
      <c r="AG129" s="1" t="s">
        <v>115</v>
      </c>
      <c r="AH129" s="1" t="s">
        <v>146</v>
      </c>
      <c r="AI129" s="1">
        <v>2</v>
      </c>
      <c r="AJ129" s="3" t="s">
        <v>63</v>
      </c>
      <c r="AK129" s="3" t="e">
        <v>#VALUE!</v>
      </c>
      <c r="AL129" s="3">
        <v>0</v>
      </c>
      <c r="AM129" s="3">
        <v>0</v>
      </c>
      <c r="AN129" s="3">
        <v>0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143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0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23</v>
      </c>
      <c r="F130" s="9">
        <v>37</v>
      </c>
      <c r="G130" s="9">
        <v>0</v>
      </c>
      <c r="H130" s="9">
        <v>0</v>
      </c>
      <c r="I130" s="9">
        <v>85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213</v>
      </c>
      <c r="AA130" s="8">
        <v>1159.5100000000002</v>
      </c>
      <c r="AB130" s="8">
        <v>1159.5100000000002</v>
      </c>
      <c r="AC130" s="8">
        <v>0</v>
      </c>
      <c r="AD130" s="8">
        <v>1159.5100000000002</v>
      </c>
      <c r="AE130" s="8">
        <v>0</v>
      </c>
      <c r="AF130" s="8" t="s">
        <v>58</v>
      </c>
      <c r="AG130" s="1" t="s">
        <v>115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214</v>
      </c>
      <c r="BD130" s="56">
        <v>0</v>
      </c>
    </row>
    <row r="131" spans="1:56" ht="27.75" customHeight="1" x14ac:dyDescent="0.45">
      <c r="A131" s="3">
        <v>45601</v>
      </c>
      <c r="B131" s="14" t="s">
        <v>193</v>
      </c>
      <c r="C131" s="9" t="s">
        <v>93</v>
      </c>
      <c r="D131" s="13" t="s">
        <v>142</v>
      </c>
      <c r="E131" s="9">
        <v>23</v>
      </c>
      <c r="F131" s="9">
        <v>37</v>
      </c>
      <c r="G131" s="9" t="s">
        <v>60</v>
      </c>
      <c r="H131" s="9">
        <v>0</v>
      </c>
      <c r="I131" s="9">
        <v>130</v>
      </c>
      <c r="J131" s="9" t="s">
        <v>57</v>
      </c>
      <c r="K131" s="9">
        <v>5</v>
      </c>
      <c r="L131" s="9" t="s">
        <v>91</v>
      </c>
      <c r="M131" s="10">
        <v>24</v>
      </c>
      <c r="N131" s="9">
        <v>40</v>
      </c>
      <c r="O131" s="9">
        <v>55</v>
      </c>
      <c r="P131" s="10">
        <v>3207.7128103679997</v>
      </c>
      <c r="Q131" s="10">
        <v>0</v>
      </c>
      <c r="R131" s="10">
        <v>3207.7128103679997</v>
      </c>
      <c r="S131" s="9" t="s">
        <v>299</v>
      </c>
      <c r="T131" s="12" t="s">
        <v>63</v>
      </c>
      <c r="U131" s="11">
        <v>100000</v>
      </c>
      <c r="V131" s="10">
        <v>1500</v>
      </c>
      <c r="W131" s="10">
        <v>98500</v>
      </c>
      <c r="X131" s="10">
        <v>0</v>
      </c>
      <c r="Y131" s="10">
        <v>103425</v>
      </c>
      <c r="Z131" s="9" t="s">
        <v>99</v>
      </c>
      <c r="AA131" s="8">
        <v>105955.465</v>
      </c>
      <c r="AB131" s="8">
        <v>7595</v>
      </c>
      <c r="AC131" s="8">
        <v>98360.464999999997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72</v>
      </c>
      <c r="AI131" s="1">
        <v>3</v>
      </c>
      <c r="AJ131" s="3" t="s">
        <v>63</v>
      </c>
      <c r="AK131" s="3">
        <v>0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113</v>
      </c>
      <c r="BD131" s="56">
        <v>12600.330757068057</v>
      </c>
    </row>
    <row r="132" spans="1:56" ht="27.75" customHeight="1" x14ac:dyDescent="0.45">
      <c r="A132" s="3">
        <v>45601</v>
      </c>
      <c r="B132" s="14" t="s">
        <v>193</v>
      </c>
      <c r="C132" s="9" t="s">
        <v>93</v>
      </c>
      <c r="D132" s="13" t="s">
        <v>142</v>
      </c>
      <c r="E132" s="9">
        <v>23</v>
      </c>
      <c r="F132" s="9">
        <v>37</v>
      </c>
      <c r="G132" s="9" t="s">
        <v>60</v>
      </c>
      <c r="H132" s="9">
        <v>0</v>
      </c>
      <c r="I132" s="9">
        <v>130</v>
      </c>
      <c r="J132" s="9" t="s">
        <v>57</v>
      </c>
      <c r="K132" s="9">
        <v>5</v>
      </c>
      <c r="L132" s="9" t="s">
        <v>91</v>
      </c>
      <c r="M132" s="10">
        <v>24</v>
      </c>
      <c r="N132" s="9">
        <v>40</v>
      </c>
      <c r="O132" s="9">
        <v>55</v>
      </c>
      <c r="P132" s="10">
        <v>11003.203948644863</v>
      </c>
      <c r="Q132" s="10">
        <v>0</v>
      </c>
      <c r="R132" s="10">
        <v>11003.203948644863</v>
      </c>
      <c r="S132" s="9" t="s">
        <v>299</v>
      </c>
      <c r="T132" s="12" t="s">
        <v>63</v>
      </c>
      <c r="U132" s="11">
        <v>337878</v>
      </c>
      <c r="V132" s="10">
        <v>0</v>
      </c>
      <c r="W132" s="10">
        <v>337878</v>
      </c>
      <c r="X132" s="10">
        <v>0</v>
      </c>
      <c r="Y132" s="10">
        <v>354771.9</v>
      </c>
      <c r="Z132" s="9" t="s">
        <v>99</v>
      </c>
      <c r="AA132" s="8">
        <v>363451.98582000006</v>
      </c>
      <c r="AB132" s="8">
        <v>0</v>
      </c>
      <c r="AC132" s="8">
        <v>363451.98582000006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72</v>
      </c>
      <c r="AI132" s="1">
        <v>3</v>
      </c>
      <c r="AJ132" s="3" t="s">
        <v>63</v>
      </c>
      <c r="AK132" s="3">
        <v>0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 t="e">
        <v>#VALUE!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113</v>
      </c>
      <c r="BD132" s="56">
        <v>46559.511849046357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23</v>
      </c>
      <c r="F133" s="9">
        <v>37</v>
      </c>
      <c r="G133" s="9">
        <v>0</v>
      </c>
      <c r="H133" s="9">
        <v>0</v>
      </c>
      <c r="I133" s="9">
        <v>128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99</v>
      </c>
      <c r="AA133" s="8">
        <v>469407.45082000003</v>
      </c>
      <c r="AB133" s="8">
        <v>7595</v>
      </c>
      <c r="AC133" s="8">
        <v>461812.45082000003</v>
      </c>
      <c r="AD133" s="8">
        <v>0</v>
      </c>
      <c r="AE133" s="8">
        <v>0</v>
      </c>
      <c r="AF133" s="8" t="s">
        <v>58</v>
      </c>
      <c r="AG133" s="1" t="s">
        <v>115</v>
      </c>
      <c r="AH133" s="1">
        <v>0</v>
      </c>
      <c r="AI133" s="1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114</v>
      </c>
      <c r="BD133" s="56">
        <v>0</v>
      </c>
    </row>
    <row r="134" spans="1:56" ht="27.75" customHeight="1" x14ac:dyDescent="0.45">
      <c r="A134" s="3">
        <v>45894</v>
      </c>
      <c r="B134" s="14" t="s">
        <v>381</v>
      </c>
      <c r="C134" s="9" t="s">
        <v>137</v>
      </c>
      <c r="D134" s="13" t="s">
        <v>59</v>
      </c>
      <c r="E134" s="9">
        <v>26</v>
      </c>
      <c r="F134" s="9">
        <v>39</v>
      </c>
      <c r="G134" s="9" t="s">
        <v>60</v>
      </c>
      <c r="H134" s="9">
        <v>0</v>
      </c>
      <c r="I134" s="9">
        <v>93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123</v>
      </c>
      <c r="T134" s="12">
        <v>45904</v>
      </c>
      <c r="U134" s="11">
        <v>10000</v>
      </c>
      <c r="V134" s="10">
        <v>6800</v>
      </c>
      <c r="W134" s="10">
        <v>3200</v>
      </c>
      <c r="X134" s="10">
        <v>0</v>
      </c>
      <c r="Y134" s="10">
        <v>0</v>
      </c>
      <c r="Z134" s="9" t="s">
        <v>84</v>
      </c>
      <c r="AA134" s="8">
        <v>3621.0239999999999</v>
      </c>
      <c r="AB134" s="8">
        <v>2000</v>
      </c>
      <c r="AC134" s="8">
        <v>1621.0239999999999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77</v>
      </c>
      <c r="AI134" s="1">
        <v>1</v>
      </c>
      <c r="AJ134" s="3">
        <v>45904</v>
      </c>
      <c r="AK134" s="3">
        <v>0</v>
      </c>
      <c r="AL134" s="3">
        <v>0</v>
      </c>
      <c r="AM134" s="3">
        <v>0</v>
      </c>
      <c r="AN134" s="3">
        <v>0</v>
      </c>
      <c r="AO134" s="3">
        <v>45903</v>
      </c>
      <c r="AP134" s="3">
        <v>45899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130.8886823111111</v>
      </c>
    </row>
    <row r="135" spans="1:56" ht="27.75" customHeight="1" x14ac:dyDescent="0.45">
      <c r="A135" s="3" t="s">
        <v>135</v>
      </c>
      <c r="B135" s="14" t="s">
        <v>135</v>
      </c>
      <c r="C135" s="9" t="s">
        <v>179</v>
      </c>
      <c r="D135" s="13" t="s">
        <v>61</v>
      </c>
      <c r="E135" s="9">
        <v>26</v>
      </c>
      <c r="F135" s="9">
        <v>41</v>
      </c>
      <c r="G135" s="9" t="s">
        <v>60</v>
      </c>
      <c r="H135" s="9">
        <v>0</v>
      </c>
      <c r="I135" s="9">
        <v>97</v>
      </c>
      <c r="J135" s="9" t="s">
        <v>57</v>
      </c>
      <c r="K135" s="9">
        <v>5</v>
      </c>
      <c r="L135" s="9" t="s">
        <v>91</v>
      </c>
      <c r="M135" s="10">
        <v>27</v>
      </c>
      <c r="N135" s="9">
        <v>43</v>
      </c>
      <c r="O135" s="9">
        <v>40</v>
      </c>
      <c r="P135" s="10">
        <v>229.14349009919997</v>
      </c>
      <c r="Q135" s="10">
        <v>0</v>
      </c>
      <c r="R135" s="10">
        <v>229.14349009919997</v>
      </c>
      <c r="S135" s="9" t="s">
        <v>185</v>
      </c>
      <c r="T135" s="12">
        <v>45930</v>
      </c>
      <c r="U135" s="11">
        <v>8000</v>
      </c>
      <c r="V135" s="10">
        <v>0</v>
      </c>
      <c r="W135" s="10">
        <v>8000</v>
      </c>
      <c r="X135" s="10">
        <v>0</v>
      </c>
      <c r="Y135" s="10">
        <v>8400</v>
      </c>
      <c r="Z135" s="9" t="s">
        <v>84</v>
      </c>
      <c r="AA135" s="8">
        <v>9499.6</v>
      </c>
      <c r="AB135" s="8">
        <v>0</v>
      </c>
      <c r="AC135" s="8">
        <v>9499.6</v>
      </c>
      <c r="AD135" s="8">
        <v>0</v>
      </c>
      <c r="AE135" s="8">
        <v>0</v>
      </c>
      <c r="AF135" s="8">
        <v>0</v>
      </c>
      <c r="AG135" s="1" t="s">
        <v>115</v>
      </c>
      <c r="AH135" s="1" t="s">
        <v>72</v>
      </c>
      <c r="AI135" s="1">
        <v>3</v>
      </c>
      <c r="AJ135" s="3">
        <v>45930</v>
      </c>
      <c r="AK135" s="3">
        <v>0</v>
      </c>
      <c r="AL135" s="3">
        <v>45920</v>
      </c>
      <c r="AM135" s="3">
        <v>45927</v>
      </c>
      <c r="AN135" s="3">
        <v>45928</v>
      </c>
      <c r="AO135" s="3">
        <v>45928</v>
      </c>
      <c r="AP135" s="3">
        <v>45925</v>
      </c>
      <c r="AQ135" s="3">
        <v>45929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767.03992444444452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26</v>
      </c>
      <c r="F136" s="9">
        <v>43</v>
      </c>
      <c r="G136" s="9" t="s">
        <v>60</v>
      </c>
      <c r="H136" s="9">
        <v>0</v>
      </c>
      <c r="I136" s="9">
        <v>102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84</v>
      </c>
      <c r="AA136" s="8">
        <v>13120.624</v>
      </c>
      <c r="AB136" s="8">
        <v>2000</v>
      </c>
      <c r="AC136" s="8">
        <v>11120.624</v>
      </c>
      <c r="AD136" s="8">
        <v>0</v>
      </c>
      <c r="AE136" s="8">
        <v>0</v>
      </c>
      <c r="AF136" s="8" t="s">
        <v>58</v>
      </c>
      <c r="AG136" s="1" t="s">
        <v>115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7.75" customHeight="1" x14ac:dyDescent="0.45">
      <c r="A137" s="3" t="s">
        <v>135</v>
      </c>
      <c r="B137" s="14" t="s">
        <v>135</v>
      </c>
      <c r="C137" s="9" t="s">
        <v>109</v>
      </c>
      <c r="D137" s="13" t="s">
        <v>59</v>
      </c>
      <c r="E137" s="9">
        <v>26</v>
      </c>
      <c r="F137" s="9">
        <v>43</v>
      </c>
      <c r="G137" s="9" t="s">
        <v>60</v>
      </c>
      <c r="H137" s="9">
        <v>0</v>
      </c>
      <c r="I137" s="9">
        <v>116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110</v>
      </c>
      <c r="T137" s="12">
        <v>45925</v>
      </c>
      <c r="U137" s="11">
        <v>10000</v>
      </c>
      <c r="V137" s="10">
        <v>0</v>
      </c>
      <c r="W137" s="10">
        <v>10000</v>
      </c>
      <c r="X137" s="10">
        <v>0</v>
      </c>
      <c r="Y137" s="10">
        <v>0</v>
      </c>
      <c r="Z137" s="9" t="s">
        <v>197</v>
      </c>
      <c r="AA137" s="8">
        <v>12433.3</v>
      </c>
      <c r="AB137" s="8">
        <v>12433.3</v>
      </c>
      <c r="AC137" s="8">
        <v>0</v>
      </c>
      <c r="AD137" s="8">
        <v>0</v>
      </c>
      <c r="AE137" s="8">
        <v>0</v>
      </c>
      <c r="AF137" s="8">
        <v>0</v>
      </c>
      <c r="AG137" s="1" t="s">
        <v>118</v>
      </c>
      <c r="AH137" s="1" t="s">
        <v>77</v>
      </c>
      <c r="AI137" s="1">
        <v>1</v>
      </c>
      <c r="AJ137" s="3">
        <v>45925</v>
      </c>
      <c r="AK137" s="3">
        <v>0</v>
      </c>
      <c r="AL137" s="3">
        <v>0</v>
      </c>
      <c r="AM137" s="3">
        <v>0</v>
      </c>
      <c r="AN137" s="3">
        <v>0</v>
      </c>
      <c r="AO137" s="3">
        <v>45924</v>
      </c>
      <c r="AP137" s="3">
        <v>45920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26</v>
      </c>
      <c r="F138" s="9">
        <v>43</v>
      </c>
      <c r="G138" s="9">
        <v>0</v>
      </c>
      <c r="H138" s="9">
        <v>0</v>
      </c>
      <c r="I138" s="9">
        <v>116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197</v>
      </c>
      <c r="AA138" s="8">
        <v>12433.3</v>
      </c>
      <c r="AB138" s="8">
        <v>12433.3</v>
      </c>
      <c r="AC138" s="8">
        <v>0</v>
      </c>
      <c r="AD138" s="8">
        <v>0</v>
      </c>
      <c r="AE138" s="8">
        <v>0</v>
      </c>
      <c r="AF138" s="8" t="s">
        <v>58</v>
      </c>
      <c r="AG138" s="1" t="s">
        <v>118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198</v>
      </c>
      <c r="BD138" s="56">
        <v>0</v>
      </c>
    </row>
    <row r="139" spans="1:56" ht="27.75" customHeight="1" x14ac:dyDescent="0.45">
      <c r="A139" s="3">
        <v>45901</v>
      </c>
      <c r="B139" s="14" t="s">
        <v>427</v>
      </c>
      <c r="C139" s="9" t="s">
        <v>109</v>
      </c>
      <c r="D139" s="13" t="s">
        <v>144</v>
      </c>
      <c r="E139" s="9">
        <v>26</v>
      </c>
      <c r="F139" s="9">
        <v>43</v>
      </c>
      <c r="G139" s="9" t="s">
        <v>60</v>
      </c>
      <c r="H139" s="9" t="s">
        <v>66</v>
      </c>
      <c r="I139" s="9">
        <v>150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110</v>
      </c>
      <c r="T139" s="12">
        <v>45908</v>
      </c>
      <c r="U139" s="11">
        <v>30000</v>
      </c>
      <c r="V139" s="10">
        <v>0</v>
      </c>
      <c r="W139" s="10">
        <v>30000</v>
      </c>
      <c r="X139" s="10">
        <v>0</v>
      </c>
      <c r="Y139" s="10">
        <v>31500</v>
      </c>
      <c r="Z139" s="9" t="s">
        <v>88</v>
      </c>
      <c r="AA139" s="8">
        <v>37299.899999999994</v>
      </c>
      <c r="AB139" s="8">
        <v>37299.899999999994</v>
      </c>
      <c r="AC139" s="8">
        <v>0</v>
      </c>
      <c r="AD139" s="8">
        <v>0</v>
      </c>
      <c r="AE139" s="8">
        <v>37299.899999999994</v>
      </c>
      <c r="AF139" s="8">
        <v>0</v>
      </c>
      <c r="AG139" s="1" t="s">
        <v>116</v>
      </c>
      <c r="AH139" s="1" t="s">
        <v>75</v>
      </c>
      <c r="AI139" s="1">
        <v>4</v>
      </c>
      <c r="AJ139" s="3">
        <v>45908</v>
      </c>
      <c r="AK139" s="3">
        <v>45904</v>
      </c>
      <c r="AL139" s="3">
        <v>45897</v>
      </c>
      <c r="AM139" s="3">
        <v>45905</v>
      </c>
      <c r="AN139" s="3">
        <v>45906</v>
      </c>
      <c r="AO139" s="3">
        <v>45907</v>
      </c>
      <c r="AP139" s="3">
        <v>45903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>
        <v>45898</v>
      </c>
      <c r="B140" s="14" t="s">
        <v>420</v>
      </c>
      <c r="C140" s="9" t="s">
        <v>109</v>
      </c>
      <c r="D140" s="13" t="s">
        <v>59</v>
      </c>
      <c r="E140" s="9">
        <v>26</v>
      </c>
      <c r="F140" s="9">
        <v>43</v>
      </c>
      <c r="G140" s="9" t="s">
        <v>60</v>
      </c>
      <c r="H140" s="9" t="s">
        <v>66</v>
      </c>
      <c r="I140" s="9">
        <v>150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110</v>
      </c>
      <c r="T140" s="12">
        <v>45909</v>
      </c>
      <c r="U140" s="11">
        <v>15000</v>
      </c>
      <c r="V140" s="10">
        <v>0</v>
      </c>
      <c r="W140" s="10">
        <v>15000</v>
      </c>
      <c r="X140" s="10">
        <v>0</v>
      </c>
      <c r="Y140" s="10">
        <v>0</v>
      </c>
      <c r="Z140" s="9" t="s">
        <v>88</v>
      </c>
      <c r="AA140" s="8">
        <v>18649.949999999997</v>
      </c>
      <c r="AB140" s="8">
        <v>18649.949999999997</v>
      </c>
      <c r="AC140" s="8">
        <v>0</v>
      </c>
      <c r="AD140" s="8">
        <v>0</v>
      </c>
      <c r="AE140" s="8">
        <v>18649.949999999997</v>
      </c>
      <c r="AF140" s="8">
        <v>0</v>
      </c>
      <c r="AG140" s="1" t="s">
        <v>116</v>
      </c>
      <c r="AH140" s="1" t="s">
        <v>146</v>
      </c>
      <c r="AI140" s="1">
        <v>2</v>
      </c>
      <c r="AJ140" s="3">
        <v>45909</v>
      </c>
      <c r="AK140" s="3">
        <v>45907</v>
      </c>
      <c r="AL140" s="3">
        <v>0</v>
      </c>
      <c r="AM140" s="3">
        <v>0</v>
      </c>
      <c r="AN140" s="3">
        <v>0</v>
      </c>
      <c r="AO140" s="3">
        <v>45908</v>
      </c>
      <c r="AP140" s="3">
        <v>45904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143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0</v>
      </c>
    </row>
    <row r="141" spans="1:56" ht="27.75" customHeight="1" x14ac:dyDescent="0.45">
      <c r="A141" s="3">
        <v>45898</v>
      </c>
      <c r="B141" s="14" t="s">
        <v>421</v>
      </c>
      <c r="C141" s="9" t="s">
        <v>109</v>
      </c>
      <c r="D141" s="13" t="s">
        <v>59</v>
      </c>
      <c r="E141" s="9">
        <v>26</v>
      </c>
      <c r="F141" s="9">
        <v>43</v>
      </c>
      <c r="G141" s="9" t="s">
        <v>60</v>
      </c>
      <c r="H141" s="9" t="s">
        <v>66</v>
      </c>
      <c r="I141" s="9">
        <v>150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110</v>
      </c>
      <c r="T141" s="12">
        <v>45917</v>
      </c>
      <c r="U141" s="11">
        <v>15000</v>
      </c>
      <c r="V141" s="10">
        <v>0</v>
      </c>
      <c r="W141" s="10">
        <v>15000</v>
      </c>
      <c r="X141" s="10">
        <v>0</v>
      </c>
      <c r="Y141" s="10">
        <v>0</v>
      </c>
      <c r="Z141" s="9" t="s">
        <v>88</v>
      </c>
      <c r="AA141" s="8">
        <v>18649.949999999997</v>
      </c>
      <c r="AB141" s="8">
        <v>18649.949999999997</v>
      </c>
      <c r="AC141" s="8">
        <v>0</v>
      </c>
      <c r="AD141" s="8">
        <v>0</v>
      </c>
      <c r="AE141" s="8">
        <v>18649.949999999997</v>
      </c>
      <c r="AF141" s="8">
        <v>0</v>
      </c>
      <c r="AG141" s="1" t="s">
        <v>115</v>
      </c>
      <c r="AH141" s="1" t="s">
        <v>146</v>
      </c>
      <c r="AI141" s="1">
        <v>2</v>
      </c>
      <c r="AJ141" s="3">
        <v>45917</v>
      </c>
      <c r="AK141" s="3">
        <v>45915</v>
      </c>
      <c r="AL141" s="3">
        <v>0</v>
      </c>
      <c r="AM141" s="3">
        <v>0</v>
      </c>
      <c r="AN141" s="3">
        <v>0</v>
      </c>
      <c r="AO141" s="3">
        <v>45916</v>
      </c>
      <c r="AP141" s="3">
        <v>45912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143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0</v>
      </c>
    </row>
    <row r="142" spans="1:56" ht="27.75" customHeight="1" x14ac:dyDescent="0.45">
      <c r="A142" s="3">
        <v>45901</v>
      </c>
      <c r="B142" s="14" t="s">
        <v>428</v>
      </c>
      <c r="C142" s="9" t="s">
        <v>109</v>
      </c>
      <c r="D142" s="13" t="s">
        <v>144</v>
      </c>
      <c r="E142" s="9">
        <v>26</v>
      </c>
      <c r="F142" s="9">
        <v>43</v>
      </c>
      <c r="G142" s="9" t="s">
        <v>60</v>
      </c>
      <c r="H142" s="9" t="s">
        <v>66</v>
      </c>
      <c r="I142" s="9">
        <v>150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110</v>
      </c>
      <c r="T142" s="12">
        <v>45930</v>
      </c>
      <c r="U142" s="11">
        <v>30000</v>
      </c>
      <c r="V142" s="10">
        <v>0</v>
      </c>
      <c r="W142" s="10">
        <v>30000</v>
      </c>
      <c r="X142" s="10">
        <v>0</v>
      </c>
      <c r="Y142" s="10">
        <v>31500</v>
      </c>
      <c r="Z142" s="9" t="s">
        <v>88</v>
      </c>
      <c r="AA142" s="8">
        <v>37299.899999999994</v>
      </c>
      <c r="AB142" s="8">
        <v>0</v>
      </c>
      <c r="AC142" s="8">
        <v>37299.899999999994</v>
      </c>
      <c r="AD142" s="8">
        <v>0</v>
      </c>
      <c r="AE142" s="8">
        <v>37299.899999999994</v>
      </c>
      <c r="AF142" s="8">
        <v>0</v>
      </c>
      <c r="AG142" s="1" t="s">
        <v>115</v>
      </c>
      <c r="AH142" s="1" t="s">
        <v>75</v>
      </c>
      <c r="AI142" s="1">
        <v>4</v>
      </c>
      <c r="AJ142" s="3">
        <v>45930</v>
      </c>
      <c r="AK142" s="3">
        <v>45926</v>
      </c>
      <c r="AL142" s="3">
        <v>45919</v>
      </c>
      <c r="AM142" s="3">
        <v>45927</v>
      </c>
      <c r="AN142" s="3">
        <v>45928</v>
      </c>
      <c r="AO142" s="3">
        <v>45929</v>
      </c>
      <c r="AP142" s="3">
        <v>45925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3846.8630200000002</v>
      </c>
    </row>
    <row r="143" spans="1:56" ht="27.75" customHeight="1" x14ac:dyDescent="0.45">
      <c r="A143" s="3">
        <v>45901</v>
      </c>
      <c r="B143" s="14" t="s">
        <v>429</v>
      </c>
      <c r="C143" s="9" t="s">
        <v>109</v>
      </c>
      <c r="D143" s="13" t="s">
        <v>144</v>
      </c>
      <c r="E143" s="9">
        <v>26</v>
      </c>
      <c r="F143" s="9">
        <v>43</v>
      </c>
      <c r="G143" s="9" t="s">
        <v>60</v>
      </c>
      <c r="H143" s="9" t="s">
        <v>66</v>
      </c>
      <c r="I143" s="9">
        <v>150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110</v>
      </c>
      <c r="T143" s="12">
        <v>45945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88</v>
      </c>
      <c r="AA143" s="8">
        <v>12433.3</v>
      </c>
      <c r="AB143" s="8">
        <v>0</v>
      </c>
      <c r="AC143" s="8">
        <v>12433.3</v>
      </c>
      <c r="AD143" s="8">
        <v>0</v>
      </c>
      <c r="AE143" s="8">
        <v>12433.3</v>
      </c>
      <c r="AF143" s="8">
        <v>0</v>
      </c>
      <c r="AG143" s="1" t="s">
        <v>115</v>
      </c>
      <c r="AH143" s="1" t="s">
        <v>75</v>
      </c>
      <c r="AI143" s="1">
        <v>4</v>
      </c>
      <c r="AJ143" s="3">
        <v>45945</v>
      </c>
      <c r="AK143" s="3">
        <v>45941</v>
      </c>
      <c r="AL143" s="3">
        <v>45934</v>
      </c>
      <c r="AM143" s="3">
        <v>45942</v>
      </c>
      <c r="AN143" s="3">
        <v>45943</v>
      </c>
      <c r="AO143" s="3">
        <v>45944</v>
      </c>
      <c r="AP143" s="3">
        <v>45940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1282.2876733333333</v>
      </c>
    </row>
    <row r="144" spans="1:56" ht="27.7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26</v>
      </c>
      <c r="F144" s="9">
        <v>43</v>
      </c>
      <c r="G144" s="9">
        <v>0</v>
      </c>
      <c r="H144" s="9">
        <v>0</v>
      </c>
      <c r="I144" s="9">
        <v>120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88</v>
      </c>
      <c r="AA144" s="8">
        <v>124332.99999999999</v>
      </c>
      <c r="AB144" s="8">
        <v>74599.799999999988</v>
      </c>
      <c r="AC144" s="8">
        <v>49733.2</v>
      </c>
      <c r="AD144" s="8">
        <v>0</v>
      </c>
      <c r="AE144" s="8">
        <v>124332.99999999999</v>
      </c>
      <c r="AF144" s="8" t="s">
        <v>58</v>
      </c>
      <c r="AG144" s="1" t="s">
        <v>117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0</v>
      </c>
    </row>
    <row r="145" spans="1:56" ht="27.75" customHeight="1" x14ac:dyDescent="0.45">
      <c r="A145" s="3">
        <v>45857</v>
      </c>
      <c r="B145" s="14" t="s">
        <v>300</v>
      </c>
      <c r="C145" s="9" t="s">
        <v>147</v>
      </c>
      <c r="D145" s="13" t="s">
        <v>148</v>
      </c>
      <c r="E145" s="9">
        <v>28</v>
      </c>
      <c r="F145" s="9">
        <v>41</v>
      </c>
      <c r="G145" s="9" t="s">
        <v>60</v>
      </c>
      <c r="H145" s="9">
        <v>0</v>
      </c>
      <c r="I145" s="9">
        <v>120</v>
      </c>
      <c r="J145" s="9" t="s">
        <v>78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45909</v>
      </c>
      <c r="U145" s="11">
        <v>3000</v>
      </c>
      <c r="V145" s="10">
        <v>2841</v>
      </c>
      <c r="W145" s="10">
        <v>159</v>
      </c>
      <c r="X145" s="10">
        <v>34283</v>
      </c>
      <c r="Y145" s="10">
        <v>0</v>
      </c>
      <c r="Z145" s="9" t="s">
        <v>127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115</v>
      </c>
      <c r="AH145" s="1" t="s">
        <v>74</v>
      </c>
      <c r="AI145" s="1">
        <v>2</v>
      </c>
      <c r="AJ145" s="3">
        <v>45909</v>
      </c>
      <c r="AK145" s="3">
        <v>0</v>
      </c>
      <c r="AL145" s="3">
        <v>45900</v>
      </c>
      <c r="AM145" s="3">
        <v>45907</v>
      </c>
      <c r="AN145" s="3">
        <v>45908</v>
      </c>
      <c r="AO145" s="3">
        <v>45908</v>
      </c>
      <c r="AP145" s="3">
        <v>45904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0</v>
      </c>
    </row>
    <row r="146" spans="1:56" ht="27.75" customHeight="1" x14ac:dyDescent="0.45">
      <c r="A146" s="3">
        <v>45895</v>
      </c>
      <c r="B146" s="14" t="s">
        <v>382</v>
      </c>
      <c r="C146" s="9" t="s">
        <v>147</v>
      </c>
      <c r="D146" s="13" t="s">
        <v>148</v>
      </c>
      <c r="E146" s="9">
        <v>28</v>
      </c>
      <c r="F146" s="9">
        <v>41</v>
      </c>
      <c r="G146" s="9" t="s">
        <v>60</v>
      </c>
      <c r="H146" s="9">
        <v>0</v>
      </c>
      <c r="I146" s="9">
        <v>120</v>
      </c>
      <c r="J146" s="9" t="s">
        <v>78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>
        <v>45909</v>
      </c>
      <c r="U146" s="11">
        <v>50000</v>
      </c>
      <c r="V146" s="10">
        <v>10000</v>
      </c>
      <c r="W146" s="10">
        <v>40000</v>
      </c>
      <c r="X146" s="10">
        <v>49535</v>
      </c>
      <c r="Y146" s="10">
        <v>488.25</v>
      </c>
      <c r="Z146" s="9" t="s">
        <v>127</v>
      </c>
      <c r="AA146" s="8">
        <v>579.77246250000007</v>
      </c>
      <c r="AB146" s="8">
        <v>579.77246250000007</v>
      </c>
      <c r="AC146" s="8">
        <v>0</v>
      </c>
      <c r="AD146" s="8">
        <v>0</v>
      </c>
      <c r="AE146" s="8">
        <v>0</v>
      </c>
      <c r="AF146" s="8">
        <v>0</v>
      </c>
      <c r="AG146" s="1" t="s">
        <v>115</v>
      </c>
      <c r="AH146" s="1" t="s">
        <v>74</v>
      </c>
      <c r="AI146" s="1">
        <v>2</v>
      </c>
      <c r="AJ146" s="3">
        <v>45909</v>
      </c>
      <c r="AK146" s="3">
        <v>0</v>
      </c>
      <c r="AL146" s="3">
        <v>45900</v>
      </c>
      <c r="AM146" s="3">
        <v>45907</v>
      </c>
      <c r="AN146" s="3">
        <v>45908</v>
      </c>
      <c r="AO146" s="3">
        <v>45908</v>
      </c>
      <c r="AP146" s="3">
        <v>45904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7.75" customHeight="1" x14ac:dyDescent="0.45">
      <c r="A147" s="3" t="s">
        <v>135</v>
      </c>
      <c r="B147" s="14" t="s">
        <v>135</v>
      </c>
      <c r="C147" s="9" t="s">
        <v>109</v>
      </c>
      <c r="D147" s="13" t="s">
        <v>59</v>
      </c>
      <c r="E147" s="9">
        <v>28</v>
      </c>
      <c r="F147" s="9">
        <v>47</v>
      </c>
      <c r="G147" s="9" t="s">
        <v>60</v>
      </c>
      <c r="H147" s="9" t="s">
        <v>66</v>
      </c>
      <c r="I147" s="9">
        <v>180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45925</v>
      </c>
      <c r="U147" s="11">
        <v>5000</v>
      </c>
      <c r="V147" s="10">
        <v>0</v>
      </c>
      <c r="W147" s="10">
        <v>5000</v>
      </c>
      <c r="X147" s="10">
        <v>0</v>
      </c>
      <c r="Y147" s="10">
        <v>0</v>
      </c>
      <c r="Z147" s="9" t="s">
        <v>127</v>
      </c>
      <c r="AA147" s="8">
        <v>6775.4500000000007</v>
      </c>
      <c r="AB147" s="8">
        <v>6775.4500000000007</v>
      </c>
      <c r="AC147" s="8">
        <v>0</v>
      </c>
      <c r="AD147" s="8">
        <v>0</v>
      </c>
      <c r="AE147" s="8">
        <v>6775.4500000000007</v>
      </c>
      <c r="AF147" s="8">
        <v>0</v>
      </c>
      <c r="AG147" s="1">
        <v>0</v>
      </c>
      <c r="AH147" s="1" t="s">
        <v>146</v>
      </c>
      <c r="AI147" s="1">
        <v>2</v>
      </c>
      <c r="AJ147" s="3">
        <v>45925</v>
      </c>
      <c r="AK147" s="3">
        <v>45923</v>
      </c>
      <c r="AL147" s="3">
        <v>0</v>
      </c>
      <c r="AM147" s="3">
        <v>0</v>
      </c>
      <c r="AN147" s="3">
        <v>0</v>
      </c>
      <c r="AO147" s="3">
        <v>45924</v>
      </c>
      <c r="AP147" s="3">
        <v>45920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143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7.7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28</v>
      </c>
      <c r="F148" s="9">
        <v>43</v>
      </c>
      <c r="G148" s="9">
        <v>0</v>
      </c>
      <c r="H148" s="9">
        <v>0</v>
      </c>
      <c r="I148" s="9">
        <v>130</v>
      </c>
      <c r="J148" s="9" t="s">
        <v>57</v>
      </c>
      <c r="K148" s="9">
        <v>3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127</v>
      </c>
      <c r="AA148" s="8">
        <v>7355.2224625000008</v>
      </c>
      <c r="AB148" s="8">
        <v>7355.2224625000008</v>
      </c>
      <c r="AC148" s="8">
        <v>0</v>
      </c>
      <c r="AD148" s="8">
        <v>0</v>
      </c>
      <c r="AE148" s="8">
        <v>6775.4500000000007</v>
      </c>
      <c r="AF148" s="8" t="s">
        <v>58</v>
      </c>
      <c r="AG148" s="1">
        <v>0</v>
      </c>
      <c r="AH148" s="1">
        <v>0</v>
      </c>
      <c r="AI148" s="1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149</v>
      </c>
      <c r="BD148" s="56">
        <v>0</v>
      </c>
    </row>
  </sheetData>
  <autoFilter ref="A5:BD148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48">
    <cfRule type="expression" dxfId="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2E40F-AE33-4C2D-B7C9-B68054113280}">
  <sheetPr>
    <tabColor rgb="FFFFFF00"/>
  </sheetPr>
  <dimension ref="A1:BD153"/>
  <sheetViews>
    <sheetView topLeftCell="A5" zoomScale="80" zoomScaleNormal="80" workbookViewId="0">
      <selection activeCell="T9" sqref="T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45901</v>
      </c>
      <c r="E3" s="82" t="s">
        <v>52</v>
      </c>
      <c r="F3" s="82"/>
      <c r="G3" s="83">
        <v>11.09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45842</v>
      </c>
      <c r="B6" s="14" t="s">
        <v>283</v>
      </c>
      <c r="C6" s="9" t="s">
        <v>276</v>
      </c>
      <c r="D6" s="13" t="s">
        <v>277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132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287</v>
      </c>
      <c r="AG6" s="1" t="s">
        <v>116</v>
      </c>
      <c r="AH6" s="1" t="s">
        <v>68</v>
      </c>
      <c r="AI6" s="1">
        <v>4</v>
      </c>
      <c r="AJ6" s="3" t="s">
        <v>132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45896</v>
      </c>
      <c r="B7" s="14" t="s">
        <v>383</v>
      </c>
      <c r="C7" s="9" t="s">
        <v>233</v>
      </c>
      <c r="D7" s="13" t="s">
        <v>379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>
        <v>45908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234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3702.0499999999997</v>
      </c>
      <c r="AF7" s="8">
        <v>0</v>
      </c>
      <c r="AG7" s="1" t="s">
        <v>116</v>
      </c>
      <c r="AH7" s="1" t="s">
        <v>68</v>
      </c>
      <c r="AI7" s="1">
        <v>4</v>
      </c>
      <c r="AJ7" s="3">
        <v>45908</v>
      </c>
      <c r="AK7" s="3">
        <v>45904</v>
      </c>
      <c r="AL7" s="3">
        <v>45898</v>
      </c>
      <c r="AM7" s="3">
        <v>45905</v>
      </c>
      <c r="AN7" s="3">
        <v>45906</v>
      </c>
      <c r="AO7" s="3">
        <v>45906</v>
      </c>
      <c r="AP7" s="3">
        <v>45903</v>
      </c>
      <c r="AQ7" s="3">
        <v>45907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 t="s">
        <v>360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234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3702.0499999999997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129</v>
      </c>
      <c r="BD8" s="56">
        <v>0</v>
      </c>
    </row>
    <row r="9" spans="1:56" ht="27.75" customHeight="1" x14ac:dyDescent="0.45">
      <c r="A9" s="3">
        <v>45897</v>
      </c>
      <c r="B9" s="14" t="s">
        <v>384</v>
      </c>
      <c r="C9" s="9" t="s">
        <v>73</v>
      </c>
      <c r="D9" s="13" t="s">
        <v>385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141</v>
      </c>
      <c r="T9" s="12">
        <v>45904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386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0</v>
      </c>
      <c r="AF9" s="8">
        <v>0</v>
      </c>
      <c r="AG9" s="1" t="s">
        <v>61</v>
      </c>
      <c r="AH9" s="1" t="s">
        <v>74</v>
      </c>
      <c r="AI9" s="1">
        <v>2</v>
      </c>
      <c r="AJ9" s="3">
        <v>45904</v>
      </c>
      <c r="AK9" s="3">
        <v>0</v>
      </c>
      <c r="AL9" s="3">
        <v>45895</v>
      </c>
      <c r="AM9" s="3">
        <v>45902</v>
      </c>
      <c r="AN9" s="3">
        <v>45903</v>
      </c>
      <c r="AO9" s="3">
        <v>45903</v>
      </c>
      <c r="AP9" s="3">
        <v>45899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226.40092444444446</v>
      </c>
    </row>
    <row r="10" spans="1:56" ht="27.75" customHeight="1" x14ac:dyDescent="0.45">
      <c r="A10" s="3">
        <v>45897</v>
      </c>
      <c r="B10" s="14" t="s">
        <v>384</v>
      </c>
      <c r="C10" s="9" t="s">
        <v>73</v>
      </c>
      <c r="D10" s="13" t="s">
        <v>412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141</v>
      </c>
      <c r="T10" s="12">
        <v>45909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386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45909</v>
      </c>
      <c r="AK10" s="3">
        <v>0</v>
      </c>
      <c r="AL10" s="3">
        <v>45900</v>
      </c>
      <c r="AM10" s="3">
        <v>45907</v>
      </c>
      <c r="AN10" s="3">
        <v>45908</v>
      </c>
      <c r="AO10" s="3">
        <v>45908</v>
      </c>
      <c r="AP10" s="3">
        <v>45904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226.40092444444446</v>
      </c>
    </row>
    <row r="11" spans="1:56" ht="27.75" customHeight="1" x14ac:dyDescent="0.45">
      <c r="A11" s="3">
        <v>45897</v>
      </c>
      <c r="B11" s="14" t="s">
        <v>384</v>
      </c>
      <c r="C11" s="9" t="s">
        <v>73</v>
      </c>
      <c r="D11" s="13" t="s">
        <v>413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141</v>
      </c>
      <c r="T11" s="12">
        <v>45909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386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0</v>
      </c>
      <c r="AF11" s="8">
        <v>0</v>
      </c>
      <c r="AG11" s="1" t="s">
        <v>115</v>
      </c>
      <c r="AH11" s="1" t="s">
        <v>74</v>
      </c>
      <c r="AI11" s="1">
        <v>2</v>
      </c>
      <c r="AJ11" s="3">
        <v>45909</v>
      </c>
      <c r="AK11" s="3">
        <v>0</v>
      </c>
      <c r="AL11" s="3">
        <v>45900</v>
      </c>
      <c r="AM11" s="3">
        <v>45907</v>
      </c>
      <c r="AN11" s="3">
        <v>45908</v>
      </c>
      <c r="AO11" s="3">
        <v>45908</v>
      </c>
      <c r="AP11" s="3">
        <v>45904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226.40092444444446</v>
      </c>
    </row>
    <row r="12" spans="1:56" ht="27.75" customHeight="1" x14ac:dyDescent="0.45">
      <c r="A12" s="3">
        <v>45897</v>
      </c>
      <c r="B12" s="14" t="s">
        <v>384</v>
      </c>
      <c r="C12" s="9" t="s">
        <v>73</v>
      </c>
      <c r="D12" s="13" t="s">
        <v>61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141</v>
      </c>
      <c r="T12" s="12" t="s">
        <v>63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386</v>
      </c>
      <c r="AA12" s="8">
        <v>3702.0499999999997</v>
      </c>
      <c r="AB12" s="8">
        <v>0</v>
      </c>
      <c r="AC12" s="8">
        <v>3702.0499999999997</v>
      </c>
      <c r="AD12" s="8">
        <v>0</v>
      </c>
      <c r="AE12" s="8">
        <v>0</v>
      </c>
      <c r="AF12" s="8">
        <v>0</v>
      </c>
      <c r="AG12" s="1" t="s">
        <v>115</v>
      </c>
      <c r="AH12" s="1" t="s">
        <v>74</v>
      </c>
      <c r="AI12" s="1">
        <v>2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226.40092444444446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386</v>
      </c>
      <c r="AA13" s="8">
        <v>14808.199999999999</v>
      </c>
      <c r="AB13" s="8">
        <v>0</v>
      </c>
      <c r="AC13" s="8">
        <v>14808.199999999999</v>
      </c>
      <c r="AD13" s="8">
        <v>0</v>
      </c>
      <c r="AE13" s="8">
        <v>0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129</v>
      </c>
      <c r="BD13" s="56">
        <v>0</v>
      </c>
    </row>
    <row r="14" spans="1:56" ht="27.75" customHeight="1" x14ac:dyDescent="0.45">
      <c r="A14" s="3" t="s">
        <v>135</v>
      </c>
      <c r="B14" s="14" t="s">
        <v>135</v>
      </c>
      <c r="C14" s="9" t="s">
        <v>211</v>
      </c>
      <c r="D14" s="13" t="s">
        <v>236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91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 t="s">
        <v>63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133</v>
      </c>
      <c r="AA14" s="8">
        <v>13201.65</v>
      </c>
      <c r="AB14" s="8">
        <v>2599</v>
      </c>
      <c r="AC14" s="8">
        <v>10602.65</v>
      </c>
      <c r="AD14" s="8">
        <v>0</v>
      </c>
      <c r="AE14" s="8">
        <v>0</v>
      </c>
      <c r="AF14" s="8">
        <v>0</v>
      </c>
      <c r="AG14" s="1" t="s">
        <v>116</v>
      </c>
      <c r="AH14" s="1" t="s">
        <v>72</v>
      </c>
      <c r="AI14" s="1">
        <v>3</v>
      </c>
      <c r="AJ14" s="3" t="s">
        <v>63</v>
      </c>
      <c r="AK14" s="3">
        <v>0</v>
      </c>
      <c r="AL14" s="3" t="e">
        <v>#VALUE!</v>
      </c>
      <c r="AM14" s="3" t="e">
        <v>#VALUE!</v>
      </c>
      <c r="AN14" s="3" t="e">
        <v>#VALUE!</v>
      </c>
      <c r="AO14" s="3" t="e">
        <v>#VALUE!</v>
      </c>
      <c r="AP14" s="3" t="e">
        <v>#VALUE!</v>
      </c>
      <c r="AQ14" s="3" t="e">
        <v>#VALUE!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729.46232000000009</v>
      </c>
    </row>
    <row r="15" spans="1:56" ht="27.75" customHeight="1" x14ac:dyDescent="0.45">
      <c r="A15" s="3">
        <v>0</v>
      </c>
      <c r="B15" s="14">
        <v>0</v>
      </c>
      <c r="C15" s="9" t="s">
        <v>201</v>
      </c>
      <c r="D15" s="13" t="s">
        <v>95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133</v>
      </c>
      <c r="AA15" s="8">
        <v>13201.65</v>
      </c>
      <c r="AB15" s="8">
        <v>2599</v>
      </c>
      <c r="AC15" s="8">
        <v>10602.65</v>
      </c>
      <c r="AD15" s="8">
        <v>0</v>
      </c>
      <c r="AE15" s="8">
        <v>0</v>
      </c>
      <c r="AF15" s="8" t="s">
        <v>58</v>
      </c>
      <c r="AG15" s="1" t="s">
        <v>116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45898</v>
      </c>
      <c r="B16" s="14" t="s">
        <v>414</v>
      </c>
      <c r="C16" s="9" t="s">
        <v>136</v>
      </c>
      <c r="D16" s="13" t="s">
        <v>124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45910</v>
      </c>
      <c r="U16" s="11">
        <v>50000</v>
      </c>
      <c r="V16" s="10">
        <v>0</v>
      </c>
      <c r="W16" s="10">
        <v>50000</v>
      </c>
      <c r="X16" s="10">
        <v>0</v>
      </c>
      <c r="Y16" s="10">
        <v>52500</v>
      </c>
      <c r="Z16" s="9" t="s">
        <v>168</v>
      </c>
      <c r="AA16" s="8">
        <v>44005.499999999993</v>
      </c>
      <c r="AB16" s="8">
        <v>24047</v>
      </c>
      <c r="AC16" s="8">
        <v>19958.499999999993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45910</v>
      </c>
      <c r="AK16" s="3">
        <v>0</v>
      </c>
      <c r="AL16" s="3">
        <v>45901</v>
      </c>
      <c r="AM16" s="3">
        <v>45908</v>
      </c>
      <c r="AN16" s="3">
        <v>45909</v>
      </c>
      <c r="AO16" s="3">
        <v>45909</v>
      </c>
      <c r="AP16" s="3">
        <v>45905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1449.4306222222219</v>
      </c>
    </row>
    <row r="17" spans="1:56" ht="27.75" customHeight="1" x14ac:dyDescent="0.45">
      <c r="A17" s="3">
        <v>45898</v>
      </c>
      <c r="B17" s="14" t="s">
        <v>415</v>
      </c>
      <c r="C17" s="9" t="s">
        <v>136</v>
      </c>
      <c r="D17" s="13" t="s">
        <v>199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45910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168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45910</v>
      </c>
      <c r="AK17" s="3">
        <v>0</v>
      </c>
      <c r="AL17" s="3">
        <v>45901</v>
      </c>
      <c r="AM17" s="3">
        <v>45908</v>
      </c>
      <c r="AN17" s="3">
        <v>45909</v>
      </c>
      <c r="AO17" s="3">
        <v>45909</v>
      </c>
      <c r="AP17" s="3">
        <v>45905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2556.6217600000009</v>
      </c>
    </row>
    <row r="18" spans="1:56" ht="27.75" customHeight="1" x14ac:dyDescent="0.45">
      <c r="A18" s="3" t="s">
        <v>135</v>
      </c>
      <c r="B18" s="14" t="s">
        <v>135</v>
      </c>
      <c r="C18" s="9" t="s">
        <v>237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45925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168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45925</v>
      </c>
      <c r="AK18" s="3">
        <v>0</v>
      </c>
      <c r="AL18" s="3">
        <v>45916</v>
      </c>
      <c r="AM18" s="3">
        <v>45923</v>
      </c>
      <c r="AN18" s="3">
        <v>45924</v>
      </c>
      <c r="AO18" s="3">
        <v>45924</v>
      </c>
      <c r="AP18" s="3">
        <v>45920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45">
      <c r="A19" s="3" t="s">
        <v>135</v>
      </c>
      <c r="B19" s="14" t="s">
        <v>135</v>
      </c>
      <c r="C19" s="9" t="s">
        <v>204</v>
      </c>
      <c r="D19" s="13" t="s">
        <v>205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45925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168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117</v>
      </c>
      <c r="AH19" s="1" t="s">
        <v>72</v>
      </c>
      <c r="AI19" s="1">
        <v>3</v>
      </c>
      <c r="AJ19" s="3">
        <v>45925</v>
      </c>
      <c r="AK19" s="3">
        <v>0</v>
      </c>
      <c r="AL19" s="3">
        <v>45915</v>
      </c>
      <c r="AM19" s="3">
        <v>45922</v>
      </c>
      <c r="AN19" s="3">
        <v>45923</v>
      </c>
      <c r="AO19" s="3">
        <v>45923</v>
      </c>
      <c r="AP19" s="3">
        <v>45920</v>
      </c>
      <c r="AQ19" s="3">
        <v>45924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1343.6356095653334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168</v>
      </c>
      <c r="AA20" s="8">
        <v>132916.01432999998</v>
      </c>
      <c r="AB20" s="8">
        <v>24047</v>
      </c>
      <c r="AC20" s="8">
        <v>108869.01432999999</v>
      </c>
      <c r="AD20" s="8">
        <v>0</v>
      </c>
      <c r="AE20" s="8">
        <v>0</v>
      </c>
      <c r="AF20" s="8" t="s">
        <v>58</v>
      </c>
      <c r="AG20" s="1" t="s">
        <v>117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45896</v>
      </c>
      <c r="B21" s="14" t="s">
        <v>387</v>
      </c>
      <c r="C21" s="9" t="s">
        <v>73</v>
      </c>
      <c r="D21" s="13" t="s">
        <v>189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45902</v>
      </c>
      <c r="U21" s="11">
        <v>10000</v>
      </c>
      <c r="V21" s="10">
        <v>5000</v>
      </c>
      <c r="W21" s="10">
        <v>5000</v>
      </c>
      <c r="X21" s="10">
        <v>10500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117</v>
      </c>
      <c r="AH21" s="1" t="s">
        <v>74</v>
      </c>
      <c r="AI21" s="1">
        <v>2</v>
      </c>
      <c r="AJ21" s="3">
        <v>45902</v>
      </c>
      <c r="AK21" s="3">
        <v>0</v>
      </c>
      <c r="AL21" s="3">
        <v>45893</v>
      </c>
      <c r="AM21" s="3">
        <v>45900</v>
      </c>
      <c r="AN21" s="3">
        <v>45901</v>
      </c>
      <c r="AO21" s="3">
        <v>45901</v>
      </c>
      <c r="AP21" s="3">
        <v>45897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45896</v>
      </c>
      <c r="B22" s="14" t="s">
        <v>387</v>
      </c>
      <c r="C22" s="9" t="s">
        <v>73</v>
      </c>
      <c r="D22" s="13" t="s">
        <v>281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45902</v>
      </c>
      <c r="U22" s="11">
        <v>5000</v>
      </c>
      <c r="V22" s="10">
        <v>0</v>
      </c>
      <c r="W22" s="10">
        <v>5000</v>
      </c>
      <c r="X22" s="10">
        <v>5250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116</v>
      </c>
      <c r="AH22" s="1" t="s">
        <v>74</v>
      </c>
      <c r="AI22" s="1">
        <v>2</v>
      </c>
      <c r="AJ22" s="3">
        <v>45902</v>
      </c>
      <c r="AK22" s="3">
        <v>0</v>
      </c>
      <c r="AL22" s="3">
        <v>45893</v>
      </c>
      <c r="AM22" s="3">
        <v>45900</v>
      </c>
      <c r="AN22" s="3">
        <v>45901</v>
      </c>
      <c r="AO22" s="3">
        <v>45901</v>
      </c>
      <c r="AP22" s="3">
        <v>45897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45896</v>
      </c>
      <c r="B23" s="14" t="s">
        <v>387</v>
      </c>
      <c r="C23" s="9" t="s">
        <v>73</v>
      </c>
      <c r="D23" s="13" t="s">
        <v>388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45902</v>
      </c>
      <c r="U23" s="11">
        <v>5000</v>
      </c>
      <c r="V23" s="10">
        <v>0</v>
      </c>
      <c r="W23" s="10">
        <v>5000</v>
      </c>
      <c r="X23" s="10">
        <v>5450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116</v>
      </c>
      <c r="AH23" s="1" t="s">
        <v>74</v>
      </c>
      <c r="AI23" s="1">
        <v>2</v>
      </c>
      <c r="AJ23" s="3">
        <v>45902</v>
      </c>
      <c r="AK23" s="3">
        <v>0</v>
      </c>
      <c r="AL23" s="3">
        <v>45893</v>
      </c>
      <c r="AM23" s="3">
        <v>45900</v>
      </c>
      <c r="AN23" s="3">
        <v>45901</v>
      </c>
      <c r="AO23" s="3">
        <v>45901</v>
      </c>
      <c r="AP23" s="3">
        <v>45897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45896</v>
      </c>
      <c r="B24" s="14" t="s">
        <v>387</v>
      </c>
      <c r="C24" s="9" t="s">
        <v>73</v>
      </c>
      <c r="D24" s="13" t="s">
        <v>275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45902</v>
      </c>
      <c r="U24" s="11">
        <v>5000</v>
      </c>
      <c r="V24" s="10">
        <v>0</v>
      </c>
      <c r="W24" s="10">
        <v>5000</v>
      </c>
      <c r="X24" s="10">
        <v>5250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116</v>
      </c>
      <c r="AH24" s="1" t="s">
        <v>74</v>
      </c>
      <c r="AI24" s="1">
        <v>2</v>
      </c>
      <c r="AJ24" s="3">
        <v>45902</v>
      </c>
      <c r="AK24" s="3">
        <v>0</v>
      </c>
      <c r="AL24" s="3">
        <v>45893</v>
      </c>
      <c r="AM24" s="3">
        <v>45900</v>
      </c>
      <c r="AN24" s="3">
        <v>45901</v>
      </c>
      <c r="AO24" s="3">
        <v>45901</v>
      </c>
      <c r="AP24" s="3">
        <v>45897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45896</v>
      </c>
      <c r="B25" s="14" t="s">
        <v>387</v>
      </c>
      <c r="C25" s="9" t="s">
        <v>73</v>
      </c>
      <c r="D25" s="13" t="s">
        <v>266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45904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172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>
        <v>0</v>
      </c>
      <c r="AG25" s="1" t="s">
        <v>116</v>
      </c>
      <c r="AH25" s="1" t="s">
        <v>74</v>
      </c>
      <c r="AI25" s="1">
        <v>2</v>
      </c>
      <c r="AJ25" s="3">
        <v>45904</v>
      </c>
      <c r="AK25" s="3">
        <v>0</v>
      </c>
      <c r="AL25" s="3">
        <v>45895</v>
      </c>
      <c r="AM25" s="3">
        <v>45902</v>
      </c>
      <c r="AN25" s="3">
        <v>45903</v>
      </c>
      <c r="AO25" s="3">
        <v>45903</v>
      </c>
      <c r="AP25" s="3">
        <v>45899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45896</v>
      </c>
      <c r="B26" s="14" t="s">
        <v>387</v>
      </c>
      <c r="C26" s="9" t="s">
        <v>73</v>
      </c>
      <c r="D26" s="13">
        <v>997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45904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172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>
        <v>0</v>
      </c>
      <c r="AG26" s="1" t="s">
        <v>116</v>
      </c>
      <c r="AH26" s="1" t="s">
        <v>74</v>
      </c>
      <c r="AI26" s="1">
        <v>2</v>
      </c>
      <c r="AJ26" s="3">
        <v>45904</v>
      </c>
      <c r="AK26" s="3">
        <v>0</v>
      </c>
      <c r="AL26" s="3">
        <v>45895</v>
      </c>
      <c r="AM26" s="3">
        <v>45902</v>
      </c>
      <c r="AN26" s="3">
        <v>45903</v>
      </c>
      <c r="AO26" s="3">
        <v>45903</v>
      </c>
      <c r="AP26" s="3">
        <v>45899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45896</v>
      </c>
      <c r="B27" s="14" t="s">
        <v>387</v>
      </c>
      <c r="C27" s="9" t="s">
        <v>73</v>
      </c>
      <c r="D27" s="13" t="s">
        <v>327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45904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172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>
        <v>0</v>
      </c>
      <c r="AG27" s="1" t="s">
        <v>119</v>
      </c>
      <c r="AH27" s="1" t="s">
        <v>74</v>
      </c>
      <c r="AI27" s="1">
        <v>2</v>
      </c>
      <c r="AJ27" s="3">
        <v>45904</v>
      </c>
      <c r="AK27" s="3">
        <v>0</v>
      </c>
      <c r="AL27" s="3">
        <v>45895</v>
      </c>
      <c r="AM27" s="3">
        <v>45902</v>
      </c>
      <c r="AN27" s="3">
        <v>45903</v>
      </c>
      <c r="AO27" s="3">
        <v>45903</v>
      </c>
      <c r="AP27" s="3">
        <v>45899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45896</v>
      </c>
      <c r="B28" s="14" t="s">
        <v>387</v>
      </c>
      <c r="C28" s="9" t="s">
        <v>73</v>
      </c>
      <c r="D28" s="13" t="s">
        <v>389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45904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172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>
        <v>0</v>
      </c>
      <c r="AG28" s="1" t="s">
        <v>116</v>
      </c>
      <c r="AH28" s="1" t="s">
        <v>74</v>
      </c>
      <c r="AI28" s="1">
        <v>2</v>
      </c>
      <c r="AJ28" s="3">
        <v>45904</v>
      </c>
      <c r="AK28" s="3">
        <v>0</v>
      </c>
      <c r="AL28" s="3">
        <v>45895</v>
      </c>
      <c r="AM28" s="3">
        <v>45902</v>
      </c>
      <c r="AN28" s="3">
        <v>45903</v>
      </c>
      <c r="AO28" s="3">
        <v>45903</v>
      </c>
      <c r="AP28" s="3">
        <v>45899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45896</v>
      </c>
      <c r="B29" s="14" t="s">
        <v>387</v>
      </c>
      <c r="C29" s="9" t="s">
        <v>73</v>
      </c>
      <c r="D29" s="13" t="s">
        <v>294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45904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172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>
        <v>0</v>
      </c>
      <c r="AG29" s="1" t="s">
        <v>116</v>
      </c>
      <c r="AH29" s="1" t="s">
        <v>74</v>
      </c>
      <c r="AI29" s="1">
        <v>2</v>
      </c>
      <c r="AJ29" s="3">
        <v>45904</v>
      </c>
      <c r="AK29" s="3">
        <v>0</v>
      </c>
      <c r="AL29" s="3">
        <v>45895</v>
      </c>
      <c r="AM29" s="3">
        <v>45902</v>
      </c>
      <c r="AN29" s="3">
        <v>45903</v>
      </c>
      <c r="AO29" s="3">
        <v>45903</v>
      </c>
      <c r="AP29" s="3">
        <v>45899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45896</v>
      </c>
      <c r="B30" s="14" t="s">
        <v>390</v>
      </c>
      <c r="C30" s="9" t="s">
        <v>73</v>
      </c>
      <c r="D30" s="13" t="s">
        <v>288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45904</v>
      </c>
      <c r="U30" s="11">
        <v>10000</v>
      </c>
      <c r="V30" s="10">
        <v>0</v>
      </c>
      <c r="W30" s="10">
        <v>10000</v>
      </c>
      <c r="X30" s="10">
        <v>7780</v>
      </c>
      <c r="Y30" s="10">
        <v>2331</v>
      </c>
      <c r="Z30" s="9" t="s">
        <v>172</v>
      </c>
      <c r="AA30" s="8">
        <v>2181.7926900000002</v>
      </c>
      <c r="AB30" s="8">
        <v>2181.7926900000002</v>
      </c>
      <c r="AC30" s="8">
        <v>0</v>
      </c>
      <c r="AD30" s="8">
        <v>0</v>
      </c>
      <c r="AE30" s="8">
        <v>0</v>
      </c>
      <c r="AF30" s="8">
        <v>0</v>
      </c>
      <c r="AG30" s="1" t="s">
        <v>116</v>
      </c>
      <c r="AH30" s="1" t="s">
        <v>74</v>
      </c>
      <c r="AI30" s="1">
        <v>2</v>
      </c>
      <c r="AJ30" s="3">
        <v>45904</v>
      </c>
      <c r="AK30" s="3">
        <v>0</v>
      </c>
      <c r="AL30" s="3">
        <v>45895</v>
      </c>
      <c r="AM30" s="3">
        <v>45902</v>
      </c>
      <c r="AN30" s="3">
        <v>45903</v>
      </c>
      <c r="AO30" s="3">
        <v>45903</v>
      </c>
      <c r="AP30" s="3">
        <v>45899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45896</v>
      </c>
      <c r="B31" s="14" t="s">
        <v>390</v>
      </c>
      <c r="C31" s="9" t="s">
        <v>73</v>
      </c>
      <c r="D31" s="13" t="s">
        <v>391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45904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172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>
        <v>0</v>
      </c>
      <c r="AG31" s="1" t="s">
        <v>116</v>
      </c>
      <c r="AH31" s="1" t="s">
        <v>74</v>
      </c>
      <c r="AI31" s="1">
        <v>2</v>
      </c>
      <c r="AJ31" s="3">
        <v>45904</v>
      </c>
      <c r="AK31" s="3">
        <v>0</v>
      </c>
      <c r="AL31" s="3">
        <v>45895</v>
      </c>
      <c r="AM31" s="3">
        <v>45902</v>
      </c>
      <c r="AN31" s="3">
        <v>45903</v>
      </c>
      <c r="AO31" s="3">
        <v>45903</v>
      </c>
      <c r="AP31" s="3">
        <v>45899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45896</v>
      </c>
      <c r="B32" s="14" t="s">
        <v>390</v>
      </c>
      <c r="C32" s="9" t="s">
        <v>73</v>
      </c>
      <c r="D32" s="13" t="s">
        <v>392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45904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172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>
        <v>0</v>
      </c>
      <c r="AG32" s="1" t="s">
        <v>115</v>
      </c>
      <c r="AH32" s="1" t="s">
        <v>74</v>
      </c>
      <c r="AI32" s="1">
        <v>2</v>
      </c>
      <c r="AJ32" s="3">
        <v>45904</v>
      </c>
      <c r="AK32" s="3">
        <v>0</v>
      </c>
      <c r="AL32" s="3">
        <v>45895</v>
      </c>
      <c r="AM32" s="3">
        <v>45902</v>
      </c>
      <c r="AN32" s="3">
        <v>45903</v>
      </c>
      <c r="AO32" s="3">
        <v>45903</v>
      </c>
      <c r="AP32" s="3">
        <v>45899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45896</v>
      </c>
      <c r="B33" s="14" t="s">
        <v>387</v>
      </c>
      <c r="C33" s="9" t="s">
        <v>73</v>
      </c>
      <c r="D33" s="13" t="s">
        <v>288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45906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172</v>
      </c>
      <c r="AA33" s="8">
        <v>9359.9000000000015</v>
      </c>
      <c r="AB33" s="8">
        <v>9359.9000000000015</v>
      </c>
      <c r="AC33" s="8">
        <v>0</v>
      </c>
      <c r="AD33" s="8">
        <v>0</v>
      </c>
      <c r="AE33" s="8">
        <v>0</v>
      </c>
      <c r="AF33" s="8">
        <v>0</v>
      </c>
      <c r="AG33" s="1" t="s">
        <v>116</v>
      </c>
      <c r="AH33" s="1" t="s">
        <v>74</v>
      </c>
      <c r="AI33" s="1">
        <v>2</v>
      </c>
      <c r="AJ33" s="3">
        <v>45906</v>
      </c>
      <c r="AK33" s="3">
        <v>0</v>
      </c>
      <c r="AL33" s="3">
        <v>45897</v>
      </c>
      <c r="AM33" s="3">
        <v>45904</v>
      </c>
      <c r="AN33" s="3">
        <v>45905</v>
      </c>
      <c r="AO33" s="3">
        <v>45905</v>
      </c>
      <c r="AP33" s="3">
        <v>45901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45896</v>
      </c>
      <c r="B34" s="14" t="s">
        <v>387</v>
      </c>
      <c r="C34" s="9" t="s">
        <v>73</v>
      </c>
      <c r="D34" s="13" t="s">
        <v>282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45906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>
        <v>0</v>
      </c>
      <c r="AG34" s="1" t="s">
        <v>116</v>
      </c>
      <c r="AH34" s="1" t="s">
        <v>74</v>
      </c>
      <c r="AI34" s="1">
        <v>2</v>
      </c>
      <c r="AJ34" s="3">
        <v>45906</v>
      </c>
      <c r="AK34" s="3">
        <v>0</v>
      </c>
      <c r="AL34" s="3">
        <v>45897</v>
      </c>
      <c r="AM34" s="3">
        <v>45904</v>
      </c>
      <c r="AN34" s="3">
        <v>45905</v>
      </c>
      <c r="AO34" s="3">
        <v>45905</v>
      </c>
      <c r="AP34" s="3">
        <v>45901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45896</v>
      </c>
      <c r="B35" s="14" t="s">
        <v>387</v>
      </c>
      <c r="C35" s="9" t="s">
        <v>73</v>
      </c>
      <c r="D35" s="13" t="s">
        <v>248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45906</v>
      </c>
      <c r="U35" s="11">
        <v>5000</v>
      </c>
      <c r="V35" s="10">
        <v>5746</v>
      </c>
      <c r="W35" s="10">
        <v>0</v>
      </c>
      <c r="X35" s="10">
        <v>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116</v>
      </c>
      <c r="AH35" s="1" t="s">
        <v>74</v>
      </c>
      <c r="AI35" s="1">
        <v>2</v>
      </c>
      <c r="AJ35" s="3">
        <v>45906</v>
      </c>
      <c r="AK35" s="3">
        <v>0</v>
      </c>
      <c r="AL35" s="3">
        <v>45897</v>
      </c>
      <c r="AM35" s="3">
        <v>45904</v>
      </c>
      <c r="AN35" s="3">
        <v>45905</v>
      </c>
      <c r="AO35" s="3">
        <v>45905</v>
      </c>
      <c r="AP35" s="3">
        <v>45901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45896</v>
      </c>
      <c r="B36" s="14" t="s">
        <v>387</v>
      </c>
      <c r="C36" s="9" t="s">
        <v>73</v>
      </c>
      <c r="D36" s="13" t="s">
        <v>393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45906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172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>
        <v>0</v>
      </c>
      <c r="AG36" s="1" t="s">
        <v>116</v>
      </c>
      <c r="AH36" s="1" t="s">
        <v>74</v>
      </c>
      <c r="AI36" s="1">
        <v>2</v>
      </c>
      <c r="AJ36" s="3">
        <v>45906</v>
      </c>
      <c r="AK36" s="3">
        <v>0</v>
      </c>
      <c r="AL36" s="3">
        <v>45897</v>
      </c>
      <c r="AM36" s="3">
        <v>45904</v>
      </c>
      <c r="AN36" s="3">
        <v>45905</v>
      </c>
      <c r="AO36" s="3">
        <v>45905</v>
      </c>
      <c r="AP36" s="3">
        <v>45901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45896</v>
      </c>
      <c r="B37" s="14" t="s">
        <v>387</v>
      </c>
      <c r="C37" s="9" t="s">
        <v>73</v>
      </c>
      <c r="D37" s="13" t="s">
        <v>305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45906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172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>
        <v>0</v>
      </c>
      <c r="AG37" s="1" t="s">
        <v>117</v>
      </c>
      <c r="AH37" s="1" t="s">
        <v>74</v>
      </c>
      <c r="AI37" s="1">
        <v>2</v>
      </c>
      <c r="AJ37" s="3">
        <v>45906</v>
      </c>
      <c r="AK37" s="3">
        <v>0</v>
      </c>
      <c r="AL37" s="3">
        <v>45897</v>
      </c>
      <c r="AM37" s="3">
        <v>45904</v>
      </c>
      <c r="AN37" s="3">
        <v>45905</v>
      </c>
      <c r="AO37" s="3">
        <v>45905</v>
      </c>
      <c r="AP37" s="3">
        <v>45901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45896</v>
      </c>
      <c r="B38" s="14" t="s">
        <v>390</v>
      </c>
      <c r="C38" s="9" t="s">
        <v>73</v>
      </c>
      <c r="D38" s="13" t="s">
        <v>265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45906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172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>
        <v>0</v>
      </c>
      <c r="AG38" s="1" t="s">
        <v>116</v>
      </c>
      <c r="AH38" s="1" t="s">
        <v>74</v>
      </c>
      <c r="AI38" s="1">
        <v>2</v>
      </c>
      <c r="AJ38" s="3">
        <v>45906</v>
      </c>
      <c r="AK38" s="3">
        <v>0</v>
      </c>
      <c r="AL38" s="3">
        <v>45897</v>
      </c>
      <c r="AM38" s="3">
        <v>45904</v>
      </c>
      <c r="AN38" s="3">
        <v>45905</v>
      </c>
      <c r="AO38" s="3">
        <v>45905</v>
      </c>
      <c r="AP38" s="3">
        <v>45901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352.51463377777782</v>
      </c>
    </row>
    <row r="39" spans="1:56" ht="27.75" customHeight="1" x14ac:dyDescent="0.45">
      <c r="A39" s="3">
        <v>45896</v>
      </c>
      <c r="B39" s="14" t="s">
        <v>390</v>
      </c>
      <c r="C39" s="9" t="s">
        <v>73</v>
      </c>
      <c r="D39" s="13" t="s">
        <v>291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45906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172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>
        <v>0</v>
      </c>
      <c r="AG39" s="1" t="s">
        <v>117</v>
      </c>
      <c r="AH39" s="1" t="s">
        <v>74</v>
      </c>
      <c r="AI39" s="1">
        <v>2</v>
      </c>
      <c r="AJ39" s="3">
        <v>45906</v>
      </c>
      <c r="AK39" s="3">
        <v>0</v>
      </c>
      <c r="AL39" s="3">
        <v>45897</v>
      </c>
      <c r="AM39" s="3">
        <v>45904</v>
      </c>
      <c r="AN39" s="3">
        <v>45905</v>
      </c>
      <c r="AO39" s="3">
        <v>45905</v>
      </c>
      <c r="AP39" s="3">
        <v>45901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352.51463377777782</v>
      </c>
    </row>
    <row r="40" spans="1:56" ht="27.75" customHeight="1" x14ac:dyDescent="0.45">
      <c r="A40" s="3">
        <v>45896</v>
      </c>
      <c r="B40" s="14" t="s">
        <v>390</v>
      </c>
      <c r="C40" s="9" t="s">
        <v>73</v>
      </c>
      <c r="D40" s="13" t="s">
        <v>292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45906</v>
      </c>
      <c r="U40" s="11">
        <v>5000</v>
      </c>
      <c r="V40" s="10">
        <v>0</v>
      </c>
      <c r="W40" s="10">
        <v>5000</v>
      </c>
      <c r="X40" s="10">
        <v>5250</v>
      </c>
      <c r="Y40" s="10">
        <v>0</v>
      </c>
      <c r="Z40" s="9" t="s">
        <v>172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117</v>
      </c>
      <c r="AH40" s="1" t="s">
        <v>74</v>
      </c>
      <c r="AI40" s="1">
        <v>2</v>
      </c>
      <c r="AJ40" s="3">
        <v>45906</v>
      </c>
      <c r="AK40" s="3">
        <v>0</v>
      </c>
      <c r="AL40" s="3">
        <v>45897</v>
      </c>
      <c r="AM40" s="3">
        <v>45904</v>
      </c>
      <c r="AN40" s="3">
        <v>45905</v>
      </c>
      <c r="AO40" s="3">
        <v>45905</v>
      </c>
      <c r="AP40" s="3">
        <v>45901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45896</v>
      </c>
      <c r="B41" s="14" t="s">
        <v>387</v>
      </c>
      <c r="C41" s="9" t="s">
        <v>73</v>
      </c>
      <c r="D41" s="13" t="s">
        <v>289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45909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172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>
        <v>0</v>
      </c>
      <c r="AG41" s="1" t="s">
        <v>116</v>
      </c>
      <c r="AH41" s="1" t="s">
        <v>74</v>
      </c>
      <c r="AI41" s="1">
        <v>2</v>
      </c>
      <c r="AJ41" s="3">
        <v>45909</v>
      </c>
      <c r="AK41" s="3">
        <v>0</v>
      </c>
      <c r="AL41" s="3">
        <v>45900</v>
      </c>
      <c r="AM41" s="3">
        <v>45907</v>
      </c>
      <c r="AN41" s="3">
        <v>45908</v>
      </c>
      <c r="AO41" s="3">
        <v>45908</v>
      </c>
      <c r="AP41" s="3">
        <v>45904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352.51463377777782</v>
      </c>
    </row>
    <row r="42" spans="1:56" ht="27.75" customHeight="1" x14ac:dyDescent="0.45">
      <c r="A42" s="3">
        <v>45896</v>
      </c>
      <c r="B42" s="14" t="s">
        <v>387</v>
      </c>
      <c r="C42" s="9" t="s">
        <v>73</v>
      </c>
      <c r="D42" s="13" t="s">
        <v>281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45909</v>
      </c>
      <c r="U42" s="11">
        <v>5000</v>
      </c>
      <c r="V42" s="10">
        <v>0</v>
      </c>
      <c r="W42" s="10">
        <v>5000</v>
      </c>
      <c r="X42" s="10">
        <v>5250</v>
      </c>
      <c r="Y42" s="10">
        <v>0</v>
      </c>
      <c r="Z42" s="9" t="s">
        <v>172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117</v>
      </c>
      <c r="AH42" s="1" t="s">
        <v>74</v>
      </c>
      <c r="AI42" s="1">
        <v>2</v>
      </c>
      <c r="AJ42" s="3">
        <v>45909</v>
      </c>
      <c r="AK42" s="3">
        <v>0</v>
      </c>
      <c r="AL42" s="3">
        <v>45900</v>
      </c>
      <c r="AM42" s="3">
        <v>45907</v>
      </c>
      <c r="AN42" s="3">
        <v>45908</v>
      </c>
      <c r="AO42" s="3">
        <v>45908</v>
      </c>
      <c r="AP42" s="3">
        <v>45904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>
        <v>45896</v>
      </c>
      <c r="B43" s="14" t="s">
        <v>387</v>
      </c>
      <c r="C43" s="9" t="s">
        <v>73</v>
      </c>
      <c r="D43" s="13" t="s">
        <v>275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45909</v>
      </c>
      <c r="U43" s="11">
        <v>5000</v>
      </c>
      <c r="V43" s="10">
        <v>0</v>
      </c>
      <c r="W43" s="10">
        <v>5000</v>
      </c>
      <c r="X43" s="10">
        <v>5250</v>
      </c>
      <c r="Y43" s="10">
        <v>0</v>
      </c>
      <c r="Z43" s="9" t="s">
        <v>172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116</v>
      </c>
      <c r="AH43" s="1" t="s">
        <v>74</v>
      </c>
      <c r="AI43" s="1">
        <v>2</v>
      </c>
      <c r="AJ43" s="3">
        <v>45909</v>
      </c>
      <c r="AK43" s="3">
        <v>0</v>
      </c>
      <c r="AL43" s="3">
        <v>45900</v>
      </c>
      <c r="AM43" s="3">
        <v>45907</v>
      </c>
      <c r="AN43" s="3">
        <v>45908</v>
      </c>
      <c r="AO43" s="3">
        <v>45908</v>
      </c>
      <c r="AP43" s="3">
        <v>45904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0</v>
      </c>
    </row>
    <row r="44" spans="1:56" ht="27.75" customHeight="1" x14ac:dyDescent="0.45">
      <c r="A44" s="3">
        <v>45896</v>
      </c>
      <c r="B44" s="14" t="s">
        <v>387</v>
      </c>
      <c r="C44" s="9" t="s">
        <v>73</v>
      </c>
      <c r="D44" s="13" t="s">
        <v>301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45909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>
        <v>0</v>
      </c>
      <c r="AG44" s="1" t="s">
        <v>116</v>
      </c>
      <c r="AH44" s="1" t="s">
        <v>74</v>
      </c>
      <c r="AI44" s="1">
        <v>2</v>
      </c>
      <c r="AJ44" s="3">
        <v>45909</v>
      </c>
      <c r="AK44" s="3">
        <v>0</v>
      </c>
      <c r="AL44" s="3">
        <v>45900</v>
      </c>
      <c r="AM44" s="3">
        <v>45907</v>
      </c>
      <c r="AN44" s="3">
        <v>45908</v>
      </c>
      <c r="AO44" s="3">
        <v>45908</v>
      </c>
      <c r="AP44" s="3">
        <v>45904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352.51463377777782</v>
      </c>
    </row>
    <row r="45" spans="1:56" ht="27.75" customHeight="1" x14ac:dyDescent="0.45">
      <c r="A45" s="3">
        <v>45896</v>
      </c>
      <c r="B45" s="14" t="s">
        <v>387</v>
      </c>
      <c r="C45" s="9" t="s">
        <v>73</v>
      </c>
      <c r="D45" s="13" t="s">
        <v>292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45909</v>
      </c>
      <c r="U45" s="11">
        <v>5000</v>
      </c>
      <c r="V45" s="10">
        <v>0</v>
      </c>
      <c r="W45" s="10">
        <v>5000</v>
      </c>
      <c r="X45" s="10">
        <v>5250</v>
      </c>
      <c r="Y45" s="10">
        <v>0</v>
      </c>
      <c r="Z45" s="9" t="s">
        <v>172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116</v>
      </c>
      <c r="AH45" s="1" t="s">
        <v>74</v>
      </c>
      <c r="AI45" s="1">
        <v>2</v>
      </c>
      <c r="AJ45" s="3">
        <v>45909</v>
      </c>
      <c r="AK45" s="3">
        <v>0</v>
      </c>
      <c r="AL45" s="3">
        <v>45900</v>
      </c>
      <c r="AM45" s="3">
        <v>45907</v>
      </c>
      <c r="AN45" s="3">
        <v>45908</v>
      </c>
      <c r="AO45" s="3">
        <v>45908</v>
      </c>
      <c r="AP45" s="3">
        <v>45904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0</v>
      </c>
    </row>
    <row r="46" spans="1:56" ht="27.75" customHeight="1" x14ac:dyDescent="0.45">
      <c r="A46" s="3">
        <v>45898</v>
      </c>
      <c r="B46" s="14" t="s">
        <v>390</v>
      </c>
      <c r="C46" s="9" t="s">
        <v>73</v>
      </c>
      <c r="D46" s="13" t="s">
        <v>293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45909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172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>
        <v>0</v>
      </c>
      <c r="AG46" s="1" t="s">
        <v>61</v>
      </c>
      <c r="AH46" s="1" t="s">
        <v>74</v>
      </c>
      <c r="AI46" s="1">
        <v>2</v>
      </c>
      <c r="AJ46" s="3">
        <v>45909</v>
      </c>
      <c r="AK46" s="3">
        <v>0</v>
      </c>
      <c r="AL46" s="3">
        <v>45900</v>
      </c>
      <c r="AM46" s="3">
        <v>45907</v>
      </c>
      <c r="AN46" s="3">
        <v>45908</v>
      </c>
      <c r="AO46" s="3">
        <v>45908</v>
      </c>
      <c r="AP46" s="3">
        <v>45904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352.51463377777782</v>
      </c>
    </row>
    <row r="47" spans="1:56" ht="27.75" customHeight="1" x14ac:dyDescent="0.45">
      <c r="A47" s="3">
        <v>45898</v>
      </c>
      <c r="B47" s="14" t="s">
        <v>390</v>
      </c>
      <c r="C47" s="9" t="s">
        <v>73</v>
      </c>
      <c r="D47" s="13" t="s">
        <v>266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141</v>
      </c>
      <c r="T47" s="12">
        <v>45909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172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>
        <v>0</v>
      </c>
      <c r="AG47" s="1" t="s">
        <v>115</v>
      </c>
      <c r="AH47" s="1" t="s">
        <v>74</v>
      </c>
      <c r="AI47" s="1">
        <v>2</v>
      </c>
      <c r="AJ47" s="3">
        <v>45909</v>
      </c>
      <c r="AK47" s="3">
        <v>0</v>
      </c>
      <c r="AL47" s="3">
        <v>45900</v>
      </c>
      <c r="AM47" s="3">
        <v>45907</v>
      </c>
      <c r="AN47" s="3">
        <v>45908</v>
      </c>
      <c r="AO47" s="3">
        <v>45908</v>
      </c>
      <c r="AP47" s="3">
        <v>45904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352.51463377777782</v>
      </c>
    </row>
    <row r="48" spans="1:56" ht="27.75" customHeight="1" x14ac:dyDescent="0.45">
      <c r="A48" s="3">
        <v>45898</v>
      </c>
      <c r="B48" s="14" t="s">
        <v>390</v>
      </c>
      <c r="C48" s="9" t="s">
        <v>73</v>
      </c>
      <c r="D48" s="13" t="s">
        <v>290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141</v>
      </c>
      <c r="T48" s="12">
        <v>45909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172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>
        <v>0</v>
      </c>
      <c r="AG48" s="1" t="s">
        <v>115</v>
      </c>
      <c r="AH48" s="1" t="s">
        <v>74</v>
      </c>
      <c r="AI48" s="1">
        <v>2</v>
      </c>
      <c r="AJ48" s="3">
        <v>45909</v>
      </c>
      <c r="AK48" s="3">
        <v>0</v>
      </c>
      <c r="AL48" s="3">
        <v>45900</v>
      </c>
      <c r="AM48" s="3">
        <v>45907</v>
      </c>
      <c r="AN48" s="3">
        <v>45908</v>
      </c>
      <c r="AO48" s="3">
        <v>45908</v>
      </c>
      <c r="AP48" s="3">
        <v>45904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352.51463377777782</v>
      </c>
    </row>
    <row r="49" spans="1:56" ht="27.75" customHeight="1" x14ac:dyDescent="0.45">
      <c r="A49" s="3" t="s">
        <v>135</v>
      </c>
      <c r="B49" s="14" t="s">
        <v>135</v>
      </c>
      <c r="C49" s="9" t="s">
        <v>73</v>
      </c>
      <c r="D49" s="13" t="s">
        <v>61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141</v>
      </c>
      <c r="T49" s="12">
        <v>45930</v>
      </c>
      <c r="U49" s="11">
        <v>270000</v>
      </c>
      <c r="V49" s="10">
        <v>0</v>
      </c>
      <c r="W49" s="10">
        <v>270000</v>
      </c>
      <c r="X49" s="10">
        <v>0</v>
      </c>
      <c r="Y49" s="10">
        <v>283500</v>
      </c>
      <c r="Z49" s="9" t="s">
        <v>172</v>
      </c>
      <c r="AA49" s="8">
        <v>252717.30000000002</v>
      </c>
      <c r="AB49" s="8">
        <v>0</v>
      </c>
      <c r="AC49" s="8">
        <v>252717.30000000002</v>
      </c>
      <c r="AD49" s="8">
        <v>0</v>
      </c>
      <c r="AE49" s="8">
        <v>0</v>
      </c>
      <c r="AF49" s="8">
        <v>0</v>
      </c>
      <c r="AG49" s="1" t="s">
        <v>119</v>
      </c>
      <c r="AH49" s="1" t="s">
        <v>74</v>
      </c>
      <c r="AI49" s="1">
        <v>2</v>
      </c>
      <c r="AJ49" s="3">
        <v>45930</v>
      </c>
      <c r="AK49" s="3">
        <v>0</v>
      </c>
      <c r="AL49" s="3">
        <v>45921</v>
      </c>
      <c r="AM49" s="3">
        <v>45928</v>
      </c>
      <c r="AN49" s="3">
        <v>45929</v>
      </c>
      <c r="AO49" s="3">
        <v>45929</v>
      </c>
      <c r="AP49" s="3">
        <v>45925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19035.790224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63</v>
      </c>
      <c r="J50" s="9" t="s">
        <v>78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172</v>
      </c>
      <c r="AA50" s="8">
        <v>343818.14269000001</v>
      </c>
      <c r="AB50" s="8">
        <v>58341.192689999996</v>
      </c>
      <c r="AC50" s="8">
        <v>285476.95</v>
      </c>
      <c r="AD50" s="8">
        <v>0</v>
      </c>
      <c r="AE50" s="8">
        <v>0</v>
      </c>
      <c r="AF50" s="8" t="s">
        <v>58</v>
      </c>
      <c r="AG50" s="1" t="s">
        <v>115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174</v>
      </c>
      <c r="BD50" s="56">
        <v>0</v>
      </c>
    </row>
    <row r="51" spans="1:56" ht="27.75" customHeight="1" x14ac:dyDescent="0.45">
      <c r="A51" s="3">
        <v>45887</v>
      </c>
      <c r="B51" s="14" t="s">
        <v>342</v>
      </c>
      <c r="C51" s="9" t="s">
        <v>139</v>
      </c>
      <c r="D51" s="13" t="s">
        <v>328</v>
      </c>
      <c r="E51" s="9">
        <v>19</v>
      </c>
      <c r="F51" s="9">
        <v>35</v>
      </c>
      <c r="G51" s="9" t="s">
        <v>60</v>
      </c>
      <c r="H51" s="9" t="s">
        <v>76</v>
      </c>
      <c r="I51" s="9">
        <v>102</v>
      </c>
      <c r="J51" s="9" t="s">
        <v>57</v>
      </c>
      <c r="K51" s="9">
        <v>5</v>
      </c>
      <c r="L51" s="9" t="s">
        <v>196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45904</v>
      </c>
      <c r="U51" s="11">
        <v>5040</v>
      </c>
      <c r="V51" s="10">
        <v>0</v>
      </c>
      <c r="W51" s="10">
        <v>5040</v>
      </c>
      <c r="X51" s="10">
        <v>3811</v>
      </c>
      <c r="Y51" s="10">
        <v>1290.45</v>
      </c>
      <c r="Z51" s="9" t="s">
        <v>112</v>
      </c>
      <c r="AA51" s="8">
        <v>1316.0138145000001</v>
      </c>
      <c r="AB51" s="8">
        <v>1316.0138145000001</v>
      </c>
      <c r="AC51" s="8">
        <v>0</v>
      </c>
      <c r="AD51" s="8">
        <v>1316.0138145000001</v>
      </c>
      <c r="AE51" s="8">
        <v>0</v>
      </c>
      <c r="AF51" s="8">
        <v>0</v>
      </c>
      <c r="AG51" s="1" t="s">
        <v>115</v>
      </c>
      <c r="AH51" s="1" t="s">
        <v>75</v>
      </c>
      <c r="AI51" s="1">
        <v>4</v>
      </c>
      <c r="AJ51" s="3">
        <v>45904</v>
      </c>
      <c r="AK51" s="3">
        <v>45900</v>
      </c>
      <c r="AL51" s="3">
        <v>45893</v>
      </c>
      <c r="AM51" s="3">
        <v>45901</v>
      </c>
      <c r="AN51" s="3">
        <v>45902</v>
      </c>
      <c r="AO51" s="3">
        <v>45903</v>
      </c>
      <c r="AP51" s="3">
        <v>45899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 t="s">
        <v>380</v>
      </c>
      <c r="AZ51" s="2">
        <v>0</v>
      </c>
      <c r="BA51" s="2">
        <v>0</v>
      </c>
      <c r="BB51" s="2">
        <v>0</v>
      </c>
      <c r="BC51" s="1" t="s">
        <v>191</v>
      </c>
      <c r="BD51" s="56">
        <v>0</v>
      </c>
    </row>
    <row r="52" spans="1:56" ht="27.75" customHeight="1" x14ac:dyDescent="0.45">
      <c r="A52" s="3">
        <v>45796</v>
      </c>
      <c r="B52" s="14" t="s">
        <v>255</v>
      </c>
      <c r="C52" s="9" t="s">
        <v>139</v>
      </c>
      <c r="D52" s="13" t="s">
        <v>250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196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 t="s">
        <v>63</v>
      </c>
      <c r="U52" s="11">
        <v>503</v>
      </c>
      <c r="V52" s="10">
        <v>0</v>
      </c>
      <c r="W52" s="10">
        <v>503</v>
      </c>
      <c r="X52" s="10">
        <v>5250</v>
      </c>
      <c r="Y52" s="10">
        <v>0</v>
      </c>
      <c r="Z52" s="9" t="s">
        <v>112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191</v>
      </c>
      <c r="BD52" s="56">
        <v>0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34</v>
      </c>
      <c r="G53" s="9" t="s">
        <v>60</v>
      </c>
      <c r="H53" s="9">
        <v>0</v>
      </c>
      <c r="I53" s="9">
        <v>80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112</v>
      </c>
      <c r="AA53" s="8">
        <v>1316.0138145000001</v>
      </c>
      <c r="AB53" s="8">
        <v>1316.0138145000001</v>
      </c>
      <c r="AC53" s="8">
        <v>0</v>
      </c>
      <c r="AD53" s="8">
        <v>1316.0138145000001</v>
      </c>
      <c r="AE53" s="8">
        <v>0</v>
      </c>
      <c r="AF53" s="8" t="s">
        <v>58</v>
      </c>
      <c r="AG53" s="1" t="s">
        <v>115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192</v>
      </c>
      <c r="BD53" s="56">
        <v>0</v>
      </c>
    </row>
    <row r="54" spans="1:56" ht="27.75" customHeight="1" x14ac:dyDescent="0.45">
      <c r="A54" s="3">
        <v>45887</v>
      </c>
      <c r="B54" s="14" t="s">
        <v>345</v>
      </c>
      <c r="C54" s="9" t="s">
        <v>139</v>
      </c>
      <c r="D54" s="13" t="s">
        <v>306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45902</v>
      </c>
      <c r="U54" s="11">
        <v>5040</v>
      </c>
      <c r="V54" s="10">
        <v>5760</v>
      </c>
      <c r="W54" s="10">
        <v>0</v>
      </c>
      <c r="X54" s="10">
        <v>6055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117</v>
      </c>
      <c r="AH54" s="1" t="s">
        <v>75</v>
      </c>
      <c r="AI54" s="1">
        <v>4</v>
      </c>
      <c r="AJ54" s="3">
        <v>45902</v>
      </c>
      <c r="AK54" s="3">
        <v>45898</v>
      </c>
      <c r="AL54" s="3">
        <v>45891</v>
      </c>
      <c r="AM54" s="3">
        <v>45899</v>
      </c>
      <c r="AN54" s="3">
        <v>45900</v>
      </c>
      <c r="AO54" s="3">
        <v>45901</v>
      </c>
      <c r="AP54" s="3">
        <v>45897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134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45887</v>
      </c>
      <c r="B55" s="14" t="s">
        <v>346</v>
      </c>
      <c r="C55" s="9" t="s">
        <v>139</v>
      </c>
      <c r="D55" s="13" t="s">
        <v>332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45902</v>
      </c>
      <c r="U55" s="11">
        <v>5040</v>
      </c>
      <c r="V55" s="10">
        <v>2300</v>
      </c>
      <c r="W55" s="10">
        <v>2740</v>
      </c>
      <c r="X55" s="10">
        <v>6300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116</v>
      </c>
      <c r="AH55" s="1" t="s">
        <v>75</v>
      </c>
      <c r="AI55" s="1">
        <v>4</v>
      </c>
      <c r="AJ55" s="3">
        <v>45902</v>
      </c>
      <c r="AK55" s="3">
        <v>45898</v>
      </c>
      <c r="AL55" s="3">
        <v>45891</v>
      </c>
      <c r="AM55" s="3">
        <v>45899</v>
      </c>
      <c r="AN55" s="3">
        <v>45900</v>
      </c>
      <c r="AO55" s="3">
        <v>45901</v>
      </c>
      <c r="AP55" s="3">
        <v>45897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134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45887</v>
      </c>
      <c r="B56" s="14" t="s">
        <v>344</v>
      </c>
      <c r="C56" s="9" t="s">
        <v>139</v>
      </c>
      <c r="D56" s="13" t="s">
        <v>238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108</v>
      </c>
      <c r="T56" s="12">
        <v>45902</v>
      </c>
      <c r="U56" s="11">
        <v>5080</v>
      </c>
      <c r="V56" s="10">
        <v>6326</v>
      </c>
      <c r="W56" s="10">
        <v>0</v>
      </c>
      <c r="X56" s="10">
        <v>11600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45902</v>
      </c>
      <c r="AK56" s="3">
        <v>45898</v>
      </c>
      <c r="AL56" s="3">
        <v>45891</v>
      </c>
      <c r="AM56" s="3">
        <v>45899</v>
      </c>
      <c r="AN56" s="3">
        <v>45900</v>
      </c>
      <c r="AO56" s="3">
        <v>45901</v>
      </c>
      <c r="AP56" s="3">
        <v>45897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134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45887</v>
      </c>
      <c r="B57" s="14" t="s">
        <v>347</v>
      </c>
      <c r="C57" s="9" t="s">
        <v>139</v>
      </c>
      <c r="D57" s="13" t="s">
        <v>181</v>
      </c>
      <c r="E57" s="9">
        <v>20</v>
      </c>
      <c r="F57" s="9">
        <v>35</v>
      </c>
      <c r="G57" s="9" t="s">
        <v>60</v>
      </c>
      <c r="H57" s="9" t="s">
        <v>76</v>
      </c>
      <c r="I57" s="9">
        <v>97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45904</v>
      </c>
      <c r="U57" s="11">
        <v>5040</v>
      </c>
      <c r="V57" s="10">
        <v>0</v>
      </c>
      <c r="W57" s="10">
        <v>5040</v>
      </c>
      <c r="X57" s="10">
        <v>10200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395</v>
      </c>
      <c r="AG57" s="1" t="s">
        <v>115</v>
      </c>
      <c r="AH57" s="1" t="s">
        <v>75</v>
      </c>
      <c r="AI57" s="1">
        <v>4</v>
      </c>
      <c r="AJ57" s="3">
        <v>45904</v>
      </c>
      <c r="AK57" s="3">
        <v>45900</v>
      </c>
      <c r="AL57" s="3">
        <v>45893</v>
      </c>
      <c r="AM57" s="3">
        <v>45901</v>
      </c>
      <c r="AN57" s="3">
        <v>45902</v>
      </c>
      <c r="AO57" s="3">
        <v>45903</v>
      </c>
      <c r="AP57" s="3">
        <v>45899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134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45877</v>
      </c>
      <c r="B58" s="14" t="s">
        <v>319</v>
      </c>
      <c r="C58" s="9" t="s">
        <v>79</v>
      </c>
      <c r="D58" s="13" t="s">
        <v>320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45904</v>
      </c>
      <c r="U58" s="11">
        <v>3000</v>
      </c>
      <c r="V58" s="10">
        <v>0</v>
      </c>
      <c r="W58" s="10">
        <v>3000</v>
      </c>
      <c r="X58" s="10">
        <v>0</v>
      </c>
      <c r="Y58" s="10">
        <v>3150</v>
      </c>
      <c r="Z58" s="9" t="s">
        <v>80</v>
      </c>
      <c r="AA58" s="8">
        <v>3310.89</v>
      </c>
      <c r="AB58" s="8">
        <v>3310.89</v>
      </c>
      <c r="AC58" s="8">
        <v>0</v>
      </c>
      <c r="AD58" s="8">
        <v>3310.89</v>
      </c>
      <c r="AE58" s="8">
        <v>0</v>
      </c>
      <c r="AF58" s="8">
        <v>0</v>
      </c>
      <c r="AG58" s="1" t="s">
        <v>116</v>
      </c>
      <c r="AH58" s="1" t="s">
        <v>75</v>
      </c>
      <c r="AI58" s="1">
        <v>4</v>
      </c>
      <c r="AJ58" s="3">
        <v>45904</v>
      </c>
      <c r="AK58" s="3">
        <v>45900</v>
      </c>
      <c r="AL58" s="3">
        <v>45893</v>
      </c>
      <c r="AM58" s="3">
        <v>45901</v>
      </c>
      <c r="AN58" s="3">
        <v>45902</v>
      </c>
      <c r="AO58" s="3">
        <v>45903</v>
      </c>
      <c r="AP58" s="3">
        <v>45899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45892</v>
      </c>
      <c r="B59" s="14" t="s">
        <v>361</v>
      </c>
      <c r="C59" s="9" t="s">
        <v>139</v>
      </c>
      <c r="D59" s="13" t="s">
        <v>362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45905</v>
      </c>
      <c r="U59" s="11">
        <v>5040</v>
      </c>
      <c r="V59" s="10">
        <v>0</v>
      </c>
      <c r="W59" s="10">
        <v>5040</v>
      </c>
      <c r="X59" s="10">
        <v>0</v>
      </c>
      <c r="Y59" s="10">
        <v>5292</v>
      </c>
      <c r="Z59" s="9" t="s">
        <v>80</v>
      </c>
      <c r="AA59" s="8">
        <v>5280.6600000000008</v>
      </c>
      <c r="AB59" s="8">
        <v>5280.6600000000008</v>
      </c>
      <c r="AC59" s="8">
        <v>0</v>
      </c>
      <c r="AD59" s="8">
        <v>0</v>
      </c>
      <c r="AE59" s="8">
        <v>5280.6600000000008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45905</v>
      </c>
      <c r="AK59" s="3">
        <v>45901</v>
      </c>
      <c r="AL59" s="3">
        <v>45894</v>
      </c>
      <c r="AM59" s="3">
        <v>45902</v>
      </c>
      <c r="AN59" s="3">
        <v>45903</v>
      </c>
      <c r="AO59" s="3">
        <v>45904</v>
      </c>
      <c r="AP59" s="3">
        <v>45900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45892</v>
      </c>
      <c r="B60" s="14" t="s">
        <v>372</v>
      </c>
      <c r="C60" s="9" t="s">
        <v>356</v>
      </c>
      <c r="D60" s="13" t="s">
        <v>357</v>
      </c>
      <c r="E60" s="9">
        <v>20</v>
      </c>
      <c r="F60" s="9">
        <v>30</v>
      </c>
      <c r="G60" s="9" t="s">
        <v>60</v>
      </c>
      <c r="H60" s="9" t="s">
        <v>66</v>
      </c>
      <c r="I60" s="9">
        <v>80</v>
      </c>
      <c r="J60" s="9" t="s">
        <v>57</v>
      </c>
      <c r="K60" s="9">
        <v>5</v>
      </c>
      <c r="L60" s="9" t="s">
        <v>358</v>
      </c>
      <c r="M60" s="10">
        <v>21</v>
      </c>
      <c r="N60" s="9">
        <v>33</v>
      </c>
      <c r="O60" s="9">
        <v>40</v>
      </c>
      <c r="P60" s="10">
        <v>0</v>
      </c>
      <c r="Q60" s="10">
        <v>0</v>
      </c>
      <c r="R60" s="10">
        <v>0</v>
      </c>
      <c r="S60" s="9" t="s">
        <v>71</v>
      </c>
      <c r="T60" s="12">
        <v>45905</v>
      </c>
      <c r="U60" s="11">
        <v>10000</v>
      </c>
      <c r="V60" s="10">
        <v>10000</v>
      </c>
      <c r="W60" s="10">
        <v>0</v>
      </c>
      <c r="X60" s="10">
        <v>10500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117</v>
      </c>
      <c r="AH60" s="1" t="s">
        <v>68</v>
      </c>
      <c r="AI60" s="1">
        <v>4</v>
      </c>
      <c r="AJ60" s="3">
        <v>45905</v>
      </c>
      <c r="AK60" s="3">
        <v>45901</v>
      </c>
      <c r="AL60" s="3">
        <v>45895</v>
      </c>
      <c r="AM60" s="3">
        <v>45902</v>
      </c>
      <c r="AN60" s="3">
        <v>45903</v>
      </c>
      <c r="AO60" s="3">
        <v>45903</v>
      </c>
      <c r="AP60" s="3">
        <v>45900</v>
      </c>
      <c r="AQ60" s="3">
        <v>45904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45850</v>
      </c>
      <c r="B61" s="14" t="s">
        <v>284</v>
      </c>
      <c r="C61" s="9" t="s">
        <v>107</v>
      </c>
      <c r="D61" s="13" t="s">
        <v>285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45905</v>
      </c>
      <c r="U61" s="11">
        <v>3000</v>
      </c>
      <c r="V61" s="10">
        <v>0</v>
      </c>
      <c r="W61" s="10">
        <v>3000</v>
      </c>
      <c r="X61" s="10">
        <v>0</v>
      </c>
      <c r="Y61" s="10">
        <v>3150</v>
      </c>
      <c r="Z61" s="9" t="s">
        <v>80</v>
      </c>
      <c r="AA61" s="8">
        <v>3310.89</v>
      </c>
      <c r="AB61" s="8">
        <v>3310.89</v>
      </c>
      <c r="AC61" s="8">
        <v>0</v>
      </c>
      <c r="AD61" s="8">
        <v>0</v>
      </c>
      <c r="AE61" s="8">
        <v>3310.89</v>
      </c>
      <c r="AF61" s="8">
        <v>0</v>
      </c>
      <c r="AG61" s="1" t="s">
        <v>119</v>
      </c>
      <c r="AH61" s="1" t="s">
        <v>75</v>
      </c>
      <c r="AI61" s="1">
        <v>4</v>
      </c>
      <c r="AJ61" s="3">
        <v>45905</v>
      </c>
      <c r="AK61" s="3">
        <v>45901</v>
      </c>
      <c r="AL61" s="3">
        <v>45894</v>
      </c>
      <c r="AM61" s="3">
        <v>45902</v>
      </c>
      <c r="AN61" s="3">
        <v>45903</v>
      </c>
      <c r="AO61" s="3">
        <v>45904</v>
      </c>
      <c r="AP61" s="3">
        <v>45900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45892</v>
      </c>
      <c r="B62" s="14" t="s">
        <v>361</v>
      </c>
      <c r="C62" s="9" t="s">
        <v>139</v>
      </c>
      <c r="D62" s="13" t="s">
        <v>330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45908</v>
      </c>
      <c r="U62" s="11">
        <v>5040</v>
      </c>
      <c r="V62" s="10">
        <v>4400</v>
      </c>
      <c r="W62" s="10">
        <v>640</v>
      </c>
      <c r="X62" s="10">
        <v>6000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115</v>
      </c>
      <c r="AH62" s="1" t="s">
        <v>75</v>
      </c>
      <c r="AI62" s="1">
        <v>4</v>
      </c>
      <c r="AJ62" s="3">
        <v>45908</v>
      </c>
      <c r="AK62" s="3">
        <v>45904</v>
      </c>
      <c r="AL62" s="3">
        <v>45897</v>
      </c>
      <c r="AM62" s="3">
        <v>45905</v>
      </c>
      <c r="AN62" s="3">
        <v>45906</v>
      </c>
      <c r="AO62" s="3">
        <v>45907</v>
      </c>
      <c r="AP62" s="3">
        <v>45903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>
        <v>0</v>
      </c>
      <c r="AY62" s="2" t="s">
        <v>371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45892</v>
      </c>
      <c r="B63" s="14" t="s">
        <v>363</v>
      </c>
      <c r="C63" s="9" t="s">
        <v>139</v>
      </c>
      <c r="D63" s="13" t="s">
        <v>131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45908</v>
      </c>
      <c r="U63" s="11">
        <v>10000</v>
      </c>
      <c r="V63" s="10">
        <v>8200</v>
      </c>
      <c r="W63" s="10">
        <v>1800</v>
      </c>
      <c r="X63" s="10">
        <v>10650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116</v>
      </c>
      <c r="AH63" s="1" t="s">
        <v>75</v>
      </c>
      <c r="AI63" s="1">
        <v>4</v>
      </c>
      <c r="AJ63" s="3">
        <v>45908</v>
      </c>
      <c r="AK63" s="3">
        <v>45904</v>
      </c>
      <c r="AL63" s="3">
        <v>45897</v>
      </c>
      <c r="AM63" s="3">
        <v>45905</v>
      </c>
      <c r="AN63" s="3">
        <v>45906</v>
      </c>
      <c r="AO63" s="3">
        <v>45907</v>
      </c>
      <c r="AP63" s="3">
        <v>45903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45782</v>
      </c>
      <c r="B64" s="14" t="s">
        <v>249</v>
      </c>
      <c r="C64" s="9" t="s">
        <v>79</v>
      </c>
      <c r="D64" s="13" t="s">
        <v>243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45909</v>
      </c>
      <c r="U64" s="11">
        <v>5000</v>
      </c>
      <c r="V64" s="10">
        <v>0</v>
      </c>
      <c r="W64" s="10">
        <v>5000</v>
      </c>
      <c r="X64" s="10">
        <v>3635</v>
      </c>
      <c r="Y64" s="10">
        <v>1433.25</v>
      </c>
      <c r="Z64" s="9" t="s">
        <v>80</v>
      </c>
      <c r="AA64" s="8">
        <v>1581.7776974999997</v>
      </c>
      <c r="AB64" s="8">
        <v>1581.7776974999997</v>
      </c>
      <c r="AC64" s="8">
        <v>0</v>
      </c>
      <c r="AD64" s="8">
        <v>1581.7776974999997</v>
      </c>
      <c r="AE64" s="8">
        <v>0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45909</v>
      </c>
      <c r="AK64" s="3">
        <v>45905</v>
      </c>
      <c r="AL64" s="3">
        <v>45898</v>
      </c>
      <c r="AM64" s="3">
        <v>45906</v>
      </c>
      <c r="AN64" s="3">
        <v>45907</v>
      </c>
      <c r="AO64" s="3">
        <v>45908</v>
      </c>
      <c r="AP64" s="3">
        <v>45904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134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45896</v>
      </c>
      <c r="B65" s="14" t="s">
        <v>394</v>
      </c>
      <c r="C65" s="9" t="s">
        <v>139</v>
      </c>
      <c r="D65" s="13" t="s">
        <v>331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45910</v>
      </c>
      <c r="U65" s="11">
        <v>5040</v>
      </c>
      <c r="V65" s="10">
        <v>7646</v>
      </c>
      <c r="W65" s="10">
        <v>0</v>
      </c>
      <c r="X65" s="10">
        <v>6178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61</v>
      </c>
      <c r="AH65" s="1" t="s">
        <v>75</v>
      </c>
      <c r="AI65" s="1">
        <v>4</v>
      </c>
      <c r="AJ65" s="3">
        <v>45910</v>
      </c>
      <c r="AK65" s="3">
        <v>45906</v>
      </c>
      <c r="AL65" s="3">
        <v>45899</v>
      </c>
      <c r="AM65" s="3">
        <v>45907</v>
      </c>
      <c r="AN65" s="3">
        <v>45908</v>
      </c>
      <c r="AO65" s="3">
        <v>45909</v>
      </c>
      <c r="AP65" s="3">
        <v>45905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45896</v>
      </c>
      <c r="B66" s="14" t="s">
        <v>394</v>
      </c>
      <c r="C66" s="9" t="s">
        <v>139</v>
      </c>
      <c r="D66" s="13" t="s">
        <v>252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>
        <v>45910</v>
      </c>
      <c r="U66" s="11">
        <v>5040</v>
      </c>
      <c r="V66" s="10">
        <v>0</v>
      </c>
      <c r="W66" s="10">
        <v>5040</v>
      </c>
      <c r="X66" s="10">
        <v>0</v>
      </c>
      <c r="Y66" s="10">
        <v>5292</v>
      </c>
      <c r="Z66" s="9" t="s">
        <v>80</v>
      </c>
      <c r="AA66" s="8">
        <v>5280.6600000000008</v>
      </c>
      <c r="AB66" s="8">
        <v>5280.6600000000008</v>
      </c>
      <c r="AC66" s="8">
        <v>0</v>
      </c>
      <c r="AD66" s="8">
        <v>0</v>
      </c>
      <c r="AE66" s="8">
        <v>5280.6600000000008</v>
      </c>
      <c r="AF66" s="8">
        <v>0</v>
      </c>
      <c r="AG66" s="1" t="s">
        <v>61</v>
      </c>
      <c r="AH66" s="1" t="s">
        <v>75</v>
      </c>
      <c r="AI66" s="1">
        <v>4</v>
      </c>
      <c r="AJ66" s="3">
        <v>45910</v>
      </c>
      <c r="AK66" s="3">
        <v>45906</v>
      </c>
      <c r="AL66" s="3">
        <v>45899</v>
      </c>
      <c r="AM66" s="3">
        <v>45907</v>
      </c>
      <c r="AN66" s="3">
        <v>45908</v>
      </c>
      <c r="AO66" s="3">
        <v>45909</v>
      </c>
      <c r="AP66" s="3">
        <v>45905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45873</v>
      </c>
      <c r="B67" s="14" t="s">
        <v>308</v>
      </c>
      <c r="C67" s="9" t="s">
        <v>107</v>
      </c>
      <c r="D67" s="13" t="s">
        <v>309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45922</v>
      </c>
      <c r="U67" s="11">
        <v>4000</v>
      </c>
      <c r="V67" s="10">
        <v>0</v>
      </c>
      <c r="W67" s="10">
        <v>4000</v>
      </c>
      <c r="X67" s="10">
        <v>0</v>
      </c>
      <c r="Y67" s="10">
        <v>4200</v>
      </c>
      <c r="Z67" s="9" t="s">
        <v>80</v>
      </c>
      <c r="AA67" s="8">
        <v>4414.5199999999995</v>
      </c>
      <c r="AB67" s="8">
        <v>0</v>
      </c>
      <c r="AC67" s="8">
        <v>4414.5199999999995</v>
      </c>
      <c r="AD67" s="8">
        <v>0</v>
      </c>
      <c r="AE67" s="8">
        <v>4414.5199999999995</v>
      </c>
      <c r="AF67" s="8" t="s">
        <v>307</v>
      </c>
      <c r="AG67" s="1" t="s">
        <v>61</v>
      </c>
      <c r="AH67" s="1" t="s">
        <v>75</v>
      </c>
      <c r="AI67" s="1">
        <v>4</v>
      </c>
      <c r="AJ67" s="3">
        <v>45922</v>
      </c>
      <c r="AK67" s="3">
        <v>45918</v>
      </c>
      <c r="AL67" s="3">
        <v>45911</v>
      </c>
      <c r="AM67" s="3">
        <v>45919</v>
      </c>
      <c r="AN67" s="3">
        <v>45920</v>
      </c>
      <c r="AO67" s="3">
        <v>45921</v>
      </c>
      <c r="AP67" s="3">
        <v>45917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333.54151111111111</v>
      </c>
    </row>
    <row r="68" spans="1:56" ht="27.75" customHeight="1" x14ac:dyDescent="0.45">
      <c r="A68" s="3" t="s">
        <v>135</v>
      </c>
      <c r="B68" s="14" t="s">
        <v>135</v>
      </c>
      <c r="C68" s="9" t="s">
        <v>139</v>
      </c>
      <c r="D68" s="13" t="s">
        <v>61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45925</v>
      </c>
      <c r="U68" s="11">
        <v>100000</v>
      </c>
      <c r="V68" s="10">
        <v>0</v>
      </c>
      <c r="W68" s="10">
        <v>100000</v>
      </c>
      <c r="X68" s="10">
        <v>0</v>
      </c>
      <c r="Y68" s="10">
        <v>105000</v>
      </c>
      <c r="Z68" s="9" t="s">
        <v>80</v>
      </c>
      <c r="AA68" s="8">
        <v>104775.00000000001</v>
      </c>
      <c r="AB68" s="8">
        <v>0</v>
      </c>
      <c r="AC68" s="8">
        <v>104775.00000000001</v>
      </c>
      <c r="AD68" s="8">
        <v>0</v>
      </c>
      <c r="AE68" s="8">
        <v>104775.00000000001</v>
      </c>
      <c r="AF68" s="8">
        <v>0</v>
      </c>
      <c r="AG68" s="1" t="s">
        <v>116</v>
      </c>
      <c r="AH68" s="1" t="s">
        <v>75</v>
      </c>
      <c r="AI68" s="1">
        <v>4</v>
      </c>
      <c r="AJ68" s="3">
        <v>45925</v>
      </c>
      <c r="AK68" s="3">
        <v>45921</v>
      </c>
      <c r="AL68" s="3">
        <v>45914</v>
      </c>
      <c r="AM68" s="3">
        <v>45922</v>
      </c>
      <c r="AN68" s="3">
        <v>45923</v>
      </c>
      <c r="AO68" s="3">
        <v>45924</v>
      </c>
      <c r="AP68" s="3">
        <v>45920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7916.333333333333</v>
      </c>
    </row>
    <row r="69" spans="1:56" ht="27.75" customHeight="1" x14ac:dyDescent="0.45">
      <c r="A69" s="3" t="s">
        <v>135</v>
      </c>
      <c r="B69" s="14" t="s">
        <v>135</v>
      </c>
      <c r="C69" s="9" t="s">
        <v>79</v>
      </c>
      <c r="D69" s="13" t="s">
        <v>61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45925</v>
      </c>
      <c r="U69" s="11">
        <v>20000</v>
      </c>
      <c r="V69" s="10">
        <v>0</v>
      </c>
      <c r="W69" s="10">
        <v>20000</v>
      </c>
      <c r="X69" s="10">
        <v>0</v>
      </c>
      <c r="Y69" s="10">
        <v>21000</v>
      </c>
      <c r="Z69" s="9" t="s">
        <v>80</v>
      </c>
      <c r="AA69" s="8">
        <v>22072.6</v>
      </c>
      <c r="AB69" s="8">
        <v>0</v>
      </c>
      <c r="AC69" s="8">
        <v>22072.6</v>
      </c>
      <c r="AD69" s="8">
        <v>0</v>
      </c>
      <c r="AE69" s="8">
        <v>22072.6</v>
      </c>
      <c r="AF69" s="8">
        <v>0</v>
      </c>
      <c r="AG69" s="1" t="s">
        <v>116</v>
      </c>
      <c r="AH69" s="1" t="s">
        <v>75</v>
      </c>
      <c r="AI69" s="1">
        <v>4</v>
      </c>
      <c r="AJ69" s="3">
        <v>45925</v>
      </c>
      <c r="AK69" s="3">
        <v>45921</v>
      </c>
      <c r="AL69" s="3">
        <v>45914</v>
      </c>
      <c r="AM69" s="3">
        <v>45922</v>
      </c>
      <c r="AN69" s="3">
        <v>45923</v>
      </c>
      <c r="AO69" s="3">
        <v>45924</v>
      </c>
      <c r="AP69" s="3">
        <v>45920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1667.7075555555555</v>
      </c>
    </row>
    <row r="70" spans="1:56" ht="27.75" customHeight="1" x14ac:dyDescent="0.45">
      <c r="A70" s="3" t="s">
        <v>135</v>
      </c>
      <c r="B70" s="14" t="s">
        <v>135</v>
      </c>
      <c r="C70" s="9" t="s">
        <v>97</v>
      </c>
      <c r="D70" s="13" t="s">
        <v>61</v>
      </c>
      <c r="E70" s="9">
        <v>20</v>
      </c>
      <c r="F70" s="9">
        <v>37</v>
      </c>
      <c r="G70" s="9" t="s">
        <v>60</v>
      </c>
      <c r="H70" s="9" t="s">
        <v>76</v>
      </c>
      <c r="I70" s="9">
        <v>97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71</v>
      </c>
      <c r="T70" s="12">
        <v>45925</v>
      </c>
      <c r="U70" s="11">
        <v>20000</v>
      </c>
      <c r="V70" s="10">
        <v>0</v>
      </c>
      <c r="W70" s="10">
        <v>20000</v>
      </c>
      <c r="X70" s="10">
        <v>0</v>
      </c>
      <c r="Y70" s="10">
        <v>21000</v>
      </c>
      <c r="Z70" s="9" t="s">
        <v>80</v>
      </c>
      <c r="AA70" s="8">
        <v>21513.800000000003</v>
      </c>
      <c r="AB70" s="8">
        <v>0</v>
      </c>
      <c r="AC70" s="8">
        <v>21513.800000000003</v>
      </c>
      <c r="AD70" s="8">
        <v>0</v>
      </c>
      <c r="AE70" s="8">
        <v>21513.800000000003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45925</v>
      </c>
      <c r="AK70" s="3">
        <v>45921</v>
      </c>
      <c r="AL70" s="3">
        <v>45914</v>
      </c>
      <c r="AM70" s="3">
        <v>45922</v>
      </c>
      <c r="AN70" s="3">
        <v>45923</v>
      </c>
      <c r="AO70" s="3">
        <v>45924</v>
      </c>
      <c r="AP70" s="3">
        <v>45920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1625.4871111111113</v>
      </c>
    </row>
    <row r="71" spans="1:56" ht="27.75" customHeight="1" x14ac:dyDescent="0.45">
      <c r="A71" s="3">
        <v>45892</v>
      </c>
      <c r="B71" s="14" t="s">
        <v>364</v>
      </c>
      <c r="C71" s="9" t="s">
        <v>79</v>
      </c>
      <c r="D71" s="13" t="s">
        <v>365</v>
      </c>
      <c r="E71" s="9">
        <v>20</v>
      </c>
      <c r="F71" s="9">
        <v>37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45930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80</v>
      </c>
      <c r="AA71" s="8">
        <v>3227.07</v>
      </c>
      <c r="AB71" s="8">
        <v>0</v>
      </c>
      <c r="AC71" s="8">
        <v>3227.07</v>
      </c>
      <c r="AD71" s="8">
        <v>0</v>
      </c>
      <c r="AE71" s="8">
        <v>3227.07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45930</v>
      </c>
      <c r="AK71" s="3">
        <v>45926</v>
      </c>
      <c r="AL71" s="3">
        <v>45919</v>
      </c>
      <c r="AM71" s="3">
        <v>45927</v>
      </c>
      <c r="AN71" s="3">
        <v>45928</v>
      </c>
      <c r="AO71" s="3">
        <v>45929</v>
      </c>
      <c r="AP71" s="3">
        <v>45925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243.82306666666665</v>
      </c>
    </row>
    <row r="72" spans="1:56" ht="27.75" customHeight="1" x14ac:dyDescent="0.45">
      <c r="A72" s="3">
        <v>45891</v>
      </c>
      <c r="B72" s="14" t="s">
        <v>396</v>
      </c>
      <c r="C72" s="9" t="s">
        <v>79</v>
      </c>
      <c r="D72" s="13" t="s">
        <v>397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45930</v>
      </c>
      <c r="U72" s="11">
        <v>9000</v>
      </c>
      <c r="V72" s="10">
        <v>0</v>
      </c>
      <c r="W72" s="10">
        <v>9000</v>
      </c>
      <c r="X72" s="10">
        <v>0</v>
      </c>
      <c r="Y72" s="10">
        <v>9450</v>
      </c>
      <c r="Z72" s="9" t="s">
        <v>80</v>
      </c>
      <c r="AA72" s="8">
        <v>9932.67</v>
      </c>
      <c r="AB72" s="8">
        <v>0</v>
      </c>
      <c r="AC72" s="8">
        <v>9932.67</v>
      </c>
      <c r="AD72" s="8">
        <v>0</v>
      </c>
      <c r="AE72" s="8">
        <v>9932.67</v>
      </c>
      <c r="AF72" s="8">
        <v>0</v>
      </c>
      <c r="AG72" s="1" t="s">
        <v>115</v>
      </c>
      <c r="AH72" s="1" t="s">
        <v>75</v>
      </c>
      <c r="AI72" s="1">
        <v>5</v>
      </c>
      <c r="AJ72" s="3">
        <v>45930</v>
      </c>
      <c r="AK72" s="3">
        <v>45925</v>
      </c>
      <c r="AL72" s="3">
        <v>45918</v>
      </c>
      <c r="AM72" s="3">
        <v>45926</v>
      </c>
      <c r="AN72" s="3">
        <v>45927</v>
      </c>
      <c r="AO72" s="3">
        <v>45928</v>
      </c>
      <c r="AP72" s="3">
        <v>45925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750.46839999999997</v>
      </c>
    </row>
    <row r="73" spans="1:56" ht="27.75" customHeight="1" x14ac:dyDescent="0.45">
      <c r="A73" s="3">
        <v>45891</v>
      </c>
      <c r="B73" s="14" t="s">
        <v>398</v>
      </c>
      <c r="C73" s="9" t="s">
        <v>79</v>
      </c>
      <c r="D73" s="13" t="s">
        <v>399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45930</v>
      </c>
      <c r="U73" s="11">
        <v>4000</v>
      </c>
      <c r="V73" s="10">
        <v>0</v>
      </c>
      <c r="W73" s="10">
        <v>4000</v>
      </c>
      <c r="X73" s="10">
        <v>0</v>
      </c>
      <c r="Y73" s="10">
        <v>4200</v>
      </c>
      <c r="Z73" s="9" t="s">
        <v>80</v>
      </c>
      <c r="AA73" s="8">
        <v>4414.5199999999995</v>
      </c>
      <c r="AB73" s="8">
        <v>0</v>
      </c>
      <c r="AC73" s="8">
        <v>4414.5199999999995</v>
      </c>
      <c r="AD73" s="8">
        <v>0</v>
      </c>
      <c r="AE73" s="8">
        <v>4414.5199999999995</v>
      </c>
      <c r="AF73" s="8">
        <v>0</v>
      </c>
      <c r="AG73" s="1" t="s">
        <v>116</v>
      </c>
      <c r="AH73" s="1" t="s">
        <v>75</v>
      </c>
      <c r="AI73" s="1">
        <v>5</v>
      </c>
      <c r="AJ73" s="3">
        <v>45930</v>
      </c>
      <c r="AK73" s="3">
        <v>45925</v>
      </c>
      <c r="AL73" s="3">
        <v>45918</v>
      </c>
      <c r="AM73" s="3">
        <v>45926</v>
      </c>
      <c r="AN73" s="3">
        <v>45927</v>
      </c>
      <c r="AO73" s="3">
        <v>45928</v>
      </c>
      <c r="AP73" s="3">
        <v>45925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333.54151111111111</v>
      </c>
    </row>
    <row r="74" spans="1:56" ht="27.75" customHeight="1" x14ac:dyDescent="0.45">
      <c r="A74" s="3">
        <v>45891</v>
      </c>
      <c r="B74" s="14" t="s">
        <v>400</v>
      </c>
      <c r="C74" s="9" t="s">
        <v>79</v>
      </c>
      <c r="D74" s="13" t="s">
        <v>401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45930</v>
      </c>
      <c r="U74" s="11">
        <v>9000</v>
      </c>
      <c r="V74" s="10">
        <v>0</v>
      </c>
      <c r="W74" s="10">
        <v>9000</v>
      </c>
      <c r="X74" s="10">
        <v>0</v>
      </c>
      <c r="Y74" s="10">
        <v>9450</v>
      </c>
      <c r="Z74" s="9" t="s">
        <v>80</v>
      </c>
      <c r="AA74" s="8">
        <v>9932.67</v>
      </c>
      <c r="AB74" s="8">
        <v>0</v>
      </c>
      <c r="AC74" s="8">
        <v>9932.67</v>
      </c>
      <c r="AD74" s="8">
        <v>0</v>
      </c>
      <c r="AE74" s="8">
        <v>9932.67</v>
      </c>
      <c r="AF74" s="8">
        <v>0</v>
      </c>
      <c r="AG74" s="1" t="s">
        <v>116</v>
      </c>
      <c r="AH74" s="1" t="s">
        <v>75</v>
      </c>
      <c r="AI74" s="1">
        <v>5</v>
      </c>
      <c r="AJ74" s="3">
        <v>45930</v>
      </c>
      <c r="AK74" s="3">
        <v>45925</v>
      </c>
      <c r="AL74" s="3">
        <v>45918</v>
      </c>
      <c r="AM74" s="3">
        <v>45926</v>
      </c>
      <c r="AN74" s="3">
        <v>45927</v>
      </c>
      <c r="AO74" s="3">
        <v>45928</v>
      </c>
      <c r="AP74" s="3">
        <v>45925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750.46839999999997</v>
      </c>
    </row>
    <row r="75" spans="1:56" ht="27.75" customHeight="1" x14ac:dyDescent="0.45">
      <c r="A75" s="3">
        <v>45887</v>
      </c>
      <c r="B75" s="14" t="s">
        <v>346</v>
      </c>
      <c r="C75" s="9" t="s">
        <v>139</v>
      </c>
      <c r="D75" s="13" t="s">
        <v>224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 t="s">
        <v>63</v>
      </c>
      <c r="U75" s="11">
        <v>104</v>
      </c>
      <c r="V75" s="10">
        <v>0</v>
      </c>
      <c r="W75" s="10">
        <v>104</v>
      </c>
      <c r="X75" s="10">
        <v>11230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116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134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45896</v>
      </c>
      <c r="B76" s="14" t="s">
        <v>402</v>
      </c>
      <c r="C76" s="9" t="s">
        <v>79</v>
      </c>
      <c r="D76" s="13" t="s">
        <v>311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80</v>
      </c>
      <c r="AA76" s="8">
        <v>3310.89</v>
      </c>
      <c r="AB76" s="8">
        <v>0</v>
      </c>
      <c r="AC76" s="8">
        <v>3310.89</v>
      </c>
      <c r="AD76" s="8">
        <v>0</v>
      </c>
      <c r="AE76" s="8">
        <v>3310.89</v>
      </c>
      <c r="AF76" s="8">
        <v>0</v>
      </c>
      <c r="AG76" s="1" t="s">
        <v>115</v>
      </c>
      <c r="AH76" s="1" t="s">
        <v>75</v>
      </c>
      <c r="AI76" s="1">
        <v>5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250.15613333333337</v>
      </c>
    </row>
    <row r="77" spans="1:56" ht="27.75" customHeight="1" x14ac:dyDescent="0.45">
      <c r="A77" s="3">
        <v>45896</v>
      </c>
      <c r="B77" s="14" t="s">
        <v>403</v>
      </c>
      <c r="C77" s="9" t="s">
        <v>79</v>
      </c>
      <c r="D77" s="13" t="s">
        <v>404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8000</v>
      </c>
      <c r="V77" s="10">
        <v>0</v>
      </c>
      <c r="W77" s="10">
        <v>8000</v>
      </c>
      <c r="X77" s="10">
        <v>0</v>
      </c>
      <c r="Y77" s="10">
        <v>8400</v>
      </c>
      <c r="Z77" s="9" t="s">
        <v>80</v>
      </c>
      <c r="AA77" s="8">
        <v>8829.0399999999991</v>
      </c>
      <c r="AB77" s="8">
        <v>0</v>
      </c>
      <c r="AC77" s="8">
        <v>8829.0399999999991</v>
      </c>
      <c r="AD77" s="8">
        <v>0</v>
      </c>
      <c r="AE77" s="8">
        <v>8829.0399999999991</v>
      </c>
      <c r="AF77" s="8">
        <v>0</v>
      </c>
      <c r="AG77" s="1" t="s">
        <v>115</v>
      </c>
      <c r="AH77" s="1" t="s">
        <v>75</v>
      </c>
      <c r="AI77" s="1">
        <v>5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667.08302222222221</v>
      </c>
    </row>
    <row r="78" spans="1:56" ht="27.75" customHeight="1" x14ac:dyDescent="0.45">
      <c r="A78" s="3">
        <v>45892</v>
      </c>
      <c r="B78" s="14" t="s">
        <v>366</v>
      </c>
      <c r="C78" s="9" t="s">
        <v>79</v>
      </c>
      <c r="D78" s="13" t="s">
        <v>220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6000</v>
      </c>
      <c r="V78" s="10">
        <v>0</v>
      </c>
      <c r="W78" s="10">
        <v>6000</v>
      </c>
      <c r="X78" s="10">
        <v>0</v>
      </c>
      <c r="Y78" s="10">
        <v>6300</v>
      </c>
      <c r="Z78" s="9" t="s">
        <v>80</v>
      </c>
      <c r="AA78" s="8">
        <v>6621.78</v>
      </c>
      <c r="AB78" s="8">
        <v>0</v>
      </c>
      <c r="AC78" s="8">
        <v>6621.78</v>
      </c>
      <c r="AD78" s="8">
        <v>0</v>
      </c>
      <c r="AE78" s="8">
        <v>6621.78</v>
      </c>
      <c r="AF78" s="8">
        <v>0</v>
      </c>
      <c r="AG78" s="1" t="s">
        <v>116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500.31226666666674</v>
      </c>
    </row>
    <row r="79" spans="1:56" ht="27.75" customHeight="1" x14ac:dyDescent="0.45">
      <c r="A79" s="3">
        <v>45796</v>
      </c>
      <c r="B79" s="14" t="s">
        <v>258</v>
      </c>
      <c r="C79" s="9" t="s">
        <v>139</v>
      </c>
      <c r="D79" s="13" t="s">
        <v>145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 t="s">
        <v>63</v>
      </c>
      <c r="U79" s="11">
        <v>240</v>
      </c>
      <c r="V79" s="10">
        <v>0</v>
      </c>
      <c r="W79" s="10">
        <v>240</v>
      </c>
      <c r="X79" s="10">
        <v>0</v>
      </c>
      <c r="Y79" s="10">
        <v>252</v>
      </c>
      <c r="Z79" s="9" t="s">
        <v>80</v>
      </c>
      <c r="AA79" s="8">
        <v>251.46</v>
      </c>
      <c r="AB79" s="8">
        <v>0</v>
      </c>
      <c r="AC79" s="8">
        <v>251.46</v>
      </c>
      <c r="AD79" s="8">
        <v>0</v>
      </c>
      <c r="AE79" s="8">
        <v>251.46</v>
      </c>
      <c r="AF79" s="8">
        <v>0</v>
      </c>
      <c r="AG79" s="1" t="s">
        <v>61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 t="s">
        <v>254</v>
      </c>
      <c r="AZ79" s="2">
        <v>0</v>
      </c>
      <c r="BA79" s="2">
        <v>0</v>
      </c>
      <c r="BB79" s="2">
        <v>0</v>
      </c>
      <c r="BC79" s="1" t="s">
        <v>104</v>
      </c>
      <c r="BD79" s="56">
        <v>18.999199999999998</v>
      </c>
    </row>
    <row r="80" spans="1:56" ht="27.75" customHeight="1" x14ac:dyDescent="0.45">
      <c r="A80" s="3">
        <v>45876</v>
      </c>
      <c r="B80" s="14" t="s">
        <v>329</v>
      </c>
      <c r="C80" s="9" t="s">
        <v>107</v>
      </c>
      <c r="D80" s="13" t="s">
        <v>315</v>
      </c>
      <c r="E80" s="9">
        <v>20</v>
      </c>
      <c r="F80" s="9">
        <v>40</v>
      </c>
      <c r="G80" s="9" t="s">
        <v>60</v>
      </c>
      <c r="H80" s="9" t="s">
        <v>66</v>
      </c>
      <c r="I80" s="9">
        <v>108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63</v>
      </c>
      <c r="U80" s="11">
        <v>3000</v>
      </c>
      <c r="V80" s="10">
        <v>3075</v>
      </c>
      <c r="W80" s="10">
        <v>0</v>
      </c>
      <c r="X80" s="10">
        <v>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115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45877</v>
      </c>
      <c r="B81" s="14" t="s">
        <v>319</v>
      </c>
      <c r="C81" s="9" t="s">
        <v>79</v>
      </c>
      <c r="D81" s="13" t="s">
        <v>320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7000</v>
      </c>
      <c r="V81" s="10">
        <v>0</v>
      </c>
      <c r="W81" s="10">
        <v>7000</v>
      </c>
      <c r="X81" s="10">
        <v>0</v>
      </c>
      <c r="Y81" s="10">
        <v>7350</v>
      </c>
      <c r="Z81" s="9" t="s">
        <v>80</v>
      </c>
      <c r="AA81" s="8">
        <v>7725.41</v>
      </c>
      <c r="AB81" s="8">
        <v>0</v>
      </c>
      <c r="AC81" s="8">
        <v>7725.41</v>
      </c>
      <c r="AD81" s="8">
        <v>0</v>
      </c>
      <c r="AE81" s="8">
        <v>7725.41</v>
      </c>
      <c r="AF81" s="8">
        <v>0</v>
      </c>
      <c r="AG81" s="1" t="s">
        <v>115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583.69764444444445</v>
      </c>
    </row>
    <row r="82" spans="1:56" ht="27.75" customHeight="1" x14ac:dyDescent="0.45">
      <c r="A82" s="3" t="s">
        <v>135</v>
      </c>
      <c r="B82" s="14" t="s">
        <v>135</v>
      </c>
      <c r="C82" s="9" t="s">
        <v>270</v>
      </c>
      <c r="D82" s="13" t="s">
        <v>61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110</v>
      </c>
      <c r="T82" s="12" t="s">
        <v>63</v>
      </c>
      <c r="U82" s="11">
        <v>100000</v>
      </c>
      <c r="V82" s="10">
        <v>0</v>
      </c>
      <c r="W82" s="10">
        <v>100000</v>
      </c>
      <c r="X82" s="10">
        <v>0</v>
      </c>
      <c r="Y82" s="10">
        <v>105000</v>
      </c>
      <c r="Z82" s="9" t="s">
        <v>80</v>
      </c>
      <c r="AA82" s="8">
        <v>110363</v>
      </c>
      <c r="AB82" s="8">
        <v>0</v>
      </c>
      <c r="AC82" s="8">
        <v>110363</v>
      </c>
      <c r="AD82" s="8">
        <v>0</v>
      </c>
      <c r="AE82" s="8">
        <v>110363</v>
      </c>
      <c r="AF82" s="8">
        <v>0</v>
      </c>
      <c r="AG82" s="1" t="s">
        <v>115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8338.5377777777776</v>
      </c>
    </row>
    <row r="83" spans="1:56" ht="27.75" customHeight="1" x14ac:dyDescent="0.45">
      <c r="A83" s="3">
        <v>45825</v>
      </c>
      <c r="B83" s="14" t="s">
        <v>269</v>
      </c>
      <c r="C83" s="9" t="s">
        <v>139</v>
      </c>
      <c r="D83" s="13" t="s">
        <v>239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246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 t="s">
        <v>63</v>
      </c>
      <c r="U83" s="11">
        <v>894</v>
      </c>
      <c r="V83" s="10">
        <v>525</v>
      </c>
      <c r="W83" s="10">
        <v>369</v>
      </c>
      <c r="X83" s="10">
        <v>6000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116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134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45796</v>
      </c>
      <c r="B84" s="14" t="s">
        <v>256</v>
      </c>
      <c r="C84" s="9" t="s">
        <v>139</v>
      </c>
      <c r="D84" s="13" t="s">
        <v>251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366</v>
      </c>
      <c r="V84" s="10">
        <v>0</v>
      </c>
      <c r="W84" s="10">
        <v>366</v>
      </c>
      <c r="X84" s="10">
        <v>5113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116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45796</v>
      </c>
      <c r="B85" s="14" t="s">
        <v>257</v>
      </c>
      <c r="C85" s="9" t="s">
        <v>139</v>
      </c>
      <c r="D85" s="13" t="s">
        <v>253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302</v>
      </c>
      <c r="V85" s="10">
        <v>0</v>
      </c>
      <c r="W85" s="10">
        <v>302</v>
      </c>
      <c r="X85" s="10">
        <v>5300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115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45782</v>
      </c>
      <c r="B86" s="14" t="s">
        <v>249</v>
      </c>
      <c r="C86" s="9" t="s">
        <v>79</v>
      </c>
      <c r="D86" s="13" t="s">
        <v>243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0</v>
      </c>
      <c r="AC86" s="8">
        <v>5518.15</v>
      </c>
      <c r="AD86" s="8">
        <v>0</v>
      </c>
      <c r="AE86" s="8">
        <v>5518.15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134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416.92688888888887</v>
      </c>
    </row>
    <row r="87" spans="1:56" ht="27.75" customHeight="1" x14ac:dyDescent="0.45">
      <c r="A87" s="3">
        <v>45798</v>
      </c>
      <c r="B87" s="14" t="s">
        <v>263</v>
      </c>
      <c r="C87" s="9" t="s">
        <v>107</v>
      </c>
      <c r="D87" s="13" t="s">
        <v>261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0</v>
      </c>
      <c r="AC87" s="8">
        <v>5518.15</v>
      </c>
      <c r="AD87" s="8">
        <v>0</v>
      </c>
      <c r="AE87" s="8">
        <v>5518.15</v>
      </c>
      <c r="AF87" s="8">
        <v>0</v>
      </c>
      <c r="AG87" s="1" t="s">
        <v>117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134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416.92688888888887</v>
      </c>
    </row>
    <row r="88" spans="1:56" ht="27.75" customHeight="1" x14ac:dyDescent="0.45">
      <c r="A88" s="3">
        <v>45674</v>
      </c>
      <c r="B88" s="14" t="s">
        <v>226</v>
      </c>
      <c r="C88" s="9" t="s">
        <v>139</v>
      </c>
      <c r="D88" s="13" t="s">
        <v>225</v>
      </c>
      <c r="E88" s="9">
        <v>20</v>
      </c>
      <c r="F88" s="9">
        <v>35</v>
      </c>
      <c r="G88" s="9" t="s">
        <v>60</v>
      </c>
      <c r="H88" s="9" t="s">
        <v>76</v>
      </c>
      <c r="I88" s="9">
        <v>97</v>
      </c>
      <c r="J88" s="9" t="s">
        <v>57</v>
      </c>
      <c r="K88" s="9">
        <v>5</v>
      </c>
      <c r="L88" s="9" t="s">
        <v>196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 t="s">
        <v>63</v>
      </c>
      <c r="U88" s="11">
        <v>152</v>
      </c>
      <c r="V88" s="10">
        <v>0</v>
      </c>
      <c r="W88" s="10">
        <v>152</v>
      </c>
      <c r="X88" s="10">
        <v>6000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5987</v>
      </c>
      <c r="AG88" s="1" t="s">
        <v>115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235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45611</v>
      </c>
      <c r="B89" s="14" t="s">
        <v>195</v>
      </c>
      <c r="C89" s="9" t="s">
        <v>139</v>
      </c>
      <c r="D89" s="13" t="s">
        <v>194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 t="s">
        <v>63</v>
      </c>
      <c r="U89" s="11">
        <v>117</v>
      </c>
      <c r="V89" s="10">
        <v>0</v>
      </c>
      <c r="W89" s="10">
        <v>117</v>
      </c>
      <c r="X89" s="10">
        <v>10065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117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45523</v>
      </c>
      <c r="B90" s="14" t="s">
        <v>178</v>
      </c>
      <c r="C90" s="9" t="s">
        <v>139</v>
      </c>
      <c r="D90" s="13" t="s">
        <v>176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 t="s">
        <v>63</v>
      </c>
      <c r="U90" s="11">
        <v>1260</v>
      </c>
      <c r="V90" s="10">
        <v>0</v>
      </c>
      <c r="W90" s="10">
        <v>1260</v>
      </c>
      <c r="X90" s="10">
        <v>11095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117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45523</v>
      </c>
      <c r="B91" s="14" t="s">
        <v>178</v>
      </c>
      <c r="C91" s="9" t="s">
        <v>139</v>
      </c>
      <c r="D91" s="13" t="s">
        <v>177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 t="s">
        <v>63</v>
      </c>
      <c r="U91" s="11">
        <v>89</v>
      </c>
      <c r="V91" s="10">
        <v>0</v>
      </c>
      <c r="W91" s="10">
        <v>89</v>
      </c>
      <c r="X91" s="10">
        <v>11180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115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45799</v>
      </c>
      <c r="B92" s="14" t="s">
        <v>264</v>
      </c>
      <c r="C92" s="9" t="s">
        <v>259</v>
      </c>
      <c r="D92" s="13" t="s">
        <v>260</v>
      </c>
      <c r="E92" s="9">
        <v>20</v>
      </c>
      <c r="F92" s="9">
        <v>34</v>
      </c>
      <c r="G92" s="9" t="s">
        <v>60</v>
      </c>
      <c r="H92" s="9" t="s">
        <v>66</v>
      </c>
      <c r="I92" s="9">
        <v>95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 t="s">
        <v>132</v>
      </c>
      <c r="U92" s="11">
        <v>4000</v>
      </c>
      <c r="V92" s="10">
        <v>2840</v>
      </c>
      <c r="W92" s="10">
        <v>1160</v>
      </c>
      <c r="X92" s="10">
        <v>8450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210</v>
      </c>
      <c r="AG92" s="1" t="s">
        <v>115</v>
      </c>
      <c r="AH92" s="1" t="s">
        <v>75</v>
      </c>
      <c r="AI92" s="1">
        <v>4</v>
      </c>
      <c r="AJ92" s="3" t="s">
        <v>132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45799</v>
      </c>
      <c r="B93" s="14" t="s">
        <v>264</v>
      </c>
      <c r="C93" s="9" t="s">
        <v>259</v>
      </c>
      <c r="D93" s="13" t="s">
        <v>359</v>
      </c>
      <c r="E93" s="9">
        <v>20</v>
      </c>
      <c r="F93" s="9">
        <v>34</v>
      </c>
      <c r="G93" s="9" t="s">
        <v>60</v>
      </c>
      <c r="H93" s="9" t="s">
        <v>66</v>
      </c>
      <c r="I93" s="9">
        <v>95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 t="s">
        <v>132</v>
      </c>
      <c r="U93" s="11">
        <v>4000</v>
      </c>
      <c r="V93" s="10">
        <v>2654</v>
      </c>
      <c r="W93" s="10">
        <v>1346</v>
      </c>
      <c r="X93" s="10">
        <v>4000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210</v>
      </c>
      <c r="AG93" s="1" t="s">
        <v>115</v>
      </c>
      <c r="AH93" s="1" t="s">
        <v>75</v>
      </c>
      <c r="AI93" s="1">
        <v>4</v>
      </c>
      <c r="AJ93" s="3" t="s">
        <v>132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45741</v>
      </c>
      <c r="B94" s="14" t="s">
        <v>242</v>
      </c>
      <c r="C94" s="9" t="s">
        <v>107</v>
      </c>
      <c r="D94" s="13" t="s">
        <v>241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132</v>
      </c>
      <c r="U94" s="11">
        <v>4000</v>
      </c>
      <c r="V94" s="10">
        <v>3867</v>
      </c>
      <c r="W94" s="10">
        <v>133</v>
      </c>
      <c r="X94" s="10">
        <v>4200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115</v>
      </c>
      <c r="AH94" s="1" t="s">
        <v>75</v>
      </c>
      <c r="AI94" s="1">
        <v>4</v>
      </c>
      <c r="AJ94" s="3" t="s">
        <v>132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 t="s">
        <v>244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45720</v>
      </c>
      <c r="B95" s="14" t="s">
        <v>128</v>
      </c>
      <c r="C95" s="9" t="s">
        <v>107</v>
      </c>
      <c r="D95" s="13" t="s">
        <v>209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132</v>
      </c>
      <c r="U95" s="11">
        <v>4000</v>
      </c>
      <c r="V95" s="10">
        <v>4010</v>
      </c>
      <c r="W95" s="10">
        <v>0</v>
      </c>
      <c r="X95" s="10">
        <v>4470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115</v>
      </c>
      <c r="AH95" s="1" t="s">
        <v>75</v>
      </c>
      <c r="AI95" s="1">
        <v>4</v>
      </c>
      <c r="AJ95" s="3" t="s">
        <v>132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45720</v>
      </c>
      <c r="B96" s="14" t="s">
        <v>128</v>
      </c>
      <c r="C96" s="9" t="s">
        <v>107</v>
      </c>
      <c r="D96" s="13" t="s">
        <v>219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132</v>
      </c>
      <c r="U96" s="11">
        <v>3000</v>
      </c>
      <c r="V96" s="10">
        <v>3065</v>
      </c>
      <c r="W96" s="10">
        <v>0</v>
      </c>
      <c r="X96" s="10">
        <v>3300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115</v>
      </c>
      <c r="AH96" s="1" t="s">
        <v>75</v>
      </c>
      <c r="AI96" s="1">
        <v>4</v>
      </c>
      <c r="AJ96" s="3" t="s">
        <v>132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45541</v>
      </c>
      <c r="B97" s="14" t="s">
        <v>182</v>
      </c>
      <c r="C97" s="9" t="s">
        <v>107</v>
      </c>
      <c r="D97" s="13" t="s">
        <v>183</v>
      </c>
      <c r="E97" s="9">
        <v>20</v>
      </c>
      <c r="F97" s="9">
        <v>40</v>
      </c>
      <c r="G97" s="9" t="s">
        <v>60</v>
      </c>
      <c r="H97" s="9" t="s">
        <v>76</v>
      </c>
      <c r="I97" s="9">
        <v>108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132</v>
      </c>
      <c r="U97" s="11">
        <v>3000</v>
      </c>
      <c r="V97" s="10">
        <v>3318</v>
      </c>
      <c r="W97" s="10">
        <v>0</v>
      </c>
      <c r="X97" s="10">
        <v>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184</v>
      </c>
      <c r="AG97" s="1" t="s">
        <v>61</v>
      </c>
      <c r="AH97" s="1" t="s">
        <v>75</v>
      </c>
      <c r="AI97" s="1">
        <v>4</v>
      </c>
      <c r="AJ97" s="3" t="s">
        <v>132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>
        <v>0</v>
      </c>
      <c r="AY97" s="2" t="s">
        <v>222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45581</v>
      </c>
      <c r="B98" s="14" t="s">
        <v>187</v>
      </c>
      <c r="C98" s="9" t="s">
        <v>107</v>
      </c>
      <c r="D98" s="13" t="s">
        <v>188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132</v>
      </c>
      <c r="U98" s="11">
        <v>3000</v>
      </c>
      <c r="V98" s="10">
        <v>3194</v>
      </c>
      <c r="W98" s="10">
        <v>0</v>
      </c>
      <c r="X98" s="10">
        <v>5632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115</v>
      </c>
      <c r="AH98" s="1" t="s">
        <v>75</v>
      </c>
      <c r="AI98" s="1">
        <v>4</v>
      </c>
      <c r="AJ98" s="3" t="s">
        <v>132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0</v>
      </c>
      <c r="B99" s="14">
        <v>0</v>
      </c>
      <c r="C99" s="9">
        <v>0</v>
      </c>
      <c r="D99" s="13">
        <v>0</v>
      </c>
      <c r="E99" s="9">
        <v>20</v>
      </c>
      <c r="F99" s="9">
        <v>38</v>
      </c>
      <c r="G99" s="9">
        <v>0</v>
      </c>
      <c r="H99" s="9">
        <v>0</v>
      </c>
      <c r="I99" s="9">
        <v>84</v>
      </c>
      <c r="J99" s="9" t="s">
        <v>57</v>
      </c>
      <c r="K99" s="9">
        <v>5</v>
      </c>
      <c r="L99" s="9">
        <v>0</v>
      </c>
      <c r="M99" s="10">
        <v>0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>
        <v>0</v>
      </c>
      <c r="T99" s="12"/>
      <c r="U99" s="11">
        <v>0</v>
      </c>
      <c r="V99" s="10">
        <v>0</v>
      </c>
      <c r="W99" s="10">
        <v>0</v>
      </c>
      <c r="X99" s="10">
        <v>0</v>
      </c>
      <c r="Y99" s="10">
        <v>0</v>
      </c>
      <c r="Z99" s="9" t="s">
        <v>80</v>
      </c>
      <c r="AA99" s="8">
        <v>347185.60769750015</v>
      </c>
      <c r="AB99" s="8">
        <v>18764.8776975</v>
      </c>
      <c r="AC99" s="8">
        <v>328420.7300000001</v>
      </c>
      <c r="AD99" s="8">
        <v>4892.6676974999991</v>
      </c>
      <c r="AE99" s="8">
        <v>342292.94000000006</v>
      </c>
      <c r="AF99" s="8" t="s">
        <v>58</v>
      </c>
      <c r="AG99" s="1" t="s">
        <v>115</v>
      </c>
      <c r="AH99" s="1">
        <v>0</v>
      </c>
      <c r="AI99" s="1" t="s">
        <v>15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 t="s">
        <v>135</v>
      </c>
      <c r="B100" s="14" t="s">
        <v>135</v>
      </c>
      <c r="C100" s="9" t="s">
        <v>270</v>
      </c>
      <c r="D100" s="13" t="s">
        <v>61</v>
      </c>
      <c r="E100" s="9">
        <v>20</v>
      </c>
      <c r="F100" s="9">
        <v>39</v>
      </c>
      <c r="G100" s="9" t="s">
        <v>60</v>
      </c>
      <c r="H100" s="9">
        <v>0</v>
      </c>
      <c r="I100" s="9">
        <v>84</v>
      </c>
      <c r="J100" s="9" t="s">
        <v>78</v>
      </c>
      <c r="K100" s="9">
        <v>0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110</v>
      </c>
      <c r="T100" s="12" t="s">
        <v>63</v>
      </c>
      <c r="U100" s="11">
        <v>100000</v>
      </c>
      <c r="V100" s="10">
        <v>0</v>
      </c>
      <c r="W100" s="10">
        <v>100000</v>
      </c>
      <c r="X100" s="10">
        <v>0</v>
      </c>
      <c r="Y100" s="10">
        <v>105000</v>
      </c>
      <c r="Z100" s="9" t="s">
        <v>271</v>
      </c>
      <c r="AA100" s="8">
        <v>113157.00000000001</v>
      </c>
      <c r="AB100" s="8">
        <v>0</v>
      </c>
      <c r="AC100" s="8">
        <v>113157.00000000001</v>
      </c>
      <c r="AD100" s="8">
        <v>0</v>
      </c>
      <c r="AE100" s="8">
        <v>0</v>
      </c>
      <c r="AF100" s="8">
        <v>0</v>
      </c>
      <c r="AG100" s="1" t="s">
        <v>117</v>
      </c>
      <c r="AH100" s="1" t="s">
        <v>74</v>
      </c>
      <c r="AI100" s="1">
        <v>2</v>
      </c>
      <c r="AJ100" s="3" t="s">
        <v>63</v>
      </c>
      <c r="AK100" s="3">
        <v>0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272</v>
      </c>
      <c r="BD100" s="56">
        <v>8914.2570000000014</v>
      </c>
    </row>
    <row r="101" spans="1:56" ht="27.75" customHeight="1" x14ac:dyDescent="0.45">
      <c r="A101" s="3">
        <v>0</v>
      </c>
      <c r="B101" s="14">
        <v>0</v>
      </c>
      <c r="C101" s="9">
        <v>0</v>
      </c>
      <c r="D101" s="13">
        <v>0</v>
      </c>
      <c r="E101" s="9">
        <v>20</v>
      </c>
      <c r="F101" s="9">
        <v>38</v>
      </c>
      <c r="G101" s="9">
        <v>0</v>
      </c>
      <c r="H101" s="9">
        <v>0</v>
      </c>
      <c r="I101" s="9">
        <v>82</v>
      </c>
      <c r="J101" s="9" t="s">
        <v>78</v>
      </c>
      <c r="K101" s="9">
        <v>2</v>
      </c>
      <c r="L101" s="9">
        <v>0</v>
      </c>
      <c r="M101" s="10">
        <v>0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>
        <v>0</v>
      </c>
      <c r="T101" s="12"/>
      <c r="U101" s="11">
        <v>0</v>
      </c>
      <c r="V101" s="10">
        <v>0</v>
      </c>
      <c r="W101" s="10">
        <v>0</v>
      </c>
      <c r="X101" s="10">
        <v>0</v>
      </c>
      <c r="Y101" s="10">
        <v>0</v>
      </c>
      <c r="Z101" s="9" t="s">
        <v>271</v>
      </c>
      <c r="AA101" s="8">
        <v>113157.00000000001</v>
      </c>
      <c r="AB101" s="8">
        <v>0</v>
      </c>
      <c r="AC101" s="8">
        <v>113157.00000000001</v>
      </c>
      <c r="AD101" s="8">
        <v>0</v>
      </c>
      <c r="AE101" s="8">
        <v>0</v>
      </c>
      <c r="AF101" s="8" t="s">
        <v>58</v>
      </c>
      <c r="AG101" s="1" t="s">
        <v>116</v>
      </c>
      <c r="AH101" s="1">
        <v>0</v>
      </c>
      <c r="AI101" s="1" t="s">
        <v>15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1" t="s">
        <v>273</v>
      </c>
      <c r="BD101" s="56">
        <v>0</v>
      </c>
    </row>
    <row r="102" spans="1:56" ht="27.75" customHeight="1" x14ac:dyDescent="0.45">
      <c r="A102" s="3">
        <v>45887</v>
      </c>
      <c r="B102" s="14" t="s">
        <v>349</v>
      </c>
      <c r="C102" s="9" t="s">
        <v>139</v>
      </c>
      <c r="D102" s="13" t="s">
        <v>268</v>
      </c>
      <c r="E102" s="9">
        <v>20</v>
      </c>
      <c r="F102" s="9">
        <v>36</v>
      </c>
      <c r="G102" s="9" t="s">
        <v>60</v>
      </c>
      <c r="H102" s="9">
        <v>0</v>
      </c>
      <c r="I102" s="9">
        <v>78</v>
      </c>
      <c r="J102" s="9" t="s">
        <v>57</v>
      </c>
      <c r="K102" s="9">
        <v>5</v>
      </c>
      <c r="L102" s="9" t="s">
        <v>196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>
        <v>45904</v>
      </c>
      <c r="U102" s="11">
        <v>29680</v>
      </c>
      <c r="V102" s="10">
        <v>24160</v>
      </c>
      <c r="W102" s="10">
        <v>5520</v>
      </c>
      <c r="X102" s="10">
        <v>31160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210</v>
      </c>
      <c r="AG102" s="1" t="s">
        <v>115</v>
      </c>
      <c r="AH102" s="1" t="s">
        <v>74</v>
      </c>
      <c r="AI102" s="1">
        <v>2</v>
      </c>
      <c r="AJ102" s="3">
        <v>45904</v>
      </c>
      <c r="AK102" s="3">
        <v>0</v>
      </c>
      <c r="AL102" s="3">
        <v>45895</v>
      </c>
      <c r="AM102" s="3">
        <v>45902</v>
      </c>
      <c r="AN102" s="3">
        <v>45903</v>
      </c>
      <c r="AO102" s="3">
        <v>45903</v>
      </c>
      <c r="AP102" s="3">
        <v>45899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 t="s">
        <v>335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45896</v>
      </c>
      <c r="B103" s="14" t="s">
        <v>416</v>
      </c>
      <c r="C103" s="9" t="s">
        <v>73</v>
      </c>
      <c r="D103" s="13" t="s">
        <v>405</v>
      </c>
      <c r="E103" s="9">
        <v>20</v>
      </c>
      <c r="F103" s="9">
        <v>32</v>
      </c>
      <c r="G103" s="9" t="s">
        <v>60</v>
      </c>
      <c r="H103" s="9">
        <v>0</v>
      </c>
      <c r="I103" s="9">
        <v>72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141</v>
      </c>
      <c r="T103" s="12">
        <v>45906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4679.9500000000007</v>
      </c>
      <c r="AB103" s="8">
        <v>4679.9500000000007</v>
      </c>
      <c r="AC103" s="8">
        <v>0</v>
      </c>
      <c r="AD103" s="8">
        <v>0</v>
      </c>
      <c r="AE103" s="8">
        <v>0</v>
      </c>
      <c r="AF103" s="8">
        <v>0</v>
      </c>
      <c r="AG103" s="1" t="s">
        <v>116</v>
      </c>
      <c r="AH103" s="1" t="s">
        <v>74</v>
      </c>
      <c r="AI103" s="1">
        <v>2</v>
      </c>
      <c r="AJ103" s="3">
        <v>45906</v>
      </c>
      <c r="AK103" s="3">
        <v>0</v>
      </c>
      <c r="AL103" s="3">
        <v>45897</v>
      </c>
      <c r="AM103" s="3">
        <v>45904</v>
      </c>
      <c r="AN103" s="3">
        <v>45905</v>
      </c>
      <c r="AO103" s="3">
        <v>45905</v>
      </c>
      <c r="AP103" s="3">
        <v>45901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>
        <v>45896</v>
      </c>
      <c r="B104" s="14" t="s">
        <v>416</v>
      </c>
      <c r="C104" s="9" t="s">
        <v>73</v>
      </c>
      <c r="D104" s="13" t="s">
        <v>406</v>
      </c>
      <c r="E104" s="9">
        <v>20</v>
      </c>
      <c r="F104" s="9">
        <v>32</v>
      </c>
      <c r="G104" s="9" t="s">
        <v>60</v>
      </c>
      <c r="H104" s="9">
        <v>0</v>
      </c>
      <c r="I104" s="9">
        <v>72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141</v>
      </c>
      <c r="T104" s="12">
        <v>45906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4679.9500000000007</v>
      </c>
      <c r="AB104" s="8">
        <v>4679.9500000000007</v>
      </c>
      <c r="AC104" s="8">
        <v>0</v>
      </c>
      <c r="AD104" s="8">
        <v>0</v>
      </c>
      <c r="AE104" s="8">
        <v>0</v>
      </c>
      <c r="AF104" s="8">
        <v>0</v>
      </c>
      <c r="AG104" s="1" t="s">
        <v>116</v>
      </c>
      <c r="AH104" s="1" t="s">
        <v>74</v>
      </c>
      <c r="AI104" s="1">
        <v>2</v>
      </c>
      <c r="AJ104" s="3">
        <v>45906</v>
      </c>
      <c r="AK104" s="3">
        <v>0</v>
      </c>
      <c r="AL104" s="3">
        <v>45897</v>
      </c>
      <c r="AM104" s="3">
        <v>45904</v>
      </c>
      <c r="AN104" s="3">
        <v>45905</v>
      </c>
      <c r="AO104" s="3">
        <v>45905</v>
      </c>
      <c r="AP104" s="3">
        <v>45901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45">
      <c r="A105" s="3">
        <v>45887</v>
      </c>
      <c r="B105" s="14" t="s">
        <v>348</v>
      </c>
      <c r="C105" s="9" t="s">
        <v>139</v>
      </c>
      <c r="D105" s="13" t="s">
        <v>333</v>
      </c>
      <c r="E105" s="9">
        <v>20</v>
      </c>
      <c r="F105" s="9">
        <v>36</v>
      </c>
      <c r="G105" s="9" t="s">
        <v>60</v>
      </c>
      <c r="H105" s="9">
        <v>0</v>
      </c>
      <c r="I105" s="9">
        <v>78</v>
      </c>
      <c r="J105" s="9" t="s">
        <v>57</v>
      </c>
      <c r="K105" s="9">
        <v>5</v>
      </c>
      <c r="L105" s="9" t="s">
        <v>196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>
        <v>45908</v>
      </c>
      <c r="U105" s="11">
        <v>18134</v>
      </c>
      <c r="V105" s="10">
        <v>18134</v>
      </c>
      <c r="W105" s="10">
        <v>0</v>
      </c>
      <c r="X105" s="10">
        <v>33397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210</v>
      </c>
      <c r="AG105" s="1" t="s">
        <v>119</v>
      </c>
      <c r="AH105" s="1" t="s">
        <v>74</v>
      </c>
      <c r="AI105" s="1">
        <v>2</v>
      </c>
      <c r="AJ105" s="3">
        <v>45908</v>
      </c>
      <c r="AK105" s="3">
        <v>0</v>
      </c>
      <c r="AL105" s="3">
        <v>45899</v>
      </c>
      <c r="AM105" s="3">
        <v>45906</v>
      </c>
      <c r="AN105" s="3">
        <v>45907</v>
      </c>
      <c r="AO105" s="3">
        <v>45907</v>
      </c>
      <c r="AP105" s="3">
        <v>45903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 t="s">
        <v>334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45892</v>
      </c>
      <c r="B106" s="14" t="s">
        <v>367</v>
      </c>
      <c r="C106" s="9" t="s">
        <v>139</v>
      </c>
      <c r="D106" s="13" t="s">
        <v>368</v>
      </c>
      <c r="E106" s="9">
        <v>20</v>
      </c>
      <c r="F106" s="9">
        <v>36</v>
      </c>
      <c r="G106" s="9" t="s">
        <v>60</v>
      </c>
      <c r="H106" s="9">
        <v>0</v>
      </c>
      <c r="I106" s="9">
        <v>78</v>
      </c>
      <c r="J106" s="9" t="s">
        <v>57</v>
      </c>
      <c r="K106" s="9">
        <v>5</v>
      </c>
      <c r="L106" s="9" t="s">
        <v>196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45908</v>
      </c>
      <c r="U106" s="11">
        <v>10000</v>
      </c>
      <c r="V106" s="10">
        <v>1196</v>
      </c>
      <c r="W106" s="10">
        <v>8804</v>
      </c>
      <c r="X106" s="10">
        <v>0</v>
      </c>
      <c r="Y106" s="10">
        <v>9244.2000000000007</v>
      </c>
      <c r="Z106" s="9" t="s">
        <v>81</v>
      </c>
      <c r="AA106" s="8">
        <v>9224.3909999999996</v>
      </c>
      <c r="AB106" s="8">
        <v>9224.3909999999996</v>
      </c>
      <c r="AC106" s="8">
        <v>0</v>
      </c>
      <c r="AD106" s="8">
        <v>0</v>
      </c>
      <c r="AE106" s="8">
        <v>0</v>
      </c>
      <c r="AF106" s="8" t="s">
        <v>210</v>
      </c>
      <c r="AG106" s="1" t="s">
        <v>116</v>
      </c>
      <c r="AH106" s="1" t="s">
        <v>74</v>
      </c>
      <c r="AI106" s="1">
        <v>2</v>
      </c>
      <c r="AJ106" s="3">
        <v>45908</v>
      </c>
      <c r="AK106" s="3">
        <v>0</v>
      </c>
      <c r="AL106" s="3">
        <v>45899</v>
      </c>
      <c r="AM106" s="3">
        <v>45906</v>
      </c>
      <c r="AN106" s="3">
        <v>45907</v>
      </c>
      <c r="AO106" s="3">
        <v>45907</v>
      </c>
      <c r="AP106" s="3">
        <v>45903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45">
      <c r="A107" s="3">
        <v>45887</v>
      </c>
      <c r="B107" s="14" t="s">
        <v>348</v>
      </c>
      <c r="C107" s="9" t="s">
        <v>139</v>
      </c>
      <c r="D107" s="13" t="s">
        <v>333</v>
      </c>
      <c r="E107" s="9">
        <v>20</v>
      </c>
      <c r="F107" s="9">
        <v>36</v>
      </c>
      <c r="G107" s="9" t="s">
        <v>60</v>
      </c>
      <c r="H107" s="9">
        <v>0</v>
      </c>
      <c r="I107" s="9">
        <v>78</v>
      </c>
      <c r="J107" s="9" t="s">
        <v>57</v>
      </c>
      <c r="K107" s="9">
        <v>5</v>
      </c>
      <c r="L107" s="9" t="s">
        <v>196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>
        <v>45915</v>
      </c>
      <c r="U107" s="11">
        <v>20000</v>
      </c>
      <c r="V107" s="10">
        <v>8666</v>
      </c>
      <c r="W107" s="10">
        <v>11334</v>
      </c>
      <c r="X107" s="10">
        <v>0</v>
      </c>
      <c r="Y107" s="10">
        <v>11900.7</v>
      </c>
      <c r="Z107" s="9" t="s">
        <v>81</v>
      </c>
      <c r="AA107" s="8">
        <v>11875.1985</v>
      </c>
      <c r="AB107" s="8">
        <v>11875.1985</v>
      </c>
      <c r="AC107" s="8">
        <v>0</v>
      </c>
      <c r="AD107" s="8">
        <v>0</v>
      </c>
      <c r="AE107" s="8">
        <v>0</v>
      </c>
      <c r="AF107" s="8" t="s">
        <v>210</v>
      </c>
      <c r="AG107" s="1" t="s">
        <v>116</v>
      </c>
      <c r="AH107" s="1" t="s">
        <v>74</v>
      </c>
      <c r="AI107" s="1">
        <v>2</v>
      </c>
      <c r="AJ107" s="3">
        <v>45915</v>
      </c>
      <c r="AK107" s="3">
        <v>0</v>
      </c>
      <c r="AL107" s="3">
        <v>45906</v>
      </c>
      <c r="AM107" s="3">
        <v>45913</v>
      </c>
      <c r="AN107" s="3">
        <v>45914</v>
      </c>
      <c r="AO107" s="3">
        <v>45914</v>
      </c>
      <c r="AP107" s="3">
        <v>45910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 t="s">
        <v>334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45887</v>
      </c>
      <c r="B108" s="14" t="s">
        <v>349</v>
      </c>
      <c r="C108" s="9" t="s">
        <v>139</v>
      </c>
      <c r="D108" s="13" t="s">
        <v>268</v>
      </c>
      <c r="E108" s="9">
        <v>20</v>
      </c>
      <c r="F108" s="9">
        <v>36</v>
      </c>
      <c r="G108" s="9" t="s">
        <v>60</v>
      </c>
      <c r="H108" s="9">
        <v>0</v>
      </c>
      <c r="I108" s="9">
        <v>78</v>
      </c>
      <c r="J108" s="9" t="s">
        <v>57</v>
      </c>
      <c r="K108" s="9">
        <v>5</v>
      </c>
      <c r="L108" s="9" t="s">
        <v>196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>
        <v>45919</v>
      </c>
      <c r="U108" s="11">
        <v>40000</v>
      </c>
      <c r="V108" s="10">
        <v>0</v>
      </c>
      <c r="W108" s="10">
        <v>40000</v>
      </c>
      <c r="X108" s="10">
        <v>6888</v>
      </c>
      <c r="Y108" s="10">
        <v>34767.599999999999</v>
      </c>
      <c r="Z108" s="9" t="s">
        <v>81</v>
      </c>
      <c r="AA108" s="8">
        <v>36427.752899999999</v>
      </c>
      <c r="AB108" s="8">
        <v>36427.752899999999</v>
      </c>
      <c r="AC108" s="8">
        <v>0</v>
      </c>
      <c r="AD108" s="8">
        <v>0</v>
      </c>
      <c r="AE108" s="8">
        <v>0</v>
      </c>
      <c r="AF108" s="8" t="s">
        <v>210</v>
      </c>
      <c r="AG108" s="1" t="s">
        <v>61</v>
      </c>
      <c r="AH108" s="1" t="s">
        <v>74</v>
      </c>
      <c r="AI108" s="1">
        <v>2</v>
      </c>
      <c r="AJ108" s="3">
        <v>45919</v>
      </c>
      <c r="AK108" s="3">
        <v>0</v>
      </c>
      <c r="AL108" s="3">
        <v>45910</v>
      </c>
      <c r="AM108" s="3">
        <v>45917</v>
      </c>
      <c r="AN108" s="3">
        <v>45918</v>
      </c>
      <c r="AO108" s="3">
        <v>45918</v>
      </c>
      <c r="AP108" s="3">
        <v>45914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 t="s">
        <v>335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45887</v>
      </c>
      <c r="B109" s="14" t="s">
        <v>349</v>
      </c>
      <c r="C109" s="9" t="s">
        <v>139</v>
      </c>
      <c r="D109" s="13" t="s">
        <v>268</v>
      </c>
      <c r="E109" s="9">
        <v>20</v>
      </c>
      <c r="F109" s="9">
        <v>36</v>
      </c>
      <c r="G109" s="9" t="s">
        <v>60</v>
      </c>
      <c r="H109" s="9">
        <v>0</v>
      </c>
      <c r="I109" s="9">
        <v>78</v>
      </c>
      <c r="J109" s="9" t="s">
        <v>57</v>
      </c>
      <c r="K109" s="9">
        <v>5</v>
      </c>
      <c r="L109" s="9" t="s">
        <v>196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>
        <v>45922</v>
      </c>
      <c r="U109" s="11">
        <v>30000</v>
      </c>
      <c r="V109" s="10">
        <v>0</v>
      </c>
      <c r="W109" s="10">
        <v>30000</v>
      </c>
      <c r="X109" s="10">
        <v>0</v>
      </c>
      <c r="Y109" s="10">
        <v>31500</v>
      </c>
      <c r="Z109" s="9" t="s">
        <v>81</v>
      </c>
      <c r="AA109" s="8">
        <v>31432.500000000004</v>
      </c>
      <c r="AB109" s="8">
        <v>31432.500000000004</v>
      </c>
      <c r="AC109" s="8">
        <v>0</v>
      </c>
      <c r="AD109" s="8">
        <v>0</v>
      </c>
      <c r="AE109" s="8">
        <v>0</v>
      </c>
      <c r="AF109" s="8" t="s">
        <v>210</v>
      </c>
      <c r="AG109" s="1" t="s">
        <v>115</v>
      </c>
      <c r="AH109" s="1" t="s">
        <v>74</v>
      </c>
      <c r="AI109" s="1">
        <v>2</v>
      </c>
      <c r="AJ109" s="3">
        <v>45922</v>
      </c>
      <c r="AK109" s="3">
        <v>0</v>
      </c>
      <c r="AL109" s="3">
        <v>45913</v>
      </c>
      <c r="AM109" s="3">
        <v>45920</v>
      </c>
      <c r="AN109" s="3">
        <v>45921</v>
      </c>
      <c r="AO109" s="3">
        <v>45921</v>
      </c>
      <c r="AP109" s="3">
        <v>45917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 t="s">
        <v>335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45887</v>
      </c>
      <c r="B110" s="14" t="s">
        <v>349</v>
      </c>
      <c r="C110" s="9" t="s">
        <v>139</v>
      </c>
      <c r="D110" s="13" t="s">
        <v>268</v>
      </c>
      <c r="E110" s="9">
        <v>20</v>
      </c>
      <c r="F110" s="9">
        <v>36</v>
      </c>
      <c r="G110" s="9" t="s">
        <v>60</v>
      </c>
      <c r="H110" s="9">
        <v>0</v>
      </c>
      <c r="I110" s="9">
        <v>78</v>
      </c>
      <c r="J110" s="9" t="s">
        <v>57</v>
      </c>
      <c r="K110" s="9">
        <v>5</v>
      </c>
      <c r="L110" s="9" t="s">
        <v>196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45926</v>
      </c>
      <c r="U110" s="11">
        <v>20000</v>
      </c>
      <c r="V110" s="10">
        <v>0</v>
      </c>
      <c r="W110" s="10">
        <v>20000</v>
      </c>
      <c r="X110" s="10">
        <v>0</v>
      </c>
      <c r="Y110" s="10">
        <v>21000</v>
      </c>
      <c r="Z110" s="9" t="s">
        <v>81</v>
      </c>
      <c r="AA110" s="8">
        <v>20955</v>
      </c>
      <c r="AB110" s="8">
        <v>20955</v>
      </c>
      <c r="AC110" s="8">
        <v>0</v>
      </c>
      <c r="AD110" s="8">
        <v>0</v>
      </c>
      <c r="AE110" s="8">
        <v>0</v>
      </c>
      <c r="AF110" s="8" t="s">
        <v>210</v>
      </c>
      <c r="AG110" s="1" t="s">
        <v>115</v>
      </c>
      <c r="AH110" s="1" t="s">
        <v>74</v>
      </c>
      <c r="AI110" s="1">
        <v>2</v>
      </c>
      <c r="AJ110" s="3">
        <v>45926</v>
      </c>
      <c r="AK110" s="3">
        <v>0</v>
      </c>
      <c r="AL110" s="3">
        <v>45917</v>
      </c>
      <c r="AM110" s="3">
        <v>45924</v>
      </c>
      <c r="AN110" s="3">
        <v>45925</v>
      </c>
      <c r="AO110" s="3">
        <v>45925</v>
      </c>
      <c r="AP110" s="3">
        <v>45921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 t="s">
        <v>335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 t="s">
        <v>135</v>
      </c>
      <c r="B111" s="14" t="s">
        <v>135</v>
      </c>
      <c r="C111" s="9" t="s">
        <v>139</v>
      </c>
      <c r="D111" s="13" t="s">
        <v>61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196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 t="s">
        <v>63</v>
      </c>
      <c r="U111" s="11">
        <v>290000</v>
      </c>
      <c r="V111" s="10">
        <v>0</v>
      </c>
      <c r="W111" s="10">
        <v>290000</v>
      </c>
      <c r="X111" s="10">
        <v>0</v>
      </c>
      <c r="Y111" s="10">
        <v>304500</v>
      </c>
      <c r="Z111" s="9" t="s">
        <v>81</v>
      </c>
      <c r="AA111" s="8">
        <v>303847.5</v>
      </c>
      <c r="AB111" s="8">
        <v>49926</v>
      </c>
      <c r="AC111" s="8">
        <v>253921.5</v>
      </c>
      <c r="AD111" s="8">
        <v>0</v>
      </c>
      <c r="AE111" s="8">
        <v>0</v>
      </c>
      <c r="AF111" s="8" t="s">
        <v>210</v>
      </c>
      <c r="AG111" s="1" t="s">
        <v>115</v>
      </c>
      <c r="AH111" s="1" t="s">
        <v>74</v>
      </c>
      <c r="AI111" s="1">
        <v>2</v>
      </c>
      <c r="AJ111" s="3" t="s">
        <v>63</v>
      </c>
      <c r="AK111" s="3">
        <v>0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19410.887999999999</v>
      </c>
    </row>
    <row r="112" spans="1:56" ht="27.75" customHeight="1" x14ac:dyDescent="0.45">
      <c r="A112" s="3">
        <v>0</v>
      </c>
      <c r="B112" s="14">
        <v>0</v>
      </c>
      <c r="C112" s="9">
        <v>0</v>
      </c>
      <c r="D112" s="13">
        <v>0</v>
      </c>
      <c r="E112" s="9">
        <v>20</v>
      </c>
      <c r="F112" s="9">
        <v>37</v>
      </c>
      <c r="G112" s="9">
        <v>0</v>
      </c>
      <c r="H112" s="9">
        <v>0</v>
      </c>
      <c r="I112" s="9">
        <v>80</v>
      </c>
      <c r="J112" s="9" t="s">
        <v>57</v>
      </c>
      <c r="K112" s="9">
        <v>3</v>
      </c>
      <c r="L112" s="9">
        <v>0</v>
      </c>
      <c r="M112" s="10">
        <v>0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>
        <v>0</v>
      </c>
      <c r="T112" s="12"/>
      <c r="U112" s="11">
        <v>0</v>
      </c>
      <c r="V112" s="10">
        <v>0</v>
      </c>
      <c r="W112" s="10">
        <v>0</v>
      </c>
      <c r="X112" s="10">
        <v>0</v>
      </c>
      <c r="Y112" s="10">
        <v>0</v>
      </c>
      <c r="Z112" s="9" t="s">
        <v>81</v>
      </c>
      <c r="AA112" s="8">
        <v>423122.24239999999</v>
      </c>
      <c r="AB112" s="8">
        <v>169200.74239999999</v>
      </c>
      <c r="AC112" s="8">
        <v>253921.5</v>
      </c>
      <c r="AD112" s="8">
        <v>0</v>
      </c>
      <c r="AE112" s="8">
        <v>0</v>
      </c>
      <c r="AF112" s="8" t="s">
        <v>58</v>
      </c>
      <c r="AG112" s="1" t="s">
        <v>115</v>
      </c>
      <c r="AH112" s="1">
        <v>0</v>
      </c>
      <c r="AI112" s="1" t="s">
        <v>15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>
        <v>45876</v>
      </c>
      <c r="B113" s="14" t="s">
        <v>325</v>
      </c>
      <c r="C113" s="9" t="s">
        <v>303</v>
      </c>
      <c r="D113" s="13" t="s">
        <v>312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40</v>
      </c>
      <c r="O113" s="9">
        <v>40</v>
      </c>
      <c r="P113" s="10">
        <v>0</v>
      </c>
      <c r="Q113" s="10">
        <v>0</v>
      </c>
      <c r="R113" s="10">
        <v>0</v>
      </c>
      <c r="S113" s="9" t="s">
        <v>71</v>
      </c>
      <c r="T113" s="12">
        <v>45904</v>
      </c>
      <c r="U113" s="11">
        <v>20000</v>
      </c>
      <c r="V113" s="10">
        <v>20006</v>
      </c>
      <c r="W113" s="10">
        <v>0</v>
      </c>
      <c r="X113" s="10">
        <v>21000</v>
      </c>
      <c r="Y113" s="10">
        <v>0</v>
      </c>
      <c r="Z113" s="9" t="s">
        <v>120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68</v>
      </c>
      <c r="AI113" s="1">
        <v>4</v>
      </c>
      <c r="AJ113" s="3">
        <v>45904</v>
      </c>
      <c r="AK113" s="3">
        <v>45900</v>
      </c>
      <c r="AL113" s="3">
        <v>45894</v>
      </c>
      <c r="AM113" s="3">
        <v>45901</v>
      </c>
      <c r="AN113" s="3">
        <v>45902</v>
      </c>
      <c r="AO113" s="3">
        <v>45902</v>
      </c>
      <c r="AP113" s="3">
        <v>45899</v>
      </c>
      <c r="AQ113" s="3">
        <v>45903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132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45876</v>
      </c>
      <c r="B114" s="14" t="s">
        <v>326</v>
      </c>
      <c r="C114" s="9" t="s">
        <v>303</v>
      </c>
      <c r="D114" s="13" t="s">
        <v>304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40</v>
      </c>
      <c r="O114" s="9">
        <v>40</v>
      </c>
      <c r="P114" s="10">
        <v>1.6065702062079996</v>
      </c>
      <c r="Q114" s="10">
        <v>0</v>
      </c>
      <c r="R114" s="10">
        <v>1.6065702062079996</v>
      </c>
      <c r="S114" s="9" t="s">
        <v>71</v>
      </c>
      <c r="T114" s="12">
        <v>45904</v>
      </c>
      <c r="U114" s="11">
        <v>10000</v>
      </c>
      <c r="V114" s="10">
        <v>9926</v>
      </c>
      <c r="W114" s="10">
        <v>74</v>
      </c>
      <c r="X114" s="10">
        <v>10500</v>
      </c>
      <c r="Y114" s="10">
        <v>0</v>
      </c>
      <c r="Z114" s="9" t="s">
        <v>120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68</v>
      </c>
      <c r="AI114" s="1">
        <v>4</v>
      </c>
      <c r="AJ114" s="3">
        <v>45904</v>
      </c>
      <c r="AK114" s="3">
        <v>45900</v>
      </c>
      <c r="AL114" s="3">
        <v>45894</v>
      </c>
      <c r="AM114" s="3">
        <v>45901</v>
      </c>
      <c r="AN114" s="3">
        <v>45902</v>
      </c>
      <c r="AO114" s="3">
        <v>45902</v>
      </c>
      <c r="AP114" s="3">
        <v>45899</v>
      </c>
      <c r="AQ114" s="3">
        <v>45903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132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45892</v>
      </c>
      <c r="B115" s="14" t="s">
        <v>369</v>
      </c>
      <c r="C115" s="9" t="s">
        <v>79</v>
      </c>
      <c r="D115" s="13" t="s">
        <v>370</v>
      </c>
      <c r="E115" s="9">
        <v>21</v>
      </c>
      <c r="F115" s="9">
        <v>40</v>
      </c>
      <c r="G115" s="9" t="s">
        <v>60</v>
      </c>
      <c r="H115" s="9" t="s">
        <v>76</v>
      </c>
      <c r="I115" s="9">
        <v>108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42</v>
      </c>
      <c r="O115" s="9">
        <v>40</v>
      </c>
      <c r="P115" s="10">
        <v>68.387785804799989</v>
      </c>
      <c r="Q115" s="10">
        <v>0</v>
      </c>
      <c r="R115" s="10">
        <v>68.387785804799989</v>
      </c>
      <c r="S115" s="9" t="s">
        <v>67</v>
      </c>
      <c r="T115" s="12">
        <v>45904</v>
      </c>
      <c r="U115" s="11">
        <v>3000</v>
      </c>
      <c r="V115" s="10">
        <v>0</v>
      </c>
      <c r="W115" s="10">
        <v>3000</v>
      </c>
      <c r="X115" s="10">
        <v>3100</v>
      </c>
      <c r="Y115" s="10">
        <v>0</v>
      </c>
      <c r="Z115" s="9" t="s">
        <v>120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68</v>
      </c>
      <c r="AI115" s="1">
        <v>4</v>
      </c>
      <c r="AJ115" s="3">
        <v>45904</v>
      </c>
      <c r="AK115" s="3">
        <v>45900</v>
      </c>
      <c r="AL115" s="3">
        <v>45894</v>
      </c>
      <c r="AM115" s="3">
        <v>45901</v>
      </c>
      <c r="AN115" s="3">
        <v>45902</v>
      </c>
      <c r="AO115" s="3">
        <v>45902</v>
      </c>
      <c r="AP115" s="3">
        <v>45899</v>
      </c>
      <c r="AQ115" s="3">
        <v>45903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45876</v>
      </c>
      <c r="B116" s="14" t="s">
        <v>337</v>
      </c>
      <c r="C116" s="9" t="s">
        <v>107</v>
      </c>
      <c r="D116" s="13" t="s">
        <v>317</v>
      </c>
      <c r="E116" s="9">
        <v>21</v>
      </c>
      <c r="F116" s="9">
        <v>38</v>
      </c>
      <c r="G116" s="9" t="s">
        <v>60</v>
      </c>
      <c r="H116" s="9" t="s">
        <v>66</v>
      </c>
      <c r="I116" s="9">
        <v>102</v>
      </c>
      <c r="J116" s="9" t="s">
        <v>57</v>
      </c>
      <c r="K116" s="9">
        <v>5</v>
      </c>
      <c r="L116" s="9" t="s">
        <v>90</v>
      </c>
      <c r="M116" s="10">
        <v>22</v>
      </c>
      <c r="N116" s="9">
        <v>40</v>
      </c>
      <c r="O116" s="9">
        <v>40</v>
      </c>
      <c r="P116" s="10">
        <v>65.13122457599998</v>
      </c>
      <c r="Q116" s="10">
        <v>0</v>
      </c>
      <c r="R116" s="10">
        <v>65.13122457599998</v>
      </c>
      <c r="S116" s="9" t="s">
        <v>67</v>
      </c>
      <c r="T116" s="12">
        <v>45926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120</v>
      </c>
      <c r="AA116" s="8">
        <v>3310.89</v>
      </c>
      <c r="AB116" s="8">
        <v>3310.89</v>
      </c>
      <c r="AC116" s="8">
        <v>0</v>
      </c>
      <c r="AD116" s="8">
        <v>3310.89</v>
      </c>
      <c r="AE116" s="8">
        <v>0</v>
      </c>
      <c r="AF116" s="8">
        <v>0</v>
      </c>
      <c r="AG116" s="1" t="s">
        <v>61</v>
      </c>
      <c r="AH116" s="1" t="s">
        <v>68</v>
      </c>
      <c r="AI116" s="1">
        <v>4</v>
      </c>
      <c r="AJ116" s="3">
        <v>45926</v>
      </c>
      <c r="AK116" s="3">
        <v>45922</v>
      </c>
      <c r="AL116" s="3">
        <v>45916</v>
      </c>
      <c r="AM116" s="3">
        <v>45923</v>
      </c>
      <c r="AN116" s="3">
        <v>45924</v>
      </c>
      <c r="AO116" s="3">
        <v>45924</v>
      </c>
      <c r="AP116" s="3">
        <v>45921</v>
      </c>
      <c r="AQ116" s="3">
        <v>45925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45631</v>
      </c>
      <c r="B117" s="14" t="s">
        <v>203</v>
      </c>
      <c r="C117" s="9" t="s">
        <v>109</v>
      </c>
      <c r="D117" s="13" t="s">
        <v>144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110</v>
      </c>
      <c r="T117" s="12">
        <v>45908</v>
      </c>
      <c r="U117" s="11">
        <v>16000</v>
      </c>
      <c r="V117" s="10">
        <v>0</v>
      </c>
      <c r="W117" s="10">
        <v>16000</v>
      </c>
      <c r="X117" s="10">
        <v>0</v>
      </c>
      <c r="Y117" s="10">
        <v>16800</v>
      </c>
      <c r="Z117" s="9" t="s">
        <v>120</v>
      </c>
      <c r="AA117" s="8">
        <v>17211.04</v>
      </c>
      <c r="AB117" s="8">
        <v>17211.04</v>
      </c>
      <c r="AC117" s="8">
        <v>0</v>
      </c>
      <c r="AD117" s="8">
        <v>0</v>
      </c>
      <c r="AE117" s="8">
        <v>17211.04</v>
      </c>
      <c r="AF117" s="8">
        <v>0</v>
      </c>
      <c r="AG117" s="1" t="s">
        <v>116</v>
      </c>
      <c r="AH117" s="1" t="s">
        <v>68</v>
      </c>
      <c r="AI117" s="1">
        <v>4</v>
      </c>
      <c r="AJ117" s="3">
        <v>45908</v>
      </c>
      <c r="AK117" s="3">
        <v>45904</v>
      </c>
      <c r="AL117" s="3">
        <v>45898</v>
      </c>
      <c r="AM117" s="3">
        <v>45905</v>
      </c>
      <c r="AN117" s="3">
        <v>45906</v>
      </c>
      <c r="AO117" s="3">
        <v>45906</v>
      </c>
      <c r="AP117" s="3">
        <v>45903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218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45631</v>
      </c>
      <c r="B118" s="14" t="s">
        <v>202</v>
      </c>
      <c r="C118" s="9" t="s">
        <v>109</v>
      </c>
      <c r="D118" s="13" t="s">
        <v>144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 t="s">
        <v>63</v>
      </c>
      <c r="U118" s="11">
        <v>9000</v>
      </c>
      <c r="V118" s="10">
        <v>0</v>
      </c>
      <c r="W118" s="10">
        <v>9000</v>
      </c>
      <c r="X118" s="10">
        <v>0</v>
      </c>
      <c r="Y118" s="10">
        <v>9450</v>
      </c>
      <c r="Z118" s="9" t="s">
        <v>120</v>
      </c>
      <c r="AA118" s="8">
        <v>9681.2100000000009</v>
      </c>
      <c r="AB118" s="8">
        <v>9681.2100000000009</v>
      </c>
      <c r="AC118" s="8">
        <v>0</v>
      </c>
      <c r="AD118" s="8">
        <v>0</v>
      </c>
      <c r="AE118" s="8">
        <v>9681.2100000000009</v>
      </c>
      <c r="AF118" s="8">
        <v>0</v>
      </c>
      <c r="AG118" s="1" t="s">
        <v>116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217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 t="s">
        <v>135</v>
      </c>
      <c r="B119" s="14" t="s">
        <v>135</v>
      </c>
      <c r="C119" s="9" t="s">
        <v>111</v>
      </c>
      <c r="D119" s="13" t="s">
        <v>61</v>
      </c>
      <c r="E119" s="9">
        <v>21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>
        <v>45925</v>
      </c>
      <c r="U119" s="11">
        <v>100000</v>
      </c>
      <c r="V119" s="10">
        <v>0</v>
      </c>
      <c r="W119" s="10">
        <v>100000</v>
      </c>
      <c r="X119" s="10">
        <v>0</v>
      </c>
      <c r="Y119" s="10">
        <v>105000</v>
      </c>
      <c r="Z119" s="9" t="s">
        <v>120</v>
      </c>
      <c r="AA119" s="8">
        <v>107569.00000000001</v>
      </c>
      <c r="AB119" s="8">
        <v>107569.00000000001</v>
      </c>
      <c r="AC119" s="8">
        <v>0</v>
      </c>
      <c r="AD119" s="8">
        <v>107569.00000000001</v>
      </c>
      <c r="AE119" s="8">
        <v>0</v>
      </c>
      <c r="AF119" s="8">
        <v>0</v>
      </c>
      <c r="AG119" s="1" t="s">
        <v>116</v>
      </c>
      <c r="AH119" s="1" t="s">
        <v>68</v>
      </c>
      <c r="AI119" s="1">
        <v>4</v>
      </c>
      <c r="AJ119" s="3">
        <v>45925</v>
      </c>
      <c r="AK119" s="3">
        <v>45921</v>
      </c>
      <c r="AL119" s="3">
        <v>45915</v>
      </c>
      <c r="AM119" s="3">
        <v>45922</v>
      </c>
      <c r="AN119" s="3">
        <v>45923</v>
      </c>
      <c r="AO119" s="3">
        <v>45923</v>
      </c>
      <c r="AP119" s="3">
        <v>45920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45896</v>
      </c>
      <c r="B120" s="14" t="s">
        <v>407</v>
      </c>
      <c r="C120" s="9" t="s">
        <v>107</v>
      </c>
      <c r="D120" s="13" t="s">
        <v>408</v>
      </c>
      <c r="E120" s="9">
        <v>21</v>
      </c>
      <c r="F120" s="9">
        <v>38</v>
      </c>
      <c r="G120" s="9" t="s">
        <v>60</v>
      </c>
      <c r="H120" s="9" t="s">
        <v>66</v>
      </c>
      <c r="I120" s="9">
        <v>102</v>
      </c>
      <c r="J120" s="9" t="s">
        <v>57</v>
      </c>
      <c r="K120" s="9">
        <v>5</v>
      </c>
      <c r="L120" s="9" t="s">
        <v>90</v>
      </c>
      <c r="M120" s="10">
        <v>22</v>
      </c>
      <c r="N120" s="9">
        <v>40</v>
      </c>
      <c r="O120" s="9">
        <v>40</v>
      </c>
      <c r="P120" s="10">
        <v>65.13122457599998</v>
      </c>
      <c r="Q120" s="10">
        <v>0</v>
      </c>
      <c r="R120" s="10">
        <v>65.13122457599998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120</v>
      </c>
      <c r="AA120" s="8">
        <v>3310.89</v>
      </c>
      <c r="AB120" s="8">
        <v>3310.89</v>
      </c>
      <c r="AC120" s="8">
        <v>0</v>
      </c>
      <c r="AD120" s="8">
        <v>0</v>
      </c>
      <c r="AE120" s="8">
        <v>3310.89</v>
      </c>
      <c r="AF120" s="8">
        <v>0</v>
      </c>
      <c r="AG120" s="1" t="s">
        <v>116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45896</v>
      </c>
      <c r="B121" s="14" t="s">
        <v>409</v>
      </c>
      <c r="C121" s="9" t="s">
        <v>107</v>
      </c>
      <c r="D121" s="13" t="s">
        <v>314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102</v>
      </c>
      <c r="J121" s="9" t="s">
        <v>57</v>
      </c>
      <c r="K121" s="9">
        <v>5</v>
      </c>
      <c r="L121" s="9" t="s">
        <v>90</v>
      </c>
      <c r="M121" s="10">
        <v>22</v>
      </c>
      <c r="N121" s="9">
        <v>40</v>
      </c>
      <c r="O121" s="9">
        <v>40</v>
      </c>
      <c r="P121" s="10">
        <v>108.55204095999999</v>
      </c>
      <c r="Q121" s="10">
        <v>0</v>
      </c>
      <c r="R121" s="10">
        <v>108.55204095999999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120</v>
      </c>
      <c r="AA121" s="8">
        <v>5518.15</v>
      </c>
      <c r="AB121" s="8">
        <v>5518.15</v>
      </c>
      <c r="AC121" s="8">
        <v>0</v>
      </c>
      <c r="AD121" s="8">
        <v>0</v>
      </c>
      <c r="AE121" s="8">
        <v>5518.15</v>
      </c>
      <c r="AF121" s="8">
        <v>0</v>
      </c>
      <c r="AG121" s="1" t="s">
        <v>116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45896</v>
      </c>
      <c r="B122" s="14" t="s">
        <v>410</v>
      </c>
      <c r="C122" s="9" t="s">
        <v>107</v>
      </c>
      <c r="D122" s="13" t="s">
        <v>411</v>
      </c>
      <c r="E122" s="9">
        <v>21</v>
      </c>
      <c r="F122" s="9">
        <v>38</v>
      </c>
      <c r="G122" s="9" t="s">
        <v>60</v>
      </c>
      <c r="H122" s="9" t="s">
        <v>66</v>
      </c>
      <c r="I122" s="9">
        <v>102</v>
      </c>
      <c r="J122" s="9" t="s">
        <v>57</v>
      </c>
      <c r="K122" s="9">
        <v>5</v>
      </c>
      <c r="L122" s="9" t="s">
        <v>90</v>
      </c>
      <c r="M122" s="10">
        <v>22</v>
      </c>
      <c r="N122" s="9">
        <v>40</v>
      </c>
      <c r="O122" s="9">
        <v>40</v>
      </c>
      <c r="P122" s="10">
        <v>65.13122457599998</v>
      </c>
      <c r="Q122" s="10">
        <v>0</v>
      </c>
      <c r="R122" s="10">
        <v>65.13122457599998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120</v>
      </c>
      <c r="AA122" s="8">
        <v>3310.89</v>
      </c>
      <c r="AB122" s="8">
        <v>3310.89</v>
      </c>
      <c r="AC122" s="8">
        <v>0</v>
      </c>
      <c r="AD122" s="8">
        <v>0</v>
      </c>
      <c r="AE122" s="8">
        <v>3310.89</v>
      </c>
      <c r="AF122" s="8">
        <v>0</v>
      </c>
      <c r="AG122" s="1" t="s">
        <v>116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45876</v>
      </c>
      <c r="B123" s="14" t="s">
        <v>336</v>
      </c>
      <c r="C123" s="9" t="s">
        <v>107</v>
      </c>
      <c r="D123" s="13" t="s">
        <v>316</v>
      </c>
      <c r="E123" s="9">
        <v>21</v>
      </c>
      <c r="F123" s="9">
        <v>40</v>
      </c>
      <c r="G123" s="9" t="s">
        <v>60</v>
      </c>
      <c r="H123" s="9" t="s">
        <v>66</v>
      </c>
      <c r="I123" s="9">
        <v>108</v>
      </c>
      <c r="J123" s="9" t="s">
        <v>57</v>
      </c>
      <c r="K123" s="9">
        <v>5</v>
      </c>
      <c r="L123" s="9" t="s">
        <v>91</v>
      </c>
      <c r="M123" s="10">
        <v>22</v>
      </c>
      <c r="N123" s="9">
        <v>42</v>
      </c>
      <c r="O123" s="9">
        <v>40</v>
      </c>
      <c r="P123" s="10">
        <v>68.387785804799989</v>
      </c>
      <c r="Q123" s="10">
        <v>0</v>
      </c>
      <c r="R123" s="10">
        <v>68.387785804799989</v>
      </c>
      <c r="S123" s="9" t="s">
        <v>71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120</v>
      </c>
      <c r="AA123" s="8">
        <v>3478.5300000000007</v>
      </c>
      <c r="AB123" s="8">
        <v>3478.5300000000007</v>
      </c>
      <c r="AC123" s="8">
        <v>0</v>
      </c>
      <c r="AD123" s="8">
        <v>0</v>
      </c>
      <c r="AE123" s="8">
        <v>3478.5300000000007</v>
      </c>
      <c r="AF123" s="8">
        <v>0</v>
      </c>
      <c r="AG123" s="1" t="s">
        <v>116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 t="e">
        <v>#VALUE!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121</v>
      </c>
      <c r="BD123" s="56">
        <v>0</v>
      </c>
    </row>
    <row r="124" spans="1:56" ht="27.75" customHeight="1" x14ac:dyDescent="0.45">
      <c r="A124" s="3">
        <v>45876</v>
      </c>
      <c r="B124" s="14" t="s">
        <v>338</v>
      </c>
      <c r="C124" s="9" t="s">
        <v>107</v>
      </c>
      <c r="D124" s="13" t="s">
        <v>318</v>
      </c>
      <c r="E124" s="9">
        <v>21</v>
      </c>
      <c r="F124" s="9">
        <v>40</v>
      </c>
      <c r="G124" s="9" t="s">
        <v>60</v>
      </c>
      <c r="H124" s="9" t="s">
        <v>66</v>
      </c>
      <c r="I124" s="9">
        <v>108</v>
      </c>
      <c r="J124" s="9" t="s">
        <v>57</v>
      </c>
      <c r="K124" s="9">
        <v>5</v>
      </c>
      <c r="L124" s="9" t="s">
        <v>91</v>
      </c>
      <c r="M124" s="10">
        <v>22</v>
      </c>
      <c r="N124" s="9">
        <v>42</v>
      </c>
      <c r="O124" s="9">
        <v>40</v>
      </c>
      <c r="P124" s="10">
        <v>113.97964300799998</v>
      </c>
      <c r="Q124" s="10">
        <v>0</v>
      </c>
      <c r="R124" s="10">
        <v>113.97964300799998</v>
      </c>
      <c r="S124" s="9" t="s">
        <v>71</v>
      </c>
      <c r="T124" s="12" t="s">
        <v>63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120</v>
      </c>
      <c r="AA124" s="8">
        <v>5797.55</v>
      </c>
      <c r="AB124" s="8">
        <v>5797.55</v>
      </c>
      <c r="AC124" s="8">
        <v>0</v>
      </c>
      <c r="AD124" s="8">
        <v>0</v>
      </c>
      <c r="AE124" s="8">
        <v>5797.55</v>
      </c>
      <c r="AF124" s="8">
        <v>0</v>
      </c>
      <c r="AG124" s="1" t="s">
        <v>116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121</v>
      </c>
      <c r="BD124" s="56">
        <v>0</v>
      </c>
    </row>
    <row r="125" spans="1:56" ht="27.75" customHeight="1" x14ac:dyDescent="0.45">
      <c r="A125" s="3" t="s">
        <v>135</v>
      </c>
      <c r="B125" s="14" t="s">
        <v>135</v>
      </c>
      <c r="C125" s="9" t="s">
        <v>109</v>
      </c>
      <c r="D125" s="13" t="s">
        <v>144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110</v>
      </c>
      <c r="T125" s="12" t="s">
        <v>63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120</v>
      </c>
      <c r="AA125" s="8">
        <v>10756.900000000001</v>
      </c>
      <c r="AB125" s="8">
        <v>10756.900000000001</v>
      </c>
      <c r="AC125" s="8">
        <v>0</v>
      </c>
      <c r="AD125" s="8">
        <v>0</v>
      </c>
      <c r="AE125" s="8">
        <v>10756.900000000001</v>
      </c>
      <c r="AF125" s="8">
        <v>0</v>
      </c>
      <c r="AG125" s="1" t="s">
        <v>116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121</v>
      </c>
      <c r="BD125" s="56">
        <v>0</v>
      </c>
    </row>
    <row r="126" spans="1:56" ht="27.75" customHeight="1" x14ac:dyDescent="0.45">
      <c r="A126" s="3">
        <v>45854</v>
      </c>
      <c r="B126" s="14" t="s">
        <v>295</v>
      </c>
      <c r="C126" s="9" t="s">
        <v>79</v>
      </c>
      <c r="D126" s="13" t="s">
        <v>296</v>
      </c>
      <c r="E126" s="9">
        <v>21</v>
      </c>
      <c r="F126" s="9">
        <v>38</v>
      </c>
      <c r="G126" s="9" t="s">
        <v>60</v>
      </c>
      <c r="H126" s="9" t="s">
        <v>76</v>
      </c>
      <c r="I126" s="9">
        <v>102</v>
      </c>
      <c r="J126" s="9" t="s">
        <v>57</v>
      </c>
      <c r="K126" s="9">
        <v>5</v>
      </c>
      <c r="L126" s="9" t="s">
        <v>91</v>
      </c>
      <c r="M126" s="10">
        <v>22</v>
      </c>
      <c r="N126" s="9">
        <v>40</v>
      </c>
      <c r="O126" s="9">
        <v>40</v>
      </c>
      <c r="P126" s="10">
        <v>65.13122457599998</v>
      </c>
      <c r="Q126" s="10">
        <v>0</v>
      </c>
      <c r="R126" s="10">
        <v>65.13122457599998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120</v>
      </c>
      <c r="AA126" s="8">
        <v>3310.89</v>
      </c>
      <c r="AB126" s="8">
        <v>3310.89</v>
      </c>
      <c r="AC126" s="8">
        <v>0</v>
      </c>
      <c r="AD126" s="8">
        <v>0</v>
      </c>
      <c r="AE126" s="8">
        <v>3310.89</v>
      </c>
      <c r="AF126" s="8">
        <v>0</v>
      </c>
      <c r="AG126" s="1" t="s">
        <v>116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 t="e">
        <v>#VALUE!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121</v>
      </c>
      <c r="BD126" s="56">
        <v>0</v>
      </c>
    </row>
    <row r="127" spans="1:56" ht="27.75" customHeight="1" x14ac:dyDescent="0.45">
      <c r="A127" s="3">
        <v>45854</v>
      </c>
      <c r="B127" s="14" t="s">
        <v>297</v>
      </c>
      <c r="C127" s="9" t="s">
        <v>79</v>
      </c>
      <c r="D127" s="13" t="s">
        <v>298</v>
      </c>
      <c r="E127" s="9">
        <v>21</v>
      </c>
      <c r="F127" s="9">
        <v>38</v>
      </c>
      <c r="G127" s="9" t="s">
        <v>60</v>
      </c>
      <c r="H127" s="9" t="s">
        <v>76</v>
      </c>
      <c r="I127" s="9">
        <v>102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65.13122457599998</v>
      </c>
      <c r="Q127" s="10">
        <v>0</v>
      </c>
      <c r="R127" s="10">
        <v>65.13122457599998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120</v>
      </c>
      <c r="AA127" s="8">
        <v>3310.89</v>
      </c>
      <c r="AB127" s="8">
        <v>3310.89</v>
      </c>
      <c r="AC127" s="8">
        <v>0</v>
      </c>
      <c r="AD127" s="8">
        <v>0</v>
      </c>
      <c r="AE127" s="8">
        <v>3310.89</v>
      </c>
      <c r="AF127" s="8">
        <v>0</v>
      </c>
      <c r="AG127" s="1" t="s">
        <v>115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121</v>
      </c>
      <c r="BD127" s="56">
        <v>0</v>
      </c>
    </row>
    <row r="128" spans="1:56" ht="27.75" customHeight="1" x14ac:dyDescent="0.45">
      <c r="A128" s="3">
        <v>45826</v>
      </c>
      <c r="B128" s="14" t="s">
        <v>274</v>
      </c>
      <c r="C128" s="9" t="s">
        <v>107</v>
      </c>
      <c r="D128" s="13" t="s">
        <v>262</v>
      </c>
      <c r="E128" s="9">
        <v>21</v>
      </c>
      <c r="F128" s="9">
        <v>38</v>
      </c>
      <c r="G128" s="9" t="s">
        <v>60</v>
      </c>
      <c r="H128" s="9" t="s">
        <v>66</v>
      </c>
      <c r="I128" s="9">
        <v>102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40</v>
      </c>
      <c r="O128" s="9">
        <v>40</v>
      </c>
      <c r="P128" s="10">
        <v>163.47937368575995</v>
      </c>
      <c r="Q128" s="10">
        <v>0</v>
      </c>
      <c r="R128" s="10">
        <v>163.47937368575995</v>
      </c>
      <c r="S128" s="9" t="s">
        <v>67</v>
      </c>
      <c r="T128" s="12" t="s">
        <v>63</v>
      </c>
      <c r="U128" s="11">
        <v>8000</v>
      </c>
      <c r="V128" s="10">
        <v>470</v>
      </c>
      <c r="W128" s="10">
        <v>7530</v>
      </c>
      <c r="X128" s="10">
        <v>0</v>
      </c>
      <c r="Y128" s="10">
        <v>7906.5</v>
      </c>
      <c r="Z128" s="9" t="s">
        <v>120</v>
      </c>
      <c r="AA128" s="8">
        <v>8310.3338999999996</v>
      </c>
      <c r="AB128" s="8">
        <v>8310.3338999999996</v>
      </c>
      <c r="AC128" s="8">
        <v>0</v>
      </c>
      <c r="AD128" s="8">
        <v>0</v>
      </c>
      <c r="AE128" s="8">
        <v>8310.3338999999996</v>
      </c>
      <c r="AF128" s="8">
        <v>0</v>
      </c>
      <c r="AG128" s="1" t="s">
        <v>115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121</v>
      </c>
      <c r="BD128" s="56">
        <v>0</v>
      </c>
    </row>
    <row r="129" spans="1:56" ht="27.75" customHeight="1" x14ac:dyDescent="0.45">
      <c r="A129" s="3">
        <v>45066</v>
      </c>
      <c r="B129" s="14" t="s">
        <v>126</v>
      </c>
      <c r="C129" s="9" t="s">
        <v>79</v>
      </c>
      <c r="D129" s="13" t="s">
        <v>125</v>
      </c>
      <c r="E129" s="9">
        <v>21</v>
      </c>
      <c r="F129" s="9">
        <v>38</v>
      </c>
      <c r="G129" s="9" t="s">
        <v>60</v>
      </c>
      <c r="H129" s="9" t="s">
        <v>76</v>
      </c>
      <c r="I129" s="9">
        <v>102</v>
      </c>
      <c r="J129" s="9" t="s">
        <v>57</v>
      </c>
      <c r="K129" s="9">
        <v>5</v>
      </c>
      <c r="L129" s="9" t="s">
        <v>91</v>
      </c>
      <c r="M129" s="10">
        <v>22</v>
      </c>
      <c r="N129" s="9">
        <v>40</v>
      </c>
      <c r="O129" s="9">
        <v>40</v>
      </c>
      <c r="P129" s="10">
        <v>108.55204095999999</v>
      </c>
      <c r="Q129" s="10">
        <v>0</v>
      </c>
      <c r="R129" s="10">
        <v>108.55204095999999</v>
      </c>
      <c r="S129" s="9" t="s">
        <v>67</v>
      </c>
      <c r="T129" s="12" t="s">
        <v>63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120</v>
      </c>
      <c r="AA129" s="8">
        <v>5518.15</v>
      </c>
      <c r="AB129" s="8">
        <v>5518.15</v>
      </c>
      <c r="AC129" s="8">
        <v>0</v>
      </c>
      <c r="AD129" s="8">
        <v>0</v>
      </c>
      <c r="AE129" s="8">
        <v>5518.15</v>
      </c>
      <c r="AF129" s="8">
        <v>0</v>
      </c>
      <c r="AG129" s="1" t="s">
        <v>116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121</v>
      </c>
      <c r="BD129" s="56">
        <v>0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21</v>
      </c>
      <c r="F130" s="9">
        <v>37</v>
      </c>
      <c r="G130" s="9">
        <v>0</v>
      </c>
      <c r="H130" s="9">
        <v>0</v>
      </c>
      <c r="I130" s="9">
        <v>74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 t="s">
        <v>82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120</v>
      </c>
      <c r="AA130" s="8">
        <v>190395.31390000004</v>
      </c>
      <c r="AB130" s="8">
        <v>190395.31390000004</v>
      </c>
      <c r="AC130" s="8">
        <v>0</v>
      </c>
      <c r="AD130" s="8">
        <v>110879.89000000001</v>
      </c>
      <c r="AE130" s="8">
        <v>79515.423899999994</v>
      </c>
      <c r="AF130" s="8" t="s">
        <v>58</v>
      </c>
      <c r="AG130" s="1" t="s">
        <v>61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122</v>
      </c>
      <c r="BD130" s="56">
        <v>0</v>
      </c>
    </row>
    <row r="131" spans="1:56" ht="27.75" customHeight="1" x14ac:dyDescent="0.45">
      <c r="A131" s="3" t="s">
        <v>135</v>
      </c>
      <c r="B131" s="14" t="s">
        <v>135</v>
      </c>
      <c r="C131" s="9" t="s">
        <v>216</v>
      </c>
      <c r="D131" s="13" t="s">
        <v>216</v>
      </c>
      <c r="E131" s="9">
        <v>23</v>
      </c>
      <c r="F131" s="9">
        <v>34</v>
      </c>
      <c r="G131" s="9" t="s">
        <v>60</v>
      </c>
      <c r="H131" s="9">
        <v>0</v>
      </c>
      <c r="I131" s="9">
        <v>68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>
        <v>45930</v>
      </c>
      <c r="U131" s="11">
        <v>30000</v>
      </c>
      <c r="V131" s="10">
        <v>0</v>
      </c>
      <c r="W131" s="10">
        <v>30000</v>
      </c>
      <c r="X131" s="10">
        <v>0</v>
      </c>
      <c r="Y131" s="10">
        <v>31500</v>
      </c>
      <c r="Z131" s="9" t="s">
        <v>83</v>
      </c>
      <c r="AA131" s="8">
        <v>29756.100000000002</v>
      </c>
      <c r="AB131" s="8">
        <v>27294</v>
      </c>
      <c r="AC131" s="8">
        <v>2462.1000000000022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74</v>
      </c>
      <c r="AI131" s="1">
        <v>2</v>
      </c>
      <c r="AJ131" s="3">
        <v>45930</v>
      </c>
      <c r="AK131" s="3">
        <v>0</v>
      </c>
      <c r="AL131" s="3">
        <v>45921</v>
      </c>
      <c r="AM131" s="3">
        <v>45928</v>
      </c>
      <c r="AN131" s="3">
        <v>45929</v>
      </c>
      <c r="AO131" s="3">
        <v>45929</v>
      </c>
      <c r="AP131" s="3">
        <v>45925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184.04197500000012</v>
      </c>
    </row>
    <row r="132" spans="1:56" ht="27.75" customHeight="1" x14ac:dyDescent="0.45">
      <c r="A132" s="3" t="s">
        <v>135</v>
      </c>
      <c r="B132" s="14" t="s">
        <v>135</v>
      </c>
      <c r="C132" s="9" t="s">
        <v>221</v>
      </c>
      <c r="D132" s="13" t="s">
        <v>61</v>
      </c>
      <c r="E132" s="9">
        <v>23</v>
      </c>
      <c r="F132" s="9">
        <v>34</v>
      </c>
      <c r="G132" s="9" t="s">
        <v>60</v>
      </c>
      <c r="H132" s="9">
        <v>0</v>
      </c>
      <c r="I132" s="9">
        <v>68</v>
      </c>
      <c r="J132" s="9" t="s">
        <v>57</v>
      </c>
      <c r="K132" s="9">
        <v>5</v>
      </c>
      <c r="L132" s="9" t="s">
        <v>92</v>
      </c>
      <c r="M132" s="10">
        <v>24</v>
      </c>
      <c r="N132" s="9">
        <v>37</v>
      </c>
      <c r="O132" s="9">
        <v>50</v>
      </c>
      <c r="P132" s="10">
        <v>821.54158271999995</v>
      </c>
      <c r="Q132" s="10">
        <v>0</v>
      </c>
      <c r="R132" s="10">
        <v>821.54158271999995</v>
      </c>
      <c r="S132" s="9" t="s">
        <v>123</v>
      </c>
      <c r="T132" s="12">
        <v>45930</v>
      </c>
      <c r="U132" s="11">
        <v>30000</v>
      </c>
      <c r="V132" s="10">
        <v>0</v>
      </c>
      <c r="W132" s="10">
        <v>30000</v>
      </c>
      <c r="X132" s="10">
        <v>0</v>
      </c>
      <c r="Y132" s="10">
        <v>31500</v>
      </c>
      <c r="Z132" s="9" t="s">
        <v>83</v>
      </c>
      <c r="AA132" s="8">
        <v>29756.100000000002</v>
      </c>
      <c r="AB132" s="8">
        <v>0</v>
      </c>
      <c r="AC132" s="8">
        <v>29756.100000000002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72</v>
      </c>
      <c r="AI132" s="1">
        <v>3</v>
      </c>
      <c r="AJ132" s="3">
        <v>45930</v>
      </c>
      <c r="AK132" s="3">
        <v>0</v>
      </c>
      <c r="AL132" s="3">
        <v>45920</v>
      </c>
      <c r="AM132" s="3">
        <v>45927</v>
      </c>
      <c r="AN132" s="3">
        <v>45928</v>
      </c>
      <c r="AO132" s="3">
        <v>45928</v>
      </c>
      <c r="AP132" s="3">
        <v>45925</v>
      </c>
      <c r="AQ132" s="3">
        <v>45929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2224.2684750000003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23</v>
      </c>
      <c r="F133" s="9">
        <v>34</v>
      </c>
      <c r="G133" s="9" t="s">
        <v>60</v>
      </c>
      <c r="H133" s="9">
        <v>0</v>
      </c>
      <c r="I133" s="9">
        <v>68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83</v>
      </c>
      <c r="AA133" s="8">
        <v>59512.200000000004</v>
      </c>
      <c r="AB133" s="8">
        <v>27294</v>
      </c>
      <c r="AC133" s="8">
        <v>32218.200000000004</v>
      </c>
      <c r="AD133" s="8">
        <v>0</v>
      </c>
      <c r="AE133" s="8">
        <v>0</v>
      </c>
      <c r="AF133" s="8" t="s">
        <v>58</v>
      </c>
      <c r="AG133" s="1" t="s">
        <v>118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7.75" customHeight="1" x14ac:dyDescent="0.45">
      <c r="A134" s="3">
        <v>45901</v>
      </c>
      <c r="B134" s="14" t="s">
        <v>128</v>
      </c>
      <c r="C134" s="9" t="s">
        <v>147</v>
      </c>
      <c r="D134" s="13" t="s">
        <v>59</v>
      </c>
      <c r="E134" s="9">
        <v>23</v>
      </c>
      <c r="F134" s="9">
        <v>37</v>
      </c>
      <c r="G134" s="9" t="s">
        <v>60</v>
      </c>
      <c r="H134" s="9">
        <v>0</v>
      </c>
      <c r="I134" s="9">
        <v>85</v>
      </c>
      <c r="J134" s="9" t="s">
        <v>57</v>
      </c>
      <c r="K134" s="9">
        <v>5</v>
      </c>
      <c r="L134" s="9" t="s">
        <v>92</v>
      </c>
      <c r="M134" s="10">
        <v>24</v>
      </c>
      <c r="N134" s="9">
        <v>40</v>
      </c>
      <c r="O134" s="9">
        <v>40</v>
      </c>
      <c r="P134" s="10">
        <v>118.42040831999999</v>
      </c>
      <c r="Q134" s="10">
        <v>0</v>
      </c>
      <c r="R134" s="10">
        <v>118.42040831999999</v>
      </c>
      <c r="S134" s="9" t="s">
        <v>71</v>
      </c>
      <c r="T134" s="12">
        <v>45909</v>
      </c>
      <c r="U134" s="11">
        <v>5000</v>
      </c>
      <c r="V134" s="10">
        <v>0</v>
      </c>
      <c r="W134" s="10">
        <v>5000</v>
      </c>
      <c r="X134" s="10">
        <v>0</v>
      </c>
      <c r="Y134" s="10">
        <v>0</v>
      </c>
      <c r="Z134" s="9" t="s">
        <v>418</v>
      </c>
      <c r="AA134" s="8">
        <v>5378.4500000000007</v>
      </c>
      <c r="AB134" s="8">
        <v>5378.4500000000007</v>
      </c>
      <c r="AC134" s="8">
        <v>0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313</v>
      </c>
      <c r="AI134" s="1">
        <v>2</v>
      </c>
      <c r="AJ134" s="3">
        <v>45909</v>
      </c>
      <c r="AK134" s="3">
        <v>0</v>
      </c>
      <c r="AL134" s="3">
        <v>0</v>
      </c>
      <c r="AM134" s="3">
        <v>0</v>
      </c>
      <c r="AN134" s="3">
        <v>0</v>
      </c>
      <c r="AO134" s="3">
        <v>45907</v>
      </c>
      <c r="AP134" s="3">
        <v>45904</v>
      </c>
      <c r="AQ134" s="3">
        <v>45908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419</v>
      </c>
      <c r="BD134" s="56">
        <v>0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37</v>
      </c>
      <c r="G135" s="9" t="s">
        <v>60</v>
      </c>
      <c r="H135" s="9">
        <v>0</v>
      </c>
      <c r="I135" s="9">
        <v>85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418</v>
      </c>
      <c r="AA135" s="8">
        <v>5378.4500000000007</v>
      </c>
      <c r="AB135" s="8">
        <v>5378.4500000000007</v>
      </c>
      <c r="AC135" s="8">
        <v>0</v>
      </c>
      <c r="AD135" s="8">
        <v>0</v>
      </c>
      <c r="AE135" s="8">
        <v>0</v>
      </c>
      <c r="AF135" s="8" t="s">
        <v>58</v>
      </c>
      <c r="AG135" s="1" t="s">
        <v>115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419</v>
      </c>
      <c r="BD135" s="56">
        <v>0</v>
      </c>
    </row>
    <row r="136" spans="1:56" ht="27.75" customHeight="1" x14ac:dyDescent="0.45">
      <c r="A136" s="3">
        <v>45727</v>
      </c>
      <c r="B136" s="14" t="s">
        <v>240</v>
      </c>
      <c r="C136" s="9" t="s">
        <v>111</v>
      </c>
      <c r="D136" s="13" t="s">
        <v>59</v>
      </c>
      <c r="E136" s="9">
        <v>23</v>
      </c>
      <c r="F136" s="9">
        <v>40</v>
      </c>
      <c r="G136" s="9" t="s">
        <v>60</v>
      </c>
      <c r="H136" s="9" t="s">
        <v>66</v>
      </c>
      <c r="I136" s="9">
        <v>125</v>
      </c>
      <c r="J136" s="9" t="s">
        <v>57</v>
      </c>
      <c r="K136" s="9">
        <v>5</v>
      </c>
      <c r="L136" s="9" t="s">
        <v>196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1000</v>
      </c>
      <c r="V136" s="10">
        <v>0</v>
      </c>
      <c r="W136" s="10">
        <v>1000</v>
      </c>
      <c r="X136" s="10">
        <v>0</v>
      </c>
      <c r="Y136" s="10">
        <v>0</v>
      </c>
      <c r="Z136" s="9" t="s">
        <v>213</v>
      </c>
      <c r="AA136" s="8">
        <v>1159.5100000000002</v>
      </c>
      <c r="AB136" s="8">
        <v>1159.5100000000002</v>
      </c>
      <c r="AC136" s="8">
        <v>0</v>
      </c>
      <c r="AD136" s="8">
        <v>1159.5100000000002</v>
      </c>
      <c r="AE136" s="8">
        <v>0</v>
      </c>
      <c r="AF136" s="8" t="s">
        <v>215</v>
      </c>
      <c r="AG136" s="1" t="s">
        <v>115</v>
      </c>
      <c r="AH136" s="1" t="s">
        <v>146</v>
      </c>
      <c r="AI136" s="1">
        <v>2</v>
      </c>
      <c r="AJ136" s="3" t="s">
        <v>63</v>
      </c>
      <c r="AK136" s="3" t="e">
        <v>#VALUE!</v>
      </c>
      <c r="AL136" s="3">
        <v>0</v>
      </c>
      <c r="AM136" s="3">
        <v>0</v>
      </c>
      <c r="AN136" s="3">
        <v>0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143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0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37</v>
      </c>
      <c r="G137" s="9">
        <v>0</v>
      </c>
      <c r="H137" s="9">
        <v>0</v>
      </c>
      <c r="I137" s="9">
        <v>85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213</v>
      </c>
      <c r="AA137" s="8">
        <v>1159.5100000000002</v>
      </c>
      <c r="AB137" s="8">
        <v>1159.5100000000002</v>
      </c>
      <c r="AC137" s="8">
        <v>0</v>
      </c>
      <c r="AD137" s="8">
        <v>1159.5100000000002</v>
      </c>
      <c r="AE137" s="8">
        <v>0</v>
      </c>
      <c r="AF137" s="8" t="s">
        <v>58</v>
      </c>
      <c r="AG137" s="1" t="s">
        <v>115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214</v>
      </c>
      <c r="BD137" s="56">
        <v>0</v>
      </c>
    </row>
    <row r="138" spans="1:56" ht="27.75" customHeight="1" x14ac:dyDescent="0.45">
      <c r="A138" s="3">
        <v>45601</v>
      </c>
      <c r="B138" s="14" t="s">
        <v>193</v>
      </c>
      <c r="C138" s="9" t="s">
        <v>93</v>
      </c>
      <c r="D138" s="13" t="s">
        <v>142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91</v>
      </c>
      <c r="M138" s="10">
        <v>24</v>
      </c>
      <c r="N138" s="9">
        <v>40</v>
      </c>
      <c r="O138" s="9">
        <v>55</v>
      </c>
      <c r="P138" s="10">
        <v>3207.7128103679997</v>
      </c>
      <c r="Q138" s="10">
        <v>0</v>
      </c>
      <c r="R138" s="10">
        <v>3207.7128103679997</v>
      </c>
      <c r="S138" s="9" t="s">
        <v>299</v>
      </c>
      <c r="T138" s="12" t="s">
        <v>63</v>
      </c>
      <c r="U138" s="11">
        <v>100000</v>
      </c>
      <c r="V138" s="10">
        <v>1500</v>
      </c>
      <c r="W138" s="10">
        <v>98500</v>
      </c>
      <c r="X138" s="10">
        <v>0</v>
      </c>
      <c r="Y138" s="10">
        <v>103425</v>
      </c>
      <c r="Z138" s="9" t="s">
        <v>99</v>
      </c>
      <c r="AA138" s="8">
        <v>105955.465</v>
      </c>
      <c r="AB138" s="8">
        <v>7595</v>
      </c>
      <c r="AC138" s="8">
        <v>98360.464999999997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72</v>
      </c>
      <c r="AI138" s="1">
        <v>3</v>
      </c>
      <c r="AJ138" s="3" t="s">
        <v>63</v>
      </c>
      <c r="AK138" s="3">
        <v>0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 t="e">
        <v>#VALUE!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113</v>
      </c>
      <c r="BD138" s="56">
        <v>12600.330757068057</v>
      </c>
    </row>
    <row r="139" spans="1:56" ht="27.75" customHeight="1" x14ac:dyDescent="0.45">
      <c r="A139" s="3">
        <v>45601</v>
      </c>
      <c r="B139" s="14" t="s">
        <v>193</v>
      </c>
      <c r="C139" s="9" t="s">
        <v>93</v>
      </c>
      <c r="D139" s="13" t="s">
        <v>142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40</v>
      </c>
      <c r="O139" s="9">
        <v>55</v>
      </c>
      <c r="P139" s="10">
        <v>11003.203948644863</v>
      </c>
      <c r="Q139" s="10">
        <v>0</v>
      </c>
      <c r="R139" s="10">
        <v>11003.203948644863</v>
      </c>
      <c r="S139" s="9" t="s">
        <v>299</v>
      </c>
      <c r="T139" s="12" t="s">
        <v>63</v>
      </c>
      <c r="U139" s="11">
        <v>337878</v>
      </c>
      <c r="V139" s="10">
        <v>0</v>
      </c>
      <c r="W139" s="10">
        <v>337878</v>
      </c>
      <c r="X139" s="10">
        <v>0</v>
      </c>
      <c r="Y139" s="10">
        <v>354771.9</v>
      </c>
      <c r="Z139" s="9" t="s">
        <v>99</v>
      </c>
      <c r="AA139" s="8">
        <v>363451.98582000006</v>
      </c>
      <c r="AB139" s="8">
        <v>0</v>
      </c>
      <c r="AC139" s="8">
        <v>363451.98582000006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72</v>
      </c>
      <c r="AI139" s="1">
        <v>3</v>
      </c>
      <c r="AJ139" s="3" t="s">
        <v>63</v>
      </c>
      <c r="AK139" s="3">
        <v>0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113</v>
      </c>
      <c r="BD139" s="56">
        <v>46559.511849046357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23</v>
      </c>
      <c r="F140" s="9">
        <v>37</v>
      </c>
      <c r="G140" s="9">
        <v>0</v>
      </c>
      <c r="H140" s="9">
        <v>0</v>
      </c>
      <c r="I140" s="9">
        <v>128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99</v>
      </c>
      <c r="AA140" s="8">
        <v>469407.45082000003</v>
      </c>
      <c r="AB140" s="8">
        <v>7595</v>
      </c>
      <c r="AC140" s="8">
        <v>461812.45082000003</v>
      </c>
      <c r="AD140" s="8">
        <v>0</v>
      </c>
      <c r="AE140" s="8">
        <v>0</v>
      </c>
      <c r="AF140" s="8" t="s">
        <v>58</v>
      </c>
      <c r="AG140" s="1" t="s">
        <v>115</v>
      </c>
      <c r="AH140" s="1">
        <v>0</v>
      </c>
      <c r="AI140" s="1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114</v>
      </c>
      <c r="BD140" s="56">
        <v>0</v>
      </c>
    </row>
    <row r="141" spans="1:56" ht="27.75" customHeight="1" x14ac:dyDescent="0.45">
      <c r="A141" s="3">
        <v>45894</v>
      </c>
      <c r="B141" s="14" t="s">
        <v>381</v>
      </c>
      <c r="C141" s="9" t="s">
        <v>137</v>
      </c>
      <c r="D141" s="13" t="s">
        <v>59</v>
      </c>
      <c r="E141" s="9">
        <v>26</v>
      </c>
      <c r="F141" s="9">
        <v>39</v>
      </c>
      <c r="G141" s="9" t="s">
        <v>60</v>
      </c>
      <c r="H141" s="9">
        <v>0</v>
      </c>
      <c r="I141" s="9">
        <v>93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123</v>
      </c>
      <c r="T141" s="12">
        <v>45902</v>
      </c>
      <c r="U141" s="11">
        <v>10000</v>
      </c>
      <c r="V141" s="10">
        <v>6800</v>
      </c>
      <c r="W141" s="10">
        <v>3200</v>
      </c>
      <c r="X141" s="10">
        <v>0</v>
      </c>
      <c r="Y141" s="10">
        <v>0</v>
      </c>
      <c r="Z141" s="9" t="s">
        <v>84</v>
      </c>
      <c r="AA141" s="8">
        <v>3621.0239999999999</v>
      </c>
      <c r="AB141" s="8">
        <v>0</v>
      </c>
      <c r="AC141" s="8">
        <v>3621.0239999999999</v>
      </c>
      <c r="AD141" s="8">
        <v>0</v>
      </c>
      <c r="AE141" s="8">
        <v>0</v>
      </c>
      <c r="AF141" s="8">
        <v>0</v>
      </c>
      <c r="AG141" s="1" t="s">
        <v>115</v>
      </c>
      <c r="AH141" s="1" t="s">
        <v>77</v>
      </c>
      <c r="AI141" s="1">
        <v>1</v>
      </c>
      <c r="AJ141" s="3">
        <v>45902</v>
      </c>
      <c r="AK141" s="3">
        <v>0</v>
      </c>
      <c r="AL141" s="3">
        <v>0</v>
      </c>
      <c r="AM141" s="3">
        <v>0</v>
      </c>
      <c r="AN141" s="3">
        <v>0</v>
      </c>
      <c r="AO141" s="3">
        <v>45901</v>
      </c>
      <c r="AP141" s="3">
        <v>45897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292.37757119999992</v>
      </c>
    </row>
    <row r="142" spans="1:56" ht="27.75" customHeight="1" x14ac:dyDescent="0.45">
      <c r="A142" s="3" t="s">
        <v>135</v>
      </c>
      <c r="B142" s="14" t="s">
        <v>135</v>
      </c>
      <c r="C142" s="9" t="s">
        <v>179</v>
      </c>
      <c r="D142" s="13" t="s">
        <v>61</v>
      </c>
      <c r="E142" s="9">
        <v>26</v>
      </c>
      <c r="F142" s="9">
        <v>41</v>
      </c>
      <c r="G142" s="9" t="s">
        <v>60</v>
      </c>
      <c r="H142" s="9">
        <v>0</v>
      </c>
      <c r="I142" s="9">
        <v>97</v>
      </c>
      <c r="J142" s="9" t="s">
        <v>57</v>
      </c>
      <c r="K142" s="9">
        <v>5</v>
      </c>
      <c r="L142" s="9" t="s">
        <v>91</v>
      </c>
      <c r="M142" s="10">
        <v>27</v>
      </c>
      <c r="N142" s="9">
        <v>43</v>
      </c>
      <c r="O142" s="9">
        <v>40</v>
      </c>
      <c r="P142" s="10">
        <v>229.14349009919997</v>
      </c>
      <c r="Q142" s="10">
        <v>0</v>
      </c>
      <c r="R142" s="10">
        <v>229.14349009919997</v>
      </c>
      <c r="S142" s="9" t="s">
        <v>185</v>
      </c>
      <c r="T142" s="12">
        <v>45930</v>
      </c>
      <c r="U142" s="11">
        <v>8000</v>
      </c>
      <c r="V142" s="10">
        <v>0</v>
      </c>
      <c r="W142" s="10">
        <v>8000</v>
      </c>
      <c r="X142" s="10">
        <v>0</v>
      </c>
      <c r="Y142" s="10">
        <v>8400</v>
      </c>
      <c r="Z142" s="9" t="s">
        <v>84</v>
      </c>
      <c r="AA142" s="8">
        <v>9499.6</v>
      </c>
      <c r="AB142" s="8">
        <v>0</v>
      </c>
      <c r="AC142" s="8">
        <v>9499.6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72</v>
      </c>
      <c r="AI142" s="1">
        <v>3</v>
      </c>
      <c r="AJ142" s="3">
        <v>45930</v>
      </c>
      <c r="AK142" s="3">
        <v>0</v>
      </c>
      <c r="AL142" s="3">
        <v>45920</v>
      </c>
      <c r="AM142" s="3">
        <v>45927</v>
      </c>
      <c r="AN142" s="3">
        <v>45928</v>
      </c>
      <c r="AO142" s="3">
        <v>45928</v>
      </c>
      <c r="AP142" s="3">
        <v>45925</v>
      </c>
      <c r="AQ142" s="3">
        <v>45929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767.03992444444452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26</v>
      </c>
      <c r="F143" s="9">
        <v>43</v>
      </c>
      <c r="G143" s="9" t="s">
        <v>60</v>
      </c>
      <c r="H143" s="9">
        <v>0</v>
      </c>
      <c r="I143" s="9">
        <v>102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84</v>
      </c>
      <c r="AA143" s="8">
        <v>13120.624</v>
      </c>
      <c r="AB143" s="8">
        <v>0</v>
      </c>
      <c r="AC143" s="8">
        <v>13120.624</v>
      </c>
      <c r="AD143" s="8">
        <v>0</v>
      </c>
      <c r="AE143" s="8">
        <v>0</v>
      </c>
      <c r="AF143" s="8" t="s">
        <v>58</v>
      </c>
      <c r="AG143" s="1" t="s">
        <v>115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7.75" customHeight="1" x14ac:dyDescent="0.45">
      <c r="A144" s="3" t="s">
        <v>135</v>
      </c>
      <c r="B144" s="14" t="s">
        <v>135</v>
      </c>
      <c r="C144" s="9" t="s">
        <v>109</v>
      </c>
      <c r="D144" s="13" t="s">
        <v>59</v>
      </c>
      <c r="E144" s="9">
        <v>26</v>
      </c>
      <c r="F144" s="9">
        <v>43</v>
      </c>
      <c r="G144" s="9" t="s">
        <v>60</v>
      </c>
      <c r="H144" s="9">
        <v>0</v>
      </c>
      <c r="I144" s="9">
        <v>116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110</v>
      </c>
      <c r="T144" s="12">
        <v>45925</v>
      </c>
      <c r="U144" s="11">
        <v>10000</v>
      </c>
      <c r="V144" s="10">
        <v>0</v>
      </c>
      <c r="W144" s="10">
        <v>10000</v>
      </c>
      <c r="X144" s="10">
        <v>0</v>
      </c>
      <c r="Y144" s="10">
        <v>0</v>
      </c>
      <c r="Z144" s="9" t="s">
        <v>197</v>
      </c>
      <c r="AA144" s="8">
        <v>12433.3</v>
      </c>
      <c r="AB144" s="8">
        <v>12433.3</v>
      </c>
      <c r="AC144" s="8">
        <v>0</v>
      </c>
      <c r="AD144" s="8">
        <v>0</v>
      </c>
      <c r="AE144" s="8">
        <v>0</v>
      </c>
      <c r="AF144" s="8">
        <v>0</v>
      </c>
      <c r="AG144" s="1" t="s">
        <v>118</v>
      </c>
      <c r="AH144" s="1" t="s">
        <v>77</v>
      </c>
      <c r="AI144" s="1">
        <v>1</v>
      </c>
      <c r="AJ144" s="3">
        <v>45925</v>
      </c>
      <c r="AK144" s="3">
        <v>0</v>
      </c>
      <c r="AL144" s="3">
        <v>0</v>
      </c>
      <c r="AM144" s="3">
        <v>0</v>
      </c>
      <c r="AN144" s="3">
        <v>0</v>
      </c>
      <c r="AO144" s="3">
        <v>45924</v>
      </c>
      <c r="AP144" s="3">
        <v>45920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102</v>
      </c>
      <c r="BD144" s="56">
        <v>0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26</v>
      </c>
      <c r="F145" s="9">
        <v>43</v>
      </c>
      <c r="G145" s="9">
        <v>0</v>
      </c>
      <c r="H145" s="9">
        <v>0</v>
      </c>
      <c r="I145" s="9">
        <v>116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197</v>
      </c>
      <c r="AA145" s="8">
        <v>12433.3</v>
      </c>
      <c r="AB145" s="8">
        <v>12433.3</v>
      </c>
      <c r="AC145" s="8">
        <v>0</v>
      </c>
      <c r="AD145" s="8">
        <v>0</v>
      </c>
      <c r="AE145" s="8">
        <v>0</v>
      </c>
      <c r="AF145" s="8" t="s">
        <v>58</v>
      </c>
      <c r="AG145" s="1" t="s">
        <v>118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198</v>
      </c>
      <c r="BD145" s="56">
        <v>0</v>
      </c>
    </row>
    <row r="146" spans="1:56" ht="27.75" customHeight="1" x14ac:dyDescent="0.45">
      <c r="A146" s="3" t="s">
        <v>135</v>
      </c>
      <c r="B146" s="14" t="s">
        <v>135</v>
      </c>
      <c r="C146" s="9" t="s">
        <v>109</v>
      </c>
      <c r="D146" s="13" t="s">
        <v>144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150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110</v>
      </c>
      <c r="T146" s="12">
        <v>45908</v>
      </c>
      <c r="U146" s="11">
        <v>16000</v>
      </c>
      <c r="V146" s="10">
        <v>0</v>
      </c>
      <c r="W146" s="10">
        <v>16000</v>
      </c>
      <c r="X146" s="10">
        <v>0</v>
      </c>
      <c r="Y146" s="10">
        <v>16800</v>
      </c>
      <c r="Z146" s="9" t="s">
        <v>88</v>
      </c>
      <c r="AA146" s="8">
        <v>19893.280000000002</v>
      </c>
      <c r="AB146" s="8">
        <v>19893.280000000002</v>
      </c>
      <c r="AC146" s="8">
        <v>0</v>
      </c>
      <c r="AD146" s="8">
        <v>0</v>
      </c>
      <c r="AE146" s="8">
        <v>19893.280000000002</v>
      </c>
      <c r="AF146" s="8">
        <v>0</v>
      </c>
      <c r="AG146" s="1" t="s">
        <v>115</v>
      </c>
      <c r="AH146" s="1" t="s">
        <v>75</v>
      </c>
      <c r="AI146" s="1">
        <v>4</v>
      </c>
      <c r="AJ146" s="3">
        <v>45908</v>
      </c>
      <c r="AK146" s="3">
        <v>45904</v>
      </c>
      <c r="AL146" s="3">
        <v>45897</v>
      </c>
      <c r="AM146" s="3">
        <v>45905</v>
      </c>
      <c r="AN146" s="3">
        <v>45906</v>
      </c>
      <c r="AO146" s="3">
        <v>45907</v>
      </c>
      <c r="AP146" s="3">
        <v>45903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7.75" customHeight="1" x14ac:dyDescent="0.45">
      <c r="A147" s="3">
        <v>45898</v>
      </c>
      <c r="B147" s="14" t="s">
        <v>420</v>
      </c>
      <c r="C147" s="9" t="s">
        <v>109</v>
      </c>
      <c r="D147" s="13" t="s">
        <v>59</v>
      </c>
      <c r="E147" s="9">
        <v>26</v>
      </c>
      <c r="F147" s="9">
        <v>43</v>
      </c>
      <c r="G147" s="9" t="s">
        <v>60</v>
      </c>
      <c r="H147" s="9" t="s">
        <v>66</v>
      </c>
      <c r="I147" s="9">
        <v>150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45909</v>
      </c>
      <c r="U147" s="11">
        <v>15000</v>
      </c>
      <c r="V147" s="10">
        <v>0</v>
      </c>
      <c r="W147" s="10">
        <v>15000</v>
      </c>
      <c r="X147" s="10">
        <v>0</v>
      </c>
      <c r="Y147" s="10">
        <v>0</v>
      </c>
      <c r="Z147" s="9" t="s">
        <v>88</v>
      </c>
      <c r="AA147" s="8">
        <v>18649.949999999997</v>
      </c>
      <c r="AB147" s="8">
        <v>18649.949999999997</v>
      </c>
      <c r="AC147" s="8">
        <v>0</v>
      </c>
      <c r="AD147" s="8">
        <v>0</v>
      </c>
      <c r="AE147" s="8">
        <v>18649.949999999997</v>
      </c>
      <c r="AF147" s="8">
        <v>0</v>
      </c>
      <c r="AG147" s="1" t="s">
        <v>115</v>
      </c>
      <c r="AH147" s="1" t="s">
        <v>75</v>
      </c>
      <c r="AI147" s="1">
        <v>4</v>
      </c>
      <c r="AJ147" s="3">
        <v>45909</v>
      </c>
      <c r="AK147" s="3">
        <v>45905</v>
      </c>
      <c r="AL147" s="3">
        <v>45898</v>
      </c>
      <c r="AM147" s="3">
        <v>45906</v>
      </c>
      <c r="AN147" s="3">
        <v>45907</v>
      </c>
      <c r="AO147" s="3">
        <v>45908</v>
      </c>
      <c r="AP147" s="3">
        <v>45904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7.75" customHeight="1" x14ac:dyDescent="0.45">
      <c r="A148" s="3">
        <v>45898</v>
      </c>
      <c r="B148" s="14" t="s">
        <v>421</v>
      </c>
      <c r="C148" s="9" t="s">
        <v>109</v>
      </c>
      <c r="D148" s="13" t="s">
        <v>59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110</v>
      </c>
      <c r="T148" s="12">
        <v>45917</v>
      </c>
      <c r="U148" s="11">
        <v>15000</v>
      </c>
      <c r="V148" s="10">
        <v>0</v>
      </c>
      <c r="W148" s="10">
        <v>15000</v>
      </c>
      <c r="X148" s="10">
        <v>0</v>
      </c>
      <c r="Y148" s="10">
        <v>0</v>
      </c>
      <c r="Z148" s="9" t="s">
        <v>88</v>
      </c>
      <c r="AA148" s="8">
        <v>18649.949999999997</v>
      </c>
      <c r="AB148" s="8">
        <v>18649.949999999997</v>
      </c>
      <c r="AC148" s="8">
        <v>0</v>
      </c>
      <c r="AD148" s="8">
        <v>0</v>
      </c>
      <c r="AE148" s="8">
        <v>18649.949999999997</v>
      </c>
      <c r="AF148" s="8">
        <v>0</v>
      </c>
      <c r="AG148" s="1" t="s">
        <v>115</v>
      </c>
      <c r="AH148" s="1" t="s">
        <v>75</v>
      </c>
      <c r="AI148" s="1">
        <v>4</v>
      </c>
      <c r="AJ148" s="3">
        <v>45917</v>
      </c>
      <c r="AK148" s="3">
        <v>45913</v>
      </c>
      <c r="AL148" s="3">
        <v>45906</v>
      </c>
      <c r="AM148" s="3">
        <v>45914</v>
      </c>
      <c r="AN148" s="3">
        <v>45915</v>
      </c>
      <c r="AO148" s="3">
        <v>45916</v>
      </c>
      <c r="AP148" s="3">
        <v>45912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0</v>
      </c>
    </row>
    <row r="149" spans="1:56" ht="27.7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26</v>
      </c>
      <c r="F149" s="9">
        <v>43</v>
      </c>
      <c r="G149" s="9">
        <v>0</v>
      </c>
      <c r="H149" s="9">
        <v>0</v>
      </c>
      <c r="I149" s="9">
        <v>120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88</v>
      </c>
      <c r="AA149" s="8">
        <v>57193.179999999993</v>
      </c>
      <c r="AB149" s="8">
        <v>57193.179999999993</v>
      </c>
      <c r="AC149" s="8">
        <v>0</v>
      </c>
      <c r="AD149" s="8">
        <v>0</v>
      </c>
      <c r="AE149" s="8">
        <v>57193.179999999993</v>
      </c>
      <c r="AF149" s="8" t="s">
        <v>58</v>
      </c>
      <c r="AG149" s="1" t="s">
        <v>119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0</v>
      </c>
    </row>
    <row r="150" spans="1:56" ht="27.75" customHeight="1" x14ac:dyDescent="0.45">
      <c r="A150" s="3">
        <v>45857</v>
      </c>
      <c r="B150" s="14" t="s">
        <v>300</v>
      </c>
      <c r="C150" s="9" t="s">
        <v>147</v>
      </c>
      <c r="D150" s="13" t="s">
        <v>148</v>
      </c>
      <c r="E150" s="9">
        <v>28</v>
      </c>
      <c r="F150" s="9">
        <v>41</v>
      </c>
      <c r="G150" s="9" t="s">
        <v>60</v>
      </c>
      <c r="H150" s="9">
        <v>0</v>
      </c>
      <c r="I150" s="9">
        <v>120</v>
      </c>
      <c r="J150" s="9" t="s">
        <v>78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45909</v>
      </c>
      <c r="U150" s="11">
        <v>3000</v>
      </c>
      <c r="V150" s="10">
        <v>2841</v>
      </c>
      <c r="W150" s="10">
        <v>159</v>
      </c>
      <c r="X150" s="10">
        <v>34283</v>
      </c>
      <c r="Y150" s="10">
        <v>0</v>
      </c>
      <c r="Z150" s="9" t="s">
        <v>127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115</v>
      </c>
      <c r="AH150" s="1" t="s">
        <v>74</v>
      </c>
      <c r="AI150" s="1">
        <v>2</v>
      </c>
      <c r="AJ150" s="3">
        <v>45909</v>
      </c>
      <c r="AK150" s="3">
        <v>0</v>
      </c>
      <c r="AL150" s="3">
        <v>45900</v>
      </c>
      <c r="AM150" s="3">
        <v>45907</v>
      </c>
      <c r="AN150" s="3">
        <v>45908</v>
      </c>
      <c r="AO150" s="3">
        <v>45908</v>
      </c>
      <c r="AP150" s="3">
        <v>45904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0</v>
      </c>
    </row>
    <row r="151" spans="1:56" ht="27.75" customHeight="1" x14ac:dyDescent="0.45">
      <c r="A151" s="3">
        <v>45895</v>
      </c>
      <c r="B151" s="14" t="s">
        <v>382</v>
      </c>
      <c r="C151" s="9" t="s">
        <v>147</v>
      </c>
      <c r="D151" s="13" t="s">
        <v>148</v>
      </c>
      <c r="E151" s="9">
        <v>28</v>
      </c>
      <c r="F151" s="9">
        <v>41</v>
      </c>
      <c r="G151" s="9" t="s">
        <v>60</v>
      </c>
      <c r="H151" s="9">
        <v>0</v>
      </c>
      <c r="I151" s="9">
        <v>120</v>
      </c>
      <c r="J151" s="9" t="s">
        <v>78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45909</v>
      </c>
      <c r="U151" s="11">
        <v>50000</v>
      </c>
      <c r="V151" s="10">
        <v>0</v>
      </c>
      <c r="W151" s="10">
        <v>50000</v>
      </c>
      <c r="X151" s="10">
        <v>23920</v>
      </c>
      <c r="Y151" s="10">
        <v>27384</v>
      </c>
      <c r="Z151" s="9" t="s">
        <v>127</v>
      </c>
      <c r="AA151" s="8">
        <v>32517.130800000003</v>
      </c>
      <c r="AB151" s="8">
        <v>32517.130800000003</v>
      </c>
      <c r="AC151" s="8">
        <v>0</v>
      </c>
      <c r="AD151" s="8">
        <v>0</v>
      </c>
      <c r="AE151" s="8">
        <v>0</v>
      </c>
      <c r="AF151" s="8">
        <v>0</v>
      </c>
      <c r="AG151" s="1" t="s">
        <v>115</v>
      </c>
      <c r="AH151" s="1" t="s">
        <v>74</v>
      </c>
      <c r="AI151" s="1">
        <v>2</v>
      </c>
      <c r="AJ151" s="3">
        <v>45909</v>
      </c>
      <c r="AK151" s="3">
        <v>0</v>
      </c>
      <c r="AL151" s="3">
        <v>45900</v>
      </c>
      <c r="AM151" s="3">
        <v>45907</v>
      </c>
      <c r="AN151" s="3">
        <v>45908</v>
      </c>
      <c r="AO151" s="3">
        <v>45908</v>
      </c>
      <c r="AP151" s="3">
        <v>45904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0</v>
      </c>
    </row>
    <row r="152" spans="1:56" ht="27.75" customHeight="1" x14ac:dyDescent="0.45">
      <c r="A152" s="3" t="s">
        <v>135</v>
      </c>
      <c r="B152" s="14" t="s">
        <v>135</v>
      </c>
      <c r="C152" s="9" t="s">
        <v>109</v>
      </c>
      <c r="D152" s="13" t="s">
        <v>59</v>
      </c>
      <c r="E152" s="9">
        <v>28</v>
      </c>
      <c r="F152" s="9">
        <v>47</v>
      </c>
      <c r="G152" s="9" t="s">
        <v>60</v>
      </c>
      <c r="H152" s="9" t="s">
        <v>66</v>
      </c>
      <c r="I152" s="9">
        <v>180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110</v>
      </c>
      <c r="T152" s="12">
        <v>45925</v>
      </c>
      <c r="U152" s="11">
        <v>5000</v>
      </c>
      <c r="V152" s="10">
        <v>0</v>
      </c>
      <c r="W152" s="10">
        <v>5000</v>
      </c>
      <c r="X152" s="10">
        <v>0</v>
      </c>
      <c r="Y152" s="10">
        <v>0</v>
      </c>
      <c r="Z152" s="9" t="s">
        <v>127</v>
      </c>
      <c r="AA152" s="8">
        <v>6775.4500000000007</v>
      </c>
      <c r="AB152" s="8">
        <v>3925</v>
      </c>
      <c r="AC152" s="8">
        <v>2850.4500000000007</v>
      </c>
      <c r="AD152" s="8">
        <v>0</v>
      </c>
      <c r="AE152" s="8">
        <v>6775.4500000000007</v>
      </c>
      <c r="AF152" s="8">
        <v>0</v>
      </c>
      <c r="AG152" s="1">
        <v>0</v>
      </c>
      <c r="AH152" s="1" t="s">
        <v>146</v>
      </c>
      <c r="AI152" s="1">
        <v>2</v>
      </c>
      <c r="AJ152" s="3">
        <v>45925</v>
      </c>
      <c r="AK152" s="3">
        <v>45923</v>
      </c>
      <c r="AL152" s="3">
        <v>0</v>
      </c>
      <c r="AM152" s="3">
        <v>0</v>
      </c>
      <c r="AN152" s="3">
        <v>0</v>
      </c>
      <c r="AO152" s="3">
        <v>45924</v>
      </c>
      <c r="AP152" s="3">
        <v>45920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143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320.35890833333343</v>
      </c>
    </row>
    <row r="153" spans="1:56" ht="27.75" customHeight="1" x14ac:dyDescent="0.45">
      <c r="A153" s="3">
        <v>0</v>
      </c>
      <c r="B153" s="14">
        <v>0</v>
      </c>
      <c r="C153" s="9">
        <v>0</v>
      </c>
      <c r="D153" s="13">
        <v>0</v>
      </c>
      <c r="E153" s="9">
        <v>28</v>
      </c>
      <c r="F153" s="9">
        <v>43</v>
      </c>
      <c r="G153" s="9">
        <v>0</v>
      </c>
      <c r="H153" s="9">
        <v>0</v>
      </c>
      <c r="I153" s="9">
        <v>130</v>
      </c>
      <c r="J153" s="9" t="s">
        <v>57</v>
      </c>
      <c r="K153" s="9">
        <v>3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127</v>
      </c>
      <c r="AA153" s="8">
        <v>39292.580800000003</v>
      </c>
      <c r="AB153" s="8">
        <v>36442.130799999999</v>
      </c>
      <c r="AC153" s="8">
        <v>2850.4500000000007</v>
      </c>
      <c r="AD153" s="8">
        <v>0</v>
      </c>
      <c r="AE153" s="8">
        <v>6775.4500000000007</v>
      </c>
      <c r="AF153" s="8" t="s">
        <v>58</v>
      </c>
      <c r="AG153" s="1">
        <v>0</v>
      </c>
      <c r="AH153" s="1">
        <v>0</v>
      </c>
      <c r="AI153" s="1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149</v>
      </c>
      <c r="BD153" s="56">
        <v>0</v>
      </c>
    </row>
  </sheetData>
  <autoFilter ref="A5:BD153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53">
    <cfRule type="expression" dxfId="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5A23D-0ADB-477E-B7ED-1BFF04D3CA82}">
  <sheetPr>
    <tabColor rgb="FFFFFF00"/>
  </sheetPr>
  <dimension ref="A1:BD153"/>
  <sheetViews>
    <sheetView topLeftCell="A5" zoomScale="80" zoomScaleNormal="80" workbookViewId="0">
      <selection activeCell="E9" sqref="E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45899</v>
      </c>
      <c r="E3" s="82" t="s">
        <v>52</v>
      </c>
      <c r="F3" s="82"/>
      <c r="G3" s="83">
        <v>11.3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45842</v>
      </c>
      <c r="B6" s="14" t="s">
        <v>283</v>
      </c>
      <c r="C6" s="9" t="s">
        <v>276</v>
      </c>
      <c r="D6" s="13" t="s">
        <v>277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132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287</v>
      </c>
      <c r="AG6" s="1" t="s">
        <v>116</v>
      </c>
      <c r="AH6" s="1" t="s">
        <v>68</v>
      </c>
      <c r="AI6" s="1">
        <v>4</v>
      </c>
      <c r="AJ6" s="3" t="s">
        <v>132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45896</v>
      </c>
      <c r="B7" s="14" t="s">
        <v>383</v>
      </c>
      <c r="C7" s="9" t="s">
        <v>233</v>
      </c>
      <c r="D7" s="13" t="s">
        <v>379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>
        <v>45908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234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3702.0499999999997</v>
      </c>
      <c r="AF7" s="8">
        <v>0</v>
      </c>
      <c r="AG7" s="1" t="s">
        <v>116</v>
      </c>
      <c r="AH7" s="1" t="s">
        <v>68</v>
      </c>
      <c r="AI7" s="1">
        <v>4</v>
      </c>
      <c r="AJ7" s="3">
        <v>45908</v>
      </c>
      <c r="AK7" s="3">
        <v>45904</v>
      </c>
      <c r="AL7" s="3">
        <v>45898</v>
      </c>
      <c r="AM7" s="3">
        <v>45905</v>
      </c>
      <c r="AN7" s="3">
        <v>45906</v>
      </c>
      <c r="AO7" s="3">
        <v>45906</v>
      </c>
      <c r="AP7" s="3">
        <v>45903</v>
      </c>
      <c r="AQ7" s="3">
        <v>45907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 t="s">
        <v>360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234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3702.0499999999997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129</v>
      </c>
      <c r="BD8" s="56">
        <v>0</v>
      </c>
    </row>
    <row r="9" spans="1:56" ht="27.75" customHeight="1" x14ac:dyDescent="0.45">
      <c r="A9" s="3">
        <v>45897</v>
      </c>
      <c r="B9" s="14" t="s">
        <v>384</v>
      </c>
      <c r="C9" s="9" t="s">
        <v>73</v>
      </c>
      <c r="D9" s="13" t="s">
        <v>385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141</v>
      </c>
      <c r="T9" s="12">
        <v>45904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386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0</v>
      </c>
      <c r="AF9" s="8">
        <v>0</v>
      </c>
      <c r="AG9" s="1" t="s">
        <v>61</v>
      </c>
      <c r="AH9" s="1" t="s">
        <v>74</v>
      </c>
      <c r="AI9" s="1">
        <v>2</v>
      </c>
      <c r="AJ9" s="3">
        <v>45904</v>
      </c>
      <c r="AK9" s="3">
        <v>0</v>
      </c>
      <c r="AL9" s="3">
        <v>45895</v>
      </c>
      <c r="AM9" s="3">
        <v>45902</v>
      </c>
      <c r="AN9" s="3">
        <v>45903</v>
      </c>
      <c r="AO9" s="3">
        <v>45903</v>
      </c>
      <c r="AP9" s="3">
        <v>45899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226.40092444444446</v>
      </c>
    </row>
    <row r="10" spans="1:56" ht="27.75" customHeight="1" x14ac:dyDescent="0.45">
      <c r="A10" s="3">
        <v>45897</v>
      </c>
      <c r="B10" s="14" t="s">
        <v>384</v>
      </c>
      <c r="C10" s="9" t="s">
        <v>73</v>
      </c>
      <c r="D10" s="13" t="s">
        <v>412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141</v>
      </c>
      <c r="T10" s="12">
        <v>45909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386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45909</v>
      </c>
      <c r="AK10" s="3">
        <v>0</v>
      </c>
      <c r="AL10" s="3">
        <v>45900</v>
      </c>
      <c r="AM10" s="3">
        <v>45907</v>
      </c>
      <c r="AN10" s="3">
        <v>45908</v>
      </c>
      <c r="AO10" s="3">
        <v>45908</v>
      </c>
      <c r="AP10" s="3">
        <v>45904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226.40092444444446</v>
      </c>
    </row>
    <row r="11" spans="1:56" ht="27.75" customHeight="1" x14ac:dyDescent="0.45">
      <c r="A11" s="3">
        <v>45897</v>
      </c>
      <c r="B11" s="14" t="s">
        <v>384</v>
      </c>
      <c r="C11" s="9" t="s">
        <v>73</v>
      </c>
      <c r="D11" s="13" t="s">
        <v>413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141</v>
      </c>
      <c r="T11" s="12">
        <v>45909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386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0</v>
      </c>
      <c r="AF11" s="8">
        <v>0</v>
      </c>
      <c r="AG11" s="1" t="s">
        <v>115</v>
      </c>
      <c r="AH11" s="1" t="s">
        <v>74</v>
      </c>
      <c r="AI11" s="1">
        <v>2</v>
      </c>
      <c r="AJ11" s="3">
        <v>45909</v>
      </c>
      <c r="AK11" s="3">
        <v>0</v>
      </c>
      <c r="AL11" s="3">
        <v>45900</v>
      </c>
      <c r="AM11" s="3">
        <v>45907</v>
      </c>
      <c r="AN11" s="3">
        <v>45908</v>
      </c>
      <c r="AO11" s="3">
        <v>45908</v>
      </c>
      <c r="AP11" s="3">
        <v>45904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226.40092444444446</v>
      </c>
    </row>
    <row r="12" spans="1:56" ht="27.75" customHeight="1" x14ac:dyDescent="0.45">
      <c r="A12" s="3">
        <v>45897</v>
      </c>
      <c r="B12" s="14" t="s">
        <v>384</v>
      </c>
      <c r="C12" s="9" t="s">
        <v>73</v>
      </c>
      <c r="D12" s="13" t="s">
        <v>61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141</v>
      </c>
      <c r="T12" s="12" t="s">
        <v>63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386</v>
      </c>
      <c r="AA12" s="8">
        <v>3702.0499999999997</v>
      </c>
      <c r="AB12" s="8">
        <v>0</v>
      </c>
      <c r="AC12" s="8">
        <v>3702.0499999999997</v>
      </c>
      <c r="AD12" s="8">
        <v>0</v>
      </c>
      <c r="AE12" s="8">
        <v>0</v>
      </c>
      <c r="AF12" s="8">
        <v>0</v>
      </c>
      <c r="AG12" s="1" t="s">
        <v>115</v>
      </c>
      <c r="AH12" s="1" t="s">
        <v>74</v>
      </c>
      <c r="AI12" s="1">
        <v>2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226.40092444444446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386</v>
      </c>
      <c r="AA13" s="8">
        <v>14808.199999999999</v>
      </c>
      <c r="AB13" s="8">
        <v>0</v>
      </c>
      <c r="AC13" s="8">
        <v>14808.199999999999</v>
      </c>
      <c r="AD13" s="8">
        <v>0</v>
      </c>
      <c r="AE13" s="8">
        <v>0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129</v>
      </c>
      <c r="BD13" s="56">
        <v>0</v>
      </c>
    </row>
    <row r="14" spans="1:56" ht="27.75" customHeight="1" x14ac:dyDescent="0.45">
      <c r="A14" s="3" t="s">
        <v>135</v>
      </c>
      <c r="B14" s="14" t="s">
        <v>135</v>
      </c>
      <c r="C14" s="9" t="s">
        <v>211</v>
      </c>
      <c r="D14" s="13" t="s">
        <v>236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91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 t="s">
        <v>63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133</v>
      </c>
      <c r="AA14" s="8">
        <v>13201.65</v>
      </c>
      <c r="AB14" s="8">
        <v>2599</v>
      </c>
      <c r="AC14" s="8">
        <v>10602.65</v>
      </c>
      <c r="AD14" s="8">
        <v>0</v>
      </c>
      <c r="AE14" s="8">
        <v>0</v>
      </c>
      <c r="AF14" s="8">
        <v>0</v>
      </c>
      <c r="AG14" s="1" t="s">
        <v>116</v>
      </c>
      <c r="AH14" s="1" t="s">
        <v>72</v>
      </c>
      <c r="AI14" s="1">
        <v>3</v>
      </c>
      <c r="AJ14" s="3" t="s">
        <v>63</v>
      </c>
      <c r="AK14" s="3">
        <v>0</v>
      </c>
      <c r="AL14" s="3" t="e">
        <v>#VALUE!</v>
      </c>
      <c r="AM14" s="3" t="e">
        <v>#VALUE!</v>
      </c>
      <c r="AN14" s="3" t="e">
        <v>#VALUE!</v>
      </c>
      <c r="AO14" s="3" t="e">
        <v>#VALUE!</v>
      </c>
      <c r="AP14" s="3" t="e">
        <v>#VALUE!</v>
      </c>
      <c r="AQ14" s="3" t="e">
        <v>#VALUE!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729.46232000000009</v>
      </c>
    </row>
    <row r="15" spans="1:56" ht="27.75" customHeight="1" x14ac:dyDescent="0.45">
      <c r="A15" s="3">
        <v>0</v>
      </c>
      <c r="B15" s="14">
        <v>0</v>
      </c>
      <c r="C15" s="9" t="s">
        <v>201</v>
      </c>
      <c r="D15" s="13" t="s">
        <v>95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133</v>
      </c>
      <c r="AA15" s="8">
        <v>13201.65</v>
      </c>
      <c r="AB15" s="8">
        <v>2599</v>
      </c>
      <c r="AC15" s="8">
        <v>10602.65</v>
      </c>
      <c r="AD15" s="8">
        <v>0</v>
      </c>
      <c r="AE15" s="8">
        <v>0</v>
      </c>
      <c r="AF15" s="8" t="s">
        <v>58</v>
      </c>
      <c r="AG15" s="1" t="s">
        <v>116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45898</v>
      </c>
      <c r="B16" s="14" t="s">
        <v>414</v>
      </c>
      <c r="C16" s="9" t="s">
        <v>136</v>
      </c>
      <c r="D16" s="13" t="s">
        <v>124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45910</v>
      </c>
      <c r="U16" s="11">
        <v>50000</v>
      </c>
      <c r="V16" s="10">
        <v>0</v>
      </c>
      <c r="W16" s="10">
        <v>50000</v>
      </c>
      <c r="X16" s="10">
        <v>0</v>
      </c>
      <c r="Y16" s="10">
        <v>52500</v>
      </c>
      <c r="Z16" s="9" t="s">
        <v>168</v>
      </c>
      <c r="AA16" s="8">
        <v>44005.499999999993</v>
      </c>
      <c r="AB16" s="8">
        <v>24047</v>
      </c>
      <c r="AC16" s="8">
        <v>19958.499999999993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45910</v>
      </c>
      <c r="AK16" s="3">
        <v>0</v>
      </c>
      <c r="AL16" s="3">
        <v>45901</v>
      </c>
      <c r="AM16" s="3">
        <v>45908</v>
      </c>
      <c r="AN16" s="3">
        <v>45909</v>
      </c>
      <c r="AO16" s="3">
        <v>45909</v>
      </c>
      <c r="AP16" s="3">
        <v>45905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1449.4306222222219</v>
      </c>
    </row>
    <row r="17" spans="1:56" ht="27.75" customHeight="1" x14ac:dyDescent="0.45">
      <c r="A17" s="3">
        <v>45898</v>
      </c>
      <c r="B17" s="14" t="s">
        <v>415</v>
      </c>
      <c r="C17" s="9" t="s">
        <v>136</v>
      </c>
      <c r="D17" s="13" t="s">
        <v>199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45910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168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45910</v>
      </c>
      <c r="AK17" s="3">
        <v>0</v>
      </c>
      <c r="AL17" s="3">
        <v>45901</v>
      </c>
      <c r="AM17" s="3">
        <v>45908</v>
      </c>
      <c r="AN17" s="3">
        <v>45909</v>
      </c>
      <c r="AO17" s="3">
        <v>45909</v>
      </c>
      <c r="AP17" s="3">
        <v>45905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2556.6217600000009</v>
      </c>
    </row>
    <row r="18" spans="1:56" ht="27.75" customHeight="1" x14ac:dyDescent="0.45">
      <c r="A18" s="3" t="s">
        <v>135</v>
      </c>
      <c r="B18" s="14" t="s">
        <v>135</v>
      </c>
      <c r="C18" s="9" t="s">
        <v>237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45925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168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45925</v>
      </c>
      <c r="AK18" s="3">
        <v>0</v>
      </c>
      <c r="AL18" s="3">
        <v>45916</v>
      </c>
      <c r="AM18" s="3">
        <v>45923</v>
      </c>
      <c r="AN18" s="3">
        <v>45924</v>
      </c>
      <c r="AO18" s="3">
        <v>45924</v>
      </c>
      <c r="AP18" s="3">
        <v>45920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45">
      <c r="A19" s="3" t="s">
        <v>135</v>
      </c>
      <c r="B19" s="14" t="s">
        <v>135</v>
      </c>
      <c r="C19" s="9" t="s">
        <v>204</v>
      </c>
      <c r="D19" s="13" t="s">
        <v>205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45925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168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117</v>
      </c>
      <c r="AH19" s="1" t="s">
        <v>72</v>
      </c>
      <c r="AI19" s="1">
        <v>3</v>
      </c>
      <c r="AJ19" s="3">
        <v>45925</v>
      </c>
      <c r="AK19" s="3">
        <v>0</v>
      </c>
      <c r="AL19" s="3">
        <v>45915</v>
      </c>
      <c r="AM19" s="3">
        <v>45922</v>
      </c>
      <c r="AN19" s="3">
        <v>45923</v>
      </c>
      <c r="AO19" s="3">
        <v>45923</v>
      </c>
      <c r="AP19" s="3">
        <v>45920</v>
      </c>
      <c r="AQ19" s="3">
        <v>45924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1343.6356095653334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168</v>
      </c>
      <c r="AA20" s="8">
        <v>132916.01432999998</v>
      </c>
      <c r="AB20" s="8">
        <v>24047</v>
      </c>
      <c r="AC20" s="8">
        <v>108869.01432999999</v>
      </c>
      <c r="AD20" s="8">
        <v>0</v>
      </c>
      <c r="AE20" s="8">
        <v>0</v>
      </c>
      <c r="AF20" s="8" t="s">
        <v>58</v>
      </c>
      <c r="AG20" s="1" t="s">
        <v>117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45896</v>
      </c>
      <c r="B21" s="14" t="s">
        <v>387</v>
      </c>
      <c r="C21" s="9" t="s">
        <v>73</v>
      </c>
      <c r="D21" s="13" t="s">
        <v>189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45902</v>
      </c>
      <c r="U21" s="11">
        <v>10000</v>
      </c>
      <c r="V21" s="10">
        <v>5000</v>
      </c>
      <c r="W21" s="10">
        <v>5000</v>
      </c>
      <c r="X21" s="10">
        <v>10500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117</v>
      </c>
      <c r="AH21" s="1" t="s">
        <v>74</v>
      </c>
      <c r="AI21" s="1">
        <v>2</v>
      </c>
      <c r="AJ21" s="3">
        <v>45902</v>
      </c>
      <c r="AK21" s="3">
        <v>0</v>
      </c>
      <c r="AL21" s="3">
        <v>45893</v>
      </c>
      <c r="AM21" s="3">
        <v>45900</v>
      </c>
      <c r="AN21" s="3">
        <v>45901</v>
      </c>
      <c r="AO21" s="3">
        <v>45901</v>
      </c>
      <c r="AP21" s="3">
        <v>45897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45896</v>
      </c>
      <c r="B22" s="14" t="s">
        <v>387</v>
      </c>
      <c r="C22" s="9" t="s">
        <v>73</v>
      </c>
      <c r="D22" s="13" t="s">
        <v>281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45902</v>
      </c>
      <c r="U22" s="11">
        <v>5000</v>
      </c>
      <c r="V22" s="10">
        <v>0</v>
      </c>
      <c r="W22" s="10">
        <v>5000</v>
      </c>
      <c r="X22" s="10">
        <v>5250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116</v>
      </c>
      <c r="AH22" s="1" t="s">
        <v>74</v>
      </c>
      <c r="AI22" s="1">
        <v>2</v>
      </c>
      <c r="AJ22" s="3">
        <v>45902</v>
      </c>
      <c r="AK22" s="3">
        <v>0</v>
      </c>
      <c r="AL22" s="3">
        <v>45893</v>
      </c>
      <c r="AM22" s="3">
        <v>45900</v>
      </c>
      <c r="AN22" s="3">
        <v>45901</v>
      </c>
      <c r="AO22" s="3">
        <v>45901</v>
      </c>
      <c r="AP22" s="3">
        <v>45897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45896</v>
      </c>
      <c r="B23" s="14" t="s">
        <v>387</v>
      </c>
      <c r="C23" s="9" t="s">
        <v>73</v>
      </c>
      <c r="D23" s="13" t="s">
        <v>388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45902</v>
      </c>
      <c r="U23" s="11">
        <v>5000</v>
      </c>
      <c r="V23" s="10">
        <v>0</v>
      </c>
      <c r="W23" s="10">
        <v>5000</v>
      </c>
      <c r="X23" s="10">
        <v>5450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116</v>
      </c>
      <c r="AH23" s="1" t="s">
        <v>74</v>
      </c>
      <c r="AI23" s="1">
        <v>2</v>
      </c>
      <c r="AJ23" s="3">
        <v>45902</v>
      </c>
      <c r="AK23" s="3">
        <v>0</v>
      </c>
      <c r="AL23" s="3">
        <v>45893</v>
      </c>
      <c r="AM23" s="3">
        <v>45900</v>
      </c>
      <c r="AN23" s="3">
        <v>45901</v>
      </c>
      <c r="AO23" s="3">
        <v>45901</v>
      </c>
      <c r="AP23" s="3">
        <v>45897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45896</v>
      </c>
      <c r="B24" s="14" t="s">
        <v>387</v>
      </c>
      <c r="C24" s="9" t="s">
        <v>73</v>
      </c>
      <c r="D24" s="13" t="s">
        <v>275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45902</v>
      </c>
      <c r="U24" s="11">
        <v>5000</v>
      </c>
      <c r="V24" s="10">
        <v>0</v>
      </c>
      <c r="W24" s="10">
        <v>5000</v>
      </c>
      <c r="X24" s="10">
        <v>5250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116</v>
      </c>
      <c r="AH24" s="1" t="s">
        <v>74</v>
      </c>
      <c r="AI24" s="1">
        <v>2</v>
      </c>
      <c r="AJ24" s="3">
        <v>45902</v>
      </c>
      <c r="AK24" s="3">
        <v>0</v>
      </c>
      <c r="AL24" s="3">
        <v>45893</v>
      </c>
      <c r="AM24" s="3">
        <v>45900</v>
      </c>
      <c r="AN24" s="3">
        <v>45901</v>
      </c>
      <c r="AO24" s="3">
        <v>45901</v>
      </c>
      <c r="AP24" s="3">
        <v>45897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45896</v>
      </c>
      <c r="B25" s="14" t="s">
        <v>387</v>
      </c>
      <c r="C25" s="9" t="s">
        <v>73</v>
      </c>
      <c r="D25" s="13" t="s">
        <v>266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45904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172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>
        <v>0</v>
      </c>
      <c r="AG25" s="1" t="s">
        <v>116</v>
      </c>
      <c r="AH25" s="1" t="s">
        <v>74</v>
      </c>
      <c r="AI25" s="1">
        <v>2</v>
      </c>
      <c r="AJ25" s="3">
        <v>45904</v>
      </c>
      <c r="AK25" s="3">
        <v>0</v>
      </c>
      <c r="AL25" s="3">
        <v>45895</v>
      </c>
      <c r="AM25" s="3">
        <v>45902</v>
      </c>
      <c r="AN25" s="3">
        <v>45903</v>
      </c>
      <c r="AO25" s="3">
        <v>45903</v>
      </c>
      <c r="AP25" s="3">
        <v>45899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45896</v>
      </c>
      <c r="B26" s="14" t="s">
        <v>387</v>
      </c>
      <c r="C26" s="9" t="s">
        <v>73</v>
      </c>
      <c r="D26" s="13">
        <v>997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45904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172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>
        <v>0</v>
      </c>
      <c r="AG26" s="1" t="s">
        <v>116</v>
      </c>
      <c r="AH26" s="1" t="s">
        <v>74</v>
      </c>
      <c r="AI26" s="1">
        <v>2</v>
      </c>
      <c r="AJ26" s="3">
        <v>45904</v>
      </c>
      <c r="AK26" s="3">
        <v>0</v>
      </c>
      <c r="AL26" s="3">
        <v>45895</v>
      </c>
      <c r="AM26" s="3">
        <v>45902</v>
      </c>
      <c r="AN26" s="3">
        <v>45903</v>
      </c>
      <c r="AO26" s="3">
        <v>45903</v>
      </c>
      <c r="AP26" s="3">
        <v>45899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45896</v>
      </c>
      <c r="B27" s="14" t="s">
        <v>387</v>
      </c>
      <c r="C27" s="9" t="s">
        <v>73</v>
      </c>
      <c r="D27" s="13" t="s">
        <v>327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45904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172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>
        <v>0</v>
      </c>
      <c r="AG27" s="1" t="s">
        <v>119</v>
      </c>
      <c r="AH27" s="1" t="s">
        <v>74</v>
      </c>
      <c r="AI27" s="1">
        <v>2</v>
      </c>
      <c r="AJ27" s="3">
        <v>45904</v>
      </c>
      <c r="AK27" s="3">
        <v>0</v>
      </c>
      <c r="AL27" s="3">
        <v>45895</v>
      </c>
      <c r="AM27" s="3">
        <v>45902</v>
      </c>
      <c r="AN27" s="3">
        <v>45903</v>
      </c>
      <c r="AO27" s="3">
        <v>45903</v>
      </c>
      <c r="AP27" s="3">
        <v>45899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45896</v>
      </c>
      <c r="B28" s="14" t="s">
        <v>387</v>
      </c>
      <c r="C28" s="9" t="s">
        <v>73</v>
      </c>
      <c r="D28" s="13" t="s">
        <v>389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45904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172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>
        <v>0</v>
      </c>
      <c r="AG28" s="1" t="s">
        <v>116</v>
      </c>
      <c r="AH28" s="1" t="s">
        <v>74</v>
      </c>
      <c r="AI28" s="1">
        <v>2</v>
      </c>
      <c r="AJ28" s="3">
        <v>45904</v>
      </c>
      <c r="AK28" s="3">
        <v>0</v>
      </c>
      <c r="AL28" s="3">
        <v>45895</v>
      </c>
      <c r="AM28" s="3">
        <v>45902</v>
      </c>
      <c r="AN28" s="3">
        <v>45903</v>
      </c>
      <c r="AO28" s="3">
        <v>45903</v>
      </c>
      <c r="AP28" s="3">
        <v>45899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45896</v>
      </c>
      <c r="B29" s="14" t="s">
        <v>387</v>
      </c>
      <c r="C29" s="9" t="s">
        <v>73</v>
      </c>
      <c r="D29" s="13" t="s">
        <v>294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45904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172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>
        <v>0</v>
      </c>
      <c r="AG29" s="1" t="s">
        <v>116</v>
      </c>
      <c r="AH29" s="1" t="s">
        <v>74</v>
      </c>
      <c r="AI29" s="1">
        <v>2</v>
      </c>
      <c r="AJ29" s="3">
        <v>45904</v>
      </c>
      <c r="AK29" s="3">
        <v>0</v>
      </c>
      <c r="AL29" s="3">
        <v>45895</v>
      </c>
      <c r="AM29" s="3">
        <v>45902</v>
      </c>
      <c r="AN29" s="3">
        <v>45903</v>
      </c>
      <c r="AO29" s="3">
        <v>45903</v>
      </c>
      <c r="AP29" s="3">
        <v>45899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45896</v>
      </c>
      <c r="B30" s="14" t="s">
        <v>390</v>
      </c>
      <c r="C30" s="9" t="s">
        <v>73</v>
      </c>
      <c r="D30" s="13" t="s">
        <v>288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45904</v>
      </c>
      <c r="U30" s="11">
        <v>10000</v>
      </c>
      <c r="V30" s="10">
        <v>0</v>
      </c>
      <c r="W30" s="10">
        <v>10000</v>
      </c>
      <c r="X30" s="10">
        <v>7780</v>
      </c>
      <c r="Y30" s="10">
        <v>2331</v>
      </c>
      <c r="Z30" s="9" t="s">
        <v>172</v>
      </c>
      <c r="AA30" s="8">
        <v>2181.7926900000002</v>
      </c>
      <c r="AB30" s="8">
        <v>2181.7926900000002</v>
      </c>
      <c r="AC30" s="8">
        <v>0</v>
      </c>
      <c r="AD30" s="8">
        <v>0</v>
      </c>
      <c r="AE30" s="8">
        <v>0</v>
      </c>
      <c r="AF30" s="8">
        <v>0</v>
      </c>
      <c r="AG30" s="1" t="s">
        <v>116</v>
      </c>
      <c r="AH30" s="1" t="s">
        <v>74</v>
      </c>
      <c r="AI30" s="1">
        <v>2</v>
      </c>
      <c r="AJ30" s="3">
        <v>45904</v>
      </c>
      <c r="AK30" s="3">
        <v>0</v>
      </c>
      <c r="AL30" s="3">
        <v>45895</v>
      </c>
      <c r="AM30" s="3">
        <v>45902</v>
      </c>
      <c r="AN30" s="3">
        <v>45903</v>
      </c>
      <c r="AO30" s="3">
        <v>45903</v>
      </c>
      <c r="AP30" s="3">
        <v>45899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45896</v>
      </c>
      <c r="B31" s="14" t="s">
        <v>390</v>
      </c>
      <c r="C31" s="9" t="s">
        <v>73</v>
      </c>
      <c r="D31" s="13" t="s">
        <v>391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45904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172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>
        <v>0</v>
      </c>
      <c r="AG31" s="1" t="s">
        <v>116</v>
      </c>
      <c r="AH31" s="1" t="s">
        <v>74</v>
      </c>
      <c r="AI31" s="1">
        <v>2</v>
      </c>
      <c r="AJ31" s="3">
        <v>45904</v>
      </c>
      <c r="AK31" s="3">
        <v>0</v>
      </c>
      <c r="AL31" s="3">
        <v>45895</v>
      </c>
      <c r="AM31" s="3">
        <v>45902</v>
      </c>
      <c r="AN31" s="3">
        <v>45903</v>
      </c>
      <c r="AO31" s="3">
        <v>45903</v>
      </c>
      <c r="AP31" s="3">
        <v>45899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45896</v>
      </c>
      <c r="B32" s="14" t="s">
        <v>390</v>
      </c>
      <c r="C32" s="9" t="s">
        <v>73</v>
      </c>
      <c r="D32" s="13" t="s">
        <v>392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45904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172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>
        <v>0</v>
      </c>
      <c r="AG32" s="1" t="s">
        <v>115</v>
      </c>
      <c r="AH32" s="1" t="s">
        <v>74</v>
      </c>
      <c r="AI32" s="1">
        <v>2</v>
      </c>
      <c r="AJ32" s="3">
        <v>45904</v>
      </c>
      <c r="AK32" s="3">
        <v>0</v>
      </c>
      <c r="AL32" s="3">
        <v>45895</v>
      </c>
      <c r="AM32" s="3">
        <v>45902</v>
      </c>
      <c r="AN32" s="3">
        <v>45903</v>
      </c>
      <c r="AO32" s="3">
        <v>45903</v>
      </c>
      <c r="AP32" s="3">
        <v>45899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45896</v>
      </c>
      <c r="B33" s="14" t="s">
        <v>387</v>
      </c>
      <c r="C33" s="9" t="s">
        <v>73</v>
      </c>
      <c r="D33" s="13" t="s">
        <v>288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45906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172</v>
      </c>
      <c r="AA33" s="8">
        <v>9359.9000000000015</v>
      </c>
      <c r="AB33" s="8">
        <v>9359.9000000000015</v>
      </c>
      <c r="AC33" s="8">
        <v>0</v>
      </c>
      <c r="AD33" s="8">
        <v>0</v>
      </c>
      <c r="AE33" s="8">
        <v>0</v>
      </c>
      <c r="AF33" s="8">
        <v>0</v>
      </c>
      <c r="AG33" s="1" t="s">
        <v>116</v>
      </c>
      <c r="AH33" s="1" t="s">
        <v>74</v>
      </c>
      <c r="AI33" s="1">
        <v>2</v>
      </c>
      <c r="AJ33" s="3">
        <v>45906</v>
      </c>
      <c r="AK33" s="3">
        <v>0</v>
      </c>
      <c r="AL33" s="3">
        <v>45897</v>
      </c>
      <c r="AM33" s="3">
        <v>45904</v>
      </c>
      <c r="AN33" s="3">
        <v>45905</v>
      </c>
      <c r="AO33" s="3">
        <v>45905</v>
      </c>
      <c r="AP33" s="3">
        <v>45901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45896</v>
      </c>
      <c r="B34" s="14" t="s">
        <v>387</v>
      </c>
      <c r="C34" s="9" t="s">
        <v>73</v>
      </c>
      <c r="D34" s="13" t="s">
        <v>282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45906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>
        <v>0</v>
      </c>
      <c r="AG34" s="1" t="s">
        <v>116</v>
      </c>
      <c r="AH34" s="1" t="s">
        <v>74</v>
      </c>
      <c r="AI34" s="1">
        <v>2</v>
      </c>
      <c r="AJ34" s="3">
        <v>45906</v>
      </c>
      <c r="AK34" s="3">
        <v>0</v>
      </c>
      <c r="AL34" s="3">
        <v>45897</v>
      </c>
      <c r="AM34" s="3">
        <v>45904</v>
      </c>
      <c r="AN34" s="3">
        <v>45905</v>
      </c>
      <c r="AO34" s="3">
        <v>45905</v>
      </c>
      <c r="AP34" s="3">
        <v>45901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45896</v>
      </c>
      <c r="B35" s="14" t="s">
        <v>387</v>
      </c>
      <c r="C35" s="9" t="s">
        <v>73</v>
      </c>
      <c r="D35" s="13" t="s">
        <v>248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45906</v>
      </c>
      <c r="U35" s="11">
        <v>5000</v>
      </c>
      <c r="V35" s="10">
        <v>5746</v>
      </c>
      <c r="W35" s="10">
        <v>0</v>
      </c>
      <c r="X35" s="10">
        <v>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116</v>
      </c>
      <c r="AH35" s="1" t="s">
        <v>74</v>
      </c>
      <c r="AI35" s="1">
        <v>2</v>
      </c>
      <c r="AJ35" s="3">
        <v>45906</v>
      </c>
      <c r="AK35" s="3">
        <v>0</v>
      </c>
      <c r="AL35" s="3">
        <v>45897</v>
      </c>
      <c r="AM35" s="3">
        <v>45904</v>
      </c>
      <c r="AN35" s="3">
        <v>45905</v>
      </c>
      <c r="AO35" s="3">
        <v>45905</v>
      </c>
      <c r="AP35" s="3">
        <v>45901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45896</v>
      </c>
      <c r="B36" s="14" t="s">
        <v>387</v>
      </c>
      <c r="C36" s="9" t="s">
        <v>73</v>
      </c>
      <c r="D36" s="13" t="s">
        <v>393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45906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172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>
        <v>0</v>
      </c>
      <c r="AG36" s="1" t="s">
        <v>116</v>
      </c>
      <c r="AH36" s="1" t="s">
        <v>74</v>
      </c>
      <c r="AI36" s="1">
        <v>2</v>
      </c>
      <c r="AJ36" s="3">
        <v>45906</v>
      </c>
      <c r="AK36" s="3">
        <v>0</v>
      </c>
      <c r="AL36" s="3">
        <v>45897</v>
      </c>
      <c r="AM36" s="3">
        <v>45904</v>
      </c>
      <c r="AN36" s="3">
        <v>45905</v>
      </c>
      <c r="AO36" s="3">
        <v>45905</v>
      </c>
      <c r="AP36" s="3">
        <v>45901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45896</v>
      </c>
      <c r="B37" s="14" t="s">
        <v>387</v>
      </c>
      <c r="C37" s="9" t="s">
        <v>73</v>
      </c>
      <c r="D37" s="13" t="s">
        <v>305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45906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172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>
        <v>0</v>
      </c>
      <c r="AG37" s="1" t="s">
        <v>117</v>
      </c>
      <c r="AH37" s="1" t="s">
        <v>74</v>
      </c>
      <c r="AI37" s="1">
        <v>2</v>
      </c>
      <c r="AJ37" s="3">
        <v>45906</v>
      </c>
      <c r="AK37" s="3">
        <v>0</v>
      </c>
      <c r="AL37" s="3">
        <v>45897</v>
      </c>
      <c r="AM37" s="3">
        <v>45904</v>
      </c>
      <c r="AN37" s="3">
        <v>45905</v>
      </c>
      <c r="AO37" s="3">
        <v>45905</v>
      </c>
      <c r="AP37" s="3">
        <v>45901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45896</v>
      </c>
      <c r="B38" s="14" t="s">
        <v>390</v>
      </c>
      <c r="C38" s="9" t="s">
        <v>73</v>
      </c>
      <c r="D38" s="13" t="s">
        <v>265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45906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172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>
        <v>0</v>
      </c>
      <c r="AG38" s="1" t="s">
        <v>116</v>
      </c>
      <c r="AH38" s="1" t="s">
        <v>74</v>
      </c>
      <c r="AI38" s="1">
        <v>2</v>
      </c>
      <c r="AJ38" s="3">
        <v>45906</v>
      </c>
      <c r="AK38" s="3">
        <v>0</v>
      </c>
      <c r="AL38" s="3">
        <v>45897</v>
      </c>
      <c r="AM38" s="3">
        <v>45904</v>
      </c>
      <c r="AN38" s="3">
        <v>45905</v>
      </c>
      <c r="AO38" s="3">
        <v>45905</v>
      </c>
      <c r="AP38" s="3">
        <v>45901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352.51463377777782</v>
      </c>
    </row>
    <row r="39" spans="1:56" ht="27.75" customHeight="1" x14ac:dyDescent="0.45">
      <c r="A39" s="3">
        <v>45896</v>
      </c>
      <c r="B39" s="14" t="s">
        <v>390</v>
      </c>
      <c r="C39" s="9" t="s">
        <v>73</v>
      </c>
      <c r="D39" s="13" t="s">
        <v>291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45906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172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>
        <v>0</v>
      </c>
      <c r="AG39" s="1" t="s">
        <v>117</v>
      </c>
      <c r="AH39" s="1" t="s">
        <v>74</v>
      </c>
      <c r="AI39" s="1">
        <v>2</v>
      </c>
      <c r="AJ39" s="3">
        <v>45906</v>
      </c>
      <c r="AK39" s="3">
        <v>0</v>
      </c>
      <c r="AL39" s="3">
        <v>45897</v>
      </c>
      <c r="AM39" s="3">
        <v>45904</v>
      </c>
      <c r="AN39" s="3">
        <v>45905</v>
      </c>
      <c r="AO39" s="3">
        <v>45905</v>
      </c>
      <c r="AP39" s="3">
        <v>45901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352.51463377777782</v>
      </c>
    </row>
    <row r="40" spans="1:56" ht="27.75" customHeight="1" x14ac:dyDescent="0.45">
      <c r="A40" s="3">
        <v>45896</v>
      </c>
      <c r="B40" s="14" t="s">
        <v>390</v>
      </c>
      <c r="C40" s="9" t="s">
        <v>73</v>
      </c>
      <c r="D40" s="13" t="s">
        <v>292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45906</v>
      </c>
      <c r="U40" s="11">
        <v>5000</v>
      </c>
      <c r="V40" s="10">
        <v>0</v>
      </c>
      <c r="W40" s="10">
        <v>5000</v>
      </c>
      <c r="X40" s="10">
        <v>5250</v>
      </c>
      <c r="Y40" s="10">
        <v>0</v>
      </c>
      <c r="Z40" s="9" t="s">
        <v>172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117</v>
      </c>
      <c r="AH40" s="1" t="s">
        <v>74</v>
      </c>
      <c r="AI40" s="1">
        <v>2</v>
      </c>
      <c r="AJ40" s="3">
        <v>45906</v>
      </c>
      <c r="AK40" s="3">
        <v>0</v>
      </c>
      <c r="AL40" s="3">
        <v>45897</v>
      </c>
      <c r="AM40" s="3">
        <v>45904</v>
      </c>
      <c r="AN40" s="3">
        <v>45905</v>
      </c>
      <c r="AO40" s="3">
        <v>45905</v>
      </c>
      <c r="AP40" s="3">
        <v>45901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45896</v>
      </c>
      <c r="B41" s="14" t="s">
        <v>387</v>
      </c>
      <c r="C41" s="9" t="s">
        <v>73</v>
      </c>
      <c r="D41" s="13" t="s">
        <v>289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45909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172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>
        <v>0</v>
      </c>
      <c r="AG41" s="1" t="s">
        <v>116</v>
      </c>
      <c r="AH41" s="1" t="s">
        <v>74</v>
      </c>
      <c r="AI41" s="1">
        <v>2</v>
      </c>
      <c r="AJ41" s="3">
        <v>45909</v>
      </c>
      <c r="AK41" s="3">
        <v>0</v>
      </c>
      <c r="AL41" s="3">
        <v>45900</v>
      </c>
      <c r="AM41" s="3">
        <v>45907</v>
      </c>
      <c r="AN41" s="3">
        <v>45908</v>
      </c>
      <c r="AO41" s="3">
        <v>45908</v>
      </c>
      <c r="AP41" s="3">
        <v>45904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352.51463377777782</v>
      </c>
    </row>
    <row r="42" spans="1:56" ht="27.75" customHeight="1" x14ac:dyDescent="0.45">
      <c r="A42" s="3">
        <v>45896</v>
      </c>
      <c r="B42" s="14" t="s">
        <v>387</v>
      </c>
      <c r="C42" s="9" t="s">
        <v>73</v>
      </c>
      <c r="D42" s="13" t="s">
        <v>281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45909</v>
      </c>
      <c r="U42" s="11">
        <v>5000</v>
      </c>
      <c r="V42" s="10">
        <v>0</v>
      </c>
      <c r="W42" s="10">
        <v>5000</v>
      </c>
      <c r="X42" s="10">
        <v>5250</v>
      </c>
      <c r="Y42" s="10">
        <v>0</v>
      </c>
      <c r="Z42" s="9" t="s">
        <v>172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117</v>
      </c>
      <c r="AH42" s="1" t="s">
        <v>74</v>
      </c>
      <c r="AI42" s="1">
        <v>2</v>
      </c>
      <c r="AJ42" s="3">
        <v>45909</v>
      </c>
      <c r="AK42" s="3">
        <v>0</v>
      </c>
      <c r="AL42" s="3">
        <v>45900</v>
      </c>
      <c r="AM42" s="3">
        <v>45907</v>
      </c>
      <c r="AN42" s="3">
        <v>45908</v>
      </c>
      <c r="AO42" s="3">
        <v>45908</v>
      </c>
      <c r="AP42" s="3">
        <v>45904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>
        <v>45896</v>
      </c>
      <c r="B43" s="14" t="s">
        <v>387</v>
      </c>
      <c r="C43" s="9" t="s">
        <v>73</v>
      </c>
      <c r="D43" s="13" t="s">
        <v>275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45909</v>
      </c>
      <c r="U43" s="11">
        <v>5000</v>
      </c>
      <c r="V43" s="10">
        <v>0</v>
      </c>
      <c r="W43" s="10">
        <v>5000</v>
      </c>
      <c r="X43" s="10">
        <v>5250</v>
      </c>
      <c r="Y43" s="10">
        <v>0</v>
      </c>
      <c r="Z43" s="9" t="s">
        <v>172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116</v>
      </c>
      <c r="AH43" s="1" t="s">
        <v>74</v>
      </c>
      <c r="AI43" s="1">
        <v>2</v>
      </c>
      <c r="AJ43" s="3">
        <v>45909</v>
      </c>
      <c r="AK43" s="3">
        <v>0</v>
      </c>
      <c r="AL43" s="3">
        <v>45900</v>
      </c>
      <c r="AM43" s="3">
        <v>45907</v>
      </c>
      <c r="AN43" s="3">
        <v>45908</v>
      </c>
      <c r="AO43" s="3">
        <v>45908</v>
      </c>
      <c r="AP43" s="3">
        <v>45904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0</v>
      </c>
    </row>
    <row r="44" spans="1:56" ht="27.75" customHeight="1" x14ac:dyDescent="0.45">
      <c r="A44" s="3">
        <v>45896</v>
      </c>
      <c r="B44" s="14" t="s">
        <v>387</v>
      </c>
      <c r="C44" s="9" t="s">
        <v>73</v>
      </c>
      <c r="D44" s="13" t="s">
        <v>301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45909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>
        <v>0</v>
      </c>
      <c r="AG44" s="1" t="s">
        <v>116</v>
      </c>
      <c r="AH44" s="1" t="s">
        <v>74</v>
      </c>
      <c r="AI44" s="1">
        <v>2</v>
      </c>
      <c r="AJ44" s="3">
        <v>45909</v>
      </c>
      <c r="AK44" s="3">
        <v>0</v>
      </c>
      <c r="AL44" s="3">
        <v>45900</v>
      </c>
      <c r="AM44" s="3">
        <v>45907</v>
      </c>
      <c r="AN44" s="3">
        <v>45908</v>
      </c>
      <c r="AO44" s="3">
        <v>45908</v>
      </c>
      <c r="AP44" s="3">
        <v>45904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352.51463377777782</v>
      </c>
    </row>
    <row r="45" spans="1:56" ht="27.75" customHeight="1" x14ac:dyDescent="0.45">
      <c r="A45" s="3">
        <v>45896</v>
      </c>
      <c r="B45" s="14" t="s">
        <v>387</v>
      </c>
      <c r="C45" s="9" t="s">
        <v>73</v>
      </c>
      <c r="D45" s="13" t="s">
        <v>292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45909</v>
      </c>
      <c r="U45" s="11">
        <v>5000</v>
      </c>
      <c r="V45" s="10">
        <v>0</v>
      </c>
      <c r="W45" s="10">
        <v>5000</v>
      </c>
      <c r="X45" s="10">
        <v>5250</v>
      </c>
      <c r="Y45" s="10">
        <v>0</v>
      </c>
      <c r="Z45" s="9" t="s">
        <v>172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116</v>
      </c>
      <c r="AH45" s="1" t="s">
        <v>74</v>
      </c>
      <c r="AI45" s="1">
        <v>2</v>
      </c>
      <c r="AJ45" s="3">
        <v>45909</v>
      </c>
      <c r="AK45" s="3">
        <v>0</v>
      </c>
      <c r="AL45" s="3">
        <v>45900</v>
      </c>
      <c r="AM45" s="3">
        <v>45907</v>
      </c>
      <c r="AN45" s="3">
        <v>45908</v>
      </c>
      <c r="AO45" s="3">
        <v>45908</v>
      </c>
      <c r="AP45" s="3">
        <v>45904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0</v>
      </c>
    </row>
    <row r="46" spans="1:56" ht="27.75" customHeight="1" x14ac:dyDescent="0.45">
      <c r="A46" s="3">
        <v>45898</v>
      </c>
      <c r="B46" s="14" t="s">
        <v>390</v>
      </c>
      <c r="C46" s="9" t="s">
        <v>73</v>
      </c>
      <c r="D46" s="13" t="s">
        <v>293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45909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172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>
        <v>0</v>
      </c>
      <c r="AG46" s="1" t="s">
        <v>61</v>
      </c>
      <c r="AH46" s="1" t="s">
        <v>74</v>
      </c>
      <c r="AI46" s="1">
        <v>2</v>
      </c>
      <c r="AJ46" s="3">
        <v>45909</v>
      </c>
      <c r="AK46" s="3">
        <v>0</v>
      </c>
      <c r="AL46" s="3">
        <v>45900</v>
      </c>
      <c r="AM46" s="3">
        <v>45907</v>
      </c>
      <c r="AN46" s="3">
        <v>45908</v>
      </c>
      <c r="AO46" s="3">
        <v>45908</v>
      </c>
      <c r="AP46" s="3">
        <v>45904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352.51463377777782</v>
      </c>
    </row>
    <row r="47" spans="1:56" ht="27.75" customHeight="1" x14ac:dyDescent="0.45">
      <c r="A47" s="3">
        <v>45898</v>
      </c>
      <c r="B47" s="14" t="s">
        <v>390</v>
      </c>
      <c r="C47" s="9" t="s">
        <v>73</v>
      </c>
      <c r="D47" s="13" t="s">
        <v>266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141</v>
      </c>
      <c r="T47" s="12">
        <v>45909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172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>
        <v>0</v>
      </c>
      <c r="AG47" s="1" t="s">
        <v>115</v>
      </c>
      <c r="AH47" s="1" t="s">
        <v>74</v>
      </c>
      <c r="AI47" s="1">
        <v>2</v>
      </c>
      <c r="AJ47" s="3">
        <v>45909</v>
      </c>
      <c r="AK47" s="3">
        <v>0</v>
      </c>
      <c r="AL47" s="3">
        <v>45900</v>
      </c>
      <c r="AM47" s="3">
        <v>45907</v>
      </c>
      <c r="AN47" s="3">
        <v>45908</v>
      </c>
      <c r="AO47" s="3">
        <v>45908</v>
      </c>
      <c r="AP47" s="3">
        <v>45904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352.51463377777782</v>
      </c>
    </row>
    <row r="48" spans="1:56" ht="27.75" customHeight="1" x14ac:dyDescent="0.45">
      <c r="A48" s="3">
        <v>45898</v>
      </c>
      <c r="B48" s="14" t="s">
        <v>390</v>
      </c>
      <c r="C48" s="9" t="s">
        <v>73</v>
      </c>
      <c r="D48" s="13" t="s">
        <v>290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141</v>
      </c>
      <c r="T48" s="12">
        <v>45909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172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>
        <v>0</v>
      </c>
      <c r="AG48" s="1" t="s">
        <v>115</v>
      </c>
      <c r="AH48" s="1" t="s">
        <v>74</v>
      </c>
      <c r="AI48" s="1">
        <v>2</v>
      </c>
      <c r="AJ48" s="3">
        <v>45909</v>
      </c>
      <c r="AK48" s="3">
        <v>0</v>
      </c>
      <c r="AL48" s="3">
        <v>45900</v>
      </c>
      <c r="AM48" s="3">
        <v>45907</v>
      </c>
      <c r="AN48" s="3">
        <v>45908</v>
      </c>
      <c r="AO48" s="3">
        <v>45908</v>
      </c>
      <c r="AP48" s="3">
        <v>45904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352.51463377777782</v>
      </c>
    </row>
    <row r="49" spans="1:56" ht="27.75" customHeight="1" x14ac:dyDescent="0.45">
      <c r="A49" s="3" t="s">
        <v>135</v>
      </c>
      <c r="B49" s="14" t="s">
        <v>135</v>
      </c>
      <c r="C49" s="9" t="s">
        <v>73</v>
      </c>
      <c r="D49" s="13" t="s">
        <v>61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141</v>
      </c>
      <c r="T49" s="12">
        <v>45930</v>
      </c>
      <c r="U49" s="11">
        <v>270000</v>
      </c>
      <c r="V49" s="10">
        <v>0</v>
      </c>
      <c r="W49" s="10">
        <v>270000</v>
      </c>
      <c r="X49" s="10">
        <v>0</v>
      </c>
      <c r="Y49" s="10">
        <v>283500</v>
      </c>
      <c r="Z49" s="9" t="s">
        <v>172</v>
      </c>
      <c r="AA49" s="8">
        <v>252717.30000000002</v>
      </c>
      <c r="AB49" s="8">
        <v>0</v>
      </c>
      <c r="AC49" s="8">
        <v>252717.30000000002</v>
      </c>
      <c r="AD49" s="8">
        <v>0</v>
      </c>
      <c r="AE49" s="8">
        <v>0</v>
      </c>
      <c r="AF49" s="8">
        <v>0</v>
      </c>
      <c r="AG49" s="1" t="s">
        <v>119</v>
      </c>
      <c r="AH49" s="1" t="s">
        <v>74</v>
      </c>
      <c r="AI49" s="1">
        <v>2</v>
      </c>
      <c r="AJ49" s="3">
        <v>45930</v>
      </c>
      <c r="AK49" s="3">
        <v>0</v>
      </c>
      <c r="AL49" s="3">
        <v>45921</v>
      </c>
      <c r="AM49" s="3">
        <v>45928</v>
      </c>
      <c r="AN49" s="3">
        <v>45929</v>
      </c>
      <c r="AO49" s="3">
        <v>45929</v>
      </c>
      <c r="AP49" s="3">
        <v>45925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19035.790224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63</v>
      </c>
      <c r="J50" s="9" t="s">
        <v>78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172</v>
      </c>
      <c r="AA50" s="8">
        <v>343818.14269000001</v>
      </c>
      <c r="AB50" s="8">
        <v>58341.192689999996</v>
      </c>
      <c r="AC50" s="8">
        <v>285476.95</v>
      </c>
      <c r="AD50" s="8">
        <v>0</v>
      </c>
      <c r="AE50" s="8">
        <v>0</v>
      </c>
      <c r="AF50" s="8" t="s">
        <v>58</v>
      </c>
      <c r="AG50" s="1" t="s">
        <v>115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174</v>
      </c>
      <c r="BD50" s="56">
        <v>0</v>
      </c>
    </row>
    <row r="51" spans="1:56" ht="27.75" customHeight="1" x14ac:dyDescent="0.45">
      <c r="A51" s="3">
        <v>45887</v>
      </c>
      <c r="B51" s="14" t="s">
        <v>342</v>
      </c>
      <c r="C51" s="9" t="s">
        <v>139</v>
      </c>
      <c r="D51" s="13" t="s">
        <v>328</v>
      </c>
      <c r="E51" s="9">
        <v>19</v>
      </c>
      <c r="F51" s="9">
        <v>35</v>
      </c>
      <c r="G51" s="9" t="s">
        <v>60</v>
      </c>
      <c r="H51" s="9" t="s">
        <v>76</v>
      </c>
      <c r="I51" s="9">
        <v>102</v>
      </c>
      <c r="J51" s="9" t="s">
        <v>57</v>
      </c>
      <c r="K51" s="9">
        <v>5</v>
      </c>
      <c r="L51" s="9" t="s">
        <v>196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45904</v>
      </c>
      <c r="U51" s="11">
        <v>5040</v>
      </c>
      <c r="V51" s="10">
        <v>0</v>
      </c>
      <c r="W51" s="10">
        <v>5040</v>
      </c>
      <c r="X51" s="10">
        <v>3811</v>
      </c>
      <c r="Y51" s="10">
        <v>1290.45</v>
      </c>
      <c r="Z51" s="9" t="s">
        <v>112</v>
      </c>
      <c r="AA51" s="8">
        <v>1316.0138145000001</v>
      </c>
      <c r="AB51" s="8">
        <v>1316.0138145000001</v>
      </c>
      <c r="AC51" s="8">
        <v>0</v>
      </c>
      <c r="AD51" s="8">
        <v>1316.0138145000001</v>
      </c>
      <c r="AE51" s="8">
        <v>0</v>
      </c>
      <c r="AF51" s="8">
        <v>0</v>
      </c>
      <c r="AG51" s="1" t="s">
        <v>115</v>
      </c>
      <c r="AH51" s="1" t="s">
        <v>75</v>
      </c>
      <c r="AI51" s="1">
        <v>4</v>
      </c>
      <c r="AJ51" s="3">
        <v>45904</v>
      </c>
      <c r="AK51" s="3">
        <v>45900</v>
      </c>
      <c r="AL51" s="3">
        <v>45893</v>
      </c>
      <c r="AM51" s="3">
        <v>45901</v>
      </c>
      <c r="AN51" s="3">
        <v>45902</v>
      </c>
      <c r="AO51" s="3">
        <v>45903</v>
      </c>
      <c r="AP51" s="3">
        <v>45899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 t="s">
        <v>380</v>
      </c>
      <c r="AZ51" s="2">
        <v>0</v>
      </c>
      <c r="BA51" s="2">
        <v>0</v>
      </c>
      <c r="BB51" s="2">
        <v>0</v>
      </c>
      <c r="BC51" s="1" t="s">
        <v>191</v>
      </c>
      <c r="BD51" s="56">
        <v>0</v>
      </c>
    </row>
    <row r="52" spans="1:56" ht="27.75" customHeight="1" x14ac:dyDescent="0.45">
      <c r="A52" s="3">
        <v>45796</v>
      </c>
      <c r="B52" s="14" t="s">
        <v>255</v>
      </c>
      <c r="C52" s="9" t="s">
        <v>139</v>
      </c>
      <c r="D52" s="13" t="s">
        <v>250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196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 t="s">
        <v>63</v>
      </c>
      <c r="U52" s="11">
        <v>503</v>
      </c>
      <c r="V52" s="10">
        <v>0</v>
      </c>
      <c r="W52" s="10">
        <v>503</v>
      </c>
      <c r="X52" s="10">
        <v>5250</v>
      </c>
      <c r="Y52" s="10">
        <v>0</v>
      </c>
      <c r="Z52" s="9" t="s">
        <v>112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191</v>
      </c>
      <c r="BD52" s="56">
        <v>0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34</v>
      </c>
      <c r="G53" s="9" t="s">
        <v>60</v>
      </c>
      <c r="H53" s="9">
        <v>0</v>
      </c>
      <c r="I53" s="9">
        <v>80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112</v>
      </c>
      <c r="AA53" s="8">
        <v>1316.0138145000001</v>
      </c>
      <c r="AB53" s="8">
        <v>1316.0138145000001</v>
      </c>
      <c r="AC53" s="8">
        <v>0</v>
      </c>
      <c r="AD53" s="8">
        <v>1316.0138145000001</v>
      </c>
      <c r="AE53" s="8">
        <v>0</v>
      </c>
      <c r="AF53" s="8" t="s">
        <v>58</v>
      </c>
      <c r="AG53" s="1" t="s">
        <v>115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192</v>
      </c>
      <c r="BD53" s="56">
        <v>0</v>
      </c>
    </row>
    <row r="54" spans="1:56" ht="27.75" customHeight="1" x14ac:dyDescent="0.45">
      <c r="A54" s="3">
        <v>45891</v>
      </c>
      <c r="B54" s="14" t="s">
        <v>351</v>
      </c>
      <c r="C54" s="9" t="s">
        <v>352</v>
      </c>
      <c r="D54" s="13" t="s">
        <v>353</v>
      </c>
      <c r="E54" s="9">
        <v>20</v>
      </c>
      <c r="F54" s="9">
        <v>37</v>
      </c>
      <c r="G54" s="9" t="s">
        <v>60</v>
      </c>
      <c r="H54" s="9" t="s">
        <v>66</v>
      </c>
      <c r="I54" s="9">
        <v>97</v>
      </c>
      <c r="J54" s="9" t="s">
        <v>57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71</v>
      </c>
      <c r="T54" s="12">
        <v>45904</v>
      </c>
      <c r="U54" s="11">
        <v>8000</v>
      </c>
      <c r="V54" s="10">
        <v>8072</v>
      </c>
      <c r="W54" s="10">
        <v>0</v>
      </c>
      <c r="X54" s="10">
        <v>8400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354</v>
      </c>
      <c r="AG54" s="1" t="s">
        <v>115</v>
      </c>
      <c r="AH54" s="1" t="s">
        <v>75</v>
      </c>
      <c r="AI54" s="1">
        <v>4</v>
      </c>
      <c r="AJ54" s="3">
        <v>45904</v>
      </c>
      <c r="AK54" s="3">
        <v>45900</v>
      </c>
      <c r="AL54" s="3">
        <v>45893</v>
      </c>
      <c r="AM54" s="3">
        <v>45901</v>
      </c>
      <c r="AN54" s="3">
        <v>45902</v>
      </c>
      <c r="AO54" s="3">
        <v>45903</v>
      </c>
      <c r="AP54" s="3">
        <v>45899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45892</v>
      </c>
      <c r="B55" s="14" t="s">
        <v>361</v>
      </c>
      <c r="C55" s="9" t="s">
        <v>139</v>
      </c>
      <c r="D55" s="13" t="s">
        <v>330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45908</v>
      </c>
      <c r="U55" s="11">
        <v>5040</v>
      </c>
      <c r="V55" s="10">
        <v>4400</v>
      </c>
      <c r="W55" s="10">
        <v>640</v>
      </c>
      <c r="X55" s="10">
        <v>6000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117</v>
      </c>
      <c r="AH55" s="1" t="s">
        <v>75</v>
      </c>
      <c r="AI55" s="1">
        <v>4</v>
      </c>
      <c r="AJ55" s="3">
        <v>45908</v>
      </c>
      <c r="AK55" s="3">
        <v>45904</v>
      </c>
      <c r="AL55" s="3">
        <v>45897</v>
      </c>
      <c r="AM55" s="3">
        <v>45905</v>
      </c>
      <c r="AN55" s="3">
        <v>45906</v>
      </c>
      <c r="AO55" s="3">
        <v>45907</v>
      </c>
      <c r="AP55" s="3">
        <v>45903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>
        <v>0</v>
      </c>
      <c r="AY55" s="2" t="s">
        <v>371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45887</v>
      </c>
      <c r="B56" s="14" t="s">
        <v>344</v>
      </c>
      <c r="C56" s="9" t="s">
        <v>139</v>
      </c>
      <c r="D56" s="13" t="s">
        <v>238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108</v>
      </c>
      <c r="T56" s="12">
        <v>45902</v>
      </c>
      <c r="U56" s="11">
        <v>5080</v>
      </c>
      <c r="V56" s="10">
        <v>0</v>
      </c>
      <c r="W56" s="10">
        <v>5080</v>
      </c>
      <c r="X56" s="10">
        <v>11600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115</v>
      </c>
      <c r="AH56" s="1" t="s">
        <v>75</v>
      </c>
      <c r="AI56" s="1">
        <v>4</v>
      </c>
      <c r="AJ56" s="3">
        <v>45902</v>
      </c>
      <c r="AK56" s="3">
        <v>45898</v>
      </c>
      <c r="AL56" s="3">
        <v>45891</v>
      </c>
      <c r="AM56" s="3">
        <v>45899</v>
      </c>
      <c r="AN56" s="3">
        <v>45900</v>
      </c>
      <c r="AO56" s="3">
        <v>45901</v>
      </c>
      <c r="AP56" s="3">
        <v>45897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134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45896</v>
      </c>
      <c r="B57" s="14" t="s">
        <v>394</v>
      </c>
      <c r="C57" s="9" t="s">
        <v>139</v>
      </c>
      <c r="D57" s="13" t="s">
        <v>331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45910</v>
      </c>
      <c r="U57" s="11">
        <v>5040</v>
      </c>
      <c r="V57" s="10">
        <v>5040</v>
      </c>
      <c r="W57" s="10">
        <v>0</v>
      </c>
      <c r="X57" s="10">
        <v>6178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117</v>
      </c>
      <c r="AH57" s="1" t="s">
        <v>75</v>
      </c>
      <c r="AI57" s="1">
        <v>4</v>
      </c>
      <c r="AJ57" s="3">
        <v>45910</v>
      </c>
      <c r="AK57" s="3">
        <v>45906</v>
      </c>
      <c r="AL57" s="3">
        <v>45899</v>
      </c>
      <c r="AM57" s="3">
        <v>45907</v>
      </c>
      <c r="AN57" s="3">
        <v>45908</v>
      </c>
      <c r="AO57" s="3">
        <v>45909</v>
      </c>
      <c r="AP57" s="3">
        <v>45905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45887</v>
      </c>
      <c r="B58" s="14" t="s">
        <v>345</v>
      </c>
      <c r="C58" s="9" t="s">
        <v>139</v>
      </c>
      <c r="D58" s="13" t="s">
        <v>306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45901</v>
      </c>
      <c r="U58" s="11">
        <v>5040</v>
      </c>
      <c r="V58" s="10">
        <v>343</v>
      </c>
      <c r="W58" s="10">
        <v>4697</v>
      </c>
      <c r="X58" s="10">
        <v>6055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117</v>
      </c>
      <c r="AH58" s="1" t="s">
        <v>75</v>
      </c>
      <c r="AI58" s="1">
        <v>4</v>
      </c>
      <c r="AJ58" s="3">
        <v>45901</v>
      </c>
      <c r="AK58" s="3">
        <v>45897</v>
      </c>
      <c r="AL58" s="3">
        <v>45890</v>
      </c>
      <c r="AM58" s="3">
        <v>45898</v>
      </c>
      <c r="AN58" s="3">
        <v>45899</v>
      </c>
      <c r="AO58" s="3">
        <v>45900</v>
      </c>
      <c r="AP58" s="3">
        <v>45896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134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45887</v>
      </c>
      <c r="B59" s="14" t="s">
        <v>346</v>
      </c>
      <c r="C59" s="9" t="s">
        <v>139</v>
      </c>
      <c r="D59" s="13" t="s">
        <v>224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 t="s">
        <v>63</v>
      </c>
      <c r="U59" s="11">
        <v>104</v>
      </c>
      <c r="V59" s="10">
        <v>0</v>
      </c>
      <c r="W59" s="10">
        <v>104</v>
      </c>
      <c r="X59" s="10">
        <v>11230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116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134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45887</v>
      </c>
      <c r="B60" s="14" t="s">
        <v>346</v>
      </c>
      <c r="C60" s="9" t="s">
        <v>139</v>
      </c>
      <c r="D60" s="13" t="s">
        <v>332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45901</v>
      </c>
      <c r="U60" s="11">
        <v>5040</v>
      </c>
      <c r="V60" s="10">
        <v>2300</v>
      </c>
      <c r="W60" s="10">
        <v>2740</v>
      </c>
      <c r="X60" s="10">
        <v>6300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119</v>
      </c>
      <c r="AH60" s="1" t="s">
        <v>75</v>
      </c>
      <c r="AI60" s="1">
        <v>4</v>
      </c>
      <c r="AJ60" s="3">
        <v>45901</v>
      </c>
      <c r="AK60" s="3">
        <v>45897</v>
      </c>
      <c r="AL60" s="3">
        <v>45890</v>
      </c>
      <c r="AM60" s="3">
        <v>45898</v>
      </c>
      <c r="AN60" s="3">
        <v>45899</v>
      </c>
      <c r="AO60" s="3">
        <v>45900</v>
      </c>
      <c r="AP60" s="3">
        <v>45896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134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45887</v>
      </c>
      <c r="B61" s="14" t="s">
        <v>347</v>
      </c>
      <c r="C61" s="9" t="s">
        <v>139</v>
      </c>
      <c r="D61" s="13" t="s">
        <v>181</v>
      </c>
      <c r="E61" s="9">
        <v>20</v>
      </c>
      <c r="F61" s="9">
        <v>35</v>
      </c>
      <c r="G61" s="9" t="s">
        <v>60</v>
      </c>
      <c r="H61" s="9" t="s">
        <v>76</v>
      </c>
      <c r="I61" s="9">
        <v>97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45904</v>
      </c>
      <c r="U61" s="11">
        <v>5040</v>
      </c>
      <c r="V61" s="10">
        <v>0</v>
      </c>
      <c r="W61" s="10">
        <v>5040</v>
      </c>
      <c r="X61" s="10">
        <v>10200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395</v>
      </c>
      <c r="AG61" s="1" t="s">
        <v>116</v>
      </c>
      <c r="AH61" s="1" t="s">
        <v>75</v>
      </c>
      <c r="AI61" s="1">
        <v>4</v>
      </c>
      <c r="AJ61" s="3">
        <v>45904</v>
      </c>
      <c r="AK61" s="3">
        <v>45900</v>
      </c>
      <c r="AL61" s="3">
        <v>45893</v>
      </c>
      <c r="AM61" s="3">
        <v>45901</v>
      </c>
      <c r="AN61" s="3">
        <v>45902</v>
      </c>
      <c r="AO61" s="3">
        <v>45903</v>
      </c>
      <c r="AP61" s="3">
        <v>45899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134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45877</v>
      </c>
      <c r="B62" s="14" t="s">
        <v>319</v>
      </c>
      <c r="C62" s="9" t="s">
        <v>79</v>
      </c>
      <c r="D62" s="13" t="s">
        <v>320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45904</v>
      </c>
      <c r="U62" s="11">
        <v>3000</v>
      </c>
      <c r="V62" s="10">
        <v>0</v>
      </c>
      <c r="W62" s="10">
        <v>3000</v>
      </c>
      <c r="X62" s="10">
        <v>0</v>
      </c>
      <c r="Y62" s="10">
        <v>3150</v>
      </c>
      <c r="Z62" s="9" t="s">
        <v>80</v>
      </c>
      <c r="AA62" s="8">
        <v>3310.89</v>
      </c>
      <c r="AB62" s="8">
        <v>3310.89</v>
      </c>
      <c r="AC62" s="8">
        <v>0</v>
      </c>
      <c r="AD62" s="8">
        <v>3310.89</v>
      </c>
      <c r="AE62" s="8">
        <v>0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45904</v>
      </c>
      <c r="AK62" s="3">
        <v>45900</v>
      </c>
      <c r="AL62" s="3">
        <v>45893</v>
      </c>
      <c r="AM62" s="3">
        <v>45901</v>
      </c>
      <c r="AN62" s="3">
        <v>45902</v>
      </c>
      <c r="AO62" s="3">
        <v>45903</v>
      </c>
      <c r="AP62" s="3">
        <v>45899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45782</v>
      </c>
      <c r="B63" s="14" t="s">
        <v>249</v>
      </c>
      <c r="C63" s="9" t="s">
        <v>79</v>
      </c>
      <c r="D63" s="13" t="s">
        <v>243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45909</v>
      </c>
      <c r="U63" s="11">
        <v>5000</v>
      </c>
      <c r="V63" s="10">
        <v>0</v>
      </c>
      <c r="W63" s="10">
        <v>5000</v>
      </c>
      <c r="X63" s="10">
        <v>3635</v>
      </c>
      <c r="Y63" s="10">
        <v>1433.25</v>
      </c>
      <c r="Z63" s="9" t="s">
        <v>80</v>
      </c>
      <c r="AA63" s="8">
        <v>1581.7776974999997</v>
      </c>
      <c r="AB63" s="8">
        <v>1581.7776974999997</v>
      </c>
      <c r="AC63" s="8">
        <v>0</v>
      </c>
      <c r="AD63" s="8">
        <v>1581.7776974999997</v>
      </c>
      <c r="AE63" s="8">
        <v>0</v>
      </c>
      <c r="AF63" s="8">
        <v>0</v>
      </c>
      <c r="AG63" s="1" t="s">
        <v>115</v>
      </c>
      <c r="AH63" s="1" t="s">
        <v>75</v>
      </c>
      <c r="AI63" s="1">
        <v>4</v>
      </c>
      <c r="AJ63" s="3">
        <v>45909</v>
      </c>
      <c r="AK63" s="3">
        <v>45905</v>
      </c>
      <c r="AL63" s="3">
        <v>45898</v>
      </c>
      <c r="AM63" s="3">
        <v>45906</v>
      </c>
      <c r="AN63" s="3">
        <v>45907</v>
      </c>
      <c r="AO63" s="3">
        <v>45908</v>
      </c>
      <c r="AP63" s="3">
        <v>45904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134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45892</v>
      </c>
      <c r="B64" s="14" t="s">
        <v>361</v>
      </c>
      <c r="C64" s="9" t="s">
        <v>139</v>
      </c>
      <c r="D64" s="13" t="s">
        <v>362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>
        <v>45905</v>
      </c>
      <c r="U64" s="11">
        <v>5040</v>
      </c>
      <c r="V64" s="10">
        <v>0</v>
      </c>
      <c r="W64" s="10">
        <v>5040</v>
      </c>
      <c r="X64" s="10">
        <v>0</v>
      </c>
      <c r="Y64" s="10">
        <v>5292</v>
      </c>
      <c r="Z64" s="9" t="s">
        <v>80</v>
      </c>
      <c r="AA64" s="8">
        <v>5280.6600000000008</v>
      </c>
      <c r="AB64" s="8">
        <v>5280.6600000000008</v>
      </c>
      <c r="AC64" s="8">
        <v>0</v>
      </c>
      <c r="AD64" s="8">
        <v>0</v>
      </c>
      <c r="AE64" s="8">
        <v>5280.6600000000008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45905</v>
      </c>
      <c r="AK64" s="3">
        <v>45901</v>
      </c>
      <c r="AL64" s="3">
        <v>45894</v>
      </c>
      <c r="AM64" s="3">
        <v>45902</v>
      </c>
      <c r="AN64" s="3">
        <v>45903</v>
      </c>
      <c r="AO64" s="3">
        <v>45904</v>
      </c>
      <c r="AP64" s="3">
        <v>45900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45896</v>
      </c>
      <c r="B65" s="14" t="s">
        <v>394</v>
      </c>
      <c r="C65" s="9" t="s">
        <v>139</v>
      </c>
      <c r="D65" s="13" t="s">
        <v>252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45910</v>
      </c>
      <c r="U65" s="11">
        <v>5040</v>
      </c>
      <c r="V65" s="10">
        <v>0</v>
      </c>
      <c r="W65" s="10">
        <v>5040</v>
      </c>
      <c r="X65" s="10">
        <v>0</v>
      </c>
      <c r="Y65" s="10">
        <v>5292</v>
      </c>
      <c r="Z65" s="9" t="s">
        <v>80</v>
      </c>
      <c r="AA65" s="8">
        <v>5280.6600000000008</v>
      </c>
      <c r="AB65" s="8">
        <v>5280.6600000000008</v>
      </c>
      <c r="AC65" s="8">
        <v>0</v>
      </c>
      <c r="AD65" s="8">
        <v>0</v>
      </c>
      <c r="AE65" s="8">
        <v>5280.6600000000008</v>
      </c>
      <c r="AF65" s="8">
        <v>0</v>
      </c>
      <c r="AG65" s="1" t="s">
        <v>117</v>
      </c>
      <c r="AH65" s="1" t="s">
        <v>75</v>
      </c>
      <c r="AI65" s="1">
        <v>4</v>
      </c>
      <c r="AJ65" s="3">
        <v>45910</v>
      </c>
      <c r="AK65" s="3">
        <v>45906</v>
      </c>
      <c r="AL65" s="3">
        <v>45899</v>
      </c>
      <c r="AM65" s="3">
        <v>45907</v>
      </c>
      <c r="AN65" s="3">
        <v>45908</v>
      </c>
      <c r="AO65" s="3">
        <v>45909</v>
      </c>
      <c r="AP65" s="3">
        <v>45905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45892</v>
      </c>
      <c r="B66" s="14" t="s">
        <v>372</v>
      </c>
      <c r="C66" s="9" t="s">
        <v>356</v>
      </c>
      <c r="D66" s="13" t="s">
        <v>357</v>
      </c>
      <c r="E66" s="9">
        <v>20</v>
      </c>
      <c r="F66" s="9">
        <v>30</v>
      </c>
      <c r="G66" s="9" t="s">
        <v>60</v>
      </c>
      <c r="H66" s="9" t="s">
        <v>66</v>
      </c>
      <c r="I66" s="9">
        <v>80</v>
      </c>
      <c r="J66" s="9" t="s">
        <v>57</v>
      </c>
      <c r="K66" s="9">
        <v>5</v>
      </c>
      <c r="L66" s="9" t="s">
        <v>358</v>
      </c>
      <c r="M66" s="10">
        <v>21</v>
      </c>
      <c r="N66" s="9">
        <v>33</v>
      </c>
      <c r="O66" s="9">
        <v>40</v>
      </c>
      <c r="P66" s="10">
        <v>0</v>
      </c>
      <c r="Q66" s="10">
        <v>0</v>
      </c>
      <c r="R66" s="10">
        <v>0</v>
      </c>
      <c r="S66" s="9" t="s">
        <v>71</v>
      </c>
      <c r="T66" s="12">
        <v>45905</v>
      </c>
      <c r="U66" s="11">
        <v>10000</v>
      </c>
      <c r="V66" s="10">
        <v>10000</v>
      </c>
      <c r="W66" s="10">
        <v>0</v>
      </c>
      <c r="X66" s="10">
        <v>10500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116</v>
      </c>
      <c r="AH66" s="1" t="s">
        <v>68</v>
      </c>
      <c r="AI66" s="1">
        <v>4</v>
      </c>
      <c r="AJ66" s="3">
        <v>45905</v>
      </c>
      <c r="AK66" s="3">
        <v>45901</v>
      </c>
      <c r="AL66" s="3">
        <v>45895</v>
      </c>
      <c r="AM66" s="3">
        <v>45902</v>
      </c>
      <c r="AN66" s="3">
        <v>45903</v>
      </c>
      <c r="AO66" s="3">
        <v>45903</v>
      </c>
      <c r="AP66" s="3">
        <v>45900</v>
      </c>
      <c r="AQ66" s="3">
        <v>45904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45850</v>
      </c>
      <c r="B67" s="14" t="s">
        <v>284</v>
      </c>
      <c r="C67" s="9" t="s">
        <v>107</v>
      </c>
      <c r="D67" s="13" t="s">
        <v>285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45905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80</v>
      </c>
      <c r="AA67" s="8">
        <v>3310.89</v>
      </c>
      <c r="AB67" s="8">
        <v>3310.89</v>
      </c>
      <c r="AC67" s="8">
        <v>0</v>
      </c>
      <c r="AD67" s="8">
        <v>0</v>
      </c>
      <c r="AE67" s="8">
        <v>3310.89</v>
      </c>
      <c r="AF67" s="8">
        <v>0</v>
      </c>
      <c r="AG67" s="1" t="s">
        <v>116</v>
      </c>
      <c r="AH67" s="1" t="s">
        <v>75</v>
      </c>
      <c r="AI67" s="1">
        <v>4</v>
      </c>
      <c r="AJ67" s="3">
        <v>45905</v>
      </c>
      <c r="AK67" s="3">
        <v>45901</v>
      </c>
      <c r="AL67" s="3">
        <v>45894</v>
      </c>
      <c r="AM67" s="3">
        <v>45902</v>
      </c>
      <c r="AN67" s="3">
        <v>45903</v>
      </c>
      <c r="AO67" s="3">
        <v>45904</v>
      </c>
      <c r="AP67" s="3">
        <v>45900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45892</v>
      </c>
      <c r="B68" s="14" t="s">
        <v>363</v>
      </c>
      <c r="C68" s="9" t="s">
        <v>139</v>
      </c>
      <c r="D68" s="13" t="s">
        <v>131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45908</v>
      </c>
      <c r="U68" s="11">
        <v>10000</v>
      </c>
      <c r="V68" s="10">
        <v>5040</v>
      </c>
      <c r="W68" s="10">
        <v>4960</v>
      </c>
      <c r="X68" s="10">
        <v>10650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116</v>
      </c>
      <c r="AH68" s="1" t="s">
        <v>75</v>
      </c>
      <c r="AI68" s="1">
        <v>4</v>
      </c>
      <c r="AJ68" s="3">
        <v>45908</v>
      </c>
      <c r="AK68" s="3">
        <v>45904</v>
      </c>
      <c r="AL68" s="3">
        <v>45897</v>
      </c>
      <c r="AM68" s="3">
        <v>45905</v>
      </c>
      <c r="AN68" s="3">
        <v>45906</v>
      </c>
      <c r="AO68" s="3">
        <v>45907</v>
      </c>
      <c r="AP68" s="3">
        <v>45903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45873</v>
      </c>
      <c r="B69" s="14" t="s">
        <v>308</v>
      </c>
      <c r="C69" s="9" t="s">
        <v>107</v>
      </c>
      <c r="D69" s="13" t="s">
        <v>309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45922</v>
      </c>
      <c r="U69" s="11">
        <v>4000</v>
      </c>
      <c r="V69" s="10">
        <v>0</v>
      </c>
      <c r="W69" s="10">
        <v>4000</v>
      </c>
      <c r="X69" s="10">
        <v>0</v>
      </c>
      <c r="Y69" s="10">
        <v>4200</v>
      </c>
      <c r="Z69" s="9" t="s">
        <v>80</v>
      </c>
      <c r="AA69" s="8">
        <v>4414.5199999999995</v>
      </c>
      <c r="AB69" s="8">
        <v>0</v>
      </c>
      <c r="AC69" s="8">
        <v>4414.5199999999995</v>
      </c>
      <c r="AD69" s="8">
        <v>0</v>
      </c>
      <c r="AE69" s="8">
        <v>4414.5199999999995</v>
      </c>
      <c r="AF69" s="8" t="s">
        <v>307</v>
      </c>
      <c r="AG69" s="1" t="s">
        <v>116</v>
      </c>
      <c r="AH69" s="1" t="s">
        <v>75</v>
      </c>
      <c r="AI69" s="1">
        <v>4</v>
      </c>
      <c r="AJ69" s="3">
        <v>45922</v>
      </c>
      <c r="AK69" s="3">
        <v>45918</v>
      </c>
      <c r="AL69" s="3">
        <v>45911</v>
      </c>
      <c r="AM69" s="3">
        <v>45919</v>
      </c>
      <c r="AN69" s="3">
        <v>45920</v>
      </c>
      <c r="AO69" s="3">
        <v>45921</v>
      </c>
      <c r="AP69" s="3">
        <v>45917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333.54151111111111</v>
      </c>
    </row>
    <row r="70" spans="1:56" ht="27.75" customHeight="1" x14ac:dyDescent="0.45">
      <c r="A70" s="3">
        <v>45892</v>
      </c>
      <c r="B70" s="14" t="s">
        <v>364</v>
      </c>
      <c r="C70" s="9" t="s">
        <v>79</v>
      </c>
      <c r="D70" s="13" t="s">
        <v>365</v>
      </c>
      <c r="E70" s="9">
        <v>20</v>
      </c>
      <c r="F70" s="9">
        <v>37</v>
      </c>
      <c r="G70" s="9" t="s">
        <v>60</v>
      </c>
      <c r="H70" s="9" t="s">
        <v>76</v>
      </c>
      <c r="I70" s="9">
        <v>97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45930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3227.07</v>
      </c>
      <c r="AB70" s="8">
        <v>0</v>
      </c>
      <c r="AC70" s="8">
        <v>3227.07</v>
      </c>
      <c r="AD70" s="8">
        <v>0</v>
      </c>
      <c r="AE70" s="8">
        <v>3227.07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45930</v>
      </c>
      <c r="AK70" s="3">
        <v>45926</v>
      </c>
      <c r="AL70" s="3">
        <v>45919</v>
      </c>
      <c r="AM70" s="3">
        <v>45927</v>
      </c>
      <c r="AN70" s="3">
        <v>45928</v>
      </c>
      <c r="AO70" s="3">
        <v>45929</v>
      </c>
      <c r="AP70" s="3">
        <v>45925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243.82306666666665</v>
      </c>
    </row>
    <row r="71" spans="1:56" ht="27.75" customHeight="1" x14ac:dyDescent="0.45">
      <c r="A71" s="3">
        <v>45891</v>
      </c>
      <c r="B71" s="14" t="s">
        <v>396</v>
      </c>
      <c r="C71" s="9" t="s">
        <v>79</v>
      </c>
      <c r="D71" s="13" t="s">
        <v>397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45930</v>
      </c>
      <c r="U71" s="11">
        <v>9000</v>
      </c>
      <c r="V71" s="10">
        <v>0</v>
      </c>
      <c r="W71" s="10">
        <v>9000</v>
      </c>
      <c r="X71" s="10">
        <v>0</v>
      </c>
      <c r="Y71" s="10">
        <v>9450</v>
      </c>
      <c r="Z71" s="9" t="s">
        <v>80</v>
      </c>
      <c r="AA71" s="8">
        <v>9932.67</v>
      </c>
      <c r="AB71" s="8">
        <v>0</v>
      </c>
      <c r="AC71" s="8">
        <v>9932.67</v>
      </c>
      <c r="AD71" s="8">
        <v>0</v>
      </c>
      <c r="AE71" s="8">
        <v>9932.67</v>
      </c>
      <c r="AF71" s="8">
        <v>0</v>
      </c>
      <c r="AG71" s="1" t="s">
        <v>116</v>
      </c>
      <c r="AH71" s="1" t="s">
        <v>75</v>
      </c>
      <c r="AI71" s="1">
        <v>5</v>
      </c>
      <c r="AJ71" s="3">
        <v>45930</v>
      </c>
      <c r="AK71" s="3">
        <v>45925</v>
      </c>
      <c r="AL71" s="3">
        <v>45918</v>
      </c>
      <c r="AM71" s="3">
        <v>45926</v>
      </c>
      <c r="AN71" s="3">
        <v>45927</v>
      </c>
      <c r="AO71" s="3">
        <v>45928</v>
      </c>
      <c r="AP71" s="3">
        <v>45925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750.46839999999997</v>
      </c>
    </row>
    <row r="72" spans="1:56" ht="27.75" customHeight="1" x14ac:dyDescent="0.45">
      <c r="A72" s="3">
        <v>45891</v>
      </c>
      <c r="B72" s="14" t="s">
        <v>398</v>
      </c>
      <c r="C72" s="9" t="s">
        <v>79</v>
      </c>
      <c r="D72" s="13" t="s">
        <v>399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45930</v>
      </c>
      <c r="U72" s="11">
        <v>4000</v>
      </c>
      <c r="V72" s="10">
        <v>0</v>
      </c>
      <c r="W72" s="10">
        <v>4000</v>
      </c>
      <c r="X72" s="10">
        <v>0</v>
      </c>
      <c r="Y72" s="10">
        <v>4200</v>
      </c>
      <c r="Z72" s="9" t="s">
        <v>80</v>
      </c>
      <c r="AA72" s="8">
        <v>4414.5199999999995</v>
      </c>
      <c r="AB72" s="8">
        <v>0</v>
      </c>
      <c r="AC72" s="8">
        <v>4414.5199999999995</v>
      </c>
      <c r="AD72" s="8">
        <v>0</v>
      </c>
      <c r="AE72" s="8">
        <v>4414.5199999999995</v>
      </c>
      <c r="AF72" s="8">
        <v>0</v>
      </c>
      <c r="AG72" s="1" t="s">
        <v>116</v>
      </c>
      <c r="AH72" s="1" t="s">
        <v>75</v>
      </c>
      <c r="AI72" s="1">
        <v>5</v>
      </c>
      <c r="AJ72" s="3">
        <v>45930</v>
      </c>
      <c r="AK72" s="3">
        <v>45925</v>
      </c>
      <c r="AL72" s="3">
        <v>45918</v>
      </c>
      <c r="AM72" s="3">
        <v>45926</v>
      </c>
      <c r="AN72" s="3">
        <v>45927</v>
      </c>
      <c r="AO72" s="3">
        <v>45928</v>
      </c>
      <c r="AP72" s="3">
        <v>45925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333.54151111111111</v>
      </c>
    </row>
    <row r="73" spans="1:56" ht="27.75" customHeight="1" x14ac:dyDescent="0.45">
      <c r="A73" s="3">
        <v>45891</v>
      </c>
      <c r="B73" s="14" t="s">
        <v>400</v>
      </c>
      <c r="C73" s="9" t="s">
        <v>79</v>
      </c>
      <c r="D73" s="13" t="s">
        <v>401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45930</v>
      </c>
      <c r="U73" s="11">
        <v>9000</v>
      </c>
      <c r="V73" s="10">
        <v>0</v>
      </c>
      <c r="W73" s="10">
        <v>9000</v>
      </c>
      <c r="X73" s="10">
        <v>0</v>
      </c>
      <c r="Y73" s="10">
        <v>9450</v>
      </c>
      <c r="Z73" s="9" t="s">
        <v>80</v>
      </c>
      <c r="AA73" s="8">
        <v>9932.67</v>
      </c>
      <c r="AB73" s="8">
        <v>0</v>
      </c>
      <c r="AC73" s="8">
        <v>9932.67</v>
      </c>
      <c r="AD73" s="8">
        <v>0</v>
      </c>
      <c r="AE73" s="8">
        <v>9932.67</v>
      </c>
      <c r="AF73" s="8">
        <v>0</v>
      </c>
      <c r="AG73" s="1" t="s">
        <v>61</v>
      </c>
      <c r="AH73" s="1" t="s">
        <v>75</v>
      </c>
      <c r="AI73" s="1">
        <v>5</v>
      </c>
      <c r="AJ73" s="3">
        <v>45930</v>
      </c>
      <c r="AK73" s="3">
        <v>45925</v>
      </c>
      <c r="AL73" s="3">
        <v>45918</v>
      </c>
      <c r="AM73" s="3">
        <v>45926</v>
      </c>
      <c r="AN73" s="3">
        <v>45927</v>
      </c>
      <c r="AO73" s="3">
        <v>45928</v>
      </c>
      <c r="AP73" s="3">
        <v>45925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750.46839999999997</v>
      </c>
    </row>
    <row r="74" spans="1:56" ht="27.75" customHeight="1" x14ac:dyDescent="0.45">
      <c r="A74" s="3">
        <v>45896</v>
      </c>
      <c r="B74" s="14" t="s">
        <v>402</v>
      </c>
      <c r="C74" s="9" t="s">
        <v>79</v>
      </c>
      <c r="D74" s="13" t="s">
        <v>311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80</v>
      </c>
      <c r="AA74" s="8">
        <v>3310.89</v>
      </c>
      <c r="AB74" s="8">
        <v>0</v>
      </c>
      <c r="AC74" s="8">
        <v>3310.89</v>
      </c>
      <c r="AD74" s="8">
        <v>0</v>
      </c>
      <c r="AE74" s="8">
        <v>3310.89</v>
      </c>
      <c r="AF74" s="8">
        <v>0</v>
      </c>
      <c r="AG74" s="1" t="s">
        <v>61</v>
      </c>
      <c r="AH74" s="1" t="s">
        <v>75</v>
      </c>
      <c r="AI74" s="1">
        <v>5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250.15613333333337</v>
      </c>
    </row>
    <row r="75" spans="1:56" ht="27.75" customHeight="1" x14ac:dyDescent="0.45">
      <c r="A75" s="3">
        <v>45896</v>
      </c>
      <c r="B75" s="14" t="s">
        <v>403</v>
      </c>
      <c r="C75" s="9" t="s">
        <v>79</v>
      </c>
      <c r="D75" s="13" t="s">
        <v>404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8000</v>
      </c>
      <c r="V75" s="10">
        <v>0</v>
      </c>
      <c r="W75" s="10">
        <v>8000</v>
      </c>
      <c r="X75" s="10">
        <v>0</v>
      </c>
      <c r="Y75" s="10">
        <v>8400</v>
      </c>
      <c r="Z75" s="9" t="s">
        <v>80</v>
      </c>
      <c r="AA75" s="8">
        <v>8829.0399999999991</v>
      </c>
      <c r="AB75" s="8">
        <v>0</v>
      </c>
      <c r="AC75" s="8">
        <v>8829.0399999999991</v>
      </c>
      <c r="AD75" s="8">
        <v>0</v>
      </c>
      <c r="AE75" s="8">
        <v>8829.0399999999991</v>
      </c>
      <c r="AF75" s="8">
        <v>0</v>
      </c>
      <c r="AG75" s="1" t="s">
        <v>61</v>
      </c>
      <c r="AH75" s="1" t="s">
        <v>75</v>
      </c>
      <c r="AI75" s="1">
        <v>5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667.08302222222221</v>
      </c>
    </row>
    <row r="76" spans="1:56" ht="27.75" customHeight="1" x14ac:dyDescent="0.45">
      <c r="A76" s="3" t="s">
        <v>135</v>
      </c>
      <c r="B76" s="14" t="s">
        <v>135</v>
      </c>
      <c r="C76" s="9" t="s">
        <v>139</v>
      </c>
      <c r="D76" s="13" t="s">
        <v>61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>
        <v>45925</v>
      </c>
      <c r="U76" s="11">
        <v>100000</v>
      </c>
      <c r="V76" s="10">
        <v>0</v>
      </c>
      <c r="W76" s="10">
        <v>100000</v>
      </c>
      <c r="X76" s="10">
        <v>0</v>
      </c>
      <c r="Y76" s="10">
        <v>105000</v>
      </c>
      <c r="Z76" s="9" t="s">
        <v>80</v>
      </c>
      <c r="AA76" s="8">
        <v>104775.00000000001</v>
      </c>
      <c r="AB76" s="8">
        <v>0</v>
      </c>
      <c r="AC76" s="8">
        <v>104775.00000000001</v>
      </c>
      <c r="AD76" s="8">
        <v>0</v>
      </c>
      <c r="AE76" s="8">
        <v>104775.00000000001</v>
      </c>
      <c r="AF76" s="8">
        <v>0</v>
      </c>
      <c r="AG76" s="1" t="s">
        <v>116</v>
      </c>
      <c r="AH76" s="1" t="s">
        <v>75</v>
      </c>
      <c r="AI76" s="1">
        <v>4</v>
      </c>
      <c r="AJ76" s="3">
        <v>45925</v>
      </c>
      <c r="AK76" s="3">
        <v>45921</v>
      </c>
      <c r="AL76" s="3">
        <v>45914</v>
      </c>
      <c r="AM76" s="3">
        <v>45922</v>
      </c>
      <c r="AN76" s="3">
        <v>45923</v>
      </c>
      <c r="AO76" s="3">
        <v>45924</v>
      </c>
      <c r="AP76" s="3">
        <v>45920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7916.333333333333</v>
      </c>
    </row>
    <row r="77" spans="1:56" ht="27.75" customHeight="1" x14ac:dyDescent="0.45">
      <c r="A77" s="3" t="s">
        <v>135</v>
      </c>
      <c r="B77" s="14" t="s">
        <v>135</v>
      </c>
      <c r="C77" s="9" t="s">
        <v>79</v>
      </c>
      <c r="D77" s="13" t="s">
        <v>61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45925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80</v>
      </c>
      <c r="AA77" s="8">
        <v>22072.6</v>
      </c>
      <c r="AB77" s="8">
        <v>0</v>
      </c>
      <c r="AC77" s="8">
        <v>22072.6</v>
      </c>
      <c r="AD77" s="8">
        <v>0</v>
      </c>
      <c r="AE77" s="8">
        <v>22072.6</v>
      </c>
      <c r="AF77" s="8">
        <v>0</v>
      </c>
      <c r="AG77" s="1" t="s">
        <v>115</v>
      </c>
      <c r="AH77" s="1" t="s">
        <v>75</v>
      </c>
      <c r="AI77" s="1">
        <v>4</v>
      </c>
      <c r="AJ77" s="3">
        <v>45925</v>
      </c>
      <c r="AK77" s="3">
        <v>45921</v>
      </c>
      <c r="AL77" s="3">
        <v>45914</v>
      </c>
      <c r="AM77" s="3">
        <v>45922</v>
      </c>
      <c r="AN77" s="3">
        <v>45923</v>
      </c>
      <c r="AO77" s="3">
        <v>45924</v>
      </c>
      <c r="AP77" s="3">
        <v>45920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1667.7075555555555</v>
      </c>
    </row>
    <row r="78" spans="1:56" ht="27.75" customHeight="1" x14ac:dyDescent="0.45">
      <c r="A78" s="3" t="s">
        <v>135</v>
      </c>
      <c r="B78" s="14" t="s">
        <v>135</v>
      </c>
      <c r="C78" s="9" t="s">
        <v>97</v>
      </c>
      <c r="D78" s="13" t="s">
        <v>61</v>
      </c>
      <c r="E78" s="9">
        <v>20</v>
      </c>
      <c r="F78" s="9">
        <v>37</v>
      </c>
      <c r="G78" s="9" t="s">
        <v>60</v>
      </c>
      <c r="H78" s="9" t="s">
        <v>76</v>
      </c>
      <c r="I78" s="9">
        <v>97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71</v>
      </c>
      <c r="T78" s="12">
        <v>45925</v>
      </c>
      <c r="U78" s="11">
        <v>20000</v>
      </c>
      <c r="V78" s="10">
        <v>0</v>
      </c>
      <c r="W78" s="10">
        <v>20000</v>
      </c>
      <c r="X78" s="10">
        <v>0</v>
      </c>
      <c r="Y78" s="10">
        <v>21000</v>
      </c>
      <c r="Z78" s="9" t="s">
        <v>80</v>
      </c>
      <c r="AA78" s="8">
        <v>21513.800000000003</v>
      </c>
      <c r="AB78" s="8">
        <v>0</v>
      </c>
      <c r="AC78" s="8">
        <v>21513.800000000003</v>
      </c>
      <c r="AD78" s="8">
        <v>0</v>
      </c>
      <c r="AE78" s="8">
        <v>21513.800000000003</v>
      </c>
      <c r="AF78" s="8">
        <v>0</v>
      </c>
      <c r="AG78" s="1" t="s">
        <v>115</v>
      </c>
      <c r="AH78" s="1" t="s">
        <v>75</v>
      </c>
      <c r="AI78" s="1">
        <v>4</v>
      </c>
      <c r="AJ78" s="3">
        <v>45925</v>
      </c>
      <c r="AK78" s="3">
        <v>45921</v>
      </c>
      <c r="AL78" s="3">
        <v>45914</v>
      </c>
      <c r="AM78" s="3">
        <v>45922</v>
      </c>
      <c r="AN78" s="3">
        <v>45923</v>
      </c>
      <c r="AO78" s="3">
        <v>45924</v>
      </c>
      <c r="AP78" s="3">
        <v>45920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1625.4871111111113</v>
      </c>
    </row>
    <row r="79" spans="1:56" ht="27.75" customHeight="1" x14ac:dyDescent="0.45">
      <c r="A79" s="3">
        <v>45892</v>
      </c>
      <c r="B79" s="14" t="s">
        <v>366</v>
      </c>
      <c r="C79" s="9" t="s">
        <v>79</v>
      </c>
      <c r="D79" s="13" t="s">
        <v>220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63</v>
      </c>
      <c r="U79" s="11">
        <v>6000</v>
      </c>
      <c r="V79" s="10">
        <v>0</v>
      </c>
      <c r="W79" s="10">
        <v>6000</v>
      </c>
      <c r="X79" s="10">
        <v>0</v>
      </c>
      <c r="Y79" s="10">
        <v>6300</v>
      </c>
      <c r="Z79" s="9" t="s">
        <v>80</v>
      </c>
      <c r="AA79" s="8">
        <v>6621.78</v>
      </c>
      <c r="AB79" s="8">
        <v>0</v>
      </c>
      <c r="AC79" s="8">
        <v>6621.78</v>
      </c>
      <c r="AD79" s="8">
        <v>0</v>
      </c>
      <c r="AE79" s="8">
        <v>6621.78</v>
      </c>
      <c r="AF79" s="8">
        <v>0</v>
      </c>
      <c r="AG79" s="1" t="s">
        <v>116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500.31226666666674</v>
      </c>
    </row>
    <row r="80" spans="1:56" ht="27.75" customHeight="1" x14ac:dyDescent="0.45">
      <c r="A80" s="3">
        <v>45796</v>
      </c>
      <c r="B80" s="14" t="s">
        <v>258</v>
      </c>
      <c r="C80" s="9" t="s">
        <v>139</v>
      </c>
      <c r="D80" s="13" t="s">
        <v>145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 t="s">
        <v>63</v>
      </c>
      <c r="U80" s="11">
        <v>240</v>
      </c>
      <c r="V80" s="10">
        <v>0</v>
      </c>
      <c r="W80" s="10">
        <v>240</v>
      </c>
      <c r="X80" s="10">
        <v>0</v>
      </c>
      <c r="Y80" s="10">
        <v>252</v>
      </c>
      <c r="Z80" s="9" t="s">
        <v>80</v>
      </c>
      <c r="AA80" s="8">
        <v>251.46</v>
      </c>
      <c r="AB80" s="8">
        <v>0</v>
      </c>
      <c r="AC80" s="8">
        <v>251.46</v>
      </c>
      <c r="AD80" s="8">
        <v>0</v>
      </c>
      <c r="AE80" s="8">
        <v>251.46</v>
      </c>
      <c r="AF80" s="8">
        <v>0</v>
      </c>
      <c r="AG80" s="1" t="s">
        <v>61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254</v>
      </c>
      <c r="AZ80" s="2">
        <v>0</v>
      </c>
      <c r="BA80" s="2">
        <v>0</v>
      </c>
      <c r="BB80" s="2">
        <v>0</v>
      </c>
      <c r="BC80" s="1" t="s">
        <v>104</v>
      </c>
      <c r="BD80" s="56">
        <v>18.999199999999998</v>
      </c>
    </row>
    <row r="81" spans="1:56" ht="27.75" customHeight="1" x14ac:dyDescent="0.45">
      <c r="A81" s="3">
        <v>45876</v>
      </c>
      <c r="B81" s="14" t="s">
        <v>329</v>
      </c>
      <c r="C81" s="9" t="s">
        <v>107</v>
      </c>
      <c r="D81" s="13" t="s">
        <v>315</v>
      </c>
      <c r="E81" s="9">
        <v>20</v>
      </c>
      <c r="F81" s="9">
        <v>40</v>
      </c>
      <c r="G81" s="9" t="s">
        <v>60</v>
      </c>
      <c r="H81" s="9" t="s">
        <v>66</v>
      </c>
      <c r="I81" s="9">
        <v>108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3000</v>
      </c>
      <c r="V81" s="10">
        <v>3075</v>
      </c>
      <c r="W81" s="10">
        <v>0</v>
      </c>
      <c r="X81" s="10">
        <v>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115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45877</v>
      </c>
      <c r="B82" s="14" t="s">
        <v>319</v>
      </c>
      <c r="C82" s="9" t="s">
        <v>79</v>
      </c>
      <c r="D82" s="13" t="s">
        <v>320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7000</v>
      </c>
      <c r="V82" s="10">
        <v>0</v>
      </c>
      <c r="W82" s="10">
        <v>7000</v>
      </c>
      <c r="X82" s="10">
        <v>0</v>
      </c>
      <c r="Y82" s="10">
        <v>7350</v>
      </c>
      <c r="Z82" s="9" t="s">
        <v>80</v>
      </c>
      <c r="AA82" s="8">
        <v>7725.41</v>
      </c>
      <c r="AB82" s="8">
        <v>0</v>
      </c>
      <c r="AC82" s="8">
        <v>7725.41</v>
      </c>
      <c r="AD82" s="8">
        <v>0</v>
      </c>
      <c r="AE82" s="8">
        <v>7725.41</v>
      </c>
      <c r="AF82" s="8">
        <v>0</v>
      </c>
      <c r="AG82" s="1" t="s">
        <v>115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583.69764444444445</v>
      </c>
    </row>
    <row r="83" spans="1:56" ht="27.75" customHeight="1" x14ac:dyDescent="0.45">
      <c r="A83" s="3" t="s">
        <v>135</v>
      </c>
      <c r="B83" s="14" t="s">
        <v>135</v>
      </c>
      <c r="C83" s="9" t="s">
        <v>270</v>
      </c>
      <c r="D83" s="13" t="s">
        <v>61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110</v>
      </c>
      <c r="T83" s="12" t="s">
        <v>63</v>
      </c>
      <c r="U83" s="11">
        <v>100000</v>
      </c>
      <c r="V83" s="10">
        <v>0</v>
      </c>
      <c r="W83" s="10">
        <v>100000</v>
      </c>
      <c r="X83" s="10">
        <v>0</v>
      </c>
      <c r="Y83" s="10">
        <v>105000</v>
      </c>
      <c r="Z83" s="9" t="s">
        <v>80</v>
      </c>
      <c r="AA83" s="8">
        <v>110363</v>
      </c>
      <c r="AB83" s="8">
        <v>0</v>
      </c>
      <c r="AC83" s="8">
        <v>110363</v>
      </c>
      <c r="AD83" s="8">
        <v>0</v>
      </c>
      <c r="AE83" s="8">
        <v>110363</v>
      </c>
      <c r="AF83" s="8">
        <v>0</v>
      </c>
      <c r="AG83" s="1" t="s">
        <v>115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8338.5377777777776</v>
      </c>
    </row>
    <row r="84" spans="1:56" ht="27.75" customHeight="1" x14ac:dyDescent="0.45">
      <c r="A84" s="3">
        <v>45825</v>
      </c>
      <c r="B84" s="14" t="s">
        <v>269</v>
      </c>
      <c r="C84" s="9" t="s">
        <v>139</v>
      </c>
      <c r="D84" s="13" t="s">
        <v>239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246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894</v>
      </c>
      <c r="V84" s="10">
        <v>525</v>
      </c>
      <c r="W84" s="10">
        <v>369</v>
      </c>
      <c r="X84" s="10">
        <v>6000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116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134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45796</v>
      </c>
      <c r="B85" s="14" t="s">
        <v>256</v>
      </c>
      <c r="C85" s="9" t="s">
        <v>139</v>
      </c>
      <c r="D85" s="13" t="s">
        <v>251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366</v>
      </c>
      <c r="V85" s="10">
        <v>0</v>
      </c>
      <c r="W85" s="10">
        <v>366</v>
      </c>
      <c r="X85" s="10">
        <v>5113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116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45796</v>
      </c>
      <c r="B86" s="14" t="s">
        <v>257</v>
      </c>
      <c r="C86" s="9" t="s">
        <v>139</v>
      </c>
      <c r="D86" s="13" t="s">
        <v>253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 t="s">
        <v>63</v>
      </c>
      <c r="U86" s="11">
        <v>302</v>
      </c>
      <c r="V86" s="10">
        <v>0</v>
      </c>
      <c r="W86" s="10">
        <v>302</v>
      </c>
      <c r="X86" s="10">
        <v>5300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45782</v>
      </c>
      <c r="B87" s="14" t="s">
        <v>249</v>
      </c>
      <c r="C87" s="9" t="s">
        <v>79</v>
      </c>
      <c r="D87" s="13" t="s">
        <v>243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0</v>
      </c>
      <c r="AC87" s="8">
        <v>5518.15</v>
      </c>
      <c r="AD87" s="8">
        <v>0</v>
      </c>
      <c r="AE87" s="8">
        <v>5518.15</v>
      </c>
      <c r="AF87" s="8">
        <v>0</v>
      </c>
      <c r="AG87" s="1" t="s">
        <v>115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134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416.92688888888887</v>
      </c>
    </row>
    <row r="88" spans="1:56" ht="27.75" customHeight="1" x14ac:dyDescent="0.45">
      <c r="A88" s="3">
        <v>45798</v>
      </c>
      <c r="B88" s="14" t="s">
        <v>263</v>
      </c>
      <c r="C88" s="9" t="s">
        <v>107</v>
      </c>
      <c r="D88" s="13" t="s">
        <v>261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117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134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416.92688888888887</v>
      </c>
    </row>
    <row r="89" spans="1:56" ht="27.75" customHeight="1" x14ac:dyDescent="0.45">
      <c r="A89" s="3">
        <v>45674</v>
      </c>
      <c r="B89" s="14" t="s">
        <v>226</v>
      </c>
      <c r="C89" s="9" t="s">
        <v>139</v>
      </c>
      <c r="D89" s="13" t="s">
        <v>225</v>
      </c>
      <c r="E89" s="9">
        <v>20</v>
      </c>
      <c r="F89" s="9">
        <v>35</v>
      </c>
      <c r="G89" s="9" t="s">
        <v>60</v>
      </c>
      <c r="H89" s="9" t="s">
        <v>76</v>
      </c>
      <c r="I89" s="9">
        <v>97</v>
      </c>
      <c r="J89" s="9" t="s">
        <v>57</v>
      </c>
      <c r="K89" s="9">
        <v>5</v>
      </c>
      <c r="L89" s="9" t="s">
        <v>196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 t="s">
        <v>63</v>
      </c>
      <c r="U89" s="11">
        <v>152</v>
      </c>
      <c r="V89" s="10">
        <v>0</v>
      </c>
      <c r="W89" s="10">
        <v>152</v>
      </c>
      <c r="X89" s="10">
        <v>6000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5987</v>
      </c>
      <c r="AG89" s="1" t="s">
        <v>115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235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45611</v>
      </c>
      <c r="B90" s="14" t="s">
        <v>195</v>
      </c>
      <c r="C90" s="9" t="s">
        <v>139</v>
      </c>
      <c r="D90" s="13" t="s">
        <v>194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 t="s">
        <v>63</v>
      </c>
      <c r="U90" s="11">
        <v>117</v>
      </c>
      <c r="V90" s="10">
        <v>0</v>
      </c>
      <c r="W90" s="10">
        <v>117</v>
      </c>
      <c r="X90" s="10">
        <v>10065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45523</v>
      </c>
      <c r="B91" s="14" t="s">
        <v>178</v>
      </c>
      <c r="C91" s="9" t="s">
        <v>139</v>
      </c>
      <c r="D91" s="13" t="s">
        <v>176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 t="s">
        <v>63</v>
      </c>
      <c r="U91" s="11">
        <v>1260</v>
      </c>
      <c r="V91" s="10">
        <v>0</v>
      </c>
      <c r="W91" s="10">
        <v>1260</v>
      </c>
      <c r="X91" s="10">
        <v>11095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115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45523</v>
      </c>
      <c r="B92" s="14" t="s">
        <v>178</v>
      </c>
      <c r="C92" s="9" t="s">
        <v>139</v>
      </c>
      <c r="D92" s="13" t="s">
        <v>177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 t="s">
        <v>63</v>
      </c>
      <c r="U92" s="11">
        <v>89</v>
      </c>
      <c r="V92" s="10">
        <v>0</v>
      </c>
      <c r="W92" s="10">
        <v>89</v>
      </c>
      <c r="X92" s="10">
        <v>11180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115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45799</v>
      </c>
      <c r="B93" s="14" t="s">
        <v>264</v>
      </c>
      <c r="C93" s="9" t="s">
        <v>259</v>
      </c>
      <c r="D93" s="13" t="s">
        <v>260</v>
      </c>
      <c r="E93" s="9">
        <v>20</v>
      </c>
      <c r="F93" s="9">
        <v>34</v>
      </c>
      <c r="G93" s="9" t="s">
        <v>60</v>
      </c>
      <c r="H93" s="9" t="s">
        <v>66</v>
      </c>
      <c r="I93" s="9">
        <v>95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 t="s">
        <v>132</v>
      </c>
      <c r="U93" s="11">
        <v>4000</v>
      </c>
      <c r="V93" s="10">
        <v>3840</v>
      </c>
      <c r="W93" s="10">
        <v>160</v>
      </c>
      <c r="X93" s="10">
        <v>8450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210</v>
      </c>
      <c r="AG93" s="1" t="s">
        <v>115</v>
      </c>
      <c r="AH93" s="1" t="s">
        <v>75</v>
      </c>
      <c r="AI93" s="1">
        <v>4</v>
      </c>
      <c r="AJ93" s="3" t="s">
        <v>132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45799</v>
      </c>
      <c r="B94" s="14" t="s">
        <v>264</v>
      </c>
      <c r="C94" s="9" t="s">
        <v>259</v>
      </c>
      <c r="D94" s="13" t="s">
        <v>359</v>
      </c>
      <c r="E94" s="9">
        <v>20</v>
      </c>
      <c r="F94" s="9">
        <v>34</v>
      </c>
      <c r="G94" s="9" t="s">
        <v>60</v>
      </c>
      <c r="H94" s="9" t="s">
        <v>66</v>
      </c>
      <c r="I94" s="9">
        <v>95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 t="s">
        <v>132</v>
      </c>
      <c r="U94" s="11">
        <v>4000</v>
      </c>
      <c r="V94" s="10">
        <v>4154</v>
      </c>
      <c r="W94" s="10">
        <v>0</v>
      </c>
      <c r="X94" s="10">
        <v>4000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210</v>
      </c>
      <c r="AG94" s="1" t="s">
        <v>115</v>
      </c>
      <c r="AH94" s="1" t="s">
        <v>75</v>
      </c>
      <c r="AI94" s="1">
        <v>4</v>
      </c>
      <c r="AJ94" s="3" t="s">
        <v>132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45741</v>
      </c>
      <c r="B95" s="14" t="s">
        <v>242</v>
      </c>
      <c r="C95" s="9" t="s">
        <v>107</v>
      </c>
      <c r="D95" s="13" t="s">
        <v>241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132</v>
      </c>
      <c r="U95" s="11">
        <v>4000</v>
      </c>
      <c r="V95" s="10">
        <v>3867</v>
      </c>
      <c r="W95" s="10">
        <v>133</v>
      </c>
      <c r="X95" s="10">
        <v>4200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115</v>
      </c>
      <c r="AH95" s="1" t="s">
        <v>75</v>
      </c>
      <c r="AI95" s="1">
        <v>4</v>
      </c>
      <c r="AJ95" s="3" t="s">
        <v>132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244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45720</v>
      </c>
      <c r="B96" s="14" t="s">
        <v>128</v>
      </c>
      <c r="C96" s="9" t="s">
        <v>107</v>
      </c>
      <c r="D96" s="13" t="s">
        <v>209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132</v>
      </c>
      <c r="U96" s="11">
        <v>4000</v>
      </c>
      <c r="V96" s="10">
        <v>4010</v>
      </c>
      <c r="W96" s="10">
        <v>0</v>
      </c>
      <c r="X96" s="10">
        <v>4470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115</v>
      </c>
      <c r="AH96" s="1" t="s">
        <v>75</v>
      </c>
      <c r="AI96" s="1">
        <v>4</v>
      </c>
      <c r="AJ96" s="3" t="s">
        <v>132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45720</v>
      </c>
      <c r="B97" s="14" t="s">
        <v>128</v>
      </c>
      <c r="C97" s="9" t="s">
        <v>107</v>
      </c>
      <c r="D97" s="13" t="s">
        <v>219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132</v>
      </c>
      <c r="U97" s="11">
        <v>3000</v>
      </c>
      <c r="V97" s="10">
        <v>3065</v>
      </c>
      <c r="W97" s="10">
        <v>0</v>
      </c>
      <c r="X97" s="10">
        <v>3300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115</v>
      </c>
      <c r="AH97" s="1" t="s">
        <v>75</v>
      </c>
      <c r="AI97" s="1">
        <v>4</v>
      </c>
      <c r="AJ97" s="3" t="s">
        <v>132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45541</v>
      </c>
      <c r="B98" s="14" t="s">
        <v>182</v>
      </c>
      <c r="C98" s="9" t="s">
        <v>107</v>
      </c>
      <c r="D98" s="13" t="s">
        <v>183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132</v>
      </c>
      <c r="U98" s="11">
        <v>3000</v>
      </c>
      <c r="V98" s="10">
        <v>3318</v>
      </c>
      <c r="W98" s="10">
        <v>0</v>
      </c>
      <c r="X98" s="10">
        <v>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184</v>
      </c>
      <c r="AG98" s="1" t="s">
        <v>61</v>
      </c>
      <c r="AH98" s="1" t="s">
        <v>75</v>
      </c>
      <c r="AI98" s="1">
        <v>4</v>
      </c>
      <c r="AJ98" s="3" t="s">
        <v>132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>
        <v>0</v>
      </c>
      <c r="AY98" s="2" t="s">
        <v>222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45581</v>
      </c>
      <c r="B99" s="14" t="s">
        <v>187</v>
      </c>
      <c r="C99" s="9" t="s">
        <v>107</v>
      </c>
      <c r="D99" s="13" t="s">
        <v>188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132</v>
      </c>
      <c r="U99" s="11">
        <v>3000</v>
      </c>
      <c r="V99" s="10">
        <v>3194</v>
      </c>
      <c r="W99" s="10">
        <v>0</v>
      </c>
      <c r="X99" s="10">
        <v>5632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115</v>
      </c>
      <c r="AH99" s="1" t="s">
        <v>75</v>
      </c>
      <c r="AI99" s="1">
        <v>4</v>
      </c>
      <c r="AJ99" s="3" t="s">
        <v>132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0</v>
      </c>
      <c r="B100" s="14">
        <v>0</v>
      </c>
      <c r="C100" s="9">
        <v>0</v>
      </c>
      <c r="D100" s="13">
        <v>0</v>
      </c>
      <c r="E100" s="9">
        <v>20</v>
      </c>
      <c r="F100" s="9">
        <v>38</v>
      </c>
      <c r="G100" s="9">
        <v>0</v>
      </c>
      <c r="H100" s="9">
        <v>0</v>
      </c>
      <c r="I100" s="9">
        <v>84</v>
      </c>
      <c r="J100" s="9" t="s">
        <v>57</v>
      </c>
      <c r="K100" s="9">
        <v>5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80</v>
      </c>
      <c r="AA100" s="8">
        <v>347185.60769750003</v>
      </c>
      <c r="AB100" s="8">
        <v>18764.8776975</v>
      </c>
      <c r="AC100" s="8">
        <v>328420.7300000001</v>
      </c>
      <c r="AD100" s="8">
        <v>4892.6676974999991</v>
      </c>
      <c r="AE100" s="8">
        <v>342292.94000000006</v>
      </c>
      <c r="AF100" s="8" t="s">
        <v>58</v>
      </c>
      <c r="AG100" s="1" t="s">
        <v>115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 t="s">
        <v>135</v>
      </c>
      <c r="B101" s="14" t="s">
        <v>135</v>
      </c>
      <c r="C101" s="9" t="s">
        <v>270</v>
      </c>
      <c r="D101" s="13" t="s">
        <v>61</v>
      </c>
      <c r="E101" s="9">
        <v>20</v>
      </c>
      <c r="F101" s="9">
        <v>39</v>
      </c>
      <c r="G101" s="9" t="s">
        <v>60</v>
      </c>
      <c r="H101" s="9">
        <v>0</v>
      </c>
      <c r="I101" s="9">
        <v>84</v>
      </c>
      <c r="J101" s="9" t="s">
        <v>78</v>
      </c>
      <c r="K101" s="9">
        <v>0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110</v>
      </c>
      <c r="T101" s="12" t="s">
        <v>63</v>
      </c>
      <c r="U101" s="11">
        <v>100000</v>
      </c>
      <c r="V101" s="10">
        <v>0</v>
      </c>
      <c r="W101" s="10">
        <v>100000</v>
      </c>
      <c r="X101" s="10">
        <v>0</v>
      </c>
      <c r="Y101" s="10">
        <v>105000</v>
      </c>
      <c r="Z101" s="9" t="s">
        <v>271</v>
      </c>
      <c r="AA101" s="8">
        <v>113157.00000000001</v>
      </c>
      <c r="AB101" s="8">
        <v>0</v>
      </c>
      <c r="AC101" s="8">
        <v>113157.00000000001</v>
      </c>
      <c r="AD101" s="8">
        <v>0</v>
      </c>
      <c r="AE101" s="8">
        <v>0</v>
      </c>
      <c r="AF101" s="8">
        <v>0</v>
      </c>
      <c r="AG101" s="1" t="s">
        <v>117</v>
      </c>
      <c r="AH101" s="1" t="s">
        <v>74</v>
      </c>
      <c r="AI101" s="1">
        <v>2</v>
      </c>
      <c r="AJ101" s="3" t="s">
        <v>63</v>
      </c>
      <c r="AK101" s="3">
        <v>0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272</v>
      </c>
      <c r="BD101" s="56">
        <v>8914.2570000000014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38</v>
      </c>
      <c r="G102" s="9">
        <v>0</v>
      </c>
      <c r="H102" s="9">
        <v>0</v>
      </c>
      <c r="I102" s="9">
        <v>82</v>
      </c>
      <c r="J102" s="9" t="s">
        <v>78</v>
      </c>
      <c r="K102" s="9">
        <v>2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271</v>
      </c>
      <c r="AA102" s="8">
        <v>113157.00000000001</v>
      </c>
      <c r="AB102" s="8">
        <v>0</v>
      </c>
      <c r="AC102" s="8">
        <v>113157.00000000001</v>
      </c>
      <c r="AD102" s="8">
        <v>0</v>
      </c>
      <c r="AE102" s="8">
        <v>0</v>
      </c>
      <c r="AF102" s="8" t="s">
        <v>58</v>
      </c>
      <c r="AG102" s="1" t="s">
        <v>116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273</v>
      </c>
      <c r="BD102" s="56">
        <v>0</v>
      </c>
    </row>
    <row r="103" spans="1:56" ht="27.75" customHeight="1" x14ac:dyDescent="0.45">
      <c r="A103" s="3">
        <v>45887</v>
      </c>
      <c r="B103" s="14" t="s">
        <v>349</v>
      </c>
      <c r="C103" s="9" t="s">
        <v>139</v>
      </c>
      <c r="D103" s="13" t="s">
        <v>268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196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45904</v>
      </c>
      <c r="U103" s="11">
        <v>29680</v>
      </c>
      <c r="V103" s="10">
        <v>24160</v>
      </c>
      <c r="W103" s="10">
        <v>5520</v>
      </c>
      <c r="X103" s="10">
        <v>31160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210</v>
      </c>
      <c r="AG103" s="1" t="s">
        <v>115</v>
      </c>
      <c r="AH103" s="1" t="s">
        <v>74</v>
      </c>
      <c r="AI103" s="1">
        <v>2</v>
      </c>
      <c r="AJ103" s="3">
        <v>45904</v>
      </c>
      <c r="AK103" s="3">
        <v>0</v>
      </c>
      <c r="AL103" s="3">
        <v>45895</v>
      </c>
      <c r="AM103" s="3">
        <v>45902</v>
      </c>
      <c r="AN103" s="3">
        <v>45903</v>
      </c>
      <c r="AO103" s="3">
        <v>45903</v>
      </c>
      <c r="AP103" s="3">
        <v>45899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 t="s">
        <v>335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>
        <v>45896</v>
      </c>
      <c r="B104" s="14" t="s">
        <v>416</v>
      </c>
      <c r="C104" s="9" t="s">
        <v>73</v>
      </c>
      <c r="D104" s="13" t="s">
        <v>405</v>
      </c>
      <c r="E104" s="9">
        <v>20</v>
      </c>
      <c r="F104" s="9">
        <v>32</v>
      </c>
      <c r="G104" s="9" t="s">
        <v>60</v>
      </c>
      <c r="H104" s="9">
        <v>0</v>
      </c>
      <c r="I104" s="9">
        <v>72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141</v>
      </c>
      <c r="T104" s="12">
        <v>45906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4679.9500000000007</v>
      </c>
      <c r="AB104" s="8">
        <v>4679.9500000000007</v>
      </c>
      <c r="AC104" s="8">
        <v>0</v>
      </c>
      <c r="AD104" s="8">
        <v>0</v>
      </c>
      <c r="AE104" s="8">
        <v>0</v>
      </c>
      <c r="AF104" s="8">
        <v>0</v>
      </c>
      <c r="AG104" s="1" t="s">
        <v>116</v>
      </c>
      <c r="AH104" s="1" t="s">
        <v>74</v>
      </c>
      <c r="AI104" s="1">
        <v>2</v>
      </c>
      <c r="AJ104" s="3">
        <v>45906</v>
      </c>
      <c r="AK104" s="3">
        <v>0</v>
      </c>
      <c r="AL104" s="3">
        <v>45897</v>
      </c>
      <c r="AM104" s="3">
        <v>45904</v>
      </c>
      <c r="AN104" s="3">
        <v>45905</v>
      </c>
      <c r="AO104" s="3">
        <v>45905</v>
      </c>
      <c r="AP104" s="3">
        <v>45901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45">
      <c r="A105" s="3">
        <v>45896</v>
      </c>
      <c r="B105" s="14" t="s">
        <v>416</v>
      </c>
      <c r="C105" s="9" t="s">
        <v>73</v>
      </c>
      <c r="D105" s="13" t="s">
        <v>406</v>
      </c>
      <c r="E105" s="9">
        <v>20</v>
      </c>
      <c r="F105" s="9">
        <v>32</v>
      </c>
      <c r="G105" s="9" t="s">
        <v>60</v>
      </c>
      <c r="H105" s="9">
        <v>0</v>
      </c>
      <c r="I105" s="9">
        <v>72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141</v>
      </c>
      <c r="T105" s="12">
        <v>45906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81</v>
      </c>
      <c r="AA105" s="8">
        <v>4679.9500000000007</v>
      </c>
      <c r="AB105" s="8">
        <v>4679.9500000000007</v>
      </c>
      <c r="AC105" s="8">
        <v>0</v>
      </c>
      <c r="AD105" s="8">
        <v>0</v>
      </c>
      <c r="AE105" s="8">
        <v>0</v>
      </c>
      <c r="AF105" s="8">
        <v>0</v>
      </c>
      <c r="AG105" s="1" t="s">
        <v>116</v>
      </c>
      <c r="AH105" s="1" t="s">
        <v>74</v>
      </c>
      <c r="AI105" s="1">
        <v>2</v>
      </c>
      <c r="AJ105" s="3">
        <v>45906</v>
      </c>
      <c r="AK105" s="3">
        <v>0</v>
      </c>
      <c r="AL105" s="3">
        <v>45897</v>
      </c>
      <c r="AM105" s="3">
        <v>45904</v>
      </c>
      <c r="AN105" s="3">
        <v>45905</v>
      </c>
      <c r="AO105" s="3">
        <v>45905</v>
      </c>
      <c r="AP105" s="3">
        <v>45901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45887</v>
      </c>
      <c r="B106" s="14" t="s">
        <v>348</v>
      </c>
      <c r="C106" s="9" t="s">
        <v>139</v>
      </c>
      <c r="D106" s="13" t="s">
        <v>333</v>
      </c>
      <c r="E106" s="9">
        <v>20</v>
      </c>
      <c r="F106" s="9">
        <v>36</v>
      </c>
      <c r="G106" s="9" t="s">
        <v>60</v>
      </c>
      <c r="H106" s="9">
        <v>0</v>
      </c>
      <c r="I106" s="9">
        <v>78</v>
      </c>
      <c r="J106" s="9" t="s">
        <v>57</v>
      </c>
      <c r="K106" s="9">
        <v>5</v>
      </c>
      <c r="L106" s="9" t="s">
        <v>196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45908</v>
      </c>
      <c r="U106" s="11">
        <v>18134</v>
      </c>
      <c r="V106" s="10">
        <v>18134</v>
      </c>
      <c r="W106" s="10">
        <v>0</v>
      </c>
      <c r="X106" s="10">
        <v>33397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210</v>
      </c>
      <c r="AG106" s="1" t="s">
        <v>119</v>
      </c>
      <c r="AH106" s="1" t="s">
        <v>74</v>
      </c>
      <c r="AI106" s="1">
        <v>2</v>
      </c>
      <c r="AJ106" s="3">
        <v>45908</v>
      </c>
      <c r="AK106" s="3">
        <v>0</v>
      </c>
      <c r="AL106" s="3">
        <v>45899</v>
      </c>
      <c r="AM106" s="3">
        <v>45906</v>
      </c>
      <c r="AN106" s="3">
        <v>45907</v>
      </c>
      <c r="AO106" s="3">
        <v>45907</v>
      </c>
      <c r="AP106" s="3">
        <v>45903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 t="s">
        <v>334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45">
      <c r="A107" s="3">
        <v>45892</v>
      </c>
      <c r="B107" s="14" t="s">
        <v>367</v>
      </c>
      <c r="C107" s="9" t="s">
        <v>139</v>
      </c>
      <c r="D107" s="13" t="s">
        <v>368</v>
      </c>
      <c r="E107" s="9">
        <v>20</v>
      </c>
      <c r="F107" s="9">
        <v>36</v>
      </c>
      <c r="G107" s="9" t="s">
        <v>60</v>
      </c>
      <c r="H107" s="9">
        <v>0</v>
      </c>
      <c r="I107" s="9">
        <v>78</v>
      </c>
      <c r="J107" s="9" t="s">
        <v>57</v>
      </c>
      <c r="K107" s="9">
        <v>5</v>
      </c>
      <c r="L107" s="9" t="s">
        <v>196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>
        <v>45908</v>
      </c>
      <c r="U107" s="11">
        <v>10000</v>
      </c>
      <c r="V107" s="10">
        <v>1196</v>
      </c>
      <c r="W107" s="10">
        <v>8804</v>
      </c>
      <c r="X107" s="10">
        <v>0</v>
      </c>
      <c r="Y107" s="10">
        <v>9244.2000000000007</v>
      </c>
      <c r="Z107" s="9" t="s">
        <v>81</v>
      </c>
      <c r="AA107" s="8">
        <v>9224.3909999999996</v>
      </c>
      <c r="AB107" s="8">
        <v>9224.3909999999996</v>
      </c>
      <c r="AC107" s="8">
        <v>0</v>
      </c>
      <c r="AD107" s="8">
        <v>0</v>
      </c>
      <c r="AE107" s="8">
        <v>0</v>
      </c>
      <c r="AF107" s="8" t="s">
        <v>210</v>
      </c>
      <c r="AG107" s="1" t="s">
        <v>116</v>
      </c>
      <c r="AH107" s="1" t="s">
        <v>74</v>
      </c>
      <c r="AI107" s="1">
        <v>2</v>
      </c>
      <c r="AJ107" s="3">
        <v>45908</v>
      </c>
      <c r="AK107" s="3">
        <v>0</v>
      </c>
      <c r="AL107" s="3">
        <v>45899</v>
      </c>
      <c r="AM107" s="3">
        <v>45906</v>
      </c>
      <c r="AN107" s="3">
        <v>45907</v>
      </c>
      <c r="AO107" s="3">
        <v>45907</v>
      </c>
      <c r="AP107" s="3">
        <v>45903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45887</v>
      </c>
      <c r="B108" s="14" t="s">
        <v>348</v>
      </c>
      <c r="C108" s="9" t="s">
        <v>139</v>
      </c>
      <c r="D108" s="13" t="s">
        <v>333</v>
      </c>
      <c r="E108" s="9">
        <v>20</v>
      </c>
      <c r="F108" s="9">
        <v>36</v>
      </c>
      <c r="G108" s="9" t="s">
        <v>60</v>
      </c>
      <c r="H108" s="9">
        <v>0</v>
      </c>
      <c r="I108" s="9">
        <v>78</v>
      </c>
      <c r="J108" s="9" t="s">
        <v>57</v>
      </c>
      <c r="K108" s="9">
        <v>5</v>
      </c>
      <c r="L108" s="9" t="s">
        <v>196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>
        <v>45915</v>
      </c>
      <c r="U108" s="11">
        <v>20000</v>
      </c>
      <c r="V108" s="10">
        <v>7066</v>
      </c>
      <c r="W108" s="10">
        <v>12934</v>
      </c>
      <c r="X108" s="10">
        <v>0</v>
      </c>
      <c r="Y108" s="10">
        <v>13580.7</v>
      </c>
      <c r="Z108" s="9" t="s">
        <v>81</v>
      </c>
      <c r="AA108" s="8">
        <v>13551.598500000002</v>
      </c>
      <c r="AB108" s="8">
        <v>13551.598500000002</v>
      </c>
      <c r="AC108" s="8">
        <v>0</v>
      </c>
      <c r="AD108" s="8">
        <v>0</v>
      </c>
      <c r="AE108" s="8">
        <v>0</v>
      </c>
      <c r="AF108" s="8" t="s">
        <v>210</v>
      </c>
      <c r="AG108" s="1" t="s">
        <v>116</v>
      </c>
      <c r="AH108" s="1" t="s">
        <v>74</v>
      </c>
      <c r="AI108" s="1">
        <v>2</v>
      </c>
      <c r="AJ108" s="3">
        <v>45915</v>
      </c>
      <c r="AK108" s="3">
        <v>0</v>
      </c>
      <c r="AL108" s="3">
        <v>45906</v>
      </c>
      <c r="AM108" s="3">
        <v>45913</v>
      </c>
      <c r="AN108" s="3">
        <v>45914</v>
      </c>
      <c r="AO108" s="3">
        <v>45914</v>
      </c>
      <c r="AP108" s="3">
        <v>45910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 t="s">
        <v>334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45887</v>
      </c>
      <c r="B109" s="14" t="s">
        <v>349</v>
      </c>
      <c r="C109" s="9" t="s">
        <v>139</v>
      </c>
      <c r="D109" s="13" t="s">
        <v>268</v>
      </c>
      <c r="E109" s="9">
        <v>20</v>
      </c>
      <c r="F109" s="9">
        <v>36</v>
      </c>
      <c r="G109" s="9" t="s">
        <v>60</v>
      </c>
      <c r="H109" s="9">
        <v>0</v>
      </c>
      <c r="I109" s="9">
        <v>78</v>
      </c>
      <c r="J109" s="9" t="s">
        <v>57</v>
      </c>
      <c r="K109" s="9">
        <v>5</v>
      </c>
      <c r="L109" s="9" t="s">
        <v>196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>
        <v>45919</v>
      </c>
      <c r="U109" s="11">
        <v>40000</v>
      </c>
      <c r="V109" s="10">
        <v>0</v>
      </c>
      <c r="W109" s="10">
        <v>40000</v>
      </c>
      <c r="X109" s="10">
        <v>6888</v>
      </c>
      <c r="Y109" s="10">
        <v>34767.599999999999</v>
      </c>
      <c r="Z109" s="9" t="s">
        <v>81</v>
      </c>
      <c r="AA109" s="8">
        <v>36427.752899999999</v>
      </c>
      <c r="AB109" s="8">
        <v>36427.752899999999</v>
      </c>
      <c r="AC109" s="8">
        <v>0</v>
      </c>
      <c r="AD109" s="8">
        <v>0</v>
      </c>
      <c r="AE109" s="8">
        <v>0</v>
      </c>
      <c r="AF109" s="8" t="s">
        <v>210</v>
      </c>
      <c r="AG109" s="1" t="s">
        <v>61</v>
      </c>
      <c r="AH109" s="1" t="s">
        <v>74</v>
      </c>
      <c r="AI109" s="1">
        <v>2</v>
      </c>
      <c r="AJ109" s="3">
        <v>45919</v>
      </c>
      <c r="AK109" s="3">
        <v>0</v>
      </c>
      <c r="AL109" s="3">
        <v>45910</v>
      </c>
      <c r="AM109" s="3">
        <v>45917</v>
      </c>
      <c r="AN109" s="3">
        <v>45918</v>
      </c>
      <c r="AO109" s="3">
        <v>45918</v>
      </c>
      <c r="AP109" s="3">
        <v>45914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 t="s">
        <v>335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45887</v>
      </c>
      <c r="B110" s="14" t="s">
        <v>349</v>
      </c>
      <c r="C110" s="9" t="s">
        <v>139</v>
      </c>
      <c r="D110" s="13" t="s">
        <v>268</v>
      </c>
      <c r="E110" s="9">
        <v>20</v>
      </c>
      <c r="F110" s="9">
        <v>36</v>
      </c>
      <c r="G110" s="9" t="s">
        <v>60</v>
      </c>
      <c r="H110" s="9">
        <v>0</v>
      </c>
      <c r="I110" s="9">
        <v>78</v>
      </c>
      <c r="J110" s="9" t="s">
        <v>57</v>
      </c>
      <c r="K110" s="9">
        <v>5</v>
      </c>
      <c r="L110" s="9" t="s">
        <v>196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45922</v>
      </c>
      <c r="U110" s="11">
        <v>30000</v>
      </c>
      <c r="V110" s="10">
        <v>0</v>
      </c>
      <c r="W110" s="10">
        <v>30000</v>
      </c>
      <c r="X110" s="10">
        <v>0</v>
      </c>
      <c r="Y110" s="10">
        <v>31500</v>
      </c>
      <c r="Z110" s="9" t="s">
        <v>81</v>
      </c>
      <c r="AA110" s="8">
        <v>31432.500000000004</v>
      </c>
      <c r="AB110" s="8">
        <v>31432.500000000004</v>
      </c>
      <c r="AC110" s="8">
        <v>0</v>
      </c>
      <c r="AD110" s="8">
        <v>0</v>
      </c>
      <c r="AE110" s="8">
        <v>0</v>
      </c>
      <c r="AF110" s="8" t="s">
        <v>210</v>
      </c>
      <c r="AG110" s="1" t="s">
        <v>115</v>
      </c>
      <c r="AH110" s="1" t="s">
        <v>74</v>
      </c>
      <c r="AI110" s="1">
        <v>2</v>
      </c>
      <c r="AJ110" s="3">
        <v>45922</v>
      </c>
      <c r="AK110" s="3">
        <v>0</v>
      </c>
      <c r="AL110" s="3">
        <v>45913</v>
      </c>
      <c r="AM110" s="3">
        <v>45920</v>
      </c>
      <c r="AN110" s="3">
        <v>45921</v>
      </c>
      <c r="AO110" s="3">
        <v>45921</v>
      </c>
      <c r="AP110" s="3">
        <v>45917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 t="s">
        <v>335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45887</v>
      </c>
      <c r="B111" s="14" t="s">
        <v>349</v>
      </c>
      <c r="C111" s="9" t="s">
        <v>139</v>
      </c>
      <c r="D111" s="13" t="s">
        <v>268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196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>
        <v>45926</v>
      </c>
      <c r="U111" s="11">
        <v>20000</v>
      </c>
      <c r="V111" s="10">
        <v>0</v>
      </c>
      <c r="W111" s="10">
        <v>20000</v>
      </c>
      <c r="X111" s="10">
        <v>0</v>
      </c>
      <c r="Y111" s="10">
        <v>21000</v>
      </c>
      <c r="Z111" s="9" t="s">
        <v>81</v>
      </c>
      <c r="AA111" s="8">
        <v>20955</v>
      </c>
      <c r="AB111" s="8">
        <v>20955</v>
      </c>
      <c r="AC111" s="8">
        <v>0</v>
      </c>
      <c r="AD111" s="8">
        <v>0</v>
      </c>
      <c r="AE111" s="8">
        <v>0</v>
      </c>
      <c r="AF111" s="8" t="s">
        <v>210</v>
      </c>
      <c r="AG111" s="1" t="s">
        <v>115</v>
      </c>
      <c r="AH111" s="1" t="s">
        <v>74</v>
      </c>
      <c r="AI111" s="1">
        <v>2</v>
      </c>
      <c r="AJ111" s="3">
        <v>45926</v>
      </c>
      <c r="AK111" s="3">
        <v>0</v>
      </c>
      <c r="AL111" s="3">
        <v>45917</v>
      </c>
      <c r="AM111" s="3">
        <v>45924</v>
      </c>
      <c r="AN111" s="3">
        <v>45925</v>
      </c>
      <c r="AO111" s="3">
        <v>45925</v>
      </c>
      <c r="AP111" s="3">
        <v>45921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 t="s">
        <v>335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45">
      <c r="A112" s="3" t="s">
        <v>135</v>
      </c>
      <c r="B112" s="14" t="s">
        <v>135</v>
      </c>
      <c r="C112" s="9" t="s">
        <v>139</v>
      </c>
      <c r="D112" s="13" t="s">
        <v>61</v>
      </c>
      <c r="E112" s="9">
        <v>20</v>
      </c>
      <c r="F112" s="9">
        <v>36</v>
      </c>
      <c r="G112" s="9" t="s">
        <v>60</v>
      </c>
      <c r="H112" s="9">
        <v>0</v>
      </c>
      <c r="I112" s="9">
        <v>78</v>
      </c>
      <c r="J112" s="9" t="s">
        <v>57</v>
      </c>
      <c r="K112" s="9">
        <v>5</v>
      </c>
      <c r="L112" s="9" t="s">
        <v>196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108</v>
      </c>
      <c r="T112" s="12" t="s">
        <v>63</v>
      </c>
      <c r="U112" s="11">
        <v>290000</v>
      </c>
      <c r="V112" s="10">
        <v>0</v>
      </c>
      <c r="W112" s="10">
        <v>290000</v>
      </c>
      <c r="X112" s="10">
        <v>0</v>
      </c>
      <c r="Y112" s="10">
        <v>304500</v>
      </c>
      <c r="Z112" s="9" t="s">
        <v>81</v>
      </c>
      <c r="AA112" s="8">
        <v>303847.5</v>
      </c>
      <c r="AB112" s="8">
        <v>49926</v>
      </c>
      <c r="AC112" s="8">
        <v>253921.5</v>
      </c>
      <c r="AD112" s="8">
        <v>0</v>
      </c>
      <c r="AE112" s="8">
        <v>0</v>
      </c>
      <c r="AF112" s="8" t="s">
        <v>210</v>
      </c>
      <c r="AG112" s="1" t="s">
        <v>115</v>
      </c>
      <c r="AH112" s="1" t="s">
        <v>74</v>
      </c>
      <c r="AI112" s="1">
        <v>2</v>
      </c>
      <c r="AJ112" s="3" t="s">
        <v>63</v>
      </c>
      <c r="AK112" s="3">
        <v>0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19410.887999999999</v>
      </c>
    </row>
    <row r="113" spans="1:56" ht="27.75" customHeight="1" x14ac:dyDescent="0.45">
      <c r="A113" s="3">
        <v>0</v>
      </c>
      <c r="B113" s="14">
        <v>0</v>
      </c>
      <c r="C113" s="9">
        <v>0</v>
      </c>
      <c r="D113" s="13">
        <v>0</v>
      </c>
      <c r="E113" s="9">
        <v>20</v>
      </c>
      <c r="F113" s="9">
        <v>37</v>
      </c>
      <c r="G113" s="9">
        <v>0</v>
      </c>
      <c r="H113" s="9">
        <v>0</v>
      </c>
      <c r="I113" s="9">
        <v>80</v>
      </c>
      <c r="J113" s="9" t="s">
        <v>57</v>
      </c>
      <c r="K113" s="9">
        <v>3</v>
      </c>
      <c r="L113" s="9">
        <v>0</v>
      </c>
      <c r="M113" s="10">
        <v>0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>
        <v>0</v>
      </c>
      <c r="T113" s="12"/>
      <c r="U113" s="11">
        <v>0</v>
      </c>
      <c r="V113" s="10">
        <v>0</v>
      </c>
      <c r="W113" s="10">
        <v>0</v>
      </c>
      <c r="X113" s="10">
        <v>0</v>
      </c>
      <c r="Y113" s="10">
        <v>0</v>
      </c>
      <c r="Z113" s="9" t="s">
        <v>81</v>
      </c>
      <c r="AA113" s="8">
        <v>424798.64240000001</v>
      </c>
      <c r="AB113" s="8">
        <v>170877.14240000001</v>
      </c>
      <c r="AC113" s="8">
        <v>253921.5</v>
      </c>
      <c r="AD113" s="8">
        <v>0</v>
      </c>
      <c r="AE113" s="8">
        <v>0</v>
      </c>
      <c r="AF113" s="8" t="s">
        <v>58</v>
      </c>
      <c r="AG113" s="1" t="s">
        <v>115</v>
      </c>
      <c r="AH113" s="1">
        <v>0</v>
      </c>
      <c r="AI113" s="1" t="s">
        <v>15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45">
      <c r="A114" s="3">
        <v>45876</v>
      </c>
      <c r="B114" s="14" t="s">
        <v>325</v>
      </c>
      <c r="C114" s="9" t="s">
        <v>303</v>
      </c>
      <c r="D114" s="13" t="s">
        <v>312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40</v>
      </c>
      <c r="O114" s="9">
        <v>40</v>
      </c>
      <c r="P114" s="10">
        <v>0</v>
      </c>
      <c r="Q114" s="10">
        <v>0</v>
      </c>
      <c r="R114" s="10">
        <v>0</v>
      </c>
      <c r="S114" s="9" t="s">
        <v>71</v>
      </c>
      <c r="T114" s="12">
        <v>45904</v>
      </c>
      <c r="U114" s="11">
        <v>20000</v>
      </c>
      <c r="V114" s="10">
        <v>20006</v>
      </c>
      <c r="W114" s="10">
        <v>0</v>
      </c>
      <c r="X114" s="10">
        <v>21000</v>
      </c>
      <c r="Y114" s="10">
        <v>0</v>
      </c>
      <c r="Z114" s="9" t="s">
        <v>120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68</v>
      </c>
      <c r="AI114" s="1">
        <v>4</v>
      </c>
      <c r="AJ114" s="3">
        <v>45904</v>
      </c>
      <c r="AK114" s="3">
        <v>45900</v>
      </c>
      <c r="AL114" s="3">
        <v>45894</v>
      </c>
      <c r="AM114" s="3">
        <v>45901</v>
      </c>
      <c r="AN114" s="3">
        <v>45902</v>
      </c>
      <c r="AO114" s="3">
        <v>45902</v>
      </c>
      <c r="AP114" s="3">
        <v>45899</v>
      </c>
      <c r="AQ114" s="3">
        <v>45903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132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45876</v>
      </c>
      <c r="B115" s="14" t="s">
        <v>326</v>
      </c>
      <c r="C115" s="9" t="s">
        <v>303</v>
      </c>
      <c r="D115" s="13" t="s">
        <v>304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40</v>
      </c>
      <c r="O115" s="9">
        <v>40</v>
      </c>
      <c r="P115" s="10">
        <v>1.6065702062079996</v>
      </c>
      <c r="Q115" s="10">
        <v>0</v>
      </c>
      <c r="R115" s="10">
        <v>1.6065702062079996</v>
      </c>
      <c r="S115" s="9" t="s">
        <v>71</v>
      </c>
      <c r="T115" s="12">
        <v>45904</v>
      </c>
      <c r="U115" s="11">
        <v>10000</v>
      </c>
      <c r="V115" s="10">
        <v>9926</v>
      </c>
      <c r="W115" s="10">
        <v>74</v>
      </c>
      <c r="X115" s="10">
        <v>10500</v>
      </c>
      <c r="Y115" s="10">
        <v>0</v>
      </c>
      <c r="Z115" s="9" t="s">
        <v>120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68</v>
      </c>
      <c r="AI115" s="1">
        <v>4</v>
      </c>
      <c r="AJ115" s="3">
        <v>45904</v>
      </c>
      <c r="AK115" s="3">
        <v>45900</v>
      </c>
      <c r="AL115" s="3">
        <v>45894</v>
      </c>
      <c r="AM115" s="3">
        <v>45901</v>
      </c>
      <c r="AN115" s="3">
        <v>45902</v>
      </c>
      <c r="AO115" s="3">
        <v>45902</v>
      </c>
      <c r="AP115" s="3">
        <v>45899</v>
      </c>
      <c r="AQ115" s="3">
        <v>45903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132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45892</v>
      </c>
      <c r="B116" s="14" t="s">
        <v>369</v>
      </c>
      <c r="C116" s="9" t="s">
        <v>79</v>
      </c>
      <c r="D116" s="13" t="s">
        <v>370</v>
      </c>
      <c r="E116" s="9">
        <v>21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42</v>
      </c>
      <c r="O116" s="9">
        <v>40</v>
      </c>
      <c r="P116" s="10">
        <v>68.387785804799989</v>
      </c>
      <c r="Q116" s="10">
        <v>0</v>
      </c>
      <c r="R116" s="10">
        <v>68.387785804799989</v>
      </c>
      <c r="S116" s="9" t="s">
        <v>67</v>
      </c>
      <c r="T116" s="12">
        <v>45904</v>
      </c>
      <c r="U116" s="11">
        <v>3000</v>
      </c>
      <c r="V116" s="10">
        <v>0</v>
      </c>
      <c r="W116" s="10">
        <v>3000</v>
      </c>
      <c r="X116" s="10">
        <v>3100</v>
      </c>
      <c r="Y116" s="10">
        <v>0</v>
      </c>
      <c r="Z116" s="9" t="s">
        <v>120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116</v>
      </c>
      <c r="AH116" s="1" t="s">
        <v>68</v>
      </c>
      <c r="AI116" s="1">
        <v>4</v>
      </c>
      <c r="AJ116" s="3">
        <v>45904</v>
      </c>
      <c r="AK116" s="3">
        <v>45900</v>
      </c>
      <c r="AL116" s="3">
        <v>45894</v>
      </c>
      <c r="AM116" s="3">
        <v>45901</v>
      </c>
      <c r="AN116" s="3">
        <v>45902</v>
      </c>
      <c r="AO116" s="3">
        <v>45902</v>
      </c>
      <c r="AP116" s="3">
        <v>45899</v>
      </c>
      <c r="AQ116" s="3">
        <v>45903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45876</v>
      </c>
      <c r="B117" s="14" t="s">
        <v>337</v>
      </c>
      <c r="C117" s="9" t="s">
        <v>107</v>
      </c>
      <c r="D117" s="13" t="s">
        <v>317</v>
      </c>
      <c r="E117" s="9">
        <v>21</v>
      </c>
      <c r="F117" s="9">
        <v>38</v>
      </c>
      <c r="G117" s="9" t="s">
        <v>60</v>
      </c>
      <c r="H117" s="9" t="s">
        <v>66</v>
      </c>
      <c r="I117" s="9">
        <v>102</v>
      </c>
      <c r="J117" s="9" t="s">
        <v>57</v>
      </c>
      <c r="K117" s="9">
        <v>5</v>
      </c>
      <c r="L117" s="9" t="s">
        <v>90</v>
      </c>
      <c r="M117" s="10">
        <v>22</v>
      </c>
      <c r="N117" s="9">
        <v>40</v>
      </c>
      <c r="O117" s="9">
        <v>40</v>
      </c>
      <c r="P117" s="10">
        <v>65.13122457599998</v>
      </c>
      <c r="Q117" s="10">
        <v>0</v>
      </c>
      <c r="R117" s="10">
        <v>65.13122457599998</v>
      </c>
      <c r="S117" s="9" t="s">
        <v>67</v>
      </c>
      <c r="T117" s="12">
        <v>45926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120</v>
      </c>
      <c r="AA117" s="8">
        <v>3310.89</v>
      </c>
      <c r="AB117" s="8">
        <v>3310.89</v>
      </c>
      <c r="AC117" s="8">
        <v>0</v>
      </c>
      <c r="AD117" s="8">
        <v>3310.89</v>
      </c>
      <c r="AE117" s="8">
        <v>0</v>
      </c>
      <c r="AF117" s="8">
        <v>0</v>
      </c>
      <c r="AG117" s="1" t="s">
        <v>61</v>
      </c>
      <c r="AH117" s="1" t="s">
        <v>68</v>
      </c>
      <c r="AI117" s="1">
        <v>4</v>
      </c>
      <c r="AJ117" s="3">
        <v>45926</v>
      </c>
      <c r="AK117" s="3">
        <v>45922</v>
      </c>
      <c r="AL117" s="3">
        <v>45916</v>
      </c>
      <c r="AM117" s="3">
        <v>45923</v>
      </c>
      <c r="AN117" s="3">
        <v>45924</v>
      </c>
      <c r="AO117" s="3">
        <v>45924</v>
      </c>
      <c r="AP117" s="3">
        <v>45921</v>
      </c>
      <c r="AQ117" s="3">
        <v>45925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45631</v>
      </c>
      <c r="B118" s="14" t="s">
        <v>203</v>
      </c>
      <c r="C118" s="9" t="s">
        <v>109</v>
      </c>
      <c r="D118" s="13" t="s">
        <v>144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>
        <v>45908</v>
      </c>
      <c r="U118" s="11">
        <v>16000</v>
      </c>
      <c r="V118" s="10">
        <v>0</v>
      </c>
      <c r="W118" s="10">
        <v>16000</v>
      </c>
      <c r="X118" s="10">
        <v>0</v>
      </c>
      <c r="Y118" s="10">
        <v>16800</v>
      </c>
      <c r="Z118" s="9" t="s">
        <v>120</v>
      </c>
      <c r="AA118" s="8">
        <v>17211.04</v>
      </c>
      <c r="AB118" s="8">
        <v>17211.04</v>
      </c>
      <c r="AC118" s="8">
        <v>0</v>
      </c>
      <c r="AD118" s="8">
        <v>0</v>
      </c>
      <c r="AE118" s="8">
        <v>17211.04</v>
      </c>
      <c r="AF118" s="8">
        <v>0</v>
      </c>
      <c r="AG118" s="1" t="s">
        <v>116</v>
      </c>
      <c r="AH118" s="1" t="s">
        <v>68</v>
      </c>
      <c r="AI118" s="1">
        <v>4</v>
      </c>
      <c r="AJ118" s="3">
        <v>45908</v>
      </c>
      <c r="AK118" s="3">
        <v>45904</v>
      </c>
      <c r="AL118" s="3">
        <v>45898</v>
      </c>
      <c r="AM118" s="3">
        <v>45905</v>
      </c>
      <c r="AN118" s="3">
        <v>45906</v>
      </c>
      <c r="AO118" s="3">
        <v>45906</v>
      </c>
      <c r="AP118" s="3">
        <v>45903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218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45631</v>
      </c>
      <c r="B119" s="14" t="s">
        <v>202</v>
      </c>
      <c r="C119" s="9" t="s">
        <v>109</v>
      </c>
      <c r="D119" s="13" t="s">
        <v>144</v>
      </c>
      <c r="E119" s="9">
        <v>21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110</v>
      </c>
      <c r="T119" s="12" t="s">
        <v>63</v>
      </c>
      <c r="U119" s="11">
        <v>9000</v>
      </c>
      <c r="V119" s="10">
        <v>0</v>
      </c>
      <c r="W119" s="10">
        <v>9000</v>
      </c>
      <c r="X119" s="10">
        <v>0</v>
      </c>
      <c r="Y119" s="10">
        <v>9450</v>
      </c>
      <c r="Z119" s="9" t="s">
        <v>120</v>
      </c>
      <c r="AA119" s="8">
        <v>9681.2100000000009</v>
      </c>
      <c r="AB119" s="8">
        <v>9681.2100000000009</v>
      </c>
      <c r="AC119" s="8">
        <v>0</v>
      </c>
      <c r="AD119" s="8">
        <v>0</v>
      </c>
      <c r="AE119" s="8">
        <v>9681.2100000000009</v>
      </c>
      <c r="AF119" s="8">
        <v>0</v>
      </c>
      <c r="AG119" s="1" t="s">
        <v>116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217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 t="s">
        <v>135</v>
      </c>
      <c r="B120" s="14" t="s">
        <v>135</v>
      </c>
      <c r="C120" s="9" t="s">
        <v>111</v>
      </c>
      <c r="D120" s="13" t="s">
        <v>61</v>
      </c>
      <c r="E120" s="9">
        <v>21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>
        <v>45925</v>
      </c>
      <c r="U120" s="11">
        <v>100000</v>
      </c>
      <c r="V120" s="10">
        <v>0</v>
      </c>
      <c r="W120" s="10">
        <v>100000</v>
      </c>
      <c r="X120" s="10">
        <v>0</v>
      </c>
      <c r="Y120" s="10">
        <v>105000</v>
      </c>
      <c r="Z120" s="9" t="s">
        <v>120</v>
      </c>
      <c r="AA120" s="8">
        <v>107569.00000000001</v>
      </c>
      <c r="AB120" s="8">
        <v>107569.00000000001</v>
      </c>
      <c r="AC120" s="8">
        <v>0</v>
      </c>
      <c r="AD120" s="8">
        <v>107569.00000000001</v>
      </c>
      <c r="AE120" s="8">
        <v>0</v>
      </c>
      <c r="AF120" s="8">
        <v>0</v>
      </c>
      <c r="AG120" s="1" t="s">
        <v>116</v>
      </c>
      <c r="AH120" s="1" t="s">
        <v>68</v>
      </c>
      <c r="AI120" s="1">
        <v>4</v>
      </c>
      <c r="AJ120" s="3">
        <v>45925</v>
      </c>
      <c r="AK120" s="3">
        <v>45921</v>
      </c>
      <c r="AL120" s="3">
        <v>45915</v>
      </c>
      <c r="AM120" s="3">
        <v>45922</v>
      </c>
      <c r="AN120" s="3">
        <v>45923</v>
      </c>
      <c r="AO120" s="3">
        <v>45923</v>
      </c>
      <c r="AP120" s="3">
        <v>45920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45896</v>
      </c>
      <c r="B121" s="14" t="s">
        <v>407</v>
      </c>
      <c r="C121" s="9" t="s">
        <v>107</v>
      </c>
      <c r="D121" s="13" t="s">
        <v>408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102</v>
      </c>
      <c r="J121" s="9" t="s">
        <v>57</v>
      </c>
      <c r="K121" s="9">
        <v>5</v>
      </c>
      <c r="L121" s="9" t="s">
        <v>90</v>
      </c>
      <c r="M121" s="10">
        <v>22</v>
      </c>
      <c r="N121" s="9">
        <v>40</v>
      </c>
      <c r="O121" s="9">
        <v>40</v>
      </c>
      <c r="P121" s="10">
        <v>65.13122457599998</v>
      </c>
      <c r="Q121" s="10">
        <v>0</v>
      </c>
      <c r="R121" s="10">
        <v>65.13122457599998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120</v>
      </c>
      <c r="AA121" s="8">
        <v>3310.89</v>
      </c>
      <c r="AB121" s="8">
        <v>3310.89</v>
      </c>
      <c r="AC121" s="8">
        <v>0</v>
      </c>
      <c r="AD121" s="8">
        <v>0</v>
      </c>
      <c r="AE121" s="8">
        <v>3310.89</v>
      </c>
      <c r="AF121" s="8">
        <v>0</v>
      </c>
      <c r="AG121" s="1" t="s">
        <v>116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45896</v>
      </c>
      <c r="B122" s="14" t="s">
        <v>409</v>
      </c>
      <c r="C122" s="9" t="s">
        <v>107</v>
      </c>
      <c r="D122" s="13" t="s">
        <v>314</v>
      </c>
      <c r="E122" s="9">
        <v>21</v>
      </c>
      <c r="F122" s="9">
        <v>38</v>
      </c>
      <c r="G122" s="9" t="s">
        <v>60</v>
      </c>
      <c r="H122" s="9" t="s">
        <v>66</v>
      </c>
      <c r="I122" s="9">
        <v>102</v>
      </c>
      <c r="J122" s="9" t="s">
        <v>57</v>
      </c>
      <c r="K122" s="9">
        <v>5</v>
      </c>
      <c r="L122" s="9" t="s">
        <v>90</v>
      </c>
      <c r="M122" s="10">
        <v>22</v>
      </c>
      <c r="N122" s="9">
        <v>40</v>
      </c>
      <c r="O122" s="9">
        <v>40</v>
      </c>
      <c r="P122" s="10">
        <v>108.55204095999999</v>
      </c>
      <c r="Q122" s="10">
        <v>0</v>
      </c>
      <c r="R122" s="10">
        <v>108.55204095999999</v>
      </c>
      <c r="S122" s="9" t="s">
        <v>67</v>
      </c>
      <c r="T122" s="12" t="s">
        <v>63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120</v>
      </c>
      <c r="AA122" s="8">
        <v>5518.15</v>
      </c>
      <c r="AB122" s="8">
        <v>5518.15</v>
      </c>
      <c r="AC122" s="8">
        <v>0</v>
      </c>
      <c r="AD122" s="8">
        <v>0</v>
      </c>
      <c r="AE122" s="8">
        <v>5518.15</v>
      </c>
      <c r="AF122" s="8">
        <v>0</v>
      </c>
      <c r="AG122" s="1" t="s">
        <v>116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45896</v>
      </c>
      <c r="B123" s="14" t="s">
        <v>410</v>
      </c>
      <c r="C123" s="9" t="s">
        <v>107</v>
      </c>
      <c r="D123" s="13" t="s">
        <v>411</v>
      </c>
      <c r="E123" s="9">
        <v>21</v>
      </c>
      <c r="F123" s="9">
        <v>38</v>
      </c>
      <c r="G123" s="9" t="s">
        <v>60</v>
      </c>
      <c r="H123" s="9" t="s">
        <v>66</v>
      </c>
      <c r="I123" s="9">
        <v>102</v>
      </c>
      <c r="J123" s="9" t="s">
        <v>57</v>
      </c>
      <c r="K123" s="9">
        <v>5</v>
      </c>
      <c r="L123" s="9" t="s">
        <v>90</v>
      </c>
      <c r="M123" s="10">
        <v>22</v>
      </c>
      <c r="N123" s="9">
        <v>40</v>
      </c>
      <c r="O123" s="9">
        <v>40</v>
      </c>
      <c r="P123" s="10">
        <v>65.13122457599998</v>
      </c>
      <c r="Q123" s="10">
        <v>0</v>
      </c>
      <c r="R123" s="10">
        <v>65.13122457599998</v>
      </c>
      <c r="S123" s="9" t="s">
        <v>67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120</v>
      </c>
      <c r="AA123" s="8">
        <v>3310.89</v>
      </c>
      <c r="AB123" s="8">
        <v>3310.89</v>
      </c>
      <c r="AC123" s="8">
        <v>0</v>
      </c>
      <c r="AD123" s="8">
        <v>0</v>
      </c>
      <c r="AE123" s="8">
        <v>3310.89</v>
      </c>
      <c r="AF123" s="8">
        <v>0</v>
      </c>
      <c r="AG123" s="1" t="s">
        <v>116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 t="e">
        <v>#VALUE!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121</v>
      </c>
      <c r="BD123" s="56">
        <v>0</v>
      </c>
    </row>
    <row r="124" spans="1:56" ht="27.75" customHeight="1" x14ac:dyDescent="0.45">
      <c r="A124" s="3">
        <v>45876</v>
      </c>
      <c r="B124" s="14" t="s">
        <v>336</v>
      </c>
      <c r="C124" s="9" t="s">
        <v>107</v>
      </c>
      <c r="D124" s="13" t="s">
        <v>316</v>
      </c>
      <c r="E124" s="9">
        <v>21</v>
      </c>
      <c r="F124" s="9">
        <v>40</v>
      </c>
      <c r="G124" s="9" t="s">
        <v>60</v>
      </c>
      <c r="H124" s="9" t="s">
        <v>66</v>
      </c>
      <c r="I124" s="9">
        <v>108</v>
      </c>
      <c r="J124" s="9" t="s">
        <v>57</v>
      </c>
      <c r="K124" s="9">
        <v>5</v>
      </c>
      <c r="L124" s="9" t="s">
        <v>91</v>
      </c>
      <c r="M124" s="10">
        <v>22</v>
      </c>
      <c r="N124" s="9">
        <v>42</v>
      </c>
      <c r="O124" s="9">
        <v>40</v>
      </c>
      <c r="P124" s="10">
        <v>68.387785804799989</v>
      </c>
      <c r="Q124" s="10">
        <v>0</v>
      </c>
      <c r="R124" s="10">
        <v>68.387785804799989</v>
      </c>
      <c r="S124" s="9" t="s">
        <v>71</v>
      </c>
      <c r="T124" s="12" t="s">
        <v>63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120</v>
      </c>
      <c r="AA124" s="8">
        <v>3478.5300000000007</v>
      </c>
      <c r="AB124" s="8">
        <v>3478.5300000000007</v>
      </c>
      <c r="AC124" s="8">
        <v>0</v>
      </c>
      <c r="AD124" s="8">
        <v>0</v>
      </c>
      <c r="AE124" s="8">
        <v>3478.5300000000007</v>
      </c>
      <c r="AF124" s="8">
        <v>0</v>
      </c>
      <c r="AG124" s="1" t="s">
        <v>116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121</v>
      </c>
      <c r="BD124" s="56">
        <v>0</v>
      </c>
    </row>
    <row r="125" spans="1:56" ht="27.75" customHeight="1" x14ac:dyDescent="0.45">
      <c r="A125" s="3">
        <v>45876</v>
      </c>
      <c r="B125" s="14" t="s">
        <v>338</v>
      </c>
      <c r="C125" s="9" t="s">
        <v>107</v>
      </c>
      <c r="D125" s="13" t="s">
        <v>318</v>
      </c>
      <c r="E125" s="9">
        <v>21</v>
      </c>
      <c r="F125" s="9">
        <v>40</v>
      </c>
      <c r="G125" s="9" t="s">
        <v>60</v>
      </c>
      <c r="H125" s="9" t="s">
        <v>66</v>
      </c>
      <c r="I125" s="9">
        <v>108</v>
      </c>
      <c r="J125" s="9" t="s">
        <v>57</v>
      </c>
      <c r="K125" s="9">
        <v>5</v>
      </c>
      <c r="L125" s="9" t="s">
        <v>91</v>
      </c>
      <c r="M125" s="10">
        <v>22</v>
      </c>
      <c r="N125" s="9">
        <v>42</v>
      </c>
      <c r="O125" s="9">
        <v>40</v>
      </c>
      <c r="P125" s="10">
        <v>113.97964300799998</v>
      </c>
      <c r="Q125" s="10">
        <v>0</v>
      </c>
      <c r="R125" s="10">
        <v>113.97964300799998</v>
      </c>
      <c r="S125" s="9" t="s">
        <v>71</v>
      </c>
      <c r="T125" s="12" t="s">
        <v>63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120</v>
      </c>
      <c r="AA125" s="8">
        <v>5797.55</v>
      </c>
      <c r="AB125" s="8">
        <v>5797.55</v>
      </c>
      <c r="AC125" s="8">
        <v>0</v>
      </c>
      <c r="AD125" s="8">
        <v>0</v>
      </c>
      <c r="AE125" s="8">
        <v>5797.55</v>
      </c>
      <c r="AF125" s="8">
        <v>0</v>
      </c>
      <c r="AG125" s="1" t="s">
        <v>116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 t="e">
        <v>#VALUE!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121</v>
      </c>
      <c r="BD125" s="56">
        <v>0</v>
      </c>
    </row>
    <row r="126" spans="1:56" ht="27.75" customHeight="1" x14ac:dyDescent="0.45">
      <c r="A126" s="3" t="s">
        <v>135</v>
      </c>
      <c r="B126" s="14" t="s">
        <v>135</v>
      </c>
      <c r="C126" s="9" t="s">
        <v>109</v>
      </c>
      <c r="D126" s="13" t="s">
        <v>144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110</v>
      </c>
      <c r="T126" s="12" t="s">
        <v>63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120</v>
      </c>
      <c r="AA126" s="8">
        <v>10756.900000000001</v>
      </c>
      <c r="AB126" s="8">
        <v>10756.900000000001</v>
      </c>
      <c r="AC126" s="8">
        <v>0</v>
      </c>
      <c r="AD126" s="8">
        <v>0</v>
      </c>
      <c r="AE126" s="8">
        <v>10756.900000000001</v>
      </c>
      <c r="AF126" s="8">
        <v>0</v>
      </c>
      <c r="AG126" s="1" t="s">
        <v>116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121</v>
      </c>
      <c r="BD126" s="56">
        <v>0</v>
      </c>
    </row>
    <row r="127" spans="1:56" ht="27.75" customHeight="1" x14ac:dyDescent="0.45">
      <c r="A127" s="3">
        <v>45854</v>
      </c>
      <c r="B127" s="14" t="s">
        <v>295</v>
      </c>
      <c r="C127" s="9" t="s">
        <v>79</v>
      </c>
      <c r="D127" s="13" t="s">
        <v>296</v>
      </c>
      <c r="E127" s="9">
        <v>21</v>
      </c>
      <c r="F127" s="9">
        <v>38</v>
      </c>
      <c r="G127" s="9" t="s">
        <v>60</v>
      </c>
      <c r="H127" s="9" t="s">
        <v>76</v>
      </c>
      <c r="I127" s="9">
        <v>102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65.13122457599998</v>
      </c>
      <c r="Q127" s="10">
        <v>0</v>
      </c>
      <c r="R127" s="10">
        <v>65.13122457599998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120</v>
      </c>
      <c r="AA127" s="8">
        <v>3310.89</v>
      </c>
      <c r="AB127" s="8">
        <v>3310.89</v>
      </c>
      <c r="AC127" s="8">
        <v>0</v>
      </c>
      <c r="AD127" s="8">
        <v>0</v>
      </c>
      <c r="AE127" s="8">
        <v>3310.89</v>
      </c>
      <c r="AF127" s="8">
        <v>0</v>
      </c>
      <c r="AG127" s="1" t="s">
        <v>116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121</v>
      </c>
      <c r="BD127" s="56">
        <v>0</v>
      </c>
    </row>
    <row r="128" spans="1:56" ht="27.75" customHeight="1" x14ac:dyDescent="0.45">
      <c r="A128" s="3">
        <v>45854</v>
      </c>
      <c r="B128" s="14" t="s">
        <v>297</v>
      </c>
      <c r="C128" s="9" t="s">
        <v>79</v>
      </c>
      <c r="D128" s="13" t="s">
        <v>298</v>
      </c>
      <c r="E128" s="9">
        <v>21</v>
      </c>
      <c r="F128" s="9">
        <v>38</v>
      </c>
      <c r="G128" s="9" t="s">
        <v>60</v>
      </c>
      <c r="H128" s="9" t="s">
        <v>76</v>
      </c>
      <c r="I128" s="9">
        <v>102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40</v>
      </c>
      <c r="O128" s="9">
        <v>40</v>
      </c>
      <c r="P128" s="10">
        <v>65.13122457599998</v>
      </c>
      <c r="Q128" s="10">
        <v>0</v>
      </c>
      <c r="R128" s="10">
        <v>65.13122457599998</v>
      </c>
      <c r="S128" s="9" t="s">
        <v>67</v>
      </c>
      <c r="T128" s="12" t="s">
        <v>63</v>
      </c>
      <c r="U128" s="11">
        <v>3000</v>
      </c>
      <c r="V128" s="10">
        <v>0</v>
      </c>
      <c r="W128" s="10">
        <v>3000</v>
      </c>
      <c r="X128" s="10">
        <v>0</v>
      </c>
      <c r="Y128" s="10">
        <v>3150</v>
      </c>
      <c r="Z128" s="9" t="s">
        <v>120</v>
      </c>
      <c r="AA128" s="8">
        <v>3310.89</v>
      </c>
      <c r="AB128" s="8">
        <v>3310.89</v>
      </c>
      <c r="AC128" s="8">
        <v>0</v>
      </c>
      <c r="AD128" s="8">
        <v>0</v>
      </c>
      <c r="AE128" s="8">
        <v>3310.89</v>
      </c>
      <c r="AF128" s="8">
        <v>0</v>
      </c>
      <c r="AG128" s="1" t="s">
        <v>115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121</v>
      </c>
      <c r="BD128" s="56">
        <v>0</v>
      </c>
    </row>
    <row r="129" spans="1:56" ht="27.75" customHeight="1" x14ac:dyDescent="0.45">
      <c r="A129" s="3">
        <v>45826</v>
      </c>
      <c r="B129" s="14" t="s">
        <v>274</v>
      </c>
      <c r="C129" s="9" t="s">
        <v>107</v>
      </c>
      <c r="D129" s="13" t="s">
        <v>262</v>
      </c>
      <c r="E129" s="9">
        <v>21</v>
      </c>
      <c r="F129" s="9">
        <v>38</v>
      </c>
      <c r="G129" s="9" t="s">
        <v>60</v>
      </c>
      <c r="H129" s="9" t="s">
        <v>66</v>
      </c>
      <c r="I129" s="9">
        <v>102</v>
      </c>
      <c r="J129" s="9" t="s">
        <v>57</v>
      </c>
      <c r="K129" s="9">
        <v>5</v>
      </c>
      <c r="L129" s="9" t="s">
        <v>91</v>
      </c>
      <c r="M129" s="10">
        <v>22</v>
      </c>
      <c r="N129" s="9">
        <v>40</v>
      </c>
      <c r="O129" s="9">
        <v>40</v>
      </c>
      <c r="P129" s="10">
        <v>163.47937368575995</v>
      </c>
      <c r="Q129" s="10">
        <v>0</v>
      </c>
      <c r="R129" s="10">
        <v>163.47937368575995</v>
      </c>
      <c r="S129" s="9" t="s">
        <v>67</v>
      </c>
      <c r="T129" s="12" t="s">
        <v>63</v>
      </c>
      <c r="U129" s="11">
        <v>8000</v>
      </c>
      <c r="V129" s="10">
        <v>470</v>
      </c>
      <c r="W129" s="10">
        <v>7530</v>
      </c>
      <c r="X129" s="10">
        <v>0</v>
      </c>
      <c r="Y129" s="10">
        <v>7906.5</v>
      </c>
      <c r="Z129" s="9" t="s">
        <v>120</v>
      </c>
      <c r="AA129" s="8">
        <v>8310.3338999999996</v>
      </c>
      <c r="AB129" s="8">
        <v>8310.3338999999996</v>
      </c>
      <c r="AC129" s="8">
        <v>0</v>
      </c>
      <c r="AD129" s="8">
        <v>0</v>
      </c>
      <c r="AE129" s="8">
        <v>8310.3338999999996</v>
      </c>
      <c r="AF129" s="8">
        <v>0</v>
      </c>
      <c r="AG129" s="1" t="s">
        <v>115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121</v>
      </c>
      <c r="BD129" s="56">
        <v>0</v>
      </c>
    </row>
    <row r="130" spans="1:56" ht="27.75" customHeight="1" x14ac:dyDescent="0.45">
      <c r="A130" s="3">
        <v>45066</v>
      </c>
      <c r="B130" s="14" t="s">
        <v>126</v>
      </c>
      <c r="C130" s="9" t="s">
        <v>79</v>
      </c>
      <c r="D130" s="13" t="s">
        <v>125</v>
      </c>
      <c r="E130" s="9">
        <v>21</v>
      </c>
      <c r="F130" s="9">
        <v>38</v>
      </c>
      <c r="G130" s="9" t="s">
        <v>60</v>
      </c>
      <c r="H130" s="9" t="s">
        <v>76</v>
      </c>
      <c r="I130" s="9">
        <v>102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40</v>
      </c>
      <c r="O130" s="9">
        <v>40</v>
      </c>
      <c r="P130" s="10">
        <v>108.55204095999999</v>
      </c>
      <c r="Q130" s="10">
        <v>0</v>
      </c>
      <c r="R130" s="10">
        <v>108.55204095999999</v>
      </c>
      <c r="S130" s="9" t="s">
        <v>67</v>
      </c>
      <c r="T130" s="12" t="s">
        <v>63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120</v>
      </c>
      <c r="AA130" s="8">
        <v>5518.15</v>
      </c>
      <c r="AB130" s="8">
        <v>5518.15</v>
      </c>
      <c r="AC130" s="8">
        <v>0</v>
      </c>
      <c r="AD130" s="8">
        <v>0</v>
      </c>
      <c r="AE130" s="8">
        <v>5518.15</v>
      </c>
      <c r="AF130" s="8">
        <v>0</v>
      </c>
      <c r="AG130" s="1" t="s">
        <v>118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121</v>
      </c>
      <c r="BD130" s="56">
        <v>0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21</v>
      </c>
      <c r="F131" s="9">
        <v>37</v>
      </c>
      <c r="G131" s="9">
        <v>0</v>
      </c>
      <c r="H131" s="9">
        <v>0</v>
      </c>
      <c r="I131" s="9">
        <v>74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 t="s">
        <v>82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120</v>
      </c>
      <c r="AA131" s="8">
        <v>190395.31390000004</v>
      </c>
      <c r="AB131" s="8">
        <v>190395.31390000004</v>
      </c>
      <c r="AC131" s="8">
        <v>0</v>
      </c>
      <c r="AD131" s="8">
        <v>110879.89000000001</v>
      </c>
      <c r="AE131" s="8">
        <v>79515.423899999994</v>
      </c>
      <c r="AF131" s="8" t="s">
        <v>58</v>
      </c>
      <c r="AG131" s="1" t="s">
        <v>116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122</v>
      </c>
      <c r="BD131" s="56">
        <v>0</v>
      </c>
    </row>
    <row r="132" spans="1:56" ht="27.75" customHeight="1" x14ac:dyDescent="0.45">
      <c r="A132" s="3">
        <v>45898</v>
      </c>
      <c r="B132" s="14" t="s">
        <v>128</v>
      </c>
      <c r="C132" s="9" t="s">
        <v>417</v>
      </c>
      <c r="D132" s="13" t="s">
        <v>59</v>
      </c>
      <c r="E132" s="9">
        <v>23</v>
      </c>
      <c r="F132" s="9">
        <v>34</v>
      </c>
      <c r="G132" s="9" t="s">
        <v>60</v>
      </c>
      <c r="H132" s="9">
        <v>0</v>
      </c>
      <c r="I132" s="9">
        <v>68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>
        <v>45901</v>
      </c>
      <c r="U132" s="11">
        <v>10000</v>
      </c>
      <c r="V132" s="10">
        <v>0</v>
      </c>
      <c r="W132" s="10">
        <v>10000</v>
      </c>
      <c r="X132" s="10">
        <v>0</v>
      </c>
      <c r="Y132" s="10">
        <v>0</v>
      </c>
      <c r="Z132" s="9" t="s">
        <v>83</v>
      </c>
      <c r="AA132" s="8">
        <v>9918.7000000000007</v>
      </c>
      <c r="AB132" s="8">
        <v>9918.7000000000007</v>
      </c>
      <c r="AC132" s="8">
        <v>0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77</v>
      </c>
      <c r="AI132" s="1">
        <v>1</v>
      </c>
      <c r="AJ132" s="3">
        <v>45901</v>
      </c>
      <c r="AK132" s="3">
        <v>0</v>
      </c>
      <c r="AL132" s="3">
        <v>0</v>
      </c>
      <c r="AM132" s="3">
        <v>0</v>
      </c>
      <c r="AN132" s="3">
        <v>0</v>
      </c>
      <c r="AO132" s="3">
        <v>45900</v>
      </c>
      <c r="AP132" s="3">
        <v>45896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7.75" customHeight="1" x14ac:dyDescent="0.45">
      <c r="A133" s="3" t="s">
        <v>135</v>
      </c>
      <c r="B133" s="14" t="s">
        <v>135</v>
      </c>
      <c r="C133" s="9" t="s">
        <v>216</v>
      </c>
      <c r="D133" s="13" t="s">
        <v>216</v>
      </c>
      <c r="E133" s="9">
        <v>23</v>
      </c>
      <c r="F133" s="9">
        <v>34</v>
      </c>
      <c r="G133" s="9" t="s">
        <v>60</v>
      </c>
      <c r="H133" s="9">
        <v>0</v>
      </c>
      <c r="I133" s="9">
        <v>68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45930</v>
      </c>
      <c r="U133" s="11">
        <v>30000</v>
      </c>
      <c r="V133" s="10">
        <v>0</v>
      </c>
      <c r="W133" s="10">
        <v>30000</v>
      </c>
      <c r="X133" s="10">
        <v>0</v>
      </c>
      <c r="Y133" s="10">
        <v>31500</v>
      </c>
      <c r="Z133" s="9" t="s">
        <v>83</v>
      </c>
      <c r="AA133" s="8">
        <v>29756.100000000002</v>
      </c>
      <c r="AB133" s="8">
        <v>27294</v>
      </c>
      <c r="AC133" s="8">
        <v>2462.1000000000022</v>
      </c>
      <c r="AD133" s="8">
        <v>0</v>
      </c>
      <c r="AE133" s="8">
        <v>0</v>
      </c>
      <c r="AF133" s="8">
        <v>0</v>
      </c>
      <c r="AG133" s="1" t="s">
        <v>115</v>
      </c>
      <c r="AH133" s="1" t="s">
        <v>74</v>
      </c>
      <c r="AI133" s="1">
        <v>2</v>
      </c>
      <c r="AJ133" s="3">
        <v>45930</v>
      </c>
      <c r="AK133" s="3">
        <v>0</v>
      </c>
      <c r="AL133" s="3">
        <v>45921</v>
      </c>
      <c r="AM133" s="3">
        <v>45928</v>
      </c>
      <c r="AN133" s="3">
        <v>45929</v>
      </c>
      <c r="AO133" s="3">
        <v>45929</v>
      </c>
      <c r="AP133" s="3">
        <v>45925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184.04197500000012</v>
      </c>
    </row>
    <row r="134" spans="1:56" ht="27.75" customHeight="1" x14ac:dyDescent="0.45">
      <c r="A134" s="3" t="s">
        <v>135</v>
      </c>
      <c r="B134" s="14" t="s">
        <v>135</v>
      </c>
      <c r="C134" s="9" t="s">
        <v>221</v>
      </c>
      <c r="D134" s="13" t="s">
        <v>61</v>
      </c>
      <c r="E134" s="9">
        <v>23</v>
      </c>
      <c r="F134" s="9">
        <v>34</v>
      </c>
      <c r="G134" s="9" t="s">
        <v>60</v>
      </c>
      <c r="H134" s="9">
        <v>0</v>
      </c>
      <c r="I134" s="9">
        <v>68</v>
      </c>
      <c r="J134" s="9" t="s">
        <v>57</v>
      </c>
      <c r="K134" s="9">
        <v>5</v>
      </c>
      <c r="L134" s="9" t="s">
        <v>92</v>
      </c>
      <c r="M134" s="10">
        <v>24</v>
      </c>
      <c r="N134" s="9">
        <v>37</v>
      </c>
      <c r="O134" s="9">
        <v>50</v>
      </c>
      <c r="P134" s="10">
        <v>821.54158271999995</v>
      </c>
      <c r="Q134" s="10">
        <v>0</v>
      </c>
      <c r="R134" s="10">
        <v>821.54158271999995</v>
      </c>
      <c r="S134" s="9" t="s">
        <v>123</v>
      </c>
      <c r="T134" s="12">
        <v>45930</v>
      </c>
      <c r="U134" s="11">
        <v>30000</v>
      </c>
      <c r="V134" s="10">
        <v>0</v>
      </c>
      <c r="W134" s="10">
        <v>30000</v>
      </c>
      <c r="X134" s="10">
        <v>0</v>
      </c>
      <c r="Y134" s="10">
        <v>31500</v>
      </c>
      <c r="Z134" s="9" t="s">
        <v>83</v>
      </c>
      <c r="AA134" s="8">
        <v>29756.100000000002</v>
      </c>
      <c r="AB134" s="8">
        <v>0</v>
      </c>
      <c r="AC134" s="8">
        <v>29756.100000000002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72</v>
      </c>
      <c r="AI134" s="1">
        <v>3</v>
      </c>
      <c r="AJ134" s="3">
        <v>45930</v>
      </c>
      <c r="AK134" s="3">
        <v>0</v>
      </c>
      <c r="AL134" s="3">
        <v>45920</v>
      </c>
      <c r="AM134" s="3">
        <v>45927</v>
      </c>
      <c r="AN134" s="3">
        <v>45928</v>
      </c>
      <c r="AO134" s="3">
        <v>45928</v>
      </c>
      <c r="AP134" s="3">
        <v>45925</v>
      </c>
      <c r="AQ134" s="3">
        <v>45929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2224.2684750000003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34</v>
      </c>
      <c r="G135" s="9" t="s">
        <v>60</v>
      </c>
      <c r="H135" s="9">
        <v>0</v>
      </c>
      <c r="I135" s="9">
        <v>68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83</v>
      </c>
      <c r="AA135" s="8">
        <v>69430.900000000009</v>
      </c>
      <c r="AB135" s="8">
        <v>37212.699999999997</v>
      </c>
      <c r="AC135" s="8">
        <v>32218.200000000004</v>
      </c>
      <c r="AD135" s="8">
        <v>0</v>
      </c>
      <c r="AE135" s="8">
        <v>0</v>
      </c>
      <c r="AF135" s="8" t="s">
        <v>58</v>
      </c>
      <c r="AG135" s="1" t="s">
        <v>115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7.75" customHeight="1" x14ac:dyDescent="0.45">
      <c r="A136" s="3">
        <v>45727</v>
      </c>
      <c r="B136" s="14" t="s">
        <v>240</v>
      </c>
      <c r="C136" s="9" t="s">
        <v>111</v>
      </c>
      <c r="D136" s="13" t="s">
        <v>59</v>
      </c>
      <c r="E136" s="9">
        <v>23</v>
      </c>
      <c r="F136" s="9">
        <v>40</v>
      </c>
      <c r="G136" s="9" t="s">
        <v>60</v>
      </c>
      <c r="H136" s="9" t="s">
        <v>66</v>
      </c>
      <c r="I136" s="9">
        <v>125</v>
      </c>
      <c r="J136" s="9" t="s">
        <v>57</v>
      </c>
      <c r="K136" s="9">
        <v>5</v>
      </c>
      <c r="L136" s="9" t="s">
        <v>196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1000</v>
      </c>
      <c r="V136" s="10">
        <v>0</v>
      </c>
      <c r="W136" s="10">
        <v>1000</v>
      </c>
      <c r="X136" s="10">
        <v>0</v>
      </c>
      <c r="Y136" s="10">
        <v>0</v>
      </c>
      <c r="Z136" s="9" t="s">
        <v>213</v>
      </c>
      <c r="AA136" s="8">
        <v>1159.5100000000002</v>
      </c>
      <c r="AB136" s="8">
        <v>1159.5100000000002</v>
      </c>
      <c r="AC136" s="8">
        <v>0</v>
      </c>
      <c r="AD136" s="8">
        <v>1159.5100000000002</v>
      </c>
      <c r="AE136" s="8">
        <v>0</v>
      </c>
      <c r="AF136" s="8" t="s">
        <v>215</v>
      </c>
      <c r="AG136" s="1" t="s">
        <v>115</v>
      </c>
      <c r="AH136" s="1" t="s">
        <v>146</v>
      </c>
      <c r="AI136" s="1">
        <v>2</v>
      </c>
      <c r="AJ136" s="3" t="s">
        <v>63</v>
      </c>
      <c r="AK136" s="3" t="e">
        <v>#VALUE!</v>
      </c>
      <c r="AL136" s="3">
        <v>0</v>
      </c>
      <c r="AM136" s="3">
        <v>0</v>
      </c>
      <c r="AN136" s="3">
        <v>0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143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0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37</v>
      </c>
      <c r="G137" s="9">
        <v>0</v>
      </c>
      <c r="H137" s="9">
        <v>0</v>
      </c>
      <c r="I137" s="9">
        <v>85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213</v>
      </c>
      <c r="AA137" s="8">
        <v>1159.5100000000002</v>
      </c>
      <c r="AB137" s="8">
        <v>1159.5100000000002</v>
      </c>
      <c r="AC137" s="8">
        <v>0</v>
      </c>
      <c r="AD137" s="8">
        <v>1159.5100000000002</v>
      </c>
      <c r="AE137" s="8">
        <v>0</v>
      </c>
      <c r="AF137" s="8" t="s">
        <v>58</v>
      </c>
      <c r="AG137" s="1" t="s">
        <v>115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214</v>
      </c>
      <c r="BD137" s="56">
        <v>0</v>
      </c>
    </row>
    <row r="138" spans="1:56" ht="27.75" customHeight="1" x14ac:dyDescent="0.45">
      <c r="A138" s="3">
        <v>45601</v>
      </c>
      <c r="B138" s="14" t="s">
        <v>193</v>
      </c>
      <c r="C138" s="9" t="s">
        <v>93</v>
      </c>
      <c r="D138" s="13" t="s">
        <v>142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91</v>
      </c>
      <c r="M138" s="10">
        <v>24</v>
      </c>
      <c r="N138" s="9">
        <v>40</v>
      </c>
      <c r="O138" s="9">
        <v>55</v>
      </c>
      <c r="P138" s="10">
        <v>3207.7128103679997</v>
      </c>
      <c r="Q138" s="10">
        <v>0</v>
      </c>
      <c r="R138" s="10">
        <v>3207.7128103679997</v>
      </c>
      <c r="S138" s="9" t="s">
        <v>299</v>
      </c>
      <c r="T138" s="12" t="s">
        <v>63</v>
      </c>
      <c r="U138" s="11">
        <v>100000</v>
      </c>
      <c r="V138" s="10">
        <v>1500</v>
      </c>
      <c r="W138" s="10">
        <v>98500</v>
      </c>
      <c r="X138" s="10">
        <v>0</v>
      </c>
      <c r="Y138" s="10">
        <v>103425</v>
      </c>
      <c r="Z138" s="9" t="s">
        <v>99</v>
      </c>
      <c r="AA138" s="8">
        <v>105955.465</v>
      </c>
      <c r="AB138" s="8">
        <v>7595</v>
      </c>
      <c r="AC138" s="8">
        <v>98360.464999999997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72</v>
      </c>
      <c r="AI138" s="1">
        <v>3</v>
      </c>
      <c r="AJ138" s="3" t="s">
        <v>63</v>
      </c>
      <c r="AK138" s="3">
        <v>0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 t="e">
        <v>#VALUE!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113</v>
      </c>
      <c r="BD138" s="56">
        <v>12600.330757068057</v>
      </c>
    </row>
    <row r="139" spans="1:56" ht="27.75" customHeight="1" x14ac:dyDescent="0.45">
      <c r="A139" s="3">
        <v>45601</v>
      </c>
      <c r="B139" s="14" t="s">
        <v>193</v>
      </c>
      <c r="C139" s="9" t="s">
        <v>93</v>
      </c>
      <c r="D139" s="13" t="s">
        <v>142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40</v>
      </c>
      <c r="O139" s="9">
        <v>55</v>
      </c>
      <c r="P139" s="10">
        <v>11003.203948644863</v>
      </c>
      <c r="Q139" s="10">
        <v>0</v>
      </c>
      <c r="R139" s="10">
        <v>11003.203948644863</v>
      </c>
      <c r="S139" s="9" t="s">
        <v>299</v>
      </c>
      <c r="T139" s="12" t="s">
        <v>63</v>
      </c>
      <c r="U139" s="11">
        <v>337878</v>
      </c>
      <c r="V139" s="10">
        <v>0</v>
      </c>
      <c r="W139" s="10">
        <v>337878</v>
      </c>
      <c r="X139" s="10">
        <v>0</v>
      </c>
      <c r="Y139" s="10">
        <v>354771.9</v>
      </c>
      <c r="Z139" s="9" t="s">
        <v>99</v>
      </c>
      <c r="AA139" s="8">
        <v>363451.98582000006</v>
      </c>
      <c r="AB139" s="8">
        <v>0</v>
      </c>
      <c r="AC139" s="8">
        <v>363451.98582000006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72</v>
      </c>
      <c r="AI139" s="1">
        <v>3</v>
      </c>
      <c r="AJ139" s="3" t="s">
        <v>63</v>
      </c>
      <c r="AK139" s="3">
        <v>0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113</v>
      </c>
      <c r="BD139" s="56">
        <v>46559.511849046357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23</v>
      </c>
      <c r="F140" s="9">
        <v>37</v>
      </c>
      <c r="G140" s="9">
        <v>0</v>
      </c>
      <c r="H140" s="9">
        <v>0</v>
      </c>
      <c r="I140" s="9">
        <v>128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99</v>
      </c>
      <c r="AA140" s="8">
        <v>469407.45082000003</v>
      </c>
      <c r="AB140" s="8">
        <v>7595</v>
      </c>
      <c r="AC140" s="8">
        <v>461812.45082000003</v>
      </c>
      <c r="AD140" s="8">
        <v>0</v>
      </c>
      <c r="AE140" s="8">
        <v>0</v>
      </c>
      <c r="AF140" s="8" t="s">
        <v>58</v>
      </c>
      <c r="AG140" s="1" t="s">
        <v>115</v>
      </c>
      <c r="AH140" s="1">
        <v>0</v>
      </c>
      <c r="AI140" s="1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114</v>
      </c>
      <c r="BD140" s="56">
        <v>0</v>
      </c>
    </row>
    <row r="141" spans="1:56" ht="27.75" customHeight="1" x14ac:dyDescent="0.45">
      <c r="A141" s="3">
        <v>45894</v>
      </c>
      <c r="B141" s="14" t="s">
        <v>381</v>
      </c>
      <c r="C141" s="9" t="s">
        <v>137</v>
      </c>
      <c r="D141" s="13" t="s">
        <v>59</v>
      </c>
      <c r="E141" s="9">
        <v>26</v>
      </c>
      <c r="F141" s="9">
        <v>39</v>
      </c>
      <c r="G141" s="9" t="s">
        <v>60</v>
      </c>
      <c r="H141" s="9">
        <v>0</v>
      </c>
      <c r="I141" s="9">
        <v>93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123</v>
      </c>
      <c r="T141" s="12">
        <v>45902</v>
      </c>
      <c r="U141" s="11">
        <v>10000</v>
      </c>
      <c r="V141" s="10">
        <v>6800</v>
      </c>
      <c r="W141" s="10">
        <v>3200</v>
      </c>
      <c r="X141" s="10">
        <v>0</v>
      </c>
      <c r="Y141" s="10">
        <v>0</v>
      </c>
      <c r="Z141" s="9" t="s">
        <v>84</v>
      </c>
      <c r="AA141" s="8">
        <v>3621.0239999999999</v>
      </c>
      <c r="AB141" s="8">
        <v>0</v>
      </c>
      <c r="AC141" s="8">
        <v>3621.0239999999999</v>
      </c>
      <c r="AD141" s="8">
        <v>0</v>
      </c>
      <c r="AE141" s="8">
        <v>0</v>
      </c>
      <c r="AF141" s="8">
        <v>0</v>
      </c>
      <c r="AG141" s="1" t="s">
        <v>115</v>
      </c>
      <c r="AH141" s="1" t="s">
        <v>77</v>
      </c>
      <c r="AI141" s="1">
        <v>1</v>
      </c>
      <c r="AJ141" s="3">
        <v>45902</v>
      </c>
      <c r="AK141" s="3">
        <v>0</v>
      </c>
      <c r="AL141" s="3">
        <v>0</v>
      </c>
      <c r="AM141" s="3">
        <v>0</v>
      </c>
      <c r="AN141" s="3">
        <v>0</v>
      </c>
      <c r="AO141" s="3">
        <v>45901</v>
      </c>
      <c r="AP141" s="3">
        <v>45897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292.37757119999992</v>
      </c>
    </row>
    <row r="142" spans="1:56" ht="27.75" customHeight="1" x14ac:dyDescent="0.45">
      <c r="A142" s="3" t="s">
        <v>135</v>
      </c>
      <c r="B142" s="14" t="s">
        <v>135</v>
      </c>
      <c r="C142" s="9" t="s">
        <v>179</v>
      </c>
      <c r="D142" s="13" t="s">
        <v>61</v>
      </c>
      <c r="E142" s="9">
        <v>26</v>
      </c>
      <c r="F142" s="9">
        <v>41</v>
      </c>
      <c r="G142" s="9" t="s">
        <v>60</v>
      </c>
      <c r="H142" s="9">
        <v>0</v>
      </c>
      <c r="I142" s="9">
        <v>97</v>
      </c>
      <c r="J142" s="9" t="s">
        <v>57</v>
      </c>
      <c r="K142" s="9">
        <v>5</v>
      </c>
      <c r="L142" s="9" t="s">
        <v>91</v>
      </c>
      <c r="M142" s="10">
        <v>27</v>
      </c>
      <c r="N142" s="9">
        <v>43</v>
      </c>
      <c r="O142" s="9">
        <v>40</v>
      </c>
      <c r="P142" s="10">
        <v>229.14349009919997</v>
      </c>
      <c r="Q142" s="10">
        <v>0</v>
      </c>
      <c r="R142" s="10">
        <v>229.14349009919997</v>
      </c>
      <c r="S142" s="9" t="s">
        <v>185</v>
      </c>
      <c r="T142" s="12">
        <v>45930</v>
      </c>
      <c r="U142" s="11">
        <v>8000</v>
      </c>
      <c r="V142" s="10">
        <v>0</v>
      </c>
      <c r="W142" s="10">
        <v>8000</v>
      </c>
      <c r="X142" s="10">
        <v>0</v>
      </c>
      <c r="Y142" s="10">
        <v>8400</v>
      </c>
      <c r="Z142" s="9" t="s">
        <v>84</v>
      </c>
      <c r="AA142" s="8">
        <v>9499.6</v>
      </c>
      <c r="AB142" s="8">
        <v>0</v>
      </c>
      <c r="AC142" s="8">
        <v>9499.6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72</v>
      </c>
      <c r="AI142" s="1">
        <v>3</v>
      </c>
      <c r="AJ142" s="3">
        <v>45930</v>
      </c>
      <c r="AK142" s="3">
        <v>0</v>
      </c>
      <c r="AL142" s="3">
        <v>45920</v>
      </c>
      <c r="AM142" s="3">
        <v>45927</v>
      </c>
      <c r="AN142" s="3">
        <v>45928</v>
      </c>
      <c r="AO142" s="3">
        <v>45928</v>
      </c>
      <c r="AP142" s="3">
        <v>45925</v>
      </c>
      <c r="AQ142" s="3">
        <v>45929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767.03992444444452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26</v>
      </c>
      <c r="F143" s="9">
        <v>43</v>
      </c>
      <c r="G143" s="9" t="s">
        <v>60</v>
      </c>
      <c r="H143" s="9">
        <v>0</v>
      </c>
      <c r="I143" s="9">
        <v>102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84</v>
      </c>
      <c r="AA143" s="8">
        <v>13120.624</v>
      </c>
      <c r="AB143" s="8">
        <v>0</v>
      </c>
      <c r="AC143" s="8">
        <v>13120.624</v>
      </c>
      <c r="AD143" s="8">
        <v>0</v>
      </c>
      <c r="AE143" s="8">
        <v>0</v>
      </c>
      <c r="AF143" s="8" t="s">
        <v>58</v>
      </c>
      <c r="AG143" s="1" t="s">
        <v>115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7.75" customHeight="1" x14ac:dyDescent="0.45">
      <c r="A144" s="3" t="s">
        <v>135</v>
      </c>
      <c r="B144" s="14" t="s">
        <v>135</v>
      </c>
      <c r="C144" s="9" t="s">
        <v>109</v>
      </c>
      <c r="D144" s="13" t="s">
        <v>59</v>
      </c>
      <c r="E144" s="9">
        <v>26</v>
      </c>
      <c r="F144" s="9">
        <v>43</v>
      </c>
      <c r="G144" s="9" t="s">
        <v>60</v>
      </c>
      <c r="H144" s="9">
        <v>0</v>
      </c>
      <c r="I144" s="9">
        <v>116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110</v>
      </c>
      <c r="T144" s="12">
        <v>45925</v>
      </c>
      <c r="U144" s="11">
        <v>10000</v>
      </c>
      <c r="V144" s="10">
        <v>0</v>
      </c>
      <c r="W144" s="10">
        <v>10000</v>
      </c>
      <c r="X144" s="10">
        <v>0</v>
      </c>
      <c r="Y144" s="10">
        <v>0</v>
      </c>
      <c r="Z144" s="9" t="s">
        <v>197</v>
      </c>
      <c r="AA144" s="8">
        <v>12433.3</v>
      </c>
      <c r="AB144" s="8">
        <v>12433.3</v>
      </c>
      <c r="AC144" s="8">
        <v>0</v>
      </c>
      <c r="AD144" s="8">
        <v>0</v>
      </c>
      <c r="AE144" s="8">
        <v>0</v>
      </c>
      <c r="AF144" s="8">
        <v>0</v>
      </c>
      <c r="AG144" s="1" t="s">
        <v>118</v>
      </c>
      <c r="AH144" s="1" t="s">
        <v>77</v>
      </c>
      <c r="AI144" s="1">
        <v>1</v>
      </c>
      <c r="AJ144" s="3">
        <v>45925</v>
      </c>
      <c r="AK144" s="3">
        <v>0</v>
      </c>
      <c r="AL144" s="3">
        <v>0</v>
      </c>
      <c r="AM144" s="3">
        <v>0</v>
      </c>
      <c r="AN144" s="3">
        <v>0</v>
      </c>
      <c r="AO144" s="3">
        <v>45924</v>
      </c>
      <c r="AP144" s="3">
        <v>45920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102</v>
      </c>
      <c r="BD144" s="56">
        <v>0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26</v>
      </c>
      <c r="F145" s="9">
        <v>43</v>
      </c>
      <c r="G145" s="9">
        <v>0</v>
      </c>
      <c r="H145" s="9">
        <v>0</v>
      </c>
      <c r="I145" s="9">
        <v>116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197</v>
      </c>
      <c r="AA145" s="8">
        <v>12433.3</v>
      </c>
      <c r="AB145" s="8">
        <v>12433.3</v>
      </c>
      <c r="AC145" s="8">
        <v>0</v>
      </c>
      <c r="AD145" s="8">
        <v>0</v>
      </c>
      <c r="AE145" s="8">
        <v>0</v>
      </c>
      <c r="AF145" s="8" t="s">
        <v>58</v>
      </c>
      <c r="AG145" s="1" t="s">
        <v>118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198</v>
      </c>
      <c r="BD145" s="56">
        <v>0</v>
      </c>
    </row>
    <row r="146" spans="1:56" ht="27.75" customHeight="1" x14ac:dyDescent="0.45">
      <c r="A146" s="3" t="s">
        <v>135</v>
      </c>
      <c r="B146" s="14" t="s">
        <v>135</v>
      </c>
      <c r="C146" s="9" t="s">
        <v>109</v>
      </c>
      <c r="D146" s="13" t="s">
        <v>144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150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110</v>
      </c>
      <c r="T146" s="12">
        <v>45908</v>
      </c>
      <c r="U146" s="11">
        <v>16000</v>
      </c>
      <c r="V146" s="10">
        <v>0</v>
      </c>
      <c r="W146" s="10">
        <v>16000</v>
      </c>
      <c r="X146" s="10">
        <v>0</v>
      </c>
      <c r="Y146" s="10">
        <v>16800</v>
      </c>
      <c r="Z146" s="9" t="s">
        <v>88</v>
      </c>
      <c r="AA146" s="8">
        <v>19893.280000000002</v>
      </c>
      <c r="AB146" s="8">
        <v>19893.280000000002</v>
      </c>
      <c r="AC146" s="8">
        <v>0</v>
      </c>
      <c r="AD146" s="8">
        <v>0</v>
      </c>
      <c r="AE146" s="8">
        <v>19893.280000000002</v>
      </c>
      <c r="AF146" s="8">
        <v>0</v>
      </c>
      <c r="AG146" s="1" t="s">
        <v>115</v>
      </c>
      <c r="AH146" s="1" t="s">
        <v>75</v>
      </c>
      <c r="AI146" s="1">
        <v>4</v>
      </c>
      <c r="AJ146" s="3">
        <v>45908</v>
      </c>
      <c r="AK146" s="3">
        <v>45904</v>
      </c>
      <c r="AL146" s="3">
        <v>45897</v>
      </c>
      <c r="AM146" s="3">
        <v>45905</v>
      </c>
      <c r="AN146" s="3">
        <v>45906</v>
      </c>
      <c r="AO146" s="3">
        <v>45907</v>
      </c>
      <c r="AP146" s="3">
        <v>45903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7.75" customHeight="1" x14ac:dyDescent="0.45">
      <c r="A147" s="3">
        <v>45898</v>
      </c>
      <c r="B147" s="14" t="s">
        <v>128</v>
      </c>
      <c r="C147" s="9" t="s">
        <v>109</v>
      </c>
      <c r="D147" s="13" t="s">
        <v>59</v>
      </c>
      <c r="E147" s="9">
        <v>26</v>
      </c>
      <c r="F147" s="9">
        <v>43</v>
      </c>
      <c r="G147" s="9" t="s">
        <v>60</v>
      </c>
      <c r="H147" s="9" t="s">
        <v>66</v>
      </c>
      <c r="I147" s="9">
        <v>150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45909</v>
      </c>
      <c r="U147" s="11">
        <v>15000</v>
      </c>
      <c r="V147" s="10">
        <v>0</v>
      </c>
      <c r="W147" s="10">
        <v>15000</v>
      </c>
      <c r="X147" s="10">
        <v>0</v>
      </c>
      <c r="Y147" s="10">
        <v>0</v>
      </c>
      <c r="Z147" s="9" t="s">
        <v>88</v>
      </c>
      <c r="AA147" s="8">
        <v>18649.949999999997</v>
      </c>
      <c r="AB147" s="8">
        <v>18649.949999999997</v>
      </c>
      <c r="AC147" s="8">
        <v>0</v>
      </c>
      <c r="AD147" s="8">
        <v>0</v>
      </c>
      <c r="AE147" s="8">
        <v>18649.949999999997</v>
      </c>
      <c r="AF147" s="8">
        <v>0</v>
      </c>
      <c r="AG147" s="1" t="s">
        <v>115</v>
      </c>
      <c r="AH147" s="1" t="s">
        <v>75</v>
      </c>
      <c r="AI147" s="1">
        <v>4</v>
      </c>
      <c r="AJ147" s="3">
        <v>45909</v>
      </c>
      <c r="AK147" s="3">
        <v>45905</v>
      </c>
      <c r="AL147" s="3">
        <v>45898</v>
      </c>
      <c r="AM147" s="3">
        <v>45906</v>
      </c>
      <c r="AN147" s="3">
        <v>45907</v>
      </c>
      <c r="AO147" s="3">
        <v>45908</v>
      </c>
      <c r="AP147" s="3">
        <v>45904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7.75" customHeight="1" x14ac:dyDescent="0.45">
      <c r="A148" s="3">
        <v>45898</v>
      </c>
      <c r="B148" s="14" t="s">
        <v>128</v>
      </c>
      <c r="C148" s="9" t="s">
        <v>109</v>
      </c>
      <c r="D148" s="13" t="s">
        <v>59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110</v>
      </c>
      <c r="T148" s="12">
        <v>45917</v>
      </c>
      <c r="U148" s="11">
        <v>15000</v>
      </c>
      <c r="V148" s="10">
        <v>0</v>
      </c>
      <c r="W148" s="10">
        <v>15000</v>
      </c>
      <c r="X148" s="10">
        <v>0</v>
      </c>
      <c r="Y148" s="10">
        <v>0</v>
      </c>
      <c r="Z148" s="9" t="s">
        <v>88</v>
      </c>
      <c r="AA148" s="8">
        <v>18649.949999999997</v>
      </c>
      <c r="AB148" s="8">
        <v>18649.949999999997</v>
      </c>
      <c r="AC148" s="8">
        <v>0</v>
      </c>
      <c r="AD148" s="8">
        <v>0</v>
      </c>
      <c r="AE148" s="8">
        <v>18649.949999999997</v>
      </c>
      <c r="AF148" s="8">
        <v>0</v>
      </c>
      <c r="AG148" s="1" t="s">
        <v>115</v>
      </c>
      <c r="AH148" s="1" t="s">
        <v>75</v>
      </c>
      <c r="AI148" s="1">
        <v>4</v>
      </c>
      <c r="AJ148" s="3">
        <v>45917</v>
      </c>
      <c r="AK148" s="3">
        <v>45913</v>
      </c>
      <c r="AL148" s="3">
        <v>45906</v>
      </c>
      <c r="AM148" s="3">
        <v>45914</v>
      </c>
      <c r="AN148" s="3">
        <v>45915</v>
      </c>
      <c r="AO148" s="3">
        <v>45916</v>
      </c>
      <c r="AP148" s="3">
        <v>45912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0</v>
      </c>
    </row>
    <row r="149" spans="1:56" ht="27.7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26</v>
      </c>
      <c r="F149" s="9">
        <v>43</v>
      </c>
      <c r="G149" s="9">
        <v>0</v>
      </c>
      <c r="H149" s="9">
        <v>0</v>
      </c>
      <c r="I149" s="9">
        <v>120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88</v>
      </c>
      <c r="AA149" s="8">
        <v>57193.179999999993</v>
      </c>
      <c r="AB149" s="8">
        <v>57193.179999999993</v>
      </c>
      <c r="AC149" s="8">
        <v>0</v>
      </c>
      <c r="AD149" s="8">
        <v>0</v>
      </c>
      <c r="AE149" s="8">
        <v>57193.179999999993</v>
      </c>
      <c r="AF149" s="8" t="s">
        <v>58</v>
      </c>
      <c r="AG149" s="1" t="s">
        <v>119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0</v>
      </c>
    </row>
    <row r="150" spans="1:56" ht="27.75" customHeight="1" x14ac:dyDescent="0.45">
      <c r="A150" s="3">
        <v>45857</v>
      </c>
      <c r="B150" s="14" t="s">
        <v>300</v>
      </c>
      <c r="C150" s="9" t="s">
        <v>147</v>
      </c>
      <c r="D150" s="13" t="s">
        <v>148</v>
      </c>
      <c r="E150" s="9">
        <v>28</v>
      </c>
      <c r="F150" s="9">
        <v>41</v>
      </c>
      <c r="G150" s="9" t="s">
        <v>60</v>
      </c>
      <c r="H150" s="9">
        <v>0</v>
      </c>
      <c r="I150" s="9">
        <v>120</v>
      </c>
      <c r="J150" s="9" t="s">
        <v>78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45916</v>
      </c>
      <c r="U150" s="11">
        <v>3000</v>
      </c>
      <c r="V150" s="10">
        <v>2841</v>
      </c>
      <c r="W150" s="10">
        <v>159</v>
      </c>
      <c r="X150" s="10">
        <v>34283</v>
      </c>
      <c r="Y150" s="10">
        <v>0</v>
      </c>
      <c r="Z150" s="9" t="s">
        <v>127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115</v>
      </c>
      <c r="AH150" s="1" t="s">
        <v>74</v>
      </c>
      <c r="AI150" s="1">
        <v>2</v>
      </c>
      <c r="AJ150" s="3">
        <v>45916</v>
      </c>
      <c r="AK150" s="3">
        <v>0</v>
      </c>
      <c r="AL150" s="3">
        <v>45907</v>
      </c>
      <c r="AM150" s="3">
        <v>45914</v>
      </c>
      <c r="AN150" s="3">
        <v>45915</v>
      </c>
      <c r="AO150" s="3">
        <v>45915</v>
      </c>
      <c r="AP150" s="3">
        <v>45911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0</v>
      </c>
    </row>
    <row r="151" spans="1:56" ht="27.75" customHeight="1" x14ac:dyDescent="0.45">
      <c r="A151" s="3">
        <v>45895</v>
      </c>
      <c r="B151" s="14" t="s">
        <v>382</v>
      </c>
      <c r="C151" s="9" t="s">
        <v>147</v>
      </c>
      <c r="D151" s="13" t="s">
        <v>148</v>
      </c>
      <c r="E151" s="9">
        <v>28</v>
      </c>
      <c r="F151" s="9">
        <v>41</v>
      </c>
      <c r="G151" s="9" t="s">
        <v>60</v>
      </c>
      <c r="H151" s="9">
        <v>0</v>
      </c>
      <c r="I151" s="9">
        <v>120</v>
      </c>
      <c r="J151" s="9" t="s">
        <v>78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45916</v>
      </c>
      <c r="U151" s="11">
        <v>50000</v>
      </c>
      <c r="V151" s="10">
        <v>0</v>
      </c>
      <c r="W151" s="10">
        <v>50000</v>
      </c>
      <c r="X151" s="10">
        <v>22570</v>
      </c>
      <c r="Y151" s="10">
        <v>28801.5</v>
      </c>
      <c r="Z151" s="9" t="s">
        <v>127</v>
      </c>
      <c r="AA151" s="8">
        <v>34200.341175000001</v>
      </c>
      <c r="AB151" s="8">
        <v>34200.341175000001</v>
      </c>
      <c r="AC151" s="8">
        <v>0</v>
      </c>
      <c r="AD151" s="8">
        <v>0</v>
      </c>
      <c r="AE151" s="8">
        <v>0</v>
      </c>
      <c r="AF151" s="8">
        <v>0</v>
      </c>
      <c r="AG151" s="1" t="s">
        <v>115</v>
      </c>
      <c r="AH151" s="1" t="s">
        <v>74</v>
      </c>
      <c r="AI151" s="1">
        <v>2</v>
      </c>
      <c r="AJ151" s="3">
        <v>45916</v>
      </c>
      <c r="AK151" s="3">
        <v>0</v>
      </c>
      <c r="AL151" s="3">
        <v>45907</v>
      </c>
      <c r="AM151" s="3">
        <v>45914</v>
      </c>
      <c r="AN151" s="3">
        <v>45915</v>
      </c>
      <c r="AO151" s="3">
        <v>45915</v>
      </c>
      <c r="AP151" s="3">
        <v>45911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0</v>
      </c>
    </row>
    <row r="152" spans="1:56" ht="27.75" customHeight="1" x14ac:dyDescent="0.45">
      <c r="A152" s="3" t="s">
        <v>135</v>
      </c>
      <c r="B152" s="14" t="s">
        <v>135</v>
      </c>
      <c r="C152" s="9" t="s">
        <v>109</v>
      </c>
      <c r="D152" s="13" t="s">
        <v>59</v>
      </c>
      <c r="E152" s="9">
        <v>28</v>
      </c>
      <c r="F152" s="9">
        <v>47</v>
      </c>
      <c r="G152" s="9" t="s">
        <v>60</v>
      </c>
      <c r="H152" s="9" t="s">
        <v>66</v>
      </c>
      <c r="I152" s="9">
        <v>180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110</v>
      </c>
      <c r="T152" s="12">
        <v>45925</v>
      </c>
      <c r="U152" s="11">
        <v>5000</v>
      </c>
      <c r="V152" s="10">
        <v>0</v>
      </c>
      <c r="W152" s="10">
        <v>5000</v>
      </c>
      <c r="X152" s="10">
        <v>0</v>
      </c>
      <c r="Y152" s="10">
        <v>0</v>
      </c>
      <c r="Z152" s="9" t="s">
        <v>127</v>
      </c>
      <c r="AA152" s="8">
        <v>6775.4500000000007</v>
      </c>
      <c r="AB152" s="8">
        <v>3925</v>
      </c>
      <c r="AC152" s="8">
        <v>2850.4500000000007</v>
      </c>
      <c r="AD152" s="8">
        <v>0</v>
      </c>
      <c r="AE152" s="8">
        <v>6775.4500000000007</v>
      </c>
      <c r="AF152" s="8">
        <v>0</v>
      </c>
      <c r="AG152" s="1">
        <v>0</v>
      </c>
      <c r="AH152" s="1" t="s">
        <v>146</v>
      </c>
      <c r="AI152" s="1">
        <v>2</v>
      </c>
      <c r="AJ152" s="3">
        <v>45925</v>
      </c>
      <c r="AK152" s="3">
        <v>45923</v>
      </c>
      <c r="AL152" s="3">
        <v>0</v>
      </c>
      <c r="AM152" s="3">
        <v>0</v>
      </c>
      <c r="AN152" s="3">
        <v>0</v>
      </c>
      <c r="AO152" s="3">
        <v>45924</v>
      </c>
      <c r="AP152" s="3">
        <v>45920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143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320.35890833333343</v>
      </c>
    </row>
    <row r="153" spans="1:56" ht="27.75" customHeight="1" x14ac:dyDescent="0.45">
      <c r="A153" s="3">
        <v>0</v>
      </c>
      <c r="B153" s="14">
        <v>0</v>
      </c>
      <c r="C153" s="9">
        <v>0</v>
      </c>
      <c r="D153" s="13">
        <v>0</v>
      </c>
      <c r="E153" s="9">
        <v>28</v>
      </c>
      <c r="F153" s="9">
        <v>43</v>
      </c>
      <c r="G153" s="9">
        <v>0</v>
      </c>
      <c r="H153" s="9">
        <v>0</v>
      </c>
      <c r="I153" s="9">
        <v>130</v>
      </c>
      <c r="J153" s="9" t="s">
        <v>57</v>
      </c>
      <c r="K153" s="9">
        <v>3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127</v>
      </c>
      <c r="AA153" s="8">
        <v>40975.791175000006</v>
      </c>
      <c r="AB153" s="8">
        <v>38125.341175000001</v>
      </c>
      <c r="AC153" s="8">
        <v>2850.4500000000007</v>
      </c>
      <c r="AD153" s="8">
        <v>0</v>
      </c>
      <c r="AE153" s="8">
        <v>6775.4500000000007</v>
      </c>
      <c r="AF153" s="8" t="s">
        <v>58</v>
      </c>
      <c r="AG153" s="1">
        <v>0</v>
      </c>
      <c r="AH153" s="1">
        <v>0</v>
      </c>
      <c r="AI153" s="1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149</v>
      </c>
      <c r="BD153" s="56">
        <v>0</v>
      </c>
    </row>
  </sheetData>
  <autoFilter ref="A5:BD153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53">
    <cfRule type="expression" dxfId="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17</vt:i4>
      </vt:variant>
      <vt:variant>
        <vt:lpstr>ช่วงที่มีชื่อ</vt:lpstr>
      </vt:variant>
      <vt:variant>
        <vt:i4>7</vt:i4>
      </vt:variant>
    </vt:vector>
  </HeadingPairs>
  <TitlesOfParts>
    <vt:vector size="24" baseType="lpstr">
      <vt:lpstr>Linkสูตรออร์เดอร์  (2)</vt:lpstr>
      <vt:lpstr>9(Order+FC)</vt:lpstr>
      <vt:lpstr>9(Order)</vt:lpstr>
      <vt:lpstr>9(Order) แยกลูกค้า</vt:lpstr>
      <vt:lpstr>9(Fc) แยกลูกค้า</vt:lpstr>
      <vt:lpstr>8(Order+Fc) แยกลูกค้า</vt:lpstr>
      <vt:lpstr>รายละเอียด1</vt:lpstr>
      <vt:lpstr>8(Order)</vt:lpstr>
      <vt:lpstr>8(Order) แยกลูกค้า</vt:lpstr>
      <vt:lpstr>8(Fc) แยกลูกค้</vt:lpstr>
      <vt:lpstr>ค้างทอ2-9-68</vt:lpstr>
      <vt:lpstr>5-9-68</vt:lpstr>
      <vt:lpstr>4-9-68</vt:lpstr>
      <vt:lpstr>3-9-68</vt:lpstr>
      <vt:lpstr>2-9-68</vt:lpstr>
      <vt:lpstr>1-9-68</vt:lpstr>
      <vt:lpstr>30-8-68</vt:lpstr>
      <vt:lpstr>'8(Fc) แยกลูกค้'!Print_Area</vt:lpstr>
      <vt:lpstr>'8(Order)'!Print_Area</vt:lpstr>
      <vt:lpstr>'8(Order) แยกลูกค้า'!Print_Area</vt:lpstr>
      <vt:lpstr>'8(Order+Fc) แยกลูกค้า'!Print_Area</vt:lpstr>
      <vt:lpstr>'9(Fc) แยกลูกค้า'!Print_Area</vt:lpstr>
      <vt:lpstr>'9(Order)'!Print_Area</vt:lpstr>
      <vt:lpstr>'9(Order) แยกลูกค้า'!Print_Area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PD-07</cp:lastModifiedBy>
  <cp:lastPrinted>2025-08-15T02:00:29Z</cp:lastPrinted>
  <dcterms:created xsi:type="dcterms:W3CDTF">2015-02-27T04:16:25Z</dcterms:created>
  <dcterms:modified xsi:type="dcterms:W3CDTF">2025-09-05T03:58:24Z</dcterms:modified>
</cp:coreProperties>
</file>